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kvim" sheetId="1" r:id="rId4"/>
    <sheet state="visible" name="hedef liste" sheetId="2" r:id="rId5"/>
    <sheet state="visible" name="import" sheetId="3" r:id="rId6"/>
    <sheet state="visible" name="Durum Parametreler" sheetId="4" r:id="rId7"/>
    <sheet state="visible" name="özet" sheetId="5" r:id="rId8"/>
    <sheet state="hidden" name="Sayfa12" sheetId="6" r:id="rId9"/>
  </sheets>
  <definedNames>
    <definedName hidden="1" localSheetId="1" name="_xlnm._FilterDatabase">'hedef liste'!$A$1:$AQ$1022</definedName>
    <definedName hidden="1" localSheetId="2" name="_xlnm._FilterDatabase">import!$A$1:$Q$1219</definedName>
    <definedName hidden="1" localSheetId="1" name="Z_19BADD2F_B6E2_478A_8BDC_EEC4D154DB8B_.wvu.FilterData">'hedef liste'!$A$1:$AO$644</definedName>
    <definedName hidden="1" localSheetId="1" name="Z_0E5A4C60_BFFC_4249_9DE0_742CE8FAEA29_.wvu.FilterData">'hedef liste'!$X$32:$Y$34</definedName>
    <definedName hidden="1" localSheetId="1" name="Z_4213BEE7_4AA0_44B1_863F_6137CAB06105_.wvu.FilterData">'hedef liste'!$W$393</definedName>
    <definedName hidden="1" localSheetId="1" name="Z_A539A996_E0E6_4B20_972A_239AF6A0009A_.wvu.FilterData">'hedef liste'!$AA$512:$AP$519</definedName>
    <definedName hidden="1" localSheetId="1" name="Z_A8D008E0_5619_4683_8283_FD8530689FE7_.wvu.FilterData">'hedef liste'!$AA$697:$AF$703</definedName>
    <definedName hidden="1" localSheetId="1" name="Z_27A232E3_8824_4AE2_8318_CCB30ABFE4D5_.wvu.FilterData">'hedef liste'!$X$211:$X$214</definedName>
    <definedName hidden="1" localSheetId="1" name="Z_B746D7B4_17C8_4F87_8D61_58172F92DF6F_.wvu.FilterData">'hedef liste'!$AG$490:$AH$491</definedName>
    <definedName hidden="1" localSheetId="1" name="Z_2976BB3C_B907_4AA6_B81A_43E1D180976B_.wvu.FilterData">'hedef liste'!$AA$525:$AO$528</definedName>
    <definedName hidden="1" localSheetId="1" name="Z_3750264B_C1FB_40F8_A9DB_12FC5404A34C_.wvu.FilterData">'hedef liste'!$A$1:$AQ$840</definedName>
    <definedName hidden="1" localSheetId="1" name="Z_5ED107F4_9F5C_4F13_902E_5A3336441B29_.wvu.FilterData">'hedef liste'!$AG$490:$AH$491</definedName>
    <definedName hidden="1" localSheetId="1" name="Z_773E269A_A5CA_4FBC_AB6A_F4385862A005_.wvu.FilterData">'hedef liste'!$AA$771:$AO$775</definedName>
    <definedName hidden="1" localSheetId="1" name="Z_845BDB86_2576_4895_ABFE_B54168C9EE63_.wvu.FilterData">'hedef liste'!$A$1:$AO$735</definedName>
    <definedName hidden="1" localSheetId="1" name="Z_2B2E2FEE_86ED_4E0F_8666_74FDD8BFF908_.wvu.FilterData">'hedef liste'!$A$1:$AI$239</definedName>
    <definedName hidden="1" localSheetId="1" name="Z_476A6B90_725F_4828_B015_E6F0F8DA0B14_.wvu.FilterData">'hedef liste'!$AA$525:$AO$528</definedName>
    <definedName hidden="1" localSheetId="1" name="Z_1C0333CE_002F_4943_89D7_7C5DABEBA7C9_.wvu.FilterData">'hedef liste'!$A$1:$AO$814</definedName>
    <definedName hidden="1" localSheetId="1" name="Z_CC432EF5_F6C1_4149_A754_702E10D8ACC1_.wvu.FilterData">'hedef liste'!$A$1:$AO$756</definedName>
    <definedName hidden="1" localSheetId="2" name="Z_5D77DCF9_B362_4B21_80ED_CF985C7D71EE_.wvu.FilterData">import!$A$1:$Q$1237</definedName>
    <definedName hidden="1" localSheetId="1" name="Z_AE9162F9_E5A2_4D83_83E2_9B4F45408546_.wvu.FilterData">'hedef liste'!$W$393</definedName>
    <definedName hidden="1" localSheetId="1" name="Z_2854AD16_F252_4F1D_8FB7_C5EA7D5CB293_.wvu.FilterData">'hedef liste'!$A$1:$AA$397</definedName>
    <definedName hidden="1" localSheetId="1" name="Z_069D71DA_61E8_426F_865B_620C7764C2A3_.wvu.FilterData">'hedef liste'!$A$1:$AA$397</definedName>
    <definedName hidden="1" localSheetId="1" name="Z_4FDC2961_D7EC_4FF9_8F4F_5129BB368356_.wvu.FilterData">'hedef liste'!$AA$697:$AF$704</definedName>
    <definedName hidden="1" localSheetId="1" name="Z_6C9736F0_A0FF_42FE_8999_200C1FBBC997_.wvu.FilterData">'hedef liste'!$W$546:$W$547</definedName>
    <definedName hidden="1" localSheetId="1" name="Z_A65725CA_D100_488B_AC3F_12566F8E07C2_.wvu.FilterData">'hedef liste'!$AA$512:$AP$520</definedName>
    <definedName hidden="1" localSheetId="1" name="Z_5410FE2D_1311_4B08_BF8F_881059B9DA21_.wvu.FilterData">'hedef liste'!$S$1:$S$811</definedName>
    <definedName hidden="1" localSheetId="1" name="Z_7D578A13_1E70_4A1C_A355_8B7185D78A9A_.wvu.FilterData">'hedef liste'!$A$1:$AO$768</definedName>
  </definedNames>
  <calcPr/>
  <customWorkbookViews>
    <customWorkbookView activeSheetId="0" maximized="1" windowHeight="0" windowWidth="0" guid="{5D77DCF9-B362-4B21-80ED-CF985C7D71EE}" name="Import"/>
    <customWorkbookView activeSheetId="0" maximized="1" windowHeight="0" windowWidth="0" guid="{069D71DA-61E8-426F-865B-620C7764C2A3}" name="Filtre 1"/>
    <customWorkbookView activeSheetId="0" maximized="1" windowHeight="0" windowWidth="0" guid="{2854AD16-F252-4F1D-8FB7-C5EA7D5CB293}" name="Filtre 5"/>
    <customWorkbookView activeSheetId="0" maximized="1" windowHeight="0" windowWidth="0" guid="{0E5A4C60-BFFC-4249-9DE0-742CE8FAEA29}" name="Filtre 4"/>
    <customWorkbookView activeSheetId="0" maximized="1" windowHeight="0" windowWidth="0" guid="{2B2E2FEE-86ED-4E0F-8666-74FDD8BFF908}" name="Filtre 3"/>
    <customWorkbookView activeSheetId="0" maximized="1" windowHeight="0" windowWidth="0" guid="{27A232E3-8824-4AE2-8318-CCB30ABFE4D5}" name="Filtre 2"/>
    <customWorkbookView activeSheetId="0" maximized="1" windowHeight="0" windowWidth="0" guid="{19BADD2F-B6E2-478A-8BDC-EEC4D154DB8B}" name="Filtre 9"/>
    <customWorkbookView activeSheetId="0" maximized="1" windowHeight="0" windowWidth="0" guid="{6C9736F0-A0FF-42FE-8999-200C1FBBC997}" name="Filtre 8"/>
    <customWorkbookView activeSheetId="0" maximized="1" windowHeight="0" windowWidth="0" guid="{AE9162F9-E5A2-4D83-83E2-9B4F45408546}" name="Filtre 7"/>
    <customWorkbookView activeSheetId="0" maximized="1" windowHeight="0" windowWidth="0" guid="{4213BEE7-4AA0-44B1-863F-6137CAB06105}" name="Filtre 6"/>
    <customWorkbookView activeSheetId="0" maximized="1" windowHeight="0" windowWidth="0" guid="{773E269A-A5CA-4FBC-AB6A-F4385862A005}" name="Filtre 21"/>
    <customWorkbookView activeSheetId="0" maximized="1" windowHeight="0" windowWidth="0" guid="{476A6B90-725F-4828-B015-E6F0F8DA0B14}" name="Filtre 20"/>
    <customWorkbookView activeSheetId="0" maximized="1" windowHeight="0" windowWidth="0" guid="{A65725CA-D100-488B-AC3F-12566F8E07C2}" name="Filtre 23"/>
    <customWorkbookView activeSheetId="0" maximized="1" windowHeight="0" windowWidth="0" guid="{3750264B-C1FB-40F8-A9DB-12FC5404A34C}" name="Filtre 22"/>
    <customWorkbookView activeSheetId="0" maximized="1" windowHeight="0" windowWidth="0" guid="{A539A996-E0E6-4B20-972A-239AF6A0009A}" name="Filtre 24"/>
    <customWorkbookView activeSheetId="0" maximized="1" windowHeight="0" windowWidth="0" guid="{5410FE2D-1311-4B08-BF8F-881059B9DA21}" name="Filtre 18"/>
    <customWorkbookView activeSheetId="0" maximized="1" windowHeight="0" windowWidth="0" guid="{B746D7B4-17C8-4F87-8D61-58172F92DF6F}" name="Filtre 17"/>
    <customWorkbookView activeSheetId="0" maximized="1" windowHeight="0" windowWidth="0" guid="{2976BB3C-B907-4AA6-B81A-43E1D180976B}" name="Filtre 19"/>
    <customWorkbookView activeSheetId="0" maximized="1" windowHeight="0" windowWidth="0" guid="{1C0333CE-002F-4943-89D7-7C5DABEBA7C9}" name="Filtre 10"/>
    <customWorkbookView activeSheetId="0" maximized="1" windowHeight="0" windowWidth="0" guid="{CC432EF5-F6C1-4149-A754-702E10D8ACC1}" name="Filtre 12"/>
    <customWorkbookView activeSheetId="0" maximized="1" windowHeight="0" windowWidth="0" guid="{845BDB86-2576-4895-ABFE-B54168C9EE63}" name="Filtre 11"/>
    <customWorkbookView activeSheetId="0" maximized="1" windowHeight="0" windowWidth="0" guid="{A8D008E0-5619-4683-8283-FD8530689FE7}" name="Filtre 14"/>
    <customWorkbookView activeSheetId="0" maximized="1" windowHeight="0" windowWidth="0" guid="{7D578A13-1E70-4A1C-A355-8B7185D78A9A}" name="Filtre 13"/>
    <customWorkbookView activeSheetId="0" maximized="1" windowHeight="0" windowWidth="0" guid="{5ED107F4-9F5C-4F13-902E-5A3336441B29}" name="Filtre 16"/>
    <customWorkbookView activeSheetId="0" maximized="1" windowHeight="0" windowWidth="0" guid="{4FDC2961-D7EC-4FF9-8F4F-5129BB368356}" name="Filtre 15"/>
  </customWorkbookViews>
  <pivotCaches>
    <pivotCache cacheId="0" r:id="rId10"/>
    <pivotCache cacheId="1" r:id="rId11"/>
  </pivotCaches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L2">
      <text>
        <t xml:space="preserve">işten ayrılmış aramayın notta numara var abdulkerim bey e ait
	-Derya Tatlı</t>
      </text>
    </comment>
  </commentList>
</comments>
</file>

<file path=xl/sharedStrings.xml><?xml version="1.0" encoding="utf-8"?>
<sst xmlns="http://schemas.openxmlformats.org/spreadsheetml/2006/main" count="33463" uniqueCount="7845">
  <si>
    <t>f</t>
  </si>
  <si>
    <t>TARİH</t>
  </si>
  <si>
    <t>Randevu
Alan</t>
  </si>
  <si>
    <t>ID</t>
  </si>
  <si>
    <t>RESTORAN</t>
  </si>
  <si>
    <t>SAAT</t>
  </si>
  <si>
    <t>İLÇE / MAHALLE</t>
  </si>
  <si>
    <t>YETKİLİ KİŞİ / TELEFON</t>
  </si>
  <si>
    <t>ADRES</t>
  </si>
  <si>
    <t>Notlar</t>
  </si>
  <si>
    <t>Fotoğraf Adeti</t>
  </si>
  <si>
    <t>Toplam ürün</t>
  </si>
  <si>
    <t>Şubeli</t>
  </si>
  <si>
    <t>İptal</t>
  </si>
  <si>
    <t>Çukurova</t>
  </si>
  <si>
    <t xml:space="preserve">Nazmi Okbaz </t>
  </si>
  <si>
    <t>Özlem arslan</t>
  </si>
  <si>
    <t>5ff302a74f55ab6f4e9ea62f</t>
  </si>
  <si>
    <t>BIG-S Burger, Çukurova (Güzelyalı Mah.)</t>
  </si>
  <si>
    <t>Çukurova Mahfesığmaz</t>
  </si>
  <si>
    <t>Süleyman 5426752656</t>
  </si>
  <si>
    <t>güzelyalı mah turgut özal blv. aksa gaz karşısı sturbacks yanı kenanaoğlu apt altı çukurova adana</t>
  </si>
  <si>
    <t>Kendi ajanslarına çektirmişler</t>
  </si>
  <si>
    <t>604538b0075e9b5c86b52986</t>
  </si>
  <si>
    <t>Hataylım Döner &amp; Tantuni (Yüzüncü Yıl Mah.)</t>
  </si>
  <si>
    <t>Çukurova Yüzüncüyıl</t>
  </si>
  <si>
    <t>mehmet bey 5442582307</t>
  </si>
  <si>
    <t>hacı bektaş veli bulv. no 77</t>
  </si>
  <si>
    <t>600605867441fc14ff7f7c0a</t>
  </si>
  <si>
    <t>Fırat Cafe Pandora,Yurt Mah. - Turgut Özal Blv.)</t>
  </si>
  <si>
    <t>15:00</t>
  </si>
  <si>
    <t>Çukurova Yurt</t>
  </si>
  <si>
    <t>ferhat bey 3222398595</t>
  </si>
  <si>
    <t>yurt mah turgut özal bulvarı no:178 / a çukurova adana</t>
  </si>
  <si>
    <t>603a1b3f717836115614220d</t>
  </si>
  <si>
    <t>Antakya Express Döner (Belediyeevleri Mah.)</t>
  </si>
  <si>
    <t>17:00</t>
  </si>
  <si>
    <t>Çukurova Belediye Evleri</t>
  </si>
  <si>
    <t>Adem bey 5316968522</t>
  </si>
  <si>
    <t>belediye evleri mh hilmi küklü blv yasemen apt no 65 - 2 A çukurova adana</t>
  </si>
  <si>
    <t>Beyza gülşah</t>
  </si>
  <si>
    <t>60155dca998c13f968875764</t>
  </si>
  <si>
    <t>Fa’ Mira Pasta &amp; Cafe, Çukurova (Belediyeevleri Mah.)</t>
  </si>
  <si>
    <t>18.30</t>
  </si>
  <si>
    <t>Hakanbey/5530893212</t>
  </si>
  <si>
    <t>belediye evleri mah turgut özal bulv no 279 a çukurova adana</t>
  </si>
  <si>
    <t>5feb8f7237c1dbf256558540</t>
  </si>
  <si>
    <t>The Zula, Çukurova (Mahfesığmaz Mah. Turgut Özal Blv.)</t>
  </si>
  <si>
    <t>çukurova Güzelyalı</t>
  </si>
  <si>
    <t>aykut bey 3222334477</t>
  </si>
  <si>
    <t>mahfesıgmaz mah turgut ozal bulvarı no:35/f çukuova adana</t>
  </si>
  <si>
    <t>5ff39882ee0f72652ca8f3a6</t>
  </si>
  <si>
    <t>Antakyam Döner, Çukurova (Mahfesığmaz Mah.)</t>
  </si>
  <si>
    <t>mahfesığmaz mah turgut özal bulv abbas bilir apt b blok no:59/a çukurova adana</t>
  </si>
  <si>
    <t>5ffafe0efd88ae2c276c1a8b</t>
  </si>
  <si>
    <t>Ortaköy Çorbacısı, Çukurova (Güzelyalı Mah. - Turgut Özal Blv.)</t>
  </si>
  <si>
    <t>14:00</t>
  </si>
  <si>
    <t>culyan bey 05368201805</t>
  </si>
  <si>
    <t>mahfesığmaz mah turgut özal bulv parlak gümüş apt no:111/a çukurova adana</t>
  </si>
  <si>
    <t xml:space="preserve">İPTAL SESBİ İÇİN SONRA ARA </t>
  </si>
  <si>
    <t>600478050d6f591a059c2f51</t>
  </si>
  <si>
    <t>Ciğerci Ulaş,(Güzelyalı Mah. - Turgut Özal Blv.)</t>
  </si>
  <si>
    <t>hüseyin bey 3222328486</t>
  </si>
  <si>
    <t>güzelyalı mah turgut özal bulv akçeli 1 apt no:74/a çukurova adana</t>
  </si>
  <si>
    <t>60093cc8e13dbd0db25c79f9</t>
  </si>
  <si>
    <t>Aşık Döner, Çukurova (Belediyeevleri Mah.)</t>
  </si>
  <si>
    <t>yalçın bey/3227770303</t>
  </si>
  <si>
    <t>belediye evleri mah 84081 sk no 35/a-1 cukurova adana</t>
  </si>
  <si>
    <t>5fe9001ba415e906823c1038</t>
  </si>
  <si>
    <t>Tuil Cafe &amp; Patiserrie (Yüzüncü Yıl Mah.)</t>
  </si>
  <si>
    <t>Çukurova/yüzüncüyıl</t>
  </si>
  <si>
    <t>Oğuzhan bey/3222660044/5079342078</t>
  </si>
  <si>
    <t>yüzüncü yıl mah fazlı meto bulv baysallar apt 01360 çukurova adana</t>
  </si>
  <si>
    <t>5fe5d2ed87a63b1f653166d1</t>
  </si>
  <si>
    <t>By Tombiş Cafe, Çukurova (Huzurevleri Mah.)</t>
  </si>
  <si>
    <t>Çukurova/huzurevler</t>
  </si>
  <si>
    <t>huzurevleri mah 77215 sok no6/d çukurova adana</t>
  </si>
  <si>
    <t>ALINMAYACAK</t>
  </si>
  <si>
    <t>Berat Altunkaya</t>
  </si>
  <si>
    <t>Ezgi Turan</t>
  </si>
  <si>
    <t>604c7b12f1352d7b0d49cd68</t>
  </si>
  <si>
    <t>@'li Burger, Çukurova (Güzelyalı Mah. - Turgut Özal Blv.)</t>
  </si>
  <si>
    <t>Çukurova	Güzelyalı</t>
  </si>
  <si>
    <t>ozan ulus	/5467875437</t>
  </si>
  <si>
    <t>GÜZELYALI MAH. TURGUT ÖZAL BLV. NO: 52 /2B ÇUKUROVA/ ADANA</t>
  </si>
  <si>
    <t>600456bc3368d68b8aeb1782</t>
  </si>
  <si>
    <t>Best Burger,(Güzelyalı Mah. - Turgut Özal Blv.)</t>
  </si>
  <si>
    <t>Çukurova	/Güzelyalı</t>
  </si>
  <si>
    <t>rahmetullah özdemir/3222349404</t>
  </si>
  <si>
    <t>güzelyalı mah 81106 sok sefa parlak apt no:1/a çukurova adana</t>
  </si>
  <si>
    <t>60146096f179e4d84c264942</t>
  </si>
  <si>
    <t>Tutku Tantuni, Çukurova (Güzelyalı Mah.)</t>
  </si>
  <si>
    <t>Şerife Er/3222342020</t>
  </si>
  <si>
    <t>Güzelyalı mah.Turgut Özal Bulvarı.Dermancan Tıp Merkezi Arkası,Talıcı Zeki karşısı çukurova adana</t>
  </si>
  <si>
    <t>6033a76217a3766376370395</t>
  </si>
  <si>
    <t>Lale Börekçilik (Yüzüncü Yıl Mah.)</t>
  </si>
  <si>
    <t>Nusret bey 3222568885/ 5467958513</t>
  </si>
  <si>
    <t>yüzüncü yıl mh 85023 sk sudesu apt no 1 iç kapı no 21 çukurova adana</t>
  </si>
  <si>
    <t>601490c1e3c69cb0618311b6</t>
  </si>
  <si>
    <t>Börek House, Çukurova (Yüzüncü Yıl Mah.)</t>
  </si>
  <si>
    <t>Muzaffer bey 3222563356</t>
  </si>
  <si>
    <t>Yüzüncüyıl, Hacı Bektaş Veli Blv No:17, 01170 Çukurova/Adana</t>
  </si>
  <si>
    <t>6009f627e13dbd3afe5c9a5b</t>
  </si>
  <si>
    <t>Çiğ Köfte Konağı, Çukurova (Yüzüncü Yıl Mah.)</t>
  </si>
  <si>
    <t>Ahmet bey 5372746640</t>
  </si>
  <si>
    <t>100. yıl mah fazlı meto bulvarı no:91/d çukurova adana</t>
  </si>
  <si>
    <t>602ebc7443eb4cc52cbebb5e</t>
  </si>
  <si>
    <t>Şeflerin Pizzası , ( Yüzüncü Yıl Mah.)</t>
  </si>
  <si>
    <t>mehmet/5347170430-</t>
  </si>
  <si>
    <t>yüzüncü yıl mah bektaş veli bulv no 171 cukurova adana</t>
  </si>
  <si>
    <t>BAYRAMDAN SONRA ARANICAK</t>
  </si>
  <si>
    <t>Nazlıcan Dinçer</t>
  </si>
  <si>
    <t>5fde78c5d4987aa5cbfb3aaf</t>
  </si>
  <si>
    <t>Göksel Tantuni, Çukurova (Güzelyalı Mah. - Turgut Özal Blv.)</t>
  </si>
  <si>
    <t>Hülya öztaş	3222327700</t>
  </si>
  <si>
    <t>Güzelyalı Mah T.özal Blv. Dr. İ. Keskin sit. Bblok no:52/c Çukurova Adana</t>
  </si>
  <si>
    <t>600b05d8fb76e369d92e04c9</t>
  </si>
  <si>
    <t>Bake &amp; Brew Pizza, Çukurova (Beyazevler Mah.)</t>
  </si>
  <si>
    <t>Çukurova	Beyazevler</t>
  </si>
  <si>
    <t>Hüseyin Çağlar	3222252601</t>
  </si>
  <si>
    <t>Beyazevler mahallesi 80044 sokak no.3 koza apt. Çukurova-Adana</t>
  </si>
  <si>
    <t>5fe0c327d108fca7a22c00ee</t>
  </si>
  <si>
    <t>Cihangir Kebap, Çukurova (Güzelyalı Mah.)</t>
  </si>
  <si>
    <t>Çukurova Beyazevler</t>
  </si>
  <si>
    <t>Gökhan bey 05327007525</t>
  </si>
  <si>
    <t>güzelyalı mah devlet bahçeli bulv no41 a çukurova adana</t>
  </si>
  <si>
    <t>çekim istemiyor</t>
  </si>
  <si>
    <t>5fee11f04f55ab98aa9d8c83</t>
  </si>
  <si>
    <t>Makkarnacı, (Barajyolu )</t>
  </si>
  <si>
    <t>Mehmet bey 3229995465</t>
  </si>
  <si>
    <t>Beyazevler, Bülent Angın Blv. No: 132 / A, 01170 Çukurova/Adana</t>
  </si>
  <si>
    <t>Mertcan</t>
  </si>
  <si>
    <t>602455c8cb7fffe69f20c0bd</t>
  </si>
  <si>
    <t>Öz Star Börekçilik,(Toros Mah. - Turgut Özal Blv.)</t>
  </si>
  <si>
    <t>çukurova toros</t>
  </si>
  <si>
    <t>nevzat kardaş 3222310085</t>
  </si>
  <si>
    <t>Turgut Özal bulvarı Toros mh 78192 sk Ahmet işlek Apt no 167 Çukurova Adana</t>
  </si>
  <si>
    <t>601561ceaa213a5e4ae355eb</t>
  </si>
  <si>
    <t>İkram, Çukurova (Güzelyalı Mah.)</t>
  </si>
  <si>
    <t>mustafa 5558657375</t>
  </si>
  <si>
    <t>Güzelyalı, Turgut Özal Blv. 75. Yıl Kardelen Cad. D:146, 01170 Çukurova/Adana</t>
  </si>
  <si>
    <t>603761a4dd4ef020f01a16a2</t>
  </si>
  <si>
    <t>Lale Börekçilik (Merkez, Hayal Park)</t>
  </si>
  <si>
    <t>ferhat 3222352028</t>
  </si>
  <si>
    <t>toros mah kasım ener blv no 34 a çukurova adana</t>
  </si>
  <si>
    <t>Emel Yılmaz</t>
  </si>
  <si>
    <t>603f9a63b2bbe6e9e5cca52c</t>
  </si>
  <si>
    <t>Ali Bey , (Mahfesığmaz Mah. - Turgut Özal Blv.)</t>
  </si>
  <si>
    <t>cukurova/mahfesığmaz</t>
  </si>
  <si>
    <t>Ali akdeniz/5345180408</t>
  </si>
  <si>
    <t>Mahfe sığmaz mh.Turgut Özal Bulvarı 115/D ADANA</t>
  </si>
  <si>
    <t xml:space="preserve">RAMAZANDAN SONRA </t>
  </si>
  <si>
    <t>6024151665de17a98adba932</t>
  </si>
  <si>
    <t>Çiğ Köfte Deryası, Çukurova (Toros Mah.)</t>
  </si>
  <si>
    <t>tarık dogan 5464493179</t>
  </si>
  <si>
    <t>TOROS MAH. ŞEHİT MUSTAFA ÖZBEK SK. ESEN APT. A BLOK NO: 6 İÇ KAPI NO: 01 ÇUKUROVA/ ADANA</t>
  </si>
  <si>
    <t>6024544e6fcc5ccaca8337fa</t>
  </si>
  <si>
    <t>Adana Dürümcüsü, Çukurova (Toros Mah.)</t>
  </si>
  <si>
    <t>Çukurova/toros</t>
  </si>
  <si>
    <t>sezer bey/5548538274</t>
  </si>
  <si>
    <t>TOROS MAH. ALİ SEPİCİ BLV. NO: 7 B ÇUKUROVA/ ADANA</t>
  </si>
  <si>
    <t>6005e74ac669c23e299c4c38</t>
  </si>
  <si>
    <t>Pizza Maya, Çukurova (Toros Mah.)</t>
  </si>
  <si>
    <t>Aynur hanım 3229994049</t>
  </si>
  <si>
    <t>toros mah ahmet sapmaz bulv koyuncu apt no:72/c çukurova adana</t>
  </si>
  <si>
    <t>ramazandan sonra</t>
  </si>
  <si>
    <t>600601120a79b1ce02e30095</t>
  </si>
  <si>
    <t>Şirinoğlu Baklava, Çukurova (Güzelyalı Mah.)</t>
  </si>
  <si>
    <t>Çukurova/güzelyalı</t>
  </si>
  <si>
    <t>Mehmet bey/5538696501</t>
  </si>
  <si>
    <t>turgut özal bulv güzelyalı mah cemile apt no :1 çukurova adana</t>
  </si>
  <si>
    <t>604c89e1d0321ba7b717ae94</t>
  </si>
  <si>
    <t>Vip Burger, Çukurova (Mahfesığmaz Mah.)</t>
  </si>
  <si>
    <t>Gül hanım 5331503801</t>
  </si>
  <si>
    <t>güzelyalı mahallesi, turgut özal bulvarı, no10/a anıl apt, a blok zemin kat, 01170 Çukurova adana</t>
  </si>
  <si>
    <t>BAYRAMDAN SONRA ALINCAK RAND</t>
  </si>
  <si>
    <t>5fde584f3e964ba128e972a4</t>
  </si>
  <si>
    <t>ahmet çaykara 3229991805</t>
  </si>
  <si>
    <t>5fe9a047345867ccff45e22e</t>
  </si>
  <si>
    <t>Antakya Dürümevi, Çukurova (Güzelyalı Mah. - Turgut Özal Blv.)</t>
  </si>
  <si>
    <t>16.00</t>
  </si>
  <si>
    <t>sabri yağız	3222120131</t>
  </si>
  <si>
    <t>güzelyalı mah t. özal bulv.dr. ibrahim keskin sit c blok no:52/1c çukurova adana</t>
  </si>
  <si>
    <t>60155c2d4492cd69dab7de0f</t>
  </si>
  <si>
    <t>Pastahane Hatice Usta,(Güzelyalı Mah. - Süleyman Demirel Blv.)</t>
  </si>
  <si>
    <t>Çukurova/Huzurevleri</t>
  </si>
  <si>
    <t>Hatice hanım/5416814214</t>
  </si>
  <si>
    <t>huzurevleri mah süleyman demirel bulvarı birlik apt no 91 a çukurova adana</t>
  </si>
  <si>
    <t>605a422aad0bbd2f685a82e4</t>
  </si>
  <si>
    <t>Kurttepe Piknik Kebap &amp; Pirzola, (Kurttepe Mah.)</t>
  </si>
  <si>
    <t>Çukurova/Kurttepe</t>
  </si>
  <si>
    <t>Furkan bey/3322391657</t>
  </si>
  <si>
    <t>Kurttepe mah 83021. Sk. No:1, 01170 Çukurova/Adana</t>
  </si>
  <si>
    <t>604cb9ab82cb08cadcb26035</t>
  </si>
  <si>
    <t>Tarihi Antep Çiğköfte , Çukurova (Yurt Mah.)</t>
  </si>
  <si>
    <t>Çukurova/yurt</t>
  </si>
  <si>
    <t>Ertan bey/5378381781</t>
  </si>
  <si>
    <t>yurt mah 71427 sok no:5 c çukurova adana</t>
  </si>
  <si>
    <t>5fe117c2daff163dc66e1ed8</t>
  </si>
  <si>
    <t>Eren Cafe, Çukurova (Toros Mah.)</t>
  </si>
  <si>
    <t>Muhammed bey/5364870113</t>
  </si>
  <si>
    <t>toros mah şair hasibe hatun cad no:16/d çukurova adana</t>
  </si>
  <si>
    <t>bayramdan sonra istiyormuş.</t>
  </si>
  <si>
    <t>5ff32efbee0f727cd9a8e645</t>
  </si>
  <si>
    <t>By Lookma Waffle &amp; Künefe (Toros Mah. - Turgut Özal Blv.)</t>
  </si>
  <si>
    <t>Çukurova	Yurt</t>
  </si>
  <si>
    <t>tuğba çopur	3229997899</t>
  </si>
  <si>
    <t>yurt mah turgut özal bulv ertan çakıroğlu apt no:166/a çukurova adana</t>
  </si>
  <si>
    <t>Özlem gümüş</t>
  </si>
  <si>
    <t>60429c0db8edc77cf90fbe32</t>
  </si>
  <si>
    <t>Pilavcı Yunus &amp; Ev Yemekleri (Turgut Özal Blv.)</t>
  </si>
  <si>
    <t>Çukurova	Mahfesığmaz</t>
  </si>
  <si>
    <t>Yunus Turan  3222336666</t>
  </si>
  <si>
    <t>mahfesığmaz mah. turgut özal blv no 35/d çukurova adana</t>
  </si>
  <si>
    <t>60047f2044f1b4f8beba62fd</t>
  </si>
  <si>
    <t>Eylül Büfe &amp; Fast Food, (Mahfesığmaz Mah.)</t>
  </si>
  <si>
    <t>hülya çelik	3229993032</t>
  </si>
  <si>
    <t>mahfesığmaz mah 79019 sk no:4-2b çukurova adana</t>
  </si>
  <si>
    <t>6040cbb1b33aa7b645d65973</t>
  </si>
  <si>
    <t>Black Cajun Chicken (Mahfesığmaz Mah.)</t>
  </si>
  <si>
    <t>Azat bey/5427250147</t>
  </si>
  <si>
    <t>mahfesığmaz mah t. özal blv egemen apt no 35/b çukurova adana (amerikan dil kursu yanı)</t>
  </si>
  <si>
    <t>6015659ef8fb0b4c9dfa2d7d</t>
  </si>
  <si>
    <t>Şahin Döner (Kenan Evren Bulv.)</t>
  </si>
  <si>
    <t>Çukurova        Mahfesığmaz</t>
  </si>
  <si>
    <t>Alican Bey  5464662103</t>
  </si>
  <si>
    <t>mahfesığmaz mah şehitler bulv Doğuş apt. altı no 34 b çukurova adana</t>
  </si>
  <si>
    <t>5fde53622ef1233c6d201c4b</t>
  </si>
  <si>
    <t>Kanatçı Ünal, Çukurova (Güzelyalı Mah. - Turgut Özal Blv.)</t>
  </si>
  <si>
    <t>Ünal ildeniz	3222350515</t>
  </si>
  <si>
    <t>Güzelyalı mah T. Özal bLV. İNCİEVLER SİT Bblok no :86/D Çukurova adana</t>
  </si>
  <si>
    <t>5fea5e5e34586716d1460977</t>
  </si>
  <si>
    <t>Enfes Fırın, (Güzelyalı Mah.)</t>
  </si>
  <si>
    <t>Çukurova/Güzelyalı</t>
  </si>
  <si>
    <t>ahmet yavuz	5376237336</t>
  </si>
  <si>
    <t>güzelyalı mah anadolu lisesi cad a. kibritoğlu apt no:18/a çukurova adana</t>
  </si>
  <si>
    <t>Daha önce yemek sepeti çekiminde ürünlerin fotoğrafı yanlış yüklenmiş sisteme böyle bir şey olmamasını rica ediyor.</t>
  </si>
  <si>
    <t>5fde3e1ec0e54f3447874015</t>
  </si>
  <si>
    <t>Adana Tatlıcı Gönül Kardeşler, Çukurova (Yurt Mah.)</t>
  </si>
  <si>
    <t>Nilüfer Erçelik	5457477171</t>
  </si>
  <si>
    <t>yurt mah anadolu Lisesi cd. Cem Atasever apt. altı Ablok No:17/C Çukurova Adana</t>
  </si>
  <si>
    <t>6025962760687bbf742ebd66</t>
  </si>
  <si>
    <t>Ulu Baklava Çukurova , (Güzelyalı Mah.)</t>
  </si>
  <si>
    <t>Çukurova Güzelyalı</t>
  </si>
  <si>
    <t>yunus ulu	5425942854</t>
  </si>
  <si>
    <t>GÜZELYALI MAH. TURGUT ÖZAL BLV. NO: 114 C ÇUKUROVA/ ADANA</t>
  </si>
  <si>
    <t>5feb7afce5886a18fb946927</t>
  </si>
  <si>
    <t>Pizza Pino İtalyan, (Güzelyalı Mah. - Turgut Özal Blv.)</t>
  </si>
  <si>
    <t>18.00</t>
  </si>
  <si>
    <t>hasan çingil	3229990585</t>
  </si>
  <si>
    <t>mahfesığmaz mah turgut özal bulvarı karlıdağ apt no:17/b çukurova adana</t>
  </si>
  <si>
    <t xml:space="preserve">Yetişmeyeceği için biz aradık iftara yakın diye onlarda bizden önce randevu erteleme istedi. Tekrar randevu alındı diğer şubesi için </t>
  </si>
  <si>
    <t>60520073f7f0705fad738c96</t>
  </si>
  <si>
    <t>Çilek Ağacı Fırın &amp; Cafe, Çukurova (Yurt Mah.)</t>
  </si>
  <si>
    <t>bessam ersoy	5424963001</t>
  </si>
  <si>
    <t>Yurt mah. İsmail Hakkı develi sok. cem atasever sitesi b blok no:23/A, 01310 Çukurova/Adana</t>
  </si>
  <si>
    <t>5fddcba4e17357174e7352eb</t>
  </si>
  <si>
    <t>Doktorun Yeri, Çukurova (Huzurevleri Mah.)</t>
  </si>
  <si>
    <t>Çukurova	Huzurevleri</t>
  </si>
  <si>
    <t>SEYİT ALİ ÇELİK	5416210113</t>
  </si>
  <si>
    <t xml:space="preserve">Huzurevleri mah. Turgut Özal blv. No : 211/A ( Altınkoza sok. belirtti) Çukurova Adana </t>
  </si>
  <si>
    <t xml:space="preserve">TEYİT EDİLDİKTEN SONRA GİDİLİNCE BEN O KADAR ÜRÜNÜ ÇIKARTAMAM DEMİŞ. </t>
  </si>
  <si>
    <t>603781465bd9936d54d5625c</t>
  </si>
  <si>
    <t>E. Ş. Döner (Huzurevleri Mah.)</t>
  </si>
  <si>
    <t>emre bey	5061447689</t>
  </si>
  <si>
    <t>huzurevleri mh 80. yıl blv lale apt b blok no 6 a çukurova adana</t>
  </si>
  <si>
    <t>600439699b368704ff661409</t>
  </si>
  <si>
    <t>Adana Cadde Sosis (Yurt Mah. - Turgut Özal Blv.)</t>
  </si>
  <si>
    <t>sinem fidan	5424430304</t>
  </si>
  <si>
    <t>yurt mah 71479 sok sevgi apt altı no:166/30 çukurova adana</t>
  </si>
  <si>
    <t>5fe8e78af0267c8b9e1285a4</t>
  </si>
  <si>
    <t>Helvacı Hello, Çukurova (Mahfesığmaz Mah.)</t>
  </si>
  <si>
    <t>alican halme	5414060124</t>
  </si>
  <si>
    <t>Mahfesığmaz Mah. Turgut Özal Blv. Abbas Bilir A Blok No:61 C Çukurova/Adana</t>
  </si>
  <si>
    <t>5feb7faf58f3ac59fae5801c</t>
  </si>
  <si>
    <t>Pizza Pino, Çukurova (Mahfesığmaz Mah.)</t>
  </si>
  <si>
    <t>hasan çingil	3222341555</t>
  </si>
  <si>
    <t>Mahfesığmaz Mah., Damar Arıkoğlu Bulv. Çağlar Sitesi A Blok 1/E, 01170 Çukurova/Adana</t>
  </si>
  <si>
    <t>6004752be2740f29fb19e69d</t>
  </si>
  <si>
    <t>Şırdancı Mesut, (Mahfesığmaz Mah. - Kenan Evren Blv.)</t>
  </si>
  <si>
    <t>idris esen /  3222338233/ ulaşamazsa 05541905690</t>
  </si>
  <si>
    <t>6009580df9bae41bfa5376b8</t>
  </si>
  <si>
    <t>BPH Burger,(Mahfesığmaz Mah. - Turgut Özal Blv.)</t>
  </si>
  <si>
    <t>17.00</t>
  </si>
  <si>
    <t>Soner KÜLTE	5458861992</t>
  </si>
  <si>
    <t>mahfesığmaz mah turgut özal bulv no:53c çukurova adana</t>
  </si>
  <si>
    <t>Seyhan</t>
  </si>
  <si>
    <t>Nurettin Yücesoy</t>
  </si>
  <si>
    <t xml:space="preserve">6049eefa9756a0616edad16d        </t>
  </si>
  <si>
    <t>Baba Onbaşılar (Cemalpaşa Mah.)</t>
  </si>
  <si>
    <t>Seyhan	Cemalpaşa</t>
  </si>
  <si>
    <t>berat kıyan	3224545824</t>
  </si>
  <si>
    <t xml:space="preserve">cemalpaşa mh ethem ekin sk özal apt no 34/a seyhan adana	</t>
  </si>
  <si>
    <t>604d370e2acc7942c3b93b2d</t>
  </si>
  <si>
    <t>Alaçatı Muhallebicisi (Cemalpaşa Mah. - Gazipaşa Blv.)</t>
  </si>
  <si>
    <t>seyhan cemal paşa</t>
  </si>
  <si>
    <t>levent dağlı	5314843223</t>
  </si>
  <si>
    <t>cemalpaşa mah mustafa gümüşdamla sk gül apt no 7 c seyhan adana</t>
  </si>
  <si>
    <t>605ccbd14b0475de36589b4c        Blackfish (Cemalpaşa Mah.)</t>
  </si>
  <si>
    <t>seyhan cemalpaşa</t>
  </si>
  <si>
    <t>ibrahim kuş	5326046420</t>
  </si>
  <si>
    <t>cemalpaşa mah 63012 sok no 5 b seyhan adana</t>
  </si>
  <si>
    <t xml:space="preserve">ŞUAN ÜRÜN ÇIKARTAMAM DEMİŞ. </t>
  </si>
  <si>
    <t>6049d47a60f6a29184b43b5f</t>
  </si>
  <si>
    <t>Ceyhan Balkaymak Dondurma (Cemalpaşa Mah.)</t>
  </si>
  <si>
    <t>17.30</t>
  </si>
  <si>
    <t>seyfi kurt	3224582520</t>
  </si>
  <si>
    <t>cemalpaşa mah 63010 sk anı apt no 14/1 seyhan adana</t>
  </si>
  <si>
    <t>5ff5b5b8bcc27798b0df90ad</t>
  </si>
  <si>
    <t>İzol Baklava Çukurova (Turgut Özal Blv.)</t>
  </si>
  <si>
    <t>esme sevgili	5334032126</t>
  </si>
  <si>
    <t>güzelyalı mah turgut özal bulv doktor ibrahim keskin sitesi no:52/2f çukurova adana</t>
  </si>
  <si>
    <t>5ff322b15118f1c3cf8e4018</t>
  </si>
  <si>
    <t>Pizza Pan, Çukurova (Güzelyalı Mah. - Turgut Özal Blv.)</t>
  </si>
  <si>
    <t>berna hanım 5526380202</t>
  </si>
  <si>
    <t>mahfesıgmaz mah turgut ozal bulv no:57/h çukurova adana</t>
  </si>
  <si>
    <t>600c5a5c2505a32976a6a0f0</t>
  </si>
  <si>
    <t>Köfteci Şabo (Güzelyalı Mah.)</t>
  </si>
  <si>
    <t>özkan bey      5327870945</t>
  </si>
  <si>
    <t>güzelyalı mah 81151 sok 2/b çukurova adana</t>
  </si>
  <si>
    <t>606256a3f0248b6461dcc7ed</t>
  </si>
  <si>
    <t>Tost Evi 01 (Mahfesığmaz Mah. - Turgut Özal Blv.)</t>
  </si>
  <si>
    <t>hüseyin bey 05494090102</t>
  </si>
  <si>
    <t>mahfesığmaz mah 79154 sok umut apt no 4/a çukurova adana</t>
  </si>
  <si>
    <t>602461b82789553436923002</t>
  </si>
  <si>
    <t>Emin Döner &amp; Kebap, Seyhan (İkibinevler Mah.)</t>
  </si>
  <si>
    <t>Seyhan	2000 Evler</t>
  </si>
  <si>
    <t>mehmet emin özel	5447491034</t>
  </si>
  <si>
    <t>3224452554-5531137373</t>
  </si>
  <si>
    <t>602ec122a6bb73377e4e7b67</t>
  </si>
  <si>
    <t>Doğal Fırın , (2000 Evler)</t>
  </si>
  <si>
    <t>mehmet nuri koçaklı	5524562505</t>
  </si>
  <si>
    <t>2000 evler mah 76067 sok göksu apt 4. blok no:1 c seyhan adana</t>
  </si>
  <si>
    <t>5fece5494f55ab22929d5bf9</t>
  </si>
  <si>
    <t>Kardeşler Unlu Mamülleri (2000 evler)</t>
  </si>
  <si>
    <t>muhammed beşir bildek	3222420029</t>
  </si>
  <si>
    <t>2000 evler mah bülent ecevit bulv no:26/a seyhan adana</t>
  </si>
  <si>
    <t>603767a9dee19b0b16f04a8d</t>
  </si>
  <si>
    <t>Bahçeşehir Kebap &amp; Lahmacun (Bahçeşehir Mah.)</t>
  </si>
  <si>
    <t>Seyhan	Bahçeşehir</t>
  </si>
  <si>
    <t>selçuk odabaşı	5075052939</t>
  </si>
  <si>
    <t>bahçeşehir mh mehmet fuat dıblan blv no 140 a seyhan adana</t>
  </si>
  <si>
    <t>Abdulhenan Doğan</t>
  </si>
  <si>
    <t>5ffe08d135e580009d4528bb</t>
  </si>
  <si>
    <t>Kara Fırın, (Mahfesığmaz Mah. - Kenan Evren Blv.)</t>
  </si>
  <si>
    <t>eliçe hanım 5334704014</t>
  </si>
  <si>
    <t>mahfesığmaz mah sehıtler cad no:36/e çukurova adana</t>
  </si>
  <si>
    <t>605ce3c11d92b2907e730da1</t>
  </si>
  <si>
    <t>Nehir Cafe (Toros Mah. - Kenan Evren Blv.)</t>
  </si>
  <si>
    <t>Çukurova	Toros</t>
  </si>
  <si>
    <t>yusuf bakır	5372656367</t>
  </si>
  <si>
    <t>toros mah 78076 sok çatı sit altı no 1 iç kapı no b çukurova adana</t>
  </si>
  <si>
    <t>6040c342407f704bb6671af5</t>
  </si>
  <si>
    <t>Atabey İskender (Güzelyalı Mah.)</t>
  </si>
  <si>
    <t>aziz altunkaynak	5327377640</t>
  </si>
  <si>
    <t>güzelyalı mah turgut özal blv no 42 a çukurova adana</t>
  </si>
  <si>
    <t>602f7ec8f37683e2369f8c84</t>
  </si>
  <si>
    <t>Class Döner Cafe (Toros Mah.)</t>
  </si>
  <si>
    <t>sebahattin sulıdağ	5059910515</t>
  </si>
  <si>
    <t>TOROS MAH. 78082 SK. ERDEM APT. NO: 10 B ÇUKUROVA/ ADANA</t>
  </si>
  <si>
    <t>6051c76bbd0550c1fed9f876</t>
  </si>
  <si>
    <t>Fix Büfe Kahvaltı (Barış Mah.)</t>
  </si>
  <si>
    <t>Seyhan	Barış</t>
  </si>
  <si>
    <t>mahir aba	5454547396</t>
  </si>
  <si>
    <t>barış mh vefa cd no 106 iç kapı no - seyhan adana (106/A)</t>
  </si>
  <si>
    <t>603bfd0f69811f55d7944069</t>
  </si>
  <si>
    <t>Kaan Berk Börek &amp; Baklava (Gürselpaşa Mah.)</t>
  </si>
  <si>
    <t>Seyhan	Gürselpaşa</t>
  </si>
  <si>
    <t>mehmet bey 5536136768</t>
  </si>
  <si>
    <t>gürselpaşa mh aliya izzet begoviç blv no 47 a seyhan adana</t>
  </si>
  <si>
    <t>6037884c97e55125e31aad03</t>
  </si>
  <si>
    <t>Denizaltı Balık (Gürselpaşa Mah.)</t>
  </si>
  <si>
    <t>ismail bey        3222613008 - 05325501129</t>
  </si>
  <si>
    <t>GÜRSELPAŞA MAH. ALİ BOZDOGANOĞLU BLV. NO: 81 A SEYHAN/ ADANA</t>
  </si>
  <si>
    <t>5fe0ef5d7ec992b09cf2be91</t>
  </si>
  <si>
    <t>Kral Künefe, Çukurova (Belediyeevleri Mah. - Türkmenbaşı Blv.)</t>
  </si>
  <si>
    <t>Halit yıldızoğlu 05068340506</t>
  </si>
  <si>
    <t>pınar mah a bozdoğanoğlu blv hilmi karaörs sit no:421/c seyhan adana (no:42/c)</t>
  </si>
  <si>
    <t>600af6a3b19c485e84c27af8</t>
  </si>
  <si>
    <t>Efe Közde Döner, Çukurova (Toros Mah.)</t>
  </si>
  <si>
    <t>11.30</t>
  </si>
  <si>
    <t>"Mustafa Demirtaş	3222321030"</t>
  </si>
  <si>
    <t xml:space="preserve">Toros Mahallesi 78190 Sok. Baskın Safir Apt. Altı, D:2/C, 01170 Çukurova/Adana	</t>
  </si>
  <si>
    <t>6063581c2eb4390ceeb65d94        Chef Dürüm, Çukurova (Yurt Mah. - Turgut Özal Blv.)</t>
  </si>
  <si>
    <t>13.00</t>
  </si>
  <si>
    <t>dilan adar	3222346161</t>
  </si>
  <si>
    <t>yurt mah şair hasibe hatun cad ispir apt no 83 a çukurova adana</t>
  </si>
  <si>
    <t>Şu an ürün pişiremem ramazandan sonra randevu istiyorum dedi</t>
  </si>
  <si>
    <t xml:space="preserve">6023ff73fdc8e153c78c273f </t>
  </si>
  <si>
    <t>D&amp;M Çikolata Durağı, Çukurova (Mahfesığmaz Mah.)</t>
  </si>
  <si>
    <t>mehmet bilik	5534077150</t>
  </si>
  <si>
    <t>mahfesığmaz mah 79019 sokak no 14 a çukurova adana</t>
  </si>
  <si>
    <t>kısıtlı saat.</t>
  </si>
  <si>
    <t>5ffaf95b62a03ef62da188d7</t>
  </si>
  <si>
    <t>Doğa Fırın (Gürselpaşa Mah.)</t>
  </si>
  <si>
    <t>Seyhan / Gürselpaşa</t>
  </si>
  <si>
    <t>metin bey 5306616524</t>
  </si>
  <si>
    <t>gürselpaşa mah 75261 sokak furkan rez. no:2 iç kapı no:2 seyhan adana</t>
  </si>
  <si>
    <t>ulaşılamazsa 5070375019</t>
  </si>
  <si>
    <t>Gül Değirmenci</t>
  </si>
  <si>
    <t>5feb81bbe4a5e2e2b1795fa1</t>
  </si>
  <si>
    <t>Okka Et Kebap, Seyhan (Gürselpaşa Mah.)</t>
  </si>
  <si>
    <t>Murat Bey/5551653401</t>
  </si>
  <si>
    <t>gürselpaşa mah aliya izzet begoviç bulvarı no:89/d seyhan adana</t>
  </si>
  <si>
    <t>ulaşılamazsa 5323002052</t>
  </si>
  <si>
    <t>60156a844337de4c2e2c6cc4</t>
  </si>
  <si>
    <t>Kafe's Ev Yemekleri (Pınar mah.)</t>
  </si>
  <si>
    <t>Seyhan/Pınar</t>
  </si>
  <si>
    <t>Kemal Bey/5380443909</t>
  </si>
  <si>
    <t>pınar mah. nazım hikmet cad. pınar sitesi c blok zemin kat kafe's</t>
  </si>
  <si>
    <t>60379c1cdefc7407685a08b8</t>
  </si>
  <si>
    <t>Metin Usta Künefe (İsmetpaşa Mah.)</t>
  </si>
  <si>
    <t>Seyhan/İsmetpaşa</t>
  </si>
  <si>
    <t>Melek Hanım/5318567711</t>
  </si>
  <si>
    <t>İSMETPAŞA MAH. MEHMET AKİF ERSOY CAD. NO: 193 A SEYHAN/ ADANA</t>
  </si>
  <si>
    <t>605cdf6d81f114f3bf21c475</t>
  </si>
  <si>
    <t>Mevlana Kebap &amp; Lahmacun (Belediyeevleri Mah.)</t>
  </si>
  <si>
    <t>12.00</t>
  </si>
  <si>
    <t>"Çukurova	Belediye Evleri"</t>
  </si>
  <si>
    <t xml:space="preserve">    ibrahim evrensel   5539359853</t>
  </si>
  <si>
    <t xml:space="preserve">belediye evleri mah 84081 sok no 34 a çukurova adana	</t>
  </si>
  <si>
    <t>İPTAL SEBEBİ İÇİN ARANDI YETKİLİ YOKMUŞ.</t>
  </si>
  <si>
    <t>60649c24d79a79e3814a8448</t>
  </si>
  <si>
    <t>Türkmen Mangal Keyfi, Çukurova (Belediyeevleri Mah.)</t>
  </si>
  <si>
    <t>Çukurova	Belediye Evleri</t>
  </si>
  <si>
    <t>nihal çetin	5386466545</t>
  </si>
  <si>
    <t>belediye evleri mah 84206 sok no 11 a çukurova adana</t>
  </si>
  <si>
    <t>erteleme yapıldı</t>
  </si>
  <si>
    <t>60351b31e12f9d6afb52a6f0</t>
  </si>
  <si>
    <t>İklim Döner (Belediyeevleri Mah.)</t>
  </si>
  <si>
    <t>melehat hanım	3222483828</t>
  </si>
  <si>
    <t>belediye evleri mh 84029 sk 2 A çukurova adana</t>
  </si>
  <si>
    <t>605cd8bff10f9f112ae6c549</t>
  </si>
  <si>
    <t>Bek Islak Hamburger (Beyazevler Mah.)</t>
  </si>
  <si>
    <t>anıl can bektaş	5453097068</t>
  </si>
  <si>
    <t>beyazevler mah 80003 sokak no 12 a çukurova adana</t>
  </si>
  <si>
    <t>6049dce1dbe4c4826bda33d3</t>
  </si>
  <si>
    <t>Full Burger Cafe (Kurtuluş Mah.)</t>
  </si>
  <si>
    <t>09.30</t>
  </si>
  <si>
    <t>Seyhan	Kurtuluş</t>
  </si>
  <si>
    <t>tarık ışıkgün	3224592058</t>
  </si>
  <si>
    <t>kurtuluş mh 6414 sk avukatlar apt no 17/B seyhan adana</t>
  </si>
  <si>
    <t>5feceddecf3376163fb4a80b</t>
  </si>
  <si>
    <t>Eski Dostlar Kebap (Kurtuluş Mah.)</t>
  </si>
  <si>
    <t>"Seyhan	Kurtuluş"</t>
  </si>
  <si>
    <t>"mehmet sait hacıoğlu	3229991906"</t>
  </si>
  <si>
    <t xml:space="preserve">"kurtuluş mah ramazanoğlu cd. cem apt no:20/g seyhan adana	"	</t>
  </si>
  <si>
    <t>602488b8b2f2a61d15b70f3a</t>
  </si>
  <si>
    <t>Odin, Seyhan (Kurtuluş Mah. - Ziyapaşa Blv.)</t>
  </si>
  <si>
    <t>14.00</t>
  </si>
  <si>
    <t>alperen çam	5336676645</t>
  </si>
  <si>
    <t>KURTULUŞ MAH. ŞİNASİ EFENDİ CAD. NO: 3 İÇ KAPI NO: 1 SEYHAN/ ADANA</t>
  </si>
  <si>
    <t>5fe68863eeb85d4e34ccd650</t>
  </si>
  <si>
    <t>Pakfırın, Seyhan (Kurtuluş Mah. - Ziyapaşa Blv.)</t>
  </si>
  <si>
    <t>hatice akyıldız	5357645905</t>
  </si>
  <si>
    <t xml:space="preserve">kurtulus mah ziyapaşa blv havuz apt a blok no :46/b seyhan adana	</t>
  </si>
  <si>
    <t>6014bcf84492cd87a5b7c1ad</t>
  </si>
  <si>
    <t>Sizin Börekçiniz, (Yeşilyurt Mah. - İbo Osman Cad.)</t>
  </si>
  <si>
    <t>Seyhan	Yeşilyurt</t>
  </si>
  <si>
    <t>CEYLAN BEY        5436342653</t>
  </si>
  <si>
    <t>yeşilyurt mah ibo osman cad c yaşar apt no175 seyhan adana</t>
  </si>
  <si>
    <t>eda cıbır</t>
  </si>
  <si>
    <t>602f8495efa02d12b8c065d8</t>
  </si>
  <si>
    <t>Meriç Evros (Sümer Mah.)</t>
  </si>
  <si>
    <t>seyhan sümer</t>
  </si>
  <si>
    <t>ahmet bey 05455660155</t>
  </si>
  <si>
    <t xml:space="preserve">sümer mh ibo osman cd no 76 b seyhan adana	</t>
  </si>
  <si>
    <t xml:space="preserve">yoğunuktan dolayı </t>
  </si>
  <si>
    <t>6014af9f6c1642019c90d947</t>
  </si>
  <si>
    <t>Duygu Pizza, Seyhan (Sümer Mah. - Barajyolu)</t>
  </si>
  <si>
    <t>kadir bey 5528864601</t>
  </si>
  <si>
    <t xml:space="preserve">sümer mah mavi bulvar muhtar sitesi no1 seyhan adana	</t>
  </si>
  <si>
    <t>5fde85951e9538311b9554e3</t>
  </si>
  <si>
    <t>American Chicken Box, Seyhan (Yenibaraj Mah. - Barajyolu)</t>
  </si>
  <si>
    <t>mehmet sayılık 5424757623</t>
  </si>
  <si>
    <t xml:space="preserve"> barajyolu boğalar avm arası</t>
  </si>
  <si>
    <t>5fea20c3a415e95f613c375b</t>
  </si>
  <si>
    <t>Meva Cafe ,(Gürselpaşa)</t>
  </si>
  <si>
    <t>Seyhan        Gürselpaşa</t>
  </si>
  <si>
    <t xml:space="preserve"> ahmet bey 3229992946</t>
  </si>
  <si>
    <t>gürselpaşa mah abidin dino blv. no:16/1 seyhan adana</t>
  </si>
  <si>
    <t>ÜRÜNLER BİTMİŞ.</t>
  </si>
  <si>
    <t>606253966c2d4797a350106a</t>
  </si>
  <si>
    <t>Karaca Pastanesi, Çukurova (Huzurevleri Mah.)</t>
  </si>
  <si>
    <t>Cüneyt Bey/ 5353375796</t>
  </si>
  <si>
    <t>Huzurevleri 77155. Sokak 23/ B D:Gulbay Apt, 01360 Çukurova/Adana</t>
  </si>
  <si>
    <t>60046ca3f4d31f080c7ddd06</t>
  </si>
  <si>
    <t>Sarı'nın Yeri, Çukurova (Yurt Mah.)</t>
  </si>
  <si>
    <t>Çukurova/Yurt</t>
  </si>
  <si>
    <t>Ahmet Bey/5374850505-- Müslüm Bey/5369692186</t>
  </si>
  <si>
    <t>yurt mah kasım ener bulv no:17/c çukurova adana</t>
  </si>
  <si>
    <t>ömerovası sitesinin alt kısmı</t>
  </si>
  <si>
    <t>60649e6eb48e84ad1745f39c</t>
  </si>
  <si>
    <t>Lale Börekçilik, Çukurova (Huzurevleri Mah.)</t>
  </si>
  <si>
    <t>Ömer Bey/ 5438406417</t>
  </si>
  <si>
    <t>huzurevleri mah ismet atlı bulv ismet akile apt no 41 b çukurova adana</t>
  </si>
  <si>
    <t>60097759f69aa4324447497c</t>
  </si>
  <si>
    <t>Tablacı Kebap, Çukurova (Toros Mah.)</t>
  </si>
  <si>
    <t>Çukurova/Toros</t>
  </si>
  <si>
    <t>Halil Bey/5427666236</t>
  </si>
  <si>
    <t>toros mah 78142 sokak özerler 2 apt no:7/a çukurova adana</t>
  </si>
  <si>
    <t>602f8c55c85ce4c7b5857312</t>
  </si>
  <si>
    <t>Pakfırın (Cemalpaşa Mah.)</t>
  </si>
  <si>
    <t>Aylin hanım 05352809048</t>
  </si>
  <si>
    <t>cemalpaşa mh. toros cd. oğuz apt. no 27 d seyhan adana</t>
  </si>
  <si>
    <t>601453a594d17a8a5aa787bb</t>
  </si>
  <si>
    <t>Füme Gurme (Cemalpaşa Mah.)</t>
  </si>
  <si>
    <t>ÜMİT KIŞ        3229992212</t>
  </si>
  <si>
    <t>CEMALPAŞA MAH TOROS CADDESİ ÖZDEMİR ÖZLER APT NO21/A SEYHAN ADANA</t>
  </si>
  <si>
    <t>5fe623525118f1fa4f8c555a</t>
  </si>
  <si>
    <t>Kadayıfçı Olcay, Seyhan (Cemalpaşa Mah.)</t>
  </si>
  <si>
    <t>olcay tekin	3224577707</t>
  </si>
  <si>
    <t>cemalpaşa mah toros cad cınar apt altı no:31/d seyhan adana</t>
  </si>
  <si>
    <t>603f8a23430b925220620627</t>
  </si>
  <si>
    <t>Doğal Büfe (Cemalpaşa Mah. - Gazipaşa Blv.)</t>
  </si>
  <si>
    <t>mustafa ağırman	3228880809</t>
  </si>
  <si>
    <t>Cemal paşa mahallesi Ethem ekin sokak askı sokağı no 20 c seyhan adana</t>
  </si>
  <si>
    <t xml:space="preserve">bayramdan sonra </t>
  </si>
  <si>
    <t>60060a09056c7946b4bff3e4</t>
  </si>
  <si>
    <t>Fırat Cafe Pandora, Seyhan (Kurtuluş Mah.)</t>
  </si>
  <si>
    <t>Hamza bey 3224535721</t>
  </si>
  <si>
    <t>kurtuluş mah 64022 sk avşar apt altı 9/c seyhan adana</t>
  </si>
  <si>
    <t>5fe67860eeb85df6d7ccd64f</t>
  </si>
  <si>
    <t>Sir Winston Pub, Seyhan (Kurtuluş Mah. - Atatürk Cad.)</t>
  </si>
  <si>
    <t>fatma pınar serbest	5418034133</t>
  </si>
  <si>
    <t>kurtuluş mah ziyapaşa bulv özbey apt no:3/b seyhan adana</t>
  </si>
  <si>
    <t>5fea649adc26c75e51d03e78</t>
  </si>
  <si>
    <t>Paşalimanı, Seyhan (Kurtuluş Mah. - Ziyapaşa Blv.)</t>
  </si>
  <si>
    <t>Özgür bey 05336523566</t>
  </si>
  <si>
    <t>kurtuluş mah şinasi efendi cad pınar apt no:12/a seyhan adana</t>
  </si>
  <si>
    <t>60044c4de6346c125f381cd2</t>
  </si>
  <si>
    <t>Yıldızoğlu Künefe, (Cemalpaşa Mah.-Toros Cad.)</t>
  </si>
  <si>
    <t>rifat yıldızoğlu	3224578465</t>
  </si>
  <si>
    <t>cemalpaşa mah toros cad no:8/c seyhan adana</t>
  </si>
  <si>
    <t>6038e746618c3a6c2222da02</t>
  </si>
  <si>
    <t>Sular Çiğ Köfte Dünyası (Cemalpaşa Mah. - Sular Mevkii)</t>
  </si>
  <si>
    <t>gökhan yıldızhan	3224585453</t>
  </si>
  <si>
    <t>kurtuluş mah atatürk cd feriha t. apt 91/b seyhan adana</t>
  </si>
  <si>
    <t>Ahmet çaykara	3229991805</t>
  </si>
  <si>
    <t>mahfesığmaz mah 79003 sok no :4/b çukurova adana</t>
  </si>
  <si>
    <t>603c056a8ed508e25814ec52</t>
  </si>
  <si>
    <t>Ciğerci Memet Usta (Güzelyalı Mah. - Turgut Özal Blv.)</t>
  </si>
  <si>
    <t>barış biranger        5437260001</t>
  </si>
  <si>
    <t>güzelyalı mh 81013 sk no 2 gülat apt çukurova adana</t>
  </si>
  <si>
    <t>5fea56a9f351dc152866d21e</t>
  </si>
  <si>
    <t>Mr. Midye &amp; Kuyu Kokoreç,(Güzelyalı Mah. - Turgut Özal Blv.)</t>
  </si>
  <si>
    <t>gökhan ak	5464421443</t>
  </si>
  <si>
    <t>mahfesığmaz mah 79088 sok abbas bilir b blok no :1/3a çukurova adana</t>
  </si>
  <si>
    <t>606364cff4083e52ea87c1a0</t>
  </si>
  <si>
    <t>Şansım Kebap &amp; Izgara , Çukurova (Güzelyalı Mah.)</t>
  </si>
  <si>
    <t>serap dur        5347001688</t>
  </si>
  <si>
    <t>güzelyalı mah 81163 sok gülen apt no 35 b çukurova adana</t>
  </si>
  <si>
    <t>60492e300392aa19f82322d8</t>
  </si>
  <si>
    <t>Adana Döner Cafe (2000 Evler Mah.)</t>
  </si>
  <si>
    <t>veysel zengin        5368944006</t>
  </si>
  <si>
    <t>2000 evler mah 76067 sk göksu apt er-as inşaat no 1a seyhan adana</t>
  </si>
  <si>
    <t>5ffaf75b292a615149b1de90</t>
  </si>
  <si>
    <t>Ahmet Yıldızoğlu Künefe, Seyhan (Pınar Mah.)</t>
  </si>
  <si>
    <t>İbrahim Bey / 5372431001</t>
  </si>
  <si>
    <t>pınar mha ali bozdoğanoğlu bulv. demirkol plaza 2 no:8/b seyhan adana</t>
  </si>
  <si>
    <t>60492bf756d500324b854850</t>
  </si>
  <si>
    <t>Kılınç Tatlı Pasta (Tellidere Mah.)</t>
  </si>
  <si>
    <t>Seyhan-tellidere</t>
  </si>
  <si>
    <t>harun kılınç	5344147928</t>
  </si>
  <si>
    <t>tellidere mahallesi mücahitler caddesi 72137 sokak telepark apartmanı 6</t>
  </si>
  <si>
    <t>60245facfdc8e11eea8c5833</t>
  </si>
  <si>
    <t>Çiğ Köfte Türkiyem, Seyhan (Pınar Mah.)</t>
  </si>
  <si>
    <t>15.00</t>
  </si>
  <si>
    <t>Seyhan	Pınar</t>
  </si>
  <si>
    <t>fatih mutlu	5449273756</t>
  </si>
  <si>
    <t>PINAR MAH. NAZIM HİKMET CAD. PINAR SİTESİ C BLOK NO: 53 B SEYHAN/ ADANA</t>
  </si>
  <si>
    <t>6040c9a7dc8b32a64ac3f32a</t>
  </si>
  <si>
    <t>Polen Döner (Toros Mah.)</t>
  </si>
  <si>
    <t>hamza elmas	5074454590</t>
  </si>
  <si>
    <t>toros mah ali sepici blv ebru apt no 7 a çukurova adana</t>
  </si>
  <si>
    <t>6005fef7c669c249949c4ca5</t>
  </si>
  <si>
    <t>Şirinoğlu Baklava,(Yurt Mah. - Turgut Özal Blv.)</t>
  </si>
  <si>
    <t>recep bozkuş 05525416921</t>
  </si>
  <si>
    <t xml:space="preserve">yurt mah turgut özal blv. tuna sitesi b blok 6 176/d </t>
  </si>
  <si>
    <t>605cd2d0e81f5bc7fe859127</t>
  </si>
  <si>
    <t>Adana Mercan Şaşlık Kebap (Toros Mah.)</t>
  </si>
  <si>
    <t>murat bey        3222270000</t>
  </si>
  <si>
    <t>Toros mah Özkan Apt. D:No. 8/B, A Blok, 78195. Sk., 01170 Çukurova</t>
  </si>
  <si>
    <t>604c8c6c7b790541146954da</t>
  </si>
  <si>
    <t>Köylü Cafe, Seyhan (Yeni Baraj Mah.)</t>
  </si>
  <si>
    <t>Seyhan	Yenibaraj</t>
  </si>
  <si>
    <t>Necmettin Aslan	5523561544</t>
  </si>
  <si>
    <t>Yenibaraj, Hacı Ömer Sabancı Cd 41 A, 01150 Seyhan/Adana</t>
  </si>
  <si>
    <t xml:space="preserve">BARAJ YOLU 5 BUÇUK DURAK HASAN USTA KEBAP İLERİSİ ADANA KOLEJİ KAVŞAĞINA VARMADAN VESTEL ARASI </t>
  </si>
  <si>
    <t>ramazandan sonra aranacak</t>
  </si>
  <si>
    <t>EZGİ TURAN</t>
  </si>
  <si>
    <t>5fe5c56d345867129a457093</t>
  </si>
  <si>
    <t>Ayvalık Tostçusu, Seyhan (Sümer Mah. - Barajyolu)</t>
  </si>
  <si>
    <t>ECEM HANIM         3222264654</t>
  </si>
  <si>
    <t>yenibaraj mah 68046 sk dilek apt a blok no:3/f seyhan adana</t>
  </si>
  <si>
    <t>5fde90c3cd276091019f62df</t>
  </si>
  <si>
    <t>Road Burger, Seyhan (Sümer Mah. - Barajyolu)</t>
  </si>
  <si>
    <t>Mehmet Sayılık	5424757623</t>
  </si>
  <si>
    <t>yenibaraj mah 68053sok aydın 6 apt no 8/a seyhan adana</t>
  </si>
  <si>
    <t>AHMET BEY / 3229992946 - 05558954784</t>
  </si>
  <si>
    <t>gürselpaşa mah abidin dino blv. no:17 / A  seyhan adana</t>
  </si>
  <si>
    <t>Saat 16 randevusunun notlar kısmına bakılmasını rica ediyorum :)</t>
  </si>
  <si>
    <t>60144f4ed1201b25d595531d</t>
  </si>
  <si>
    <t>Lezzet Osmanbey Fırın (Toros Mah.)</t>
  </si>
  <si>
    <t>Eyüp Bey/5342196123</t>
  </si>
  <si>
    <t>TOROS MAH. ALİ SEPİCİ BLV. NO:5/A ÇUKUROVA/ADANA</t>
  </si>
  <si>
    <t>Eda Cıbır</t>
  </si>
  <si>
    <t>608d9d01475966a8e452dfd4</t>
  </si>
  <si>
    <t>On The Move Coffee Truck (Güzelyalı Mah.)</t>
  </si>
  <si>
    <t>muhammed kağan kasap	5355610809</t>
  </si>
  <si>
    <t>GÜZELYALI MAH. 81174 SK. NO: 2 A ÇUKUROVA/ ADANAv</t>
  </si>
  <si>
    <t>5fe119c51e9538f06795aed0</t>
  </si>
  <si>
    <t>Mama Craft, Çukurova (Güzelyalı Mah. - Turgut Özal Blv.)</t>
  </si>
  <si>
    <t>Ahmet Bey/5077822777</t>
  </si>
  <si>
    <t>güzelyalı mah 8107 sok şengel apt no:1/b çukurova adana</t>
  </si>
  <si>
    <t>6092e017fe3691cbdefe436f</t>
  </si>
  <si>
    <t>Saray Pasta Cafe (Güzelyalı Mah.)</t>
  </si>
  <si>
    <t>merve hanım 5363978981</t>
  </si>
  <si>
    <t>güzeyalı mah süleyman demirel bulv no 27 a çukurova adana</t>
  </si>
  <si>
    <t>60813459191de06da3a315a0</t>
  </si>
  <si>
    <t>Yıldızoğlu Künefe, Çukurova (Güzelyalı Mah. - Turgut Özal Blv.)</t>
  </si>
  <si>
    <t>zekeriya 5326339785</t>
  </si>
  <si>
    <t>mahfesığmaz mah no 59/ g abbas bilir sitesi a blok çukurova adana</t>
  </si>
  <si>
    <t xml:space="preserve">Seyhan
</t>
  </si>
  <si>
    <t>6064688602bcfe3020eaa65e</t>
  </si>
  <si>
    <t>Aydın Gökçeli (Sümer Mah. - Barajyolu)</t>
  </si>
  <si>
    <t>erkan barış gökçeli	3222279292</t>
  </si>
  <si>
    <t>Sümer, 69071. Sk. No:2, 01140 Seyhan/Adana</t>
  </si>
  <si>
    <t>6014ab37d9ee3c37400420db</t>
  </si>
  <si>
    <t>Yüceloğlu Baklava (Yeşilyurt mah.)</t>
  </si>
  <si>
    <t>Seyhan        Yeşilevler</t>
  </si>
  <si>
    <t>mehmet yücel	5337748342</t>
  </si>
  <si>
    <t>yeşilyurt mah 7001 sok no : 43 seyhan adana</t>
  </si>
  <si>
    <t>60144a7015c659f7cfa3182d</t>
  </si>
  <si>
    <t>Köylü Cafe, Seyhan (Çınarlı Mah.)</t>
  </si>
  <si>
    <t>Seyhan	Çınarlı</t>
  </si>
  <si>
    <t>ramazan aslan	5302110700</t>
  </si>
  <si>
    <t>Çınarlı, 61006. Sk., 01060 Seyhan/Adana</t>
  </si>
  <si>
    <t>6065c1a93bf9ca073feb1140</t>
  </si>
  <si>
    <t>Dönergah (Yeşilevler Mah.)</t>
  </si>
  <si>
    <t>mustafa bey 5335936822</t>
  </si>
  <si>
    <t>Bahçelievler Mahallesi Mehmet Akif Ersoy Caddesi Petek Pastanesi Karşısı no:120/B Seyhan ADANA</t>
  </si>
  <si>
    <t>601580c4f55f40704fc9e352</t>
  </si>
  <si>
    <t>Fırat Cafe Barajyolu Şubesi, Mahfesığmaz Mah.)</t>
  </si>
  <si>
    <t>yusuf kölge	3222070707</t>
  </si>
  <si>
    <t>mahfesığmaz mah turgut özal bulv karlıdağ apt b blok no 19 a çukurova adana</t>
  </si>
  <si>
    <t>6023ff73fdc8e153c78c273f</t>
  </si>
  <si>
    <t>Çukurova/Mahfesıgmaz</t>
  </si>
  <si>
    <t>Derya Hanım/5534077150</t>
  </si>
  <si>
    <t>607f3a80974e08ee3f0c8902	Akif Börekçioğlu, Çukurova (Mahfesığmaz Mah.)</t>
  </si>
  <si>
    <t>melda aynalı	5428204870</t>
  </si>
  <si>
    <t>mahfesığmaz mah 79088 sok no 9 a çukurova adana</t>
  </si>
  <si>
    <t>6040ec3d5922fece10d32edc</t>
  </si>
  <si>
    <t>Liva Life Pasta Cafe (Mahfesığmaz Mah.)</t>
  </si>
  <si>
    <t>Cihad/5348612529</t>
  </si>
  <si>
    <t>MAHFESIĞMAZ MAH. DEVLET BAHÇELİ BLV. ADNAN KAHVECI APT NO: 5/C ÇUKUROVA/ ADANA</t>
  </si>
  <si>
    <t>603c03cc77274f5c05c6bcb9</t>
  </si>
  <si>
    <t>Tatlı Köşe (Reşatbey Mah.)</t>
  </si>
  <si>
    <t>Seyhan/Reşatbey</t>
  </si>
  <si>
    <t>Kadir Bey/5419500905</t>
  </si>
  <si>
    <t>reşatbey mh beşocak cd no 23 a seyhan adana</t>
  </si>
  <si>
    <t>60149da9d9ee3c18140420b6</t>
  </si>
  <si>
    <t>Pilav Üstü Ev Yemekleri, Seyhan (Reşatbey Mah.)</t>
  </si>
  <si>
    <t>Niyazi Bey/5354646636</t>
  </si>
  <si>
    <t>reşatbey mah valiyolu cad no 8 seyhan adana</t>
  </si>
  <si>
    <t>6036633a53d6fa66f87f1938</t>
  </si>
  <si>
    <t>Lezzet Antakya (Reşatbey Mah.)</t>
  </si>
  <si>
    <t>Esin Hanım/5423160395</t>
  </si>
  <si>
    <t>Reşatbey mah ordu caddesi no 86 özgül apt seyhan adana</t>
  </si>
  <si>
    <t>gazi ortaokulu karşısı</t>
  </si>
  <si>
    <t>602fb313a6bb73bd184e9fe5</t>
  </si>
  <si>
    <t>Emin Kebap (Karasoku Mah.)</t>
  </si>
  <si>
    <t>Seyhan/Karasoku</t>
  </si>
  <si>
    <t>Mahmut Bey/5531662926</t>
  </si>
  <si>
    <t>Karasoku Mah. 28026 Sk no 4 A Seyhan/Adana</t>
  </si>
  <si>
    <t>yag camii karşısı</t>
  </si>
  <si>
    <t>5fe0d2a461e7ff5aa2fc442d</t>
  </si>
  <si>
    <t>Sardal-ye, Çukurova (Mahfesığmaz Mah.)</t>
  </si>
  <si>
    <t>Ömer Bey/5457719101-5367990191</t>
  </si>
  <si>
    <t>mahfesıgmaz mah 79154 sok yüzüncü apt no 8/a çukurova adana</t>
  </si>
  <si>
    <t>arabanız yoksa kendileri gelip motorla sizleri alabilirlermiş. yemek sepeti ekibi saat 15 de siz 16 da gideceksiniz bilginiz olsun :)</t>
  </si>
  <si>
    <t>60155882f8fb0b4838fa2c63</t>
  </si>
  <si>
    <t>Çiğ Köfte Dünyası, (Güzelyalı Mah. - Süleyman Demirel Blv.)</t>
  </si>
  <si>
    <t>Necla Hanım/5424269900</t>
  </si>
  <si>
    <t>GÜZELYALI MAH. 81185 SK. NO: 24 C ÇUKUROVA/ ADANA</t>
  </si>
  <si>
    <t>606258b0b48e8457df440076</t>
  </si>
  <si>
    <t>Afilli Balık (Mahfesığmaz Mah.)</t>
  </si>
  <si>
    <t>Ugur Balıkçı/5449234554</t>
  </si>
  <si>
    <t>mahfesıgmaz mah 79079 sok no: 1/2a çukurova adana</t>
  </si>
  <si>
    <t>606360337692c7715bfcad87</t>
  </si>
  <si>
    <t>Queen Döner ( Mahfesığmaz Mah.)</t>
  </si>
  <si>
    <t>Ali Bey/05454328090</t>
  </si>
  <si>
    <t>mahfesığmaz mah turgut özal bulv abdurrahim gizer 3 apt 47/b çukurova adana</t>
  </si>
  <si>
    <t>aksagaz yanı</t>
  </si>
  <si>
    <t>607d35fb0cb48e7f596426af</t>
  </si>
  <si>
    <t>Pakfırın, Seyhan (Cemalpaşa Mah. - Atatürk Cad.)</t>
  </si>
  <si>
    <t>seyhan Cemalpaşa</t>
  </si>
  <si>
    <t>mehmet kavukçu 3224595152</t>
  </si>
  <si>
    <t>Cemalpaşa mah atatürk cad mustafa gümüşdamla sokak öğretmenler sitesi altı 58/c seyhan adana</t>
  </si>
  <si>
    <t>608ed6f50be4bd42bacd49b8</t>
  </si>
  <si>
    <t>Cız &amp; Bız Sokak Lezzetleri, Seyhan (Cemalpaşa Mah.)</t>
  </si>
  <si>
    <t>katre tufan 5317006770</t>
  </si>
  <si>
    <t>cemalpaşa mah ethem ekin sokak no 15 a seyhan adana</t>
  </si>
  <si>
    <t>6049e837118621c82ec3ca1e</t>
  </si>
  <si>
    <t>Altın Cafe (Cemalpaşa Mah. - Atatürk Cad.)</t>
  </si>
  <si>
    <t>denizcan gülli 3224599062</t>
  </si>
  <si>
    <t>cemalpaşa mh e.ekin sok öğretmenler st. b blok no 13 iç kapı no e seyhan adana</t>
  </si>
  <si>
    <t>6026f5c38474c4cc5b38b906</t>
  </si>
  <si>
    <t>Virgo Döner (Cemalpaşa Mah.)</t>
  </si>
  <si>
    <t>ilyas sehlikoğlu 5319323221</t>
  </si>
  <si>
    <t>CEMALPAŞA MAH. GAZİPAŞA BLV. NO: 21 A SEYHAN/ ADANA</t>
  </si>
  <si>
    <t>5fde4bacd8b47d0362d4a45c</t>
  </si>
  <si>
    <t>Hasan Usta Kebap, Çukurova (Kurttepe Mah.)</t>
  </si>
  <si>
    <t>11.00</t>
  </si>
  <si>
    <t>Alaattin	3222470000</t>
  </si>
  <si>
    <t>Yurt mah Kurttepe cd. No:4 Çukurova Adana</t>
  </si>
  <si>
    <t>ibrahim evrensel	5539359853</t>
  </si>
  <si>
    <t>belediye evleri mah 84081 sok no 34 a çukurova adana</t>
  </si>
  <si>
    <t>605ce0fdf10f9f07e6e6c5b3</t>
  </si>
  <si>
    <t>Aydın Döner (Huzurevleri Mah.)</t>
  </si>
  <si>
    <t>ahmet aydın        5423761069</t>
  </si>
  <si>
    <t>Huzurevleri mahallesi 77158 sokak Nokta sitesi A1 blok NO :1, 01360 Çukurova/Adana</t>
  </si>
  <si>
    <t>604f37c1838ffe9013418ffb</t>
  </si>
  <si>
    <t>Ayman Tantuni, Seyhan (Sümer Mah. - Barajyolu)</t>
  </si>
  <si>
    <t>Seyhan/Sümer</t>
  </si>
  <si>
    <t>Haluk bey 5324084541</t>
  </si>
  <si>
    <t>Sümer mah. Bülent Angın Bulv. Dostlar apt. No:17/C Seyhan/ADANA</t>
  </si>
  <si>
    <t>608ff214f237b258a20cc74a</t>
  </si>
  <si>
    <t>Dürümcü Baba (Sümer Mah. - Barajyolu)</t>
  </si>
  <si>
    <t>servet polat        3222273575</t>
  </si>
  <si>
    <t>sümer mah 69081 sk gül apt 3/a seyhan adana</t>
  </si>
  <si>
    <t>6034f430238d2c2bb960ec65</t>
  </si>
  <si>
    <t>Yıldırım Kebap (İbo Osman Cad.)</t>
  </si>
  <si>
    <t>Hamza Bey/5551057230</t>
  </si>
  <si>
    <t>sümer mh ibo osman cd no 56/A seyhan adana</t>
  </si>
  <si>
    <t>60928653fe6418aa544961e6</t>
  </si>
  <si>
    <t>Köfteci Bom'Bey, Seyhan (Sümer Mah.)</t>
  </si>
  <si>
    <t>ahmet acarlar        5522455856</t>
  </si>
  <si>
    <t>Sümer mah 69156 sk no 32 c seyhan adana</t>
  </si>
  <si>
    <t>Çukurova/Belediye Evleri</t>
  </si>
  <si>
    <t>Hakan Safa/ 5530893212</t>
  </si>
  <si>
    <t>nazmi beyin devam çekimi</t>
  </si>
  <si>
    <t>60a62f04dbf0a15520058cf8</t>
  </si>
  <si>
    <t>Canım Döner İster, Çukurova (Yüzüncü Yıl Mah.)</t>
  </si>
  <si>
    <t>Çukurova/Yüzüncüyıl</t>
  </si>
  <si>
    <t>Zülküf Bey/5346775925</t>
  </si>
  <si>
    <t>yüzüncü yıl mah 85035 sk no 21 a çukurova adana</t>
  </si>
  <si>
    <t>607d4620c36c878fc5ef443b</t>
  </si>
  <si>
    <t>İstanbul Doyum Börekçilik, Çukurova (Yüzüncüyıl Mah.)</t>
  </si>
  <si>
    <t>Cafer Bey/5550747305</t>
  </si>
  <si>
    <t>yüzüncü yıl mah hacı bektaş veli bulv no:123/a çukurova adana</t>
  </si>
  <si>
    <t>Adem Bey/5316968522</t>
  </si>
  <si>
    <t xml:space="preserve">birdaha alınmıycak  </t>
  </si>
  <si>
    <t>6087307127e1d177b8573426</t>
  </si>
  <si>
    <t>Mudurnu Döner (Yeni Baraj Mah.)</t>
  </si>
  <si>
    <t>Seyhan	Sümer</t>
  </si>
  <si>
    <t>ayhan uzun	3222257070</t>
  </si>
  <si>
    <t>yeni baraj mah yüzbaşı bülent angın blv ayben sitesi b blok no 82 b seyhan adana</t>
  </si>
  <si>
    <t>6025913c5e0d8c3d0d2945ef</t>
  </si>
  <si>
    <t>Begonya Mantı Evi &amp; Ev Yemekleri, Seyhan (Sümer Mah.)</t>
  </si>
  <si>
    <t>yasemin tuştaş        5467361116</t>
  </si>
  <si>
    <t>SÜMER MAH. BARAJ CAD. M.ULUTAŞ APT NO: 41 C SEYHAN/ ADANA</t>
  </si>
  <si>
    <t>5fe60d9e4f55ab5cfe9c707c</t>
  </si>
  <si>
    <t>Fırat Cafe Barajyolu Şubesi, Seyhan (Sümer Mah. - Barajyolu)</t>
  </si>
  <si>
    <t>ömer argın	3222248082</t>
  </si>
  <si>
    <t>yenibaraj mah b. angın bulv. uyanık apt no:78/e seyhan adana</t>
  </si>
  <si>
    <t>6092757371f6d0781dd5592c</t>
  </si>
  <si>
    <t>Şırdancı Ünal (Sümer Mah.)</t>
  </si>
  <si>
    <t>süleyman esen	5306974980</t>
  </si>
  <si>
    <t>sümer mah altın bulvarı no 5 seyhan adana</t>
  </si>
  <si>
    <t>601465a6d22e224af9b5b0cc</t>
  </si>
  <si>
    <t>Çiğ Köfte Dünyası,(Yurt Mah. - Turgut Özal Blv.)</t>
  </si>
  <si>
    <t>elif turhan	3229995251</t>
  </si>
  <si>
    <t>yurt mah barıs manco bulv muge apt zemin kat cukurova adana</t>
  </si>
  <si>
    <t>15..00</t>
  </si>
  <si>
    <t>muhammed ensar özdemir	5364870113</t>
  </si>
  <si>
    <t>608e80d1d24a2e3953848d86</t>
  </si>
  <si>
    <t>Paşabey Baklava (Toros Mah.)</t>
  </si>
  <si>
    <t>ahmet efe	5357697918</t>
  </si>
  <si>
    <t>toros mah Ata apt 78012 sokak no:1 Çukurova/Adana</t>
  </si>
  <si>
    <t>18..00</t>
  </si>
  <si>
    <t>murat bey	3222270000</t>
  </si>
  <si>
    <t>6096dc57b2587e49c837b717</t>
  </si>
  <si>
    <t>Lupetta (Güzelyalı Mah.)</t>
  </si>
  <si>
    <t>Güzelyalı/Güzelyalı</t>
  </si>
  <si>
    <t>Yunus Bey/5465248031</t>
  </si>
  <si>
    <t>güzelyalı mah turgut özal bulvarı osman bey apt 30/a çukurova adana</t>
  </si>
  <si>
    <t>saatinde oynama yapılabilir</t>
  </si>
  <si>
    <t>605100bee81006d7e64d005f</t>
  </si>
  <si>
    <t>Gül Pide Salonu (Güzelyalı Mah.)</t>
  </si>
  <si>
    <t>Mustafa Bey/5373839978</t>
  </si>
  <si>
    <t>güzelyalı mah süleyman demirel bulv göker apt altı no 1 iç kapı no b çukurova adana</t>
  </si>
  <si>
    <t>60887edf42f08ae31e9e9b4e</t>
  </si>
  <si>
    <t>Burger Bar, Çukurova (Güzelyalı Mah. - Turgut Özal Blv.)</t>
  </si>
  <si>
    <t>Ali Bey/5326274662</t>
  </si>
  <si>
    <t>güzelyalı mah Turgut Özal Blv. İnci Evler Sitesi D:86 B، 01170 Çukurova/Adana</t>
  </si>
  <si>
    <t>Güzelyalı/Yurt</t>
  </si>
  <si>
    <t>Nilüfer Erçelik/5457477171</t>
  </si>
  <si>
    <t>abdurrahman karaca	5353375796</t>
  </si>
  <si>
    <t>60144c8382ce143edb5830ae</t>
  </si>
  <si>
    <t xml:space="preserve">                    Tavukçum, Çukurova (Toros Mah. - Turgut Özal Blv.)                             </t>
  </si>
  <si>
    <t>ihsan terlikçioğulları	3222488666</t>
  </si>
  <si>
    <t>HUZUREVLERİ MAH. 77211 SK. NO: 8 A ÇUKUROVA/ ADANA</t>
  </si>
  <si>
    <t>603a18b58ed50857ba14bf25</t>
  </si>
  <si>
    <t>Gümüş Bey İskender &amp; Döner (Huzurevleri Mah.)</t>
  </si>
  <si>
    <t>aksoy gümüş	5330917639</t>
  </si>
  <si>
    <t>huzurevleri mh 77060 sk delta apt no 12/a çukurova adana</t>
  </si>
  <si>
    <t>60625c7e8843fef3097c4327</t>
  </si>
  <si>
    <t>Speat Kitchen &amp; Snacks (Huzurevleri Mah.)</t>
  </si>
  <si>
    <t>Murat Bey/5052582015</t>
  </si>
  <si>
    <t>huzurevleri mah türkmenbaşı bulv c blok no 26 -2a iç kapı no a çukurova adana</t>
  </si>
  <si>
    <t>Seyhan
Çukurova</t>
  </si>
  <si>
    <t>Yakup Koçoğlu</t>
  </si>
  <si>
    <t>607f3bac10bf22c587b700d9</t>
  </si>
  <si>
    <t>Kebapçı Kling Usta, Seyhan (Cemalpaşa Mah.)</t>
  </si>
  <si>
    <t>onur dilmen	3222230101</t>
  </si>
  <si>
    <t>Cemalpaşa Mahallesi Toros Caddesi Deniz Apt. Zemin Kat Galleria Altgeçidi Seyhan adana</t>
  </si>
  <si>
    <t>6092aed86b49890c5a9068f7</t>
  </si>
  <si>
    <t>Havuç Büfe (Kurtuluş Mah. - Pandora Sokağı)</t>
  </si>
  <si>
    <t>ferhan büdün	5469380101</t>
  </si>
  <si>
    <t>kurtuluş mah atatürk cd halk bankası yanı seyhan adana</t>
  </si>
  <si>
    <t>60a7f9e99dde1084fd560e30</t>
  </si>
  <si>
    <t>Ege Kebap, Seyhan (Cemalpaşa Mah.)</t>
  </si>
  <si>
    <t>şelale alpçoğay	5434573628</t>
  </si>
  <si>
    <t>CEMALPAŞA MAH. VALİYOLU CAD. EGE TAKSİ NO: 29 A SEYHAN/ ADANA</t>
  </si>
  <si>
    <t>randevu günü grup yemeği olduğu için gerçekleşememiş tekar randevu talep ediyor</t>
  </si>
  <si>
    <t>60950a2402644c32578396a6</t>
  </si>
  <si>
    <t>Çoban Katık Döner (Cemalpaşa Mah.)</t>
  </si>
  <si>
    <t>nurettin karadal	3224597279</t>
  </si>
  <si>
    <t>Cemalpaşa Mahallesi 63006 Sokak No:21/A Sabahlar Apt Seyhan adana</t>
  </si>
  <si>
    <t>6038eefb845e74543fb2b5e1</t>
  </si>
  <si>
    <t>Eymen Kebap &amp; Lahmacun (Belediyeevleri Mah.)</t>
  </si>
  <si>
    <t>Güllü Hanım/5342473198</t>
  </si>
  <si>
    <t>belediye evleri mh 84029 sk yıldız sitesi altı no 2 f çukurova adana</t>
  </si>
  <si>
    <t>605319fb36e00249239998b5</t>
  </si>
  <si>
    <t>Pastacı, Çukurova (Huzurevleri Mah.)</t>
  </si>
  <si>
    <t>zehra eda işoğlu	3222399444</t>
  </si>
  <si>
    <t>Huzurevleri Mahallesi Pınar Sitesi, Türkmenbaşı Blv. 52/B, 01360 Çukurova/Adana</t>
  </si>
  <si>
    <t>devam çekimi</t>
  </si>
  <si>
    <t>nihal çetin/5386466545</t>
  </si>
  <si>
    <t>ahmet bey	5455660155</t>
  </si>
  <si>
    <t>sümer mh ibo osman cd no 76 b seyhan adana</t>
  </si>
  <si>
    <t>6061ee4b4c11b057fb3b6f6c</t>
  </si>
  <si>
    <t>Adana Ateşi Mangalcı (Sümer Mah. - Barajyolu)</t>
  </si>
  <si>
    <t>kemal sabancı	5324989006</t>
  </si>
  <si>
    <t>sümer mh 69077 sk gökhan apartmanı 3 E seyhan adana</t>
  </si>
  <si>
    <t>6009a357c669c201439d3516</t>
  </si>
  <si>
    <t>İstanbul Döner, Seyhan (Yeşilyurt Mah.)</t>
  </si>
  <si>
    <t>ilhan yaman	3222256988</t>
  </si>
  <si>
    <t>Yeşilyurt mahallesi Alparslan Türkeş bulvarı no 38/A</t>
  </si>
  <si>
    <t>Randevuya gidilmemiş</t>
  </si>
  <si>
    <t>603f975810ae2239565ed6c1</t>
  </si>
  <si>
    <t>Çiğ Köfteci Erdoğan Usta (Yeni Baraj Mah. - Hastaneler)</t>
  </si>
  <si>
    <t>Seyhan/Yenibaraj</t>
  </si>
  <si>
    <t>Ömer Bey/5340717323</t>
  </si>
  <si>
    <t>yenibaraj mah şehit yüzbaşı bülent angın blv tamer apt no 42 f seyhan adana</t>
  </si>
  <si>
    <t>tabelası ve restoran adı değişecek ama ürünler aynı kalacakmış.</t>
  </si>
  <si>
    <t>60893b511949c7198d258983</t>
  </si>
  <si>
    <t>Ekrem Coşkun Döner, (Mahfesığmaz Mah. - Kenan Evren Blv.)</t>
  </si>
  <si>
    <t>ömer bey	3222358168</t>
  </si>
  <si>
    <t>mahfesıgmaz mah şehitler bulv birsen dikici apt 32 f çukurova adana</t>
  </si>
  <si>
    <t>60625ef1f10f9f0feee7cd16</t>
  </si>
  <si>
    <t>University Büfe, Çukurova (Beyazevler Mah.)</t>
  </si>
  <si>
    <t>süleyman ürek	5525235273</t>
  </si>
  <si>
    <t>Beyazevler mahhallesi 80019 sokak ayça garden 10 APT no 2/b, 01150 Çukurova/Adana</t>
  </si>
  <si>
    <t>60816235d067790a26c05d11</t>
  </si>
  <si>
    <t>Riva Değirmen (Huzurevleri Mah.)</t>
  </si>
  <si>
    <t>mehmet gönültaş	5323348640</t>
  </si>
  <si>
    <t>huzurevleri mah alparslan türkeş bulv no 365 c çukurova adana</t>
  </si>
  <si>
    <t>6064a713b48e840df645f799</t>
  </si>
  <si>
    <t>Pasta Konak (Yurt Mah.)</t>
  </si>
  <si>
    <t>erdal kargıoğlu	3222331720</t>
  </si>
  <si>
    <t>yurt mah 71471 sok no 5 a çukurova adana</t>
  </si>
  <si>
    <t>607c2718cd039c052bc8a925</t>
  </si>
  <si>
    <t>Yaprak Kebap &amp; Döner (Namık Kemal Mah.)</t>
  </si>
  <si>
    <t>Seyhan	Gazipaşa</t>
  </si>
  <si>
    <t>gürsel namlı	3224576537</t>
  </si>
  <si>
    <t>namık kemal mah a.remzi yüreğir cd m.erzi apt no 23/b seyhan adana</t>
  </si>
  <si>
    <t>5fff32b068b4946f548f8458</t>
  </si>
  <si>
    <t>Adana Başkent Döner, Seyhan (Döşeme Mah.)</t>
  </si>
  <si>
    <t>10.00</t>
  </si>
  <si>
    <t>Seyhan	Döşeme</t>
  </si>
  <si>
    <t>mustafa orhan	3224362727</t>
  </si>
  <si>
    <t>döşeme mah cumhuriyet cad çolpan apt no:71/d1 seyhan adana</t>
  </si>
  <si>
    <t>6082bde163fb10320e18e01d</t>
  </si>
  <si>
    <t>Es Yıldız Baklava &amp; Börek (Döşeme Mah.)</t>
  </si>
  <si>
    <t>doğan bozdağ        5370312327</t>
  </si>
  <si>
    <t>döşeme mah karaisalı cd no 71 seyhan adana</t>
  </si>
  <si>
    <t>60af9929212457d25f9bce3f</t>
  </si>
  <si>
    <t>Mer's Döner &amp; Burger, Seyhan (İsmetpaşa Mah.)</t>
  </si>
  <si>
    <t>Seyhan	İsmetpaşa</t>
  </si>
  <si>
    <t>ersin sürücü	5434036010</t>
  </si>
  <si>
    <t>ismetpaşa mah mehmet akif ersoy cd no 190 soyer connep karşısı seyhan adana</t>
  </si>
  <si>
    <t>60152799d9ee3cc853043f46</t>
  </si>
  <si>
    <t>Burgerhome,(Güzelyalı Mah. - Turgut Özal Blv.)</t>
  </si>
  <si>
    <t>erman mutlu	3227770003</t>
  </si>
  <si>
    <t>mahfesığmaz mah turgut özal bulv 55/d çukurova adana 79091 sokak</t>
  </si>
  <si>
    <t>606df371aeffd7de253e3bd5</t>
  </si>
  <si>
    <t>Acıcık Çiğ Köfte, Çukurova (Yurt Mah.)</t>
  </si>
  <si>
    <t>tufan yıldız	3222333779</t>
  </si>
  <si>
    <t>Yurt mah Kasım Ener Cd No;19 Çukurova/Adana</t>
  </si>
  <si>
    <t>NAZLICAN</t>
  </si>
  <si>
    <t>60813171d4c52417dd627a35</t>
  </si>
  <si>
    <t>Balıkçı Veysel, Çukurova (Kurttepe Mah. - Süleyman Demirel Blv.)</t>
  </si>
  <si>
    <t>veysel demirtaş        5528992233</t>
  </si>
  <si>
    <t>kurttepe mah süleyman demirel bulv no 82 e çukurova adana</t>
  </si>
  <si>
    <t>ertelendı.</t>
  </si>
  <si>
    <t>60a612c11dba00c87482f079</t>
  </si>
  <si>
    <t>Öz Antep Altın Baklava, Çukurova (Yüzüncü Yıl Mah.)</t>
  </si>
  <si>
    <t>Çukurova	Yüzüncüyıl</t>
  </si>
  <si>
    <t>ebru coşkun	5541198543</t>
  </si>
  <si>
    <t>yüzüncü yıl mah hacı bektaş veli blv.no 69/a çukurova adana</t>
  </si>
  <si>
    <t>60043086a35105b0f4f7cb6d</t>
  </si>
  <si>
    <t>01 Bay Şef Döner (Sucuzade Mah.)</t>
  </si>
  <si>
    <t>Seyhan	Sucuzade</t>
  </si>
  <si>
    <t>mustafa altunkaynak	5526590101</t>
  </si>
  <si>
    <t>sucuzade mah obalar cad no:31/A seyhan adana</t>
  </si>
  <si>
    <t>606d942de84f1210a6a20d04</t>
  </si>
  <si>
    <t>Shark Cafe (Cemalpaşa mah.)</t>
  </si>
  <si>
    <t>cengiz güneş	5461200101</t>
  </si>
  <si>
    <t>cemalpaşa mah 63006 sok park apt no : 6/a seyhan adana</t>
  </si>
  <si>
    <t>5ff42f29ce622f158ecd4335</t>
  </si>
  <si>
    <t>Çilingir Sofrası, Seyhan (Cemalpaşa Mah.)</t>
  </si>
  <si>
    <t>musa coşkun	5396517339</t>
  </si>
  <si>
    <t>cemalpaşa mah toros cad yeni özgür apt no:10/a seyhan adana</t>
  </si>
  <si>
    <t>606df153c42d1929392765a8</t>
  </si>
  <si>
    <t>Küçük Evim Ev Yemekleri, Çukurova (Beyazevler Mah.)</t>
  </si>
  <si>
    <t>Tuna 05528515212</t>
  </si>
  <si>
    <t>Beyazevler mah 80017 Sk Çukurova/Adana</t>
  </si>
  <si>
    <t>6009aacd9611de29decd0f2a</t>
  </si>
  <si>
    <t>Viento Cheesecake, Çukurova (Mahfesığmaz Mah.)</t>
  </si>
  <si>
    <t>"Çukurova	Beyazevler"</t>
  </si>
  <si>
    <t>"Selçuk Televi	3222920000"</t>
  </si>
  <si>
    <t>Beyazevler Mahallesi Adnan Kahveci Bulvarı No 46 Çukurova Adana</t>
  </si>
  <si>
    <t>608d9a22cad486bbdd8d37ba</t>
  </si>
  <si>
    <t>Katmerci Dayı (Mahfesığmaz Mah.)</t>
  </si>
  <si>
    <t>kasım yergin	5530784480</t>
  </si>
  <si>
    <t>MAHFESIĞMAZ MAH. BÜLENT ANGIN BLV. NO: 141 A ÇUKUROVA/ ADANA</t>
  </si>
  <si>
    <t>60ad68052d0304da89e75f64</t>
  </si>
  <si>
    <t>Öz Antep Damla Baklava, Çukurova (Belediyeevleri Mah.)</t>
  </si>
  <si>
    <t>"damla nur mercan	5539594629"</t>
  </si>
  <si>
    <t>belediye evleri mah 84051 sok no 37 iç kapı no 1 çukurova adana</t>
  </si>
  <si>
    <t>60926ee6337ea2aea76b4770</t>
  </si>
  <si>
    <t>İskenderun Döner (Barış Mah.)</t>
  </si>
  <si>
    <t>"Seyhan	Barış"</t>
  </si>
  <si>
    <t>"melih ateş	5524519301"</t>
  </si>
  <si>
    <t>barış mah yeşilevler cad. no 107 seyhan adana</t>
  </si>
  <si>
    <t>6092a7512aee5c7e89da818d</t>
  </si>
  <si>
    <t>Emin Usta Kebap (Reşatbey Mah.)</t>
  </si>
  <si>
    <t>Seyhan	Reşatbey</t>
  </si>
  <si>
    <t>hüseyin yücel	3224573363</t>
  </si>
  <si>
    <t>reşatbey mah beşocak cd türkkuşu apt no 22/a</t>
  </si>
  <si>
    <t>6070cfc5c8d2652f172bef3f</t>
  </si>
  <si>
    <t>El Mexico (Reşatbey Mah.)</t>
  </si>
  <si>
    <t>arda hepsağ        3222710404-05347856518</t>
  </si>
  <si>
    <t>reşatbey mah. 62031 sk yıldız has apt no 4 b seyhan adana</t>
  </si>
  <si>
    <t>6070197ae2b606dbaa1717e2</t>
  </si>
  <si>
    <t>Star Börekçilik, Seyhan (Cemalpaşa Mah. - Sular Mevkii)</t>
  </si>
  <si>
    <t>yüksel kardaş	3224589488</t>
  </si>
  <si>
    <t>cemalpaşa mah cevat yurdakul cad tahir ilba apt no 45 a seyhan adana</t>
  </si>
  <si>
    <t>60a40f3f84b06f05ac4b1cd8</t>
  </si>
  <si>
    <t>Gaziantep Sevgili Baklava Börek Cafe (Güzelyalı Mah.)</t>
  </si>
  <si>
    <t>tekrar randevualındı</t>
  </si>
  <si>
    <t>5fde7e21856302888054fbd8</t>
  </si>
  <si>
    <t>Keyf-i Asya Kebap, Çukurova (Güzelyalı Mah. - Turgut Özal Blv.)</t>
  </si>
  <si>
    <t>mustafa gökpınar	3222120000</t>
  </si>
  <si>
    <t>güzelyalı mah turgut özal bulv ibrahim keskin sitesi a blok no:52/3f çukurova adana</t>
  </si>
  <si>
    <t>yetkili yoktu görüşülemedi</t>
  </si>
  <si>
    <t>5fe8f60d12a85080b9bb58d3</t>
  </si>
  <si>
    <t>Ala Mezze, (Güzelyalı Mah. - Süleyman Demirel Blv.)</t>
  </si>
  <si>
    <t>savaş savaş	3224540407</t>
  </si>
  <si>
    <t>güzelyalı mah süleyman demirel bulv no:19/e başer sitesi b blok çukurova adana</t>
  </si>
  <si>
    <t>tekrar randevu alındı</t>
  </si>
  <si>
    <t>607f40c341375f30d5d92f1e</t>
  </si>
  <si>
    <t>Tatlı Ötesi (Mahfesığmaz Mah.)</t>
  </si>
  <si>
    <t>doğan türkmen	5412451446</t>
  </si>
  <si>
    <t>MAHFESIĞMAZ MAH. 79156 SK. NO: 1 B ÇUKUROVA/ ADANA</t>
  </si>
  <si>
    <t xml:space="preserve">fotoğrafçı arkadaşımız gitmediği restorantları tamamlıyacak </t>
  </si>
  <si>
    <t>60b65c2f056f302808fc4589</t>
  </si>
  <si>
    <t>Kaptan Büfe , Çukurova (Belediye Evleri Mah.)</t>
  </si>
  <si>
    <t>arda aslankeser        5309526595</t>
  </si>
  <si>
    <t>belediye evleri mah 84127 sok. no 2 çukurova adana</t>
  </si>
  <si>
    <t>60b152c681145620a92f9486</t>
  </si>
  <si>
    <t>Seda Nur Ev Yemekleri ve Döner , Çukurova (Belediyeevleri Mah.)</t>
  </si>
  <si>
    <t>nurseda çokeken        3222484878</t>
  </si>
  <si>
    <t>belediye evleri mah 84051 sok no 1 a çukurova adana</t>
  </si>
  <si>
    <t>60b15485dbae064b5a9085c4</t>
  </si>
  <si>
    <t>Kare Pizza, Çukurova (Güzelyalı Mah. - Turgut Özal Blv.)</t>
  </si>
  <si>
    <t>yusuf ortaçgülen        3222332545</t>
  </si>
  <si>
    <t>güzelyalı mah turgut özal bulv yeşilçatı apt altı no 62 iç kapı no a çukurova adana</t>
  </si>
  <si>
    <t xml:space="preserve">14 EYLÜLE ERTELENDİ </t>
  </si>
  <si>
    <t>selcan</t>
  </si>
  <si>
    <t>veysel demirtaş        5528992233/5375912387</t>
  </si>
  <si>
    <t>Murat Bey/5354334215/3222270000</t>
  </si>
  <si>
    <t>60b7e0323ffe7f68658d4134</t>
  </si>
  <si>
    <t>Los Amigos Burger ve Döner Cafe (Mahfesığmaz Mah.)</t>
  </si>
  <si>
    <t>Çukurova/Mahfesığmaz</t>
  </si>
  <si>
    <t>Yakup Bey/5427941134</t>
  </si>
  <si>
    <t>mahfesığmaz mah damar arıkoğlu bulv. no 1 c çukurova adana</t>
  </si>
  <si>
    <t>Mustafa Bey/5558657375</t>
  </si>
  <si>
    <t>halil ibrahim anucur	5427666236</t>
  </si>
  <si>
    <t>fotoğrafları kendisi gönderecek</t>
  </si>
  <si>
    <t>6005ea7de13dbd60c85bce0f</t>
  </si>
  <si>
    <t>Hünkar Çiğ Köfte, (Yurt Mah. - Turgut Özal Blv.)</t>
  </si>
  <si>
    <t>vedat daşdelen	5469420202</t>
  </si>
  <si>
    <t>yurt mah turgut özal bulv tuna sit no:176/b çukurova adana</t>
  </si>
  <si>
    <t>60b4b6967b00bcb361078d00</t>
  </si>
  <si>
    <t>Berlin Döner, Çukurova (Huzurevleri Mah.)</t>
  </si>
  <si>
    <t>mustafa açıkgöz        5467100892</t>
  </si>
  <si>
    <t>huzurevleri mah alparslan türkeş bulv salihler apt no 361 çukurova adana</t>
  </si>
  <si>
    <t>607d37eac1d3357a66de3fb2</t>
  </si>
  <si>
    <t>Ballıbaba Dondurma (Güzelyalı Mah.)</t>
  </si>
  <si>
    <t>Tugce Bicer	5426555530</t>
  </si>
  <si>
    <t>Güzelyalı Mh Turgut Özal Bulvarı Anıl Apartmanı Altı B Blok 10M Çukurova Adana</t>
  </si>
  <si>
    <t>Tutku Erdoğan</t>
  </si>
  <si>
    <t>Çukurova        Belediye Evleri</t>
  </si>
  <si>
    <t>mehmet bey        3222484878</t>
  </si>
  <si>
    <t>6064f790f2765ebdcc9a11d2</t>
  </si>
  <si>
    <t>Dünya Cafe &amp; Restaurant, Çukurova (Belediyeevleri Mah.)</t>
  </si>
  <si>
    <t xml:space="preserve">İbrahim Bey / 5526881340 </t>
  </si>
  <si>
    <t>belediye evleri mah zahit akdağ bulv no 8 a çukurova adana</t>
  </si>
  <si>
    <t>Melehat Hanım 05072742188</t>
  </si>
  <si>
    <t>5fddcf4b2270ca593849a209</t>
  </si>
  <si>
    <t>Ütopya Restaurant Turgut Özal</t>
  </si>
  <si>
    <t>CEMAL SEVİM	5417144701</t>
  </si>
  <si>
    <t>Güzelyalı mah 81155 sk. Arma Sit. A blok no:1/a Çukurova Adana</t>
  </si>
  <si>
    <t>paket servisi kapatmışlar</t>
  </si>
  <si>
    <t>606497e56c2d47de24514323</t>
  </si>
  <si>
    <t>Şehzade Kebap &amp; Lahmacun (Belediye Evleri Mah.)</t>
  </si>
  <si>
    <t>edip kayra	3222393005</t>
  </si>
  <si>
    <t>belediye evleri mah turgut özal bulv yılkon apt no247a çukurova adana</t>
  </si>
  <si>
    <t>yetkili olmadığı için iptal sebebi öğrenilemedi</t>
  </si>
  <si>
    <t>5ff337f371e89c939297d5dd</t>
  </si>
  <si>
    <t>Atom Büfe, Çukurova (Toros Mah. - Turgut Özal Blv.)</t>
  </si>
  <si>
    <t>yunus uçmak	3222480025</t>
  </si>
  <si>
    <t>huzurevleri mah 77235 sok inkaya apt no:2/c cukurova adana</t>
  </si>
  <si>
    <t>60b26c15e2bd852e9a367a37</t>
  </si>
  <si>
    <t>Tombiş Döner, Çukurova (Güzelyalı Mah. - Turgut Özal Blv.)</t>
  </si>
  <si>
    <t>bilal akkurt	5433143217</t>
  </si>
  <si>
    <t>güzelyalı mah turgut özal. bulv no 50 b çukurova adana</t>
  </si>
  <si>
    <t>6081c45a5e38d46f2f0b6a42</t>
  </si>
  <si>
    <t>Himmet Usta Çiğ Köfte (Sümer Mah.)</t>
  </si>
  <si>
    <t>Himmet/5442143958</t>
  </si>
  <si>
    <t>Sümer Mah. Mavi bulvar muhtar sitesi duygu cafe seyhan adana</t>
  </si>
  <si>
    <t>6081ca7c95eb323e73a35255</t>
  </si>
  <si>
    <t>Gökkuşağı (Sümer Mah.)</t>
  </si>
  <si>
    <t>Ali Bey/5435438542-3222258765</t>
  </si>
  <si>
    <t xml:space="preserve">Sümer Mahallesi, altın bulvarı özütükenmez apt 6 gökkuşagı eglence merkezi </t>
  </si>
  <si>
    <t>mehmet bey	5551057230</t>
  </si>
  <si>
    <t>sümer mh ibo osman cd no 58 iç kapı no 01 seyhan adana</t>
  </si>
  <si>
    <t>6063251ef4083e2f8e87ba7d</t>
  </si>
  <si>
    <t>Yemek Bahçesi (Sümer Mah.)</t>
  </si>
  <si>
    <t>Celal Bey/5323617055-5526615101</t>
  </si>
  <si>
    <t>sümer mah ibo osman cd no 220 A seyhan adana</t>
  </si>
  <si>
    <t>60ad5f311d89cd5c726cb194</t>
  </si>
  <si>
    <t>Döner Aşkı, Seyhan (Sümer Mah.)</t>
  </si>
  <si>
    <t>60891b25c7045572ea15faed</t>
  </si>
  <si>
    <t>Asya Yöresel Yemekler, Çukurova (Mahfesığmaz Mah.)</t>
  </si>
  <si>
    <t>mustafa demirbaş	3222330083</t>
  </si>
  <si>
    <t>mahfesığmaz mah 79141 sokak şafak apt no 18 çukurova adana</t>
  </si>
  <si>
    <t>kendi ajansı oldugu halde gelip çeksinler dedi çekimi kabul etti</t>
  </si>
  <si>
    <t>60c132e26da71b341ecb6358</t>
  </si>
  <si>
    <t>Cafe Inn , Çukurova (Huzurevleri Mah.)</t>
  </si>
  <si>
    <t>ilhan öztürk	3222486254</t>
  </si>
  <si>
    <t>huzurevleri mah suleyman demirel bulvarı osman dikici apt no 105 a çukurova adana</t>
  </si>
  <si>
    <t>5ff5ced18335a9aef44f0f8a</t>
  </si>
  <si>
    <t>Keyf-i Saray Künefe &amp; Kadayıf, Çukurova (Güzelyalı Mah.)</t>
  </si>
  <si>
    <t>fırat topan	3222336060</t>
  </si>
  <si>
    <t>güzelyalı mah devlet bahçeli bulvarı no:41/a çukurova adana</t>
  </si>
  <si>
    <t>6004478c49bc3d4820c9f558</t>
  </si>
  <si>
    <t>Yesdo Gaziantep Sofrası,(Mahfesığmaz Mah. - Turgut Özal Blv.)</t>
  </si>
  <si>
    <t>isa bey 3222350090</t>
  </si>
  <si>
    <t>mahfesığmaz mah turgut özal blv no:113/a çukurova adana</t>
  </si>
  <si>
    <t>19.00</t>
  </si>
  <si>
    <t>Soner KÜLTE        5458861992</t>
  </si>
  <si>
    <t>yakup övet        3222335060</t>
  </si>
  <si>
    <t>ahmet kaya        5301509748</t>
  </si>
  <si>
    <t>Esme Hanım/5334032126</t>
  </si>
  <si>
    <t>60ad5e44cae636af5ef326af</t>
  </si>
  <si>
    <t>Çiğ Köfte Dünyası, Çukurova (Kurttepe Mah.)</t>
  </si>
  <si>
    <t>mehmet deniz	5454994850</t>
  </si>
  <si>
    <t>huzurevleri mah kurttepe cad no 5 b çukurova adana</t>
  </si>
  <si>
    <t>5fee09a82ccf25e5c42217d6</t>
  </si>
  <si>
    <t>Dürümcü, Çukurova (Güzelyalı Mah. - Turgut Özal Blv.)</t>
  </si>
  <si>
    <t>Murat Bey/5308796159</t>
  </si>
  <si>
    <t>Güzelyalı Mah., Turgut Özal Blv., No:70, Çukurova, Adana</t>
  </si>
  <si>
    <t>gökkuşagının yanı</t>
  </si>
  <si>
    <t>5febc4b6e15215a57b9594d1</t>
  </si>
  <si>
    <t>Torku Ziyafet Döner, Çukurova (Turgut Özal Blv.)</t>
  </si>
  <si>
    <t>Ali Bey/5423120166</t>
  </si>
  <si>
    <t>guzelyalı mah turgut ozal bulvarı no: 52/3a çukurova adana</t>
  </si>
  <si>
    <t>6005ef6737de6271b1b37177</t>
  </si>
  <si>
    <t>Usta Kokoreç ( Huzurevleri Mah.)</t>
  </si>
  <si>
    <t>erman er	5382140402</t>
  </si>
  <si>
    <t>huzurevleri mah türkmenbaşı bulv. no:30/a çukurova adana</t>
  </si>
  <si>
    <t>Fotoğrafçı gitmemiş</t>
  </si>
  <si>
    <t>Savaş Bey/5054401444</t>
  </si>
  <si>
    <t>İsmail Kulak Anadolu Lisesi Karşısı</t>
  </si>
  <si>
    <t>Serkan Bey/5412451446</t>
  </si>
  <si>
    <t>60c139d42c8294bf2a86e7fb</t>
  </si>
  <si>
    <t>Serçe Cafe , Çukurova (Yurt Mah.)</t>
  </si>
  <si>
    <t>neslihan serçe	5376389416</t>
  </si>
  <si>
    <t>yurt mah 71507 sok no 1 a çukurova adana</t>
  </si>
  <si>
    <t>6096d8b5da616284e7bd406f</t>
  </si>
  <si>
    <t>Çiğ Köfte Konağı (Belediyeevleri Mah.)</t>
  </si>
  <si>
    <t>emre yonsul 5466060908</t>
  </si>
  <si>
    <t>belediye evleri mah zahit akdağ bulv sametcan apt no:7-1 çukurova adana</t>
  </si>
  <si>
    <t>60c130c26eb3ea6d430e073c</t>
  </si>
  <si>
    <t>Mavi Pınar Kebap &amp; Lahmacun, Çukurova (Huzurevleri Mah.)</t>
  </si>
  <si>
    <t>savaş sezgin	5538954901</t>
  </si>
  <si>
    <t>HUZUREVLERİ MAH. 77002 SK. NO: 1 A ÇUKUROVA/ ADANA</t>
  </si>
  <si>
    <t>NEVZAT KARDAŞ	3222310085</t>
  </si>
  <si>
    <t>60648f619c5540707fb4fcd9</t>
  </si>
  <si>
    <t>Altıyol Çorba &amp; Yöresel Ev Yemekleri (Beyazevler Mah.)</t>
  </si>
  <si>
    <t>ismail aydoğdu	5399142636</t>
  </si>
  <si>
    <t>beyazevler mah 80003 sok no 10/a çukurova adana</t>
  </si>
  <si>
    <t>6014baa482ce14cb3b583587</t>
  </si>
  <si>
    <t>Bazlama Sanatı,(Güzelyalı Mah. - Süleyman Demirel Blv.)</t>
  </si>
  <si>
    <t>Çukurova	Kurttepe</t>
  </si>
  <si>
    <t>alperen karaca	5375774935</t>
  </si>
  <si>
    <t>kurttepe mah süleyman demirel bulv mahmut akgün apt no:84 h çukurova adana</t>
  </si>
  <si>
    <t>Çukurova        toros</t>
  </si>
  <si>
    <t>abdullah uğar 5317190186</t>
  </si>
  <si>
    <t>Toros mah. Barış Manço Bulv.Öztürk Ap. Çukurova/Adana</t>
  </si>
  <si>
    <t>Ortaklar arasındaki anlaşmazlıktan dolayı bir adres yanlışlığı söz konusu ama görüşülen kişi hedef listedeki isim ve çekim istiyor yazılan adrese göre gidilmelidir.</t>
  </si>
  <si>
    <t>6063581c2eb4390ceeb65d94</t>
  </si>
  <si>
    <t>Chef Dürüm, Çukurova (Yurt Mah. - Turgut Özal Blv.)</t>
  </si>
  <si>
    <t>mehmet bey 5438562291</t>
  </si>
  <si>
    <t>5fff2f9ae348f68fd1a331b3</t>
  </si>
  <si>
    <t>Chef's Burger House , Çukurova (Mahfesığmaz Mah.)</t>
  </si>
  <si>
    <t>atakan bey	5444352433</t>
  </si>
  <si>
    <t>mahfesığmaz mah 79105 sk buhanoğlu apt 3/a çukurova adana</t>
  </si>
  <si>
    <t>60ad613bdafd1b0b51133b54</t>
  </si>
  <si>
    <t>Şampiyon Ata Kebap (Mahfesığmaz Mah.)</t>
  </si>
  <si>
    <t>seyhan bey 5069730562/5445208200</t>
  </si>
  <si>
    <t>mahfesığmaz mah turgut özal bulv egemen apt altı no 35 çukurova adana</t>
  </si>
  <si>
    <t>606d977c699d17565a74f794</t>
  </si>
  <si>
    <t>Kazancılar Restaurant (Huzurevleri Mah. - Türkmenbaşı Blv.)</t>
  </si>
  <si>
    <t>yeliz gökmen        3222484882</t>
  </si>
  <si>
    <t>Huzurevleri Mahallesi Türkmenbaşı Bulvarı Pınar sitesi Deniz apartmanı B blok No: 50 Kat B Zemin, 01360 Çukurova/Adana</t>
  </si>
  <si>
    <t>60c13613d9132585f21f640a</t>
  </si>
  <si>
    <t>Tower Tatlı , Çukurova (Yüzüncü Yıl Mah.)</t>
  </si>
  <si>
    <t>nadiye çoban        5358192559</t>
  </si>
  <si>
    <t>yüzüncü yıl mah 85381 sok a blok no 53/1 b çukurova adana</t>
  </si>
  <si>
    <t>adem topal        5316968522</t>
  </si>
  <si>
    <t>DEVAM ÇEKİMİ</t>
  </si>
  <si>
    <t xml:space="preserve">mehtap yücel 3222472020 - İbrahim Bey ; 5526881340 </t>
  </si>
  <si>
    <t>Çukurova
Seyhan</t>
  </si>
  <si>
    <t>Hülya hanım 5412724241/ 3229993032</t>
  </si>
  <si>
    <t>alican halme        5414060124</t>
  </si>
  <si>
    <t>608ff3d1db8fbb2f9010e311</t>
  </si>
  <si>
    <t>Spicy Sucuk (Toros Mah.)</t>
  </si>
  <si>
    <t>yaşar say        5462212276</t>
  </si>
  <si>
    <t>toros mah 78006 sk meriç apt b blok no 2 a çukurova adana</t>
  </si>
  <si>
    <t>60259d2d55fa61292cfcb799</t>
  </si>
  <si>
    <t>Waffle Art, (Mahfesığmaz Mah.)</t>
  </si>
  <si>
    <t>Remziye hanım 5324641960</t>
  </si>
  <si>
    <t>MAHFESIĞMAZ MAH. TURGUT ÖZAL BLV. MAYAOĞLU APT. A BLOK NO: 135 F ÇUKUROVA/ ADANA</t>
  </si>
  <si>
    <t>60ab7c6f1d747dbaaa187bdf</t>
  </si>
  <si>
    <t>Hanımeli Sofrası (Çınarlı Mah. - Ziyapaşa Bul.)</t>
  </si>
  <si>
    <t>ZAFER KARATAŞ 5324658674/3224580709</t>
  </si>
  <si>
    <t>çınarlı mah ziyapaşa blv taştepe apt no 61 a seyhan adana (sum pastanesi karşısı)</t>
  </si>
  <si>
    <t>60550a3fc6a1186e0a8a5102</t>
  </si>
  <si>
    <t>Çarşı Özgür Döner (Çınarlı Mah.)</t>
  </si>
  <si>
    <t>hüseyin yalçın 5394100808</t>
  </si>
  <si>
    <t>kuruköprü mh inönü cd 71/a seyhan adana</t>
  </si>
  <si>
    <t>602654d0e70ceefe5fb937d9</t>
  </si>
  <si>
    <t>Yedi Yirmi Beş Yemek, Seyhan (Beşocak Mah.)</t>
  </si>
  <si>
    <t>Seyhan	Beşocak</t>
  </si>
  <si>
    <t>ibrahim beytekin        5445458329</t>
  </si>
  <si>
    <t>beşocak mah metro güzergahı blv no 135 a seyhan adana</t>
  </si>
  <si>
    <t>60847c88f372e1811924aa9a</t>
  </si>
  <si>
    <t>Aso Döner (Kurtuluş Mah. - Atatürk Cad.)</t>
  </si>
  <si>
    <t>Seyhan	Kayalıbağ</t>
  </si>
  <si>
    <t>hacı bey 5357307854</t>
  </si>
  <si>
    <t>kayalıbağ mah turhan cemal beriker blv kaloğlu işhanı no 27 / c seyhan adana</t>
  </si>
  <si>
    <t>5ff752f0292a61f3e5b13ff8</t>
  </si>
  <si>
    <t>Rengin Pastanesi, Çukurova (Güzelyalı Mah.)</t>
  </si>
  <si>
    <t>Sergun Bey/5326633666/4804440831</t>
  </si>
  <si>
    <t>güzelyalı mah uğur mumcu bulvarı adana kule apt altı no:2/a çukurova adana</t>
  </si>
  <si>
    <t xml:space="preserve">yusuf ortaçgülen     05336552384   </t>
  </si>
  <si>
    <t>607f3ed7d4c524317b62315f</t>
  </si>
  <si>
    <t>Boundary Coffee (Güzelyalı Mah.)</t>
  </si>
  <si>
    <t>uğur göktürk	5438601473</t>
  </si>
  <si>
    <t>güzelyalı mah uğur mumcu bulv no 36 c çukurova adana</t>
  </si>
  <si>
    <t>60d0f33870291c8654424539</t>
  </si>
  <si>
    <t>Dobos Food &amp; Drink , Çukurova (Güzelyalı Mah.)</t>
  </si>
  <si>
    <t>Dorukhan Bostancı/5343934669</t>
  </si>
  <si>
    <t>güzelyalı mah 81106 sok no 1 d çukurova adana</t>
  </si>
  <si>
    <t>16:00 randevusuna gidilmeden 1 saat önce kesinlikle aransın</t>
  </si>
  <si>
    <t>levent dağlı        5314843223</t>
  </si>
  <si>
    <t>606addd5d418364065d5b2a4</t>
  </si>
  <si>
    <t>Kardeş Lezzetler Unlu Mamülleri (Cemalpaşa mah.)</t>
  </si>
  <si>
    <t>Furkan Koçaklı        5498414805</t>
  </si>
  <si>
    <t>Cemalpaşa Mah. Gazipaşa Bul. Gazipaşa Apt Zemin Kat No 30 Seyhan Adana</t>
  </si>
  <si>
    <t>6068c05fea511aada565be77</t>
  </si>
  <si>
    <t>Sun Pastanesi (Kurtuluş Mah. - Ziyapaşa Blv.)</t>
  </si>
  <si>
    <t>Engin bey 5388206360</t>
  </si>
  <si>
    <t>çınarlı mah ziyapaşa blv no 76/c seyhan adana</t>
  </si>
  <si>
    <t>6087c5dc22a2d64a4e8d8f52</t>
  </si>
  <si>
    <t>Mr. Kütük Döner, Seyhan (Cemalpaşa Mah.-Sular Mevki)</t>
  </si>
  <si>
    <t>Cemil bey 5075228610</t>
  </si>
  <si>
    <t>Cemalpaşa mah 63005 Sk. no 32 Seyhan/Adana</t>
  </si>
  <si>
    <t>5fedaaa82ccf25435121fd29</t>
  </si>
  <si>
    <t>01 Cheff Adana</t>
  </si>
  <si>
    <t>Seyhan        Kurtuluş</t>
  </si>
  <si>
    <t>tolga sayılkan        3225033803</t>
  </si>
  <si>
    <t>kurtuluş mah demokrasi sk. gülbahçesi sit c blok no:27/m seyhan adana</t>
  </si>
  <si>
    <t>60c35ce25a0319012f4ab7bd</t>
  </si>
  <si>
    <t>Cakery No:12, Seyhan (Reşatbey Mah.)</t>
  </si>
  <si>
    <t>imge oflaz        5364960646</t>
  </si>
  <si>
    <t>Reşatbey, Talaslıoğlu Apartmanı, 62031. Sk. No:1/C, 01120 Seyhan/Adana</t>
  </si>
  <si>
    <t>60a26792cdfc1054829fca36</t>
  </si>
  <si>
    <t>Kare Fırın, Seyhan (Fatih Mah.)</t>
  </si>
  <si>
    <t>Seyhan	Fatih</t>
  </si>
  <si>
    <t>vedat aydın        5414774701</t>
  </si>
  <si>
    <t>fatih mahallesi mücahitler cd no:239/a seyhan adana</t>
  </si>
  <si>
    <t>60af971c521633e1bffc15bb</t>
  </si>
  <si>
    <t>Adıyamanlı Çiğ Köfteci Erdoğan Usta (Gürselpaşa Mah.)</t>
  </si>
  <si>
    <t>Erdoğan Bey/5425942705</t>
  </si>
  <si>
    <t>pınar mah mavi bulvar üzeri al sitesi b blok no 79/2 seyhan adana</t>
  </si>
  <si>
    <t>60cb124c381b50eecfc77fd4</t>
  </si>
  <si>
    <t>Antakya Sos Döner, Seyhan (Pınar Mah.)</t>
  </si>
  <si>
    <t>Ali Bey/5432412147</t>
  </si>
  <si>
    <t>pınar mah 74151 sk no 11/1 A seyhan adana</t>
  </si>
  <si>
    <t>kapalı semt pazarı karşısı</t>
  </si>
  <si>
    <t>musa coşkun        5396517339</t>
  </si>
  <si>
    <t>60b272f5f6e30aadd1d0a301</t>
  </si>
  <si>
    <t>Ozzy, Seyhan (Cemalpaşa Mah.)</t>
  </si>
  <si>
    <t>duygu gökerk        5428448370</t>
  </si>
  <si>
    <t>CEMALPAŞA MAH. ETHEM EKİN SK. ALTINBUKEN APT. NO: 32 İÇ KAPI NO: 1 SEYHAN/ ADANA</t>
  </si>
  <si>
    <t>nurettin karadal        3224597279</t>
  </si>
  <si>
    <t>608d965ec6f49173393d5ed2</t>
  </si>
  <si>
    <t>Sultan Tantuni, Seyhan (Cemalpaşa Mah.)</t>
  </si>
  <si>
    <t>bedi uğur havare        5306785826-05354269698</t>
  </si>
  <si>
    <t>Cemalpaşa mah 63005 sok no:9 Aksogan Apt, 01120 Seyhan/Adana</t>
  </si>
  <si>
    <t>5fe0ca7523ff89b4c3a74ee2</t>
  </si>
  <si>
    <t>Antiochia Döner, Seyhan (Gürselpaşa Mah.)</t>
  </si>
  <si>
    <t>ZÜLEYHA ATLAS	3222614242</t>
  </si>
  <si>
    <t>gürselpaşa mah 75646 sok no 2 seyhan adana</t>
  </si>
  <si>
    <t>6024169af4cd367fdc80da8a</t>
  </si>
  <si>
    <t>Ceylan Cafe, Seyhan (Kurtuluş Mah.)</t>
  </si>
  <si>
    <t>Seyhan/Kurtuluş</t>
  </si>
  <si>
    <t>Emirhan bey-ceylan gündeş/5442110232</t>
  </si>
  <si>
    <t>kurtuluş mah 64019 sok gülbahçesi sitesi c blok 27 seyhan adana zemin katında</t>
  </si>
  <si>
    <t>602721f33a2e4e6b65d17d17</t>
  </si>
  <si>
    <t>Acıktım Büfe, Seyhan (Kayalıbağ Mah.)</t>
  </si>
  <si>
    <t>Seyhan/kayalıbağ</t>
  </si>
  <si>
    <t>memduh birdir/5539373685/05451354565</t>
  </si>
  <si>
    <t>KAYALIBAĞ MAH. 26001 SK. NO: 1 E SEYHAN/ ADANA</t>
  </si>
  <si>
    <t>60ab83a73c8a9047235d87f4</t>
  </si>
  <si>
    <t>Bi'Tat Tantuni, Seyhan (Kurtuluş Mah. - Ziyapaşa Blv.)</t>
  </si>
  <si>
    <t>hakan canpolat	3224597700</t>
  </si>
  <si>
    <t>Seyhan, Kurtuluş Mahallesi, Göksel Tantuni, Ziyapaşa Bulvarı, Seyhan/Adana, 01120 Adana</t>
  </si>
  <si>
    <t xml:space="preserve">Çukurova
</t>
  </si>
  <si>
    <t>607d3f59748155445cdef8f5</t>
  </si>
  <si>
    <t>Pak Fırın (Mahfesığmaz Mah.)</t>
  </si>
  <si>
    <t>ahmet cihan dağbakan 3222350725/05453729638</t>
  </si>
  <si>
    <t>mahfesığmaz mah turgut özal bulvarı akın apt no 97 a çukurova adana</t>
  </si>
  <si>
    <t>60cf6ef83d4f628fd7324b2c</t>
  </si>
  <si>
    <t>Loby Çukurova , (Mahfesığmaz Mah.)</t>
  </si>
  <si>
    <t>mert bey 3222331626/05071148377</t>
  </si>
  <si>
    <t>mahfesığmaz mah kenan evren bulv no 32 iç kapı no d çukurova adana</t>
  </si>
  <si>
    <t>Diğer yetkililer fotoğraf çekimi yapmış.</t>
  </si>
  <si>
    <t>Zeynel Akbaba/5051654929</t>
  </si>
  <si>
    <t>60cf803e7761e5799d054248</t>
  </si>
  <si>
    <t>27 Tat Cafe , Çukurova (Yurt Mah.)</t>
  </si>
  <si>
    <t>zeynep topaloğlu        3222320040-5452370127</t>
  </si>
  <si>
    <t>yurt mah 71445 sok no 5 d çukurova adana</t>
  </si>
  <si>
    <t>60ba2b0599f04867ce41e82c</t>
  </si>
  <si>
    <t>Arı Ekspress Döner, Seyhan (Sümer Mah. - Barajyolu)</t>
  </si>
  <si>
    <t>badel avcılar	3228024172</t>
  </si>
  <si>
    <t>Sümer, mah Altun Blv. 1 B D:3, 01140 Seyhan/Adana</t>
  </si>
  <si>
    <t>60a6621352f92b5819d70cf0</t>
  </si>
  <si>
    <t>Köftehane Etsiz Çiğ Köfte, Seyhan (Tellidere Mah.)</t>
  </si>
  <si>
    <t>Seyhan	Tellidere</t>
  </si>
  <si>
    <t>ramazan toramantekin        5525588180</t>
  </si>
  <si>
    <t>Tellidere, Mücahitler Cd. No:224/c, 01160 Seyhan/Adana</t>
  </si>
  <si>
    <t>60149bbabb98bb30ff37b329</t>
  </si>
  <si>
    <t>Kilyos Balık ve Et (Sümer Mah.)</t>
  </si>
  <si>
    <t>hüseyin can	5442984100</t>
  </si>
  <si>
    <t>sümer mah 69083 sok no 3 a seyhan adana</t>
  </si>
  <si>
    <t>devretme durumları olduğu için iptal etmişler</t>
  </si>
  <si>
    <t>5fe9a329333ef5df88aef60f</t>
  </si>
  <si>
    <t>Pasta Canavarı (Pınar Mah)</t>
  </si>
  <si>
    <t>can montana        5445127366</t>
  </si>
  <si>
    <t>pınar mah ali bozdoğanoğlu bulv hilmi karaörs sit b blok no:42/a seyhan adana</t>
  </si>
  <si>
    <t>60d98e5c8b7ca9ddf5de2173</t>
  </si>
  <si>
    <t>Demirel Lezzet Durağı, Seyhan (Fatih Mah.)</t>
  </si>
  <si>
    <t>emine hanım 3222613130</t>
  </si>
  <si>
    <t>Fatih, Mücahitler Cd. 183/A, 01160 Seyhan/Adana</t>
  </si>
  <si>
    <t>60243b5f49682f1040a0d0e9</t>
  </si>
  <si>
    <t>O'Han Pizza , (Güzelyalı Mah. - Turgut Özal Blv.)</t>
  </si>
  <si>
    <t>orhan akyüz/	5309594547</t>
  </si>
  <si>
    <t>güzelyalı mah turgut özal bulv no 80 / c çukurova adana</t>
  </si>
  <si>
    <t>Ali bey 5345180408</t>
  </si>
  <si>
    <t>Mahfesığmaz, Turgut Özal Blv. 115/D, 01170 Çukurova/Adana</t>
  </si>
  <si>
    <t>İdris Esen/3222338233/5541905690</t>
  </si>
  <si>
    <t>mahfesığmaz mah kenan evren bulv no 36 çukurova adana</t>
  </si>
  <si>
    <t>608daf0ff372e1844825d8c2</t>
  </si>
  <si>
    <t>Tadım Kokoreç &amp; Şırdan, Çukurova (Güzelyalı Mah.)</t>
  </si>
  <si>
    <t>Çukurova / Beyazevler</t>
  </si>
  <si>
    <t>ihsan erdal/        5374275771</t>
  </si>
  <si>
    <t>güzelyalı mah 81008 sokak no 2 a çukurova adana</t>
  </si>
  <si>
    <t>60b4baf2b8aa7c519afefaec</t>
  </si>
  <si>
    <t>İstanbul Kadayıf Dünyası, Seyhan (Yeşiloba Mah.)</t>
  </si>
  <si>
    <t>Seyhan/ Yeşiloba</t>
  </si>
  <si>
    <t>elif hanım 05372774378</t>
  </si>
  <si>
    <t>yeşiloba mah 46003 sk no 17 18 adana iş merkezi  seyhan adana</t>
  </si>
  <si>
    <t>kesinlikle gidilsin</t>
  </si>
  <si>
    <t>606b11a43d414a62105abadf</t>
  </si>
  <si>
    <t>Sar Bana Bi Döner (Yeşiloba Mah.)</t>
  </si>
  <si>
    <t>Seyhan	Yeşiloba</t>
  </si>
  <si>
    <t>ozan karaköse /3224281808/5418544030</t>
  </si>
  <si>
    <t>yeşiloba mah sanayi yolu üzeriöz erciyes kuruyemiş yanı seyhan adana</t>
  </si>
  <si>
    <t>6004360d507e76ca4428edd6</t>
  </si>
  <si>
    <t>Tutkunum Hamur Sanatı, Seyhan (Barış Mah.)</t>
  </si>
  <si>
    <t>yakup yılmaz/05414381047</t>
  </si>
  <si>
    <t>barış mah vefa cad no:128/a seyhan adana</t>
  </si>
  <si>
    <t>602f81e4aa09e0832c2ab6e0</t>
  </si>
  <si>
    <t>Maxii Döner Cafe (Ova Mah.)</t>
  </si>
  <si>
    <t>Seyhan	Ova</t>
  </si>
  <si>
    <t>ferhat aka 5526659323</t>
  </si>
  <si>
    <t>OVA MAH. ŞAKİRPAŞA CAD. NO: 157 A SEYHAN/ ADANA</t>
  </si>
  <si>
    <t>fatih baykan-05364246898</t>
  </si>
  <si>
    <t>ulaşılamadı</t>
  </si>
  <si>
    <t>600607a335cc59bdcefd45d5</t>
  </si>
  <si>
    <t>Fırat Cafe Pandora, Çukurova (Mahfesığmaz Mah.)</t>
  </si>
  <si>
    <t xml:space="preserve">burak bey 5414191701 </t>
  </si>
  <si>
    <t>mahfesığmaz mah turgut özal blv akın apt no:97/c çukurova adana</t>
  </si>
  <si>
    <t>60c764adf4e3fb7c12958b9f</t>
  </si>
  <si>
    <t>Cemido Öz Dilek Pastanesi, Seyhan (Dumlupınar Mah.)</t>
  </si>
  <si>
    <t>Çukurova Seyhan</t>
  </si>
  <si>
    <t>ömer bey 5385270000</t>
  </si>
  <si>
    <t>dumlupınar mah kıbrıs cad no 97/A seyhan adana</t>
  </si>
  <si>
    <t>60be2d07f6cacd5f0925b459</t>
  </si>
  <si>
    <t>Aydın Gökçeli Döner Cafe, Seyhan (Kuruköprü Mah.)</t>
  </si>
  <si>
    <t>Seyhan/ Yeşilyurt</t>
  </si>
  <si>
    <t>erkan barış gökçeli/3224452554/5531137373"</t>
  </si>
  <si>
    <t>Kuruköprü mah. özler cad no 16/B aydın gökçeli  kafe</t>
  </si>
  <si>
    <t>60647c612eb4390bf5b6cbc5</t>
  </si>
  <si>
    <t>Aydın Gökçeli Pizza (Yeşilyurt Mah.)</t>
  </si>
  <si>
    <t>Seyhan/ Kuruköprü</t>
  </si>
  <si>
    <t>60c7a9c42af36124594ca3c4</t>
  </si>
  <si>
    <t>Cafe's , Seyhan (Cemalpaşa Mah.)</t>
  </si>
  <si>
    <t>Seyhan/Cemalpaşa</t>
  </si>
  <si>
    <t>suat kanber3224545450-5323087500</t>
  </si>
  <si>
    <t>cemalpaşa mah 63007 sok doktorlar sitesi c blok no27A  seyhan adana</t>
  </si>
  <si>
    <t>ramazan aslan        5302110700</t>
  </si>
  <si>
    <t>6014715a1b5f9b31bd20a7eb</t>
  </si>
  <si>
    <t>Burgerhome, Seyhan (Kurtuluş Mah.)</t>
  </si>
  <si>
    <t>gamze gümüşay/3222354462-5325144670</t>
  </si>
  <si>
    <t>kurtuluş mah şinasi efendi cad ikizler apt no 15 a seyhan adana</t>
  </si>
  <si>
    <t>607ed7af974e0832e20c4c09</t>
  </si>
  <si>
    <t>Ciğerci Hadi (Döşeme Mah.)</t>
  </si>
  <si>
    <t>Halil bey/3222550000-5457378932</t>
  </si>
  <si>
    <t>Döşeme mah 60054. Sk. No:2, 01130 Seyhan/Adana</t>
  </si>
  <si>
    <t>6063065cb71fbc0cc919823f</t>
  </si>
  <si>
    <t>Ağabey Döner (Yeşilyurt Mah. - İbo Osman Cad.)</t>
  </si>
  <si>
    <t>osman bayer3222268444-5444760172</t>
  </si>
  <si>
    <t>yeşilyurt mh iboosman cd küpeli apt no 137/E seyhan adana</t>
  </si>
  <si>
    <t>ömer bozağaç/5340731732</t>
  </si>
  <si>
    <t>adamın ilk randevusuna gidilmemiş gidilsin bu sefer yoksa randevu almaz bidaha</t>
  </si>
  <si>
    <t>601454f76c1642d7e590d3a2</t>
  </si>
  <si>
    <t>Fotografya Kare Pizza (Reşatbey Mah.)</t>
  </si>
  <si>
    <t>Selcuk bey 5324848068</t>
  </si>
  <si>
    <t>Reşatbey Mah Beş Ocak Cad No:36/A
 Seyhan/ADANA</t>
  </si>
  <si>
    <t>605ccbd14b0475de36589b4c</t>
  </si>
  <si>
    <t>Blackfish (Cemalpaşa Mah.)</t>
  </si>
  <si>
    <t>ibrahim bey 5326046420</t>
  </si>
  <si>
    <t xml:space="preserve">ahmet bey 5522455856  </t>
  </si>
  <si>
    <t>ezgi turan</t>
  </si>
  <si>
    <t>onur dilmen  05447691954</t>
  </si>
  <si>
    <t>60c35819f7e1f73ae8ba1573</t>
  </si>
  <si>
    <t>Hatice'nin Mutfağı Güzel Aş, Seyhan (Reşatbey Mah.)</t>
  </si>
  <si>
    <t>hasan ekici/5355466807</t>
  </si>
  <si>
    <t>reşatbey mah beşocak cd yeni saygın apt no 11 seyhan adana</t>
  </si>
  <si>
    <t>gökhan yıldızhan/5050387099</t>
  </si>
  <si>
    <t>5fdcf95c6b913e71c8a562c7</t>
  </si>
  <si>
    <t>Lebeni Seyhan (Kurtuluş Mah.)</t>
  </si>
  <si>
    <t>Mert Bilgen Kahya/5305754116</t>
  </si>
  <si>
    <t>Kurtuluş mahallesi ramazanoglu cad sedir apt altı 14/C</t>
  </si>
  <si>
    <t>Seyhan /Sucuzade</t>
  </si>
  <si>
    <t>Mustafa bey 5526590101</t>
  </si>
  <si>
    <t>sucuzade mah obalar cad no:95/b seyhan adana</t>
  </si>
  <si>
    <t>iki defa gidilmemiş gelinmezse birdaha istemiyor</t>
  </si>
  <si>
    <t>5ffe23ee4a4dfa3a5caba607</t>
  </si>
  <si>
    <t>7/C Ocakbaşı Gazipaşa,(Cemalpaşa Mah.)</t>
  </si>
  <si>
    <t>13:30 14:00</t>
  </si>
  <si>
    <t>Seyhan /Cemalpaşa</t>
  </si>
  <si>
    <t>tuğba 5321137755/3224546565</t>
  </si>
  <si>
    <t>cemalpaşa mah toros cad yeşil apt no:19/a seyhan adana</t>
  </si>
  <si>
    <t xml:space="preserve">Seyhan/Sümer </t>
  </si>
  <si>
    <t>Simge 05548778788</t>
  </si>
  <si>
    <t xml:space="preserve">barajj yolu boğalar avm yanı </t>
  </si>
  <si>
    <t>çekimlerine gidilmemiş kesin gidilsin</t>
  </si>
  <si>
    <t>Ahmet bey 5455660155</t>
  </si>
  <si>
    <t>607fed8479796fc8e55a55a8</t>
  </si>
  <si>
    <t>Sularım Murat Börekçisi (Namık Kemal Mah.)</t>
  </si>
  <si>
    <t>Oğur keskin	3224585522</t>
  </si>
  <si>
    <t>Namıkkemal mahallesi 65115 sokak menekşe evleri altı 19/d seyhan adana</t>
  </si>
  <si>
    <t>ilyas sehlikoğlu--05372070631</t>
  </si>
  <si>
    <t>arda hepsağ        3222710404-5347856518</t>
  </si>
  <si>
    <t>6026e63de70cee5859b95a1f</t>
  </si>
  <si>
    <t>Dörtyol Çelik Döner, (Tepebağ Mah. - Çakmak Cad.)</t>
  </si>
  <si>
    <t>Seyhan	Tepebağ</t>
  </si>
  <si>
    <t>Ali bey 5435444525/Tolga bey 5326001206</t>
  </si>
  <si>
    <t>tepebağ mah çakmak cad cevdet tuğberk işhanı no:90 a seyhan adana</t>
  </si>
  <si>
    <t>60b760396dda9e614ad2ae17</t>
  </si>
  <si>
    <t>Deniz Kardeşler Közde Döner, Seyhan (Dumlupınar Mah.)</t>
  </si>
  <si>
    <t>Seyhan/Dumlupınar</t>
  </si>
  <si>
    <t>celal bey 05367980149/5345768601</t>
  </si>
  <si>
    <t>Gülbahçesi Dumlupınar mahallesi, Obalar Cd no 390/a, 01050 Seyhan/Adana</t>
  </si>
  <si>
    <t>605cbe1a34f5ff789c56f248</t>
  </si>
  <si>
    <t>Ramos Döner (Pınar Mah.)</t>
  </si>
  <si>
    <t>Salih bey 05466621488/3222618282</t>
  </si>
  <si>
    <t>pınar mah mavi bulvar al sitesi c blok no 79 / 1 b seyhan adana</t>
  </si>
  <si>
    <t>601478d34e3bdf5eed67385c</t>
  </si>
  <si>
    <t>Eski Foça Balık (Gürselpaşa Mah.)</t>
  </si>
  <si>
    <t>Seyhan/Gürselpaşa</t>
  </si>
  <si>
    <t>azize hanım 05356838672/5535913791</t>
  </si>
  <si>
    <t>Gürselpaşa, Aliya İzzet Begoviç Blv No:24 D:F, 01200 Seyhan/Adana</t>
  </si>
  <si>
    <t>605a504ededd7880ef6c4815</t>
  </si>
  <si>
    <t>Can Can Kebap (Gürselpaşa Mah.)</t>
  </si>
  <si>
    <t>aydın parlakbileker        5397955905</t>
  </si>
  <si>
    <t>gürselpaşa mh 75268 sk no 13 seyhan adana</t>
  </si>
  <si>
    <t xml:space="preserve"> </t>
  </si>
  <si>
    <t>605ba958c18a3cb7c78ea6bd</t>
  </si>
  <si>
    <t>Paşam Döner (Bahçeşehir Mah.)</t>
  </si>
  <si>
    <t>banu gençel        5448187999</t>
  </si>
  <si>
    <t>bahçeşehir mh mehmet fuat dıblan blv 118/a seyhan adana</t>
  </si>
  <si>
    <t>60585e4294997b3393a549bb</t>
  </si>
  <si>
    <t>Kumrucu Ebosch's (Yeni Mah. - M1 Adana AVM)</t>
  </si>
  <si>
    <t xml:space="preserve">Seyhan/Yeni </t>
  </si>
  <si>
    <t>Ebru hanım 5413604895/5523559316</t>
  </si>
  <si>
    <t>yeni mh 87071 sk m1 adana avm f blok no 5/41 seyhan adana</t>
  </si>
  <si>
    <t>60c0b2522fd0ca584b66115b</t>
  </si>
  <si>
    <t>Tombiş Cafe, Seyhan (Yeni Mah.)</t>
  </si>
  <si>
    <t>mehmet bey 3222710102</t>
  </si>
  <si>
    <t>yeni mah 87071 sk no 48 a seyhan adana</t>
  </si>
  <si>
    <t>602c1e3c85b2c6a4d426448b</t>
  </si>
  <si>
    <t>Seyhan Paça (Cemalpaşa Mh)</t>
  </si>
  <si>
    <t>zülküf genç        222454378/5317054875</t>
  </si>
  <si>
    <t>cemalpaşa mh cevat yurdakul cd no 33 b seyhan adana</t>
  </si>
  <si>
    <t>6081c888c6f49166243bd48a</t>
  </si>
  <si>
    <t>Cafe Elica (Sümer Mah.)</t>
  </si>
  <si>
    <t>ümit tartar	5066995943</t>
  </si>
  <si>
    <t>sümer mah mavi bulvar abide sitesi a blok no 3/1A seyhan adana</t>
  </si>
  <si>
    <t>kadir bey 	5528864601</t>
  </si>
  <si>
    <t>sümer mah mavi bulvar muhtar sitesi no1 seyhan adana</t>
  </si>
  <si>
    <t>605cc5ad8b08d16a7efa6dbe</t>
  </si>
  <si>
    <t>Bin Esved Kebap &amp; Döner (Gürselpaşa Mah.)</t>
  </si>
  <si>
    <t>cuma çekirge	3222610506</t>
  </si>
  <si>
    <t>gürselpaşa mh 75268 sk no 17 seyhan adana</t>
  </si>
  <si>
    <t>602723d249e2e4577cf36426</t>
  </si>
  <si>
    <t>Tokana Mantı Evi, Seyhan (Reşatbey Mah.)</t>
  </si>
  <si>
    <t>Seyhan Reşatbey</t>
  </si>
  <si>
    <t>haydar erenler 5422575744</t>
  </si>
  <si>
    <t>cemalpaşa mah ethem ekin sokak yeşil köşk apt no 4 seyhan adana</t>
  </si>
  <si>
    <t>60152908caa06121ef7f660d</t>
  </si>
  <si>
    <t>Ptt 3 Kebap &amp; Lahmacun, Yüreğir (Atakent Mah.)</t>
  </si>
  <si>
    <t>Yüreğir	Atakent</t>
  </si>
  <si>
    <t>abdullah saylan	5051377547</t>
  </si>
  <si>
    <t>atakent mah afetevleri cad no9 yüreğir adana</t>
  </si>
  <si>
    <t>60099d43c795bd680d42a691</t>
  </si>
  <si>
    <t>Erdoğdu Kebap, Yüreğir (Levent Mah.)</t>
  </si>
  <si>
    <t>Yüreğir/Levent</t>
  </si>
  <si>
    <t>Musa Erdoğdu/3223463617-5424627036</t>
  </si>
  <si>
    <t>levent mah 1830 sk no :2 iç kapı a yüreğir adana</t>
  </si>
  <si>
    <t>6037b3c2f717328f374384be</t>
  </si>
  <si>
    <t>Hünkar Döner (Tahsilli Mah.)</t>
  </si>
  <si>
    <t>Yüreğir/Tahsilli</t>
  </si>
  <si>
    <t>hasan bey5322320535</t>
  </si>
  <si>
    <t>tahsilli mh kozan cd no 265 iç kapı no a yüreğir adana</t>
  </si>
  <si>
    <t>601554f1f8fb0bde31fa2b19</t>
  </si>
  <si>
    <t>Gökçeli Express, Yüreğir (Cumhuriyet Mah.)</t>
  </si>
  <si>
    <t>17:00-17:30</t>
  </si>
  <si>
    <t>Yüreğir  /Cumhuriyet</t>
  </si>
  <si>
    <t>Uğur Gökçeli/5318580000</t>
  </si>
  <si>
    <t>CUMHURİYET MAH. KARATAŞ BLV. NO: 23 İÇ KAPI NO: A YÜREĞİR/ ADANA</t>
  </si>
  <si>
    <t>60d63e04f2d80c0928254778</t>
  </si>
  <si>
    <t>Gaziantep Kebap &amp; Lahmacun (Yeşilyurt Mah. - Karaafat Cad.)</t>
  </si>
  <si>
    <t>seyhan/Yeşilyurt</t>
  </si>
  <si>
    <t>mustafa çakallıoğlu/5357383283-3222282821</t>
  </si>
  <si>
    <t>Yeşilyurt, Karaafat Cd 72/B, 01150 Seyhan/Adana</t>
  </si>
  <si>
    <t>606464f853493f47d1d50c1b</t>
  </si>
  <si>
    <t>Özlem Döner (Pınar Mah.)</t>
  </si>
  <si>
    <t>özlem elinç/Vahap bey  3222611000/5437202317</t>
  </si>
  <si>
    <t>pınar mah nazım hikmet cd no83 a seyhan adana</t>
  </si>
  <si>
    <t>melek hanım        5318567711</t>
  </si>
  <si>
    <t>mahmut bey/5531662926</t>
  </si>
  <si>
    <t>608738e774b64775b4740a66</t>
  </si>
  <si>
    <t>Nar Döner (Bahçeşehir Mah.)</t>
  </si>
  <si>
    <t>"Seyhan	Bahçeşehir"</t>
  </si>
  <si>
    <t>cevdet akan        5425279201</t>
  </si>
  <si>
    <t>bahçeşehir mah mehmet fuat dıblan blv no 160 a seyhan adana</t>
  </si>
  <si>
    <t>6062e8292f111e28cd8d5a94</t>
  </si>
  <si>
    <t>Fırın Adana Pizzalona, Yüreğir (Kışla Mah.)</t>
  </si>
  <si>
    <t>Yüreğir	Kışla</t>
  </si>
  <si>
    <t>mehmet koçaklı   3223440707  // 05301086601 esat bey</t>
  </si>
  <si>
    <t>kışla mahallesi 4389 sokak no 33 toki iş merkezi seyhan adana</t>
  </si>
  <si>
    <t>601560320a16ee646fe17e35</t>
  </si>
  <si>
    <t>Keyif Gültekin Restoran (Kışla Mah.)</t>
  </si>
  <si>
    <t>bünyamin düşmez        5413527217</t>
  </si>
  <si>
    <t>kışla mah mithat özsan bulv şehir hastanesi yüreğir adana</t>
  </si>
  <si>
    <t>6080604910bf22055bb72a7c</t>
  </si>
  <si>
    <t>Gönül Kebap (Yavuzlar Mah.)</t>
  </si>
  <si>
    <t>Yüreğir Yavuzlar</t>
  </si>
  <si>
    <t>fadime çağ/ orhan bey 3223231715</t>
  </si>
  <si>
    <t>Yavuzlar Mahallesi Orhan Kemal Bulvarı 229/a yüreğir adana</t>
  </si>
  <si>
    <t>60152fa4d22e22aebbb5c940</t>
  </si>
  <si>
    <t>Ptt Kebap, Yüreğir (Kışla Mah.)</t>
  </si>
  <si>
    <t>muhammed saylan        5051254865</t>
  </si>
  <si>
    <t>kışla mah 4525 sok no 4 yüreğir adana</t>
  </si>
  <si>
    <t>bütün randevuları 1 gün önceden arayıp teyit etmemiz gerek</t>
  </si>
  <si>
    <t>5ff5c24d8d8b88e4d70ece67</t>
  </si>
  <si>
    <t>Ustam Ev Yemekleri (Kurtuluş Mah.)</t>
  </si>
  <si>
    <t>Ayşe hanım 5520292283/5528830146</t>
  </si>
  <si>
    <t>kurtuluş mah demokrasi sokak gülbahcesi sitesi no:27/r seyhan adana</t>
  </si>
  <si>
    <t>60148bbfe3c69c6e6683118a</t>
  </si>
  <si>
    <t>Kuruköprü Kanatçısı Seyhan (Meydan Mah.)</t>
  </si>
  <si>
    <t>Seyhan/Meydan</t>
  </si>
  <si>
    <t>Selcuk bey 5416325282/05424721292</t>
  </si>
  <si>
    <t>istiklal caddesi meydan çocuk hastanesi karşısı</t>
  </si>
  <si>
    <t xml:space="preserve">Seyhan /Reşatbey </t>
  </si>
  <si>
    <t>Esin hanım 5423160395</t>
  </si>
  <si>
    <t>608bc5aff372e10af6257d2b</t>
  </si>
  <si>
    <t>Tarihi Nuri Has Kebapçısı (Kuruköprü Mah. - Küçüksaat)</t>
  </si>
  <si>
    <t>Sülayman bey 5327074767</t>
  </si>
  <si>
    <t>Karasoku, 28007. Sk. No:10, 01010 Seyhan/Adana</t>
  </si>
  <si>
    <t>60b7786e4c7b7b37dbe276a1</t>
  </si>
  <si>
    <t>Yeni Köşem Döner, Yüreğir (Sarıçam Mah.)</t>
  </si>
  <si>
    <t>Yüreğir	Sarıçam</t>
  </si>
  <si>
    <t>Serhat bey 05050745002/3223217788</t>
  </si>
  <si>
    <t>sarıçam mah kozan caddesi no 262 iç kapı no d yüreğir adana</t>
  </si>
  <si>
    <t>5ff41f6cce622ffbd7cd4177</t>
  </si>
  <si>
    <t>Anadolu Etaş Döner (Yüreğir)</t>
  </si>
  <si>
    <t>Yüreğir	Kazım Karabekir</t>
  </si>
  <si>
    <t>ayhan akın	3223440505/5427212825</t>
  </si>
  <si>
    <t>kazım karabekir mah mustafa kemal paşa bulv. no:40/z01</t>
  </si>
  <si>
    <t>607ed4dd191de08434a256da</t>
  </si>
  <si>
    <t>Çiğ Köfte Türkiye (Dadaloğlu Mah.)</t>
  </si>
  <si>
    <t>Yüreğir	Dadaloğlu</t>
  </si>
  <si>
    <t>erdal çelik        5388448763/5349734197</t>
  </si>
  <si>
    <t>dadaloğlu mah kozan cd no 343/B iç kapı no a yüreğir adana</t>
  </si>
  <si>
    <t>12:0014:00 randevusunun mesafesi 11 dk çukurova gözüküyor ama uzak değil:)</t>
  </si>
  <si>
    <t>6024086e65de177d09dba878</t>
  </si>
  <si>
    <t>Köse, Çukurova ( Yüzüncü Yıl )</t>
  </si>
  <si>
    <t>zahit uludağ/5384174747</t>
  </si>
  <si>
    <t>yüzüncü yıl mah fazlı meto bulv bina no 60 işyeri no 30 çukurova adana</t>
  </si>
  <si>
    <t>608072067f0e464842033aed</t>
  </si>
  <si>
    <t>Ateş Ocakbaşı (Bahçeşehir Mah.)</t>
  </si>
  <si>
    <t>Seyhan/Bahçeşehir</t>
  </si>
  <si>
    <t>Hamdullah bey/5308726803</t>
  </si>
  <si>
    <t>bahçeşehir mah mehmet fuat dıblan blv no 67/a seyhan adana</t>
  </si>
  <si>
    <t>603c0216605768d28635a501</t>
  </si>
  <si>
    <t>By Usta Döner (Gürselpaşa Mah.)</t>
  </si>
  <si>
    <t>abdülkerim eniz/5385823424</t>
  </si>
  <si>
    <t>gürselpaşa mh 6. cd no 27 b iç kapı no - seyhan adana</t>
  </si>
  <si>
    <t>fatih mutlu/5449273756</t>
  </si>
  <si>
    <t>12:00-14:00 lokasyonu birazcık uzak saat süresi uzatıldı:)</t>
  </si>
  <si>
    <t>6034f834768a978f12352d5e</t>
  </si>
  <si>
    <t>Baraj Cafe (Yeni Baraj Mah.)</t>
  </si>
  <si>
    <t>Yalçın bey/5320632214</t>
  </si>
  <si>
    <t>mağfe sığmaz mah 79077 sokak 7 a</t>
  </si>
  <si>
    <t>deniz can gülli/3224599062-5367492062</t>
  </si>
  <si>
    <t>60c0b605af36ebda6a85a26f</t>
  </si>
  <si>
    <t>Extrem Hot PizzBurger, Seyhan (Demetevler Mah.)</t>
  </si>
  <si>
    <t>Seyhan/Demetevler</t>
  </si>
  <si>
    <t>SEYFETTİN TOLGA APAYDIN/5360383382-5528790799</t>
  </si>
  <si>
    <t>demetevler mah mehmet akif ersoy caddesi no 13 seyhan adana</t>
  </si>
  <si>
    <t>6080641c4520f4c3639a3927</t>
  </si>
  <si>
    <t>Gökçeli Express (Meydan Mah. - Kıbrıs Cad.)</t>
  </si>
  <si>
    <t>güven yılmaz/3224330808-5066540422</t>
  </si>
  <si>
    <t>meydan mah kıbrıs cd no 42 b seyhan adana</t>
  </si>
  <si>
    <t>Çukurova/Beyazevler</t>
  </si>
  <si>
    <t>ismail aydoğdu/5399142636</t>
  </si>
  <si>
    <t>daha önce çekimine gidilmemiş kesin gidilsin</t>
  </si>
  <si>
    <t>60d627d311c71a88dcd72550</t>
  </si>
  <si>
    <t>Cajun Home , Çukurova (Güzelyalı Mah. - Turgut Özal Blv.)</t>
  </si>
  <si>
    <t>rahmetullah özdemir/5076144272/3222349404</t>
  </si>
  <si>
    <t>güzelyalı mah 81106 sok Gümüş apt no:1/a çukurova adana</t>
  </si>
  <si>
    <t>mustafa bey/5558657375</t>
  </si>
  <si>
    <t>60e58617e0fe8ea0aa193b90</t>
  </si>
  <si>
    <t>Köfte &amp; Piyaz , Çukurova (Mahfesığmaz Mah.)</t>
  </si>
  <si>
    <t>çilem ılgın akartürk/5536288275</t>
  </si>
  <si>
    <t>MAHFESIĞMAZ MAH. ŞEHİTLER BLV. NO: 44 A ÇUKUROVA/ ADANA/damar arık oğlu bulvarı</t>
  </si>
  <si>
    <t>603f8cdbfc13be0e9c5bd81c</t>
  </si>
  <si>
    <t>ÇD Döner (Selahattin Eyyubi Mah.)</t>
  </si>
  <si>
    <t>Yüreğir	Selahattin Eyyubi</t>
  </si>
  <si>
    <t>Ayşe Gültekin  3223293857/5442213857</t>
  </si>
  <si>
    <t>selahattin eyyübi mah. m.kemal paşa blv. no 125 iç kapı no a yüreğir adana</t>
  </si>
  <si>
    <t>604d2e728c32344fca1d5201</t>
  </si>
  <si>
    <t>Çiğ Köfte Konağı (Serinevler Mah.)</t>
  </si>
  <si>
    <t>Yüreğir/Serinevler</t>
  </si>
  <si>
    <t>emre yonsul/5466600908</t>
  </si>
  <si>
    <t>serinevler mh m.kemalpaşa blv no 106 yüreğir adana</t>
  </si>
  <si>
    <t>60afacb1ed69072ecfa1121d</t>
  </si>
  <si>
    <t>Cafelim Börek ve Döner Salonu, Yüreğir (Ulubatlı Hasan Mah.)</t>
  </si>
  <si>
    <t>Yüreğir/Ulubatlı Hasan</t>
  </si>
  <si>
    <t>hamza abalı/5428207683</t>
  </si>
  <si>
    <t>ulubatlı hasan mh kozan blv 658/C yüreğir adana</t>
  </si>
  <si>
    <t>6050e810808b162fddc1a26b</t>
  </si>
  <si>
    <t>Elibol Döner (Atakent Mah.)</t>
  </si>
  <si>
    <t>Yüreğir/Atakent</t>
  </si>
  <si>
    <t>burak elibol/5525300528</t>
  </si>
  <si>
    <t>Atakent mah. 2245. Sk. 01260 Yüreğir/Adana</t>
  </si>
  <si>
    <t>60e4b1bd8c56d0ec304af8bc</t>
  </si>
  <si>
    <t>Tadım Pasta &amp; Cafe, Çukurova (Yüzüncü Yıl Mah.)</t>
  </si>
  <si>
    <t>erkan karakaya/5315809815</t>
  </si>
  <si>
    <t>yüzüncü yıl mah hacı bektaş veli bulv no 16 f çukurova adana</t>
  </si>
  <si>
    <t>60e4b3790776778197920969</t>
  </si>
  <si>
    <t>Erkan Chef, Çukurova (Belediyeevleri Mah.)</t>
  </si>
  <si>
    <t>dilek acar/5079090494</t>
  </si>
  <si>
    <t>belediye evleri mah 84176 sok no 4-6 c çukurova adana</t>
  </si>
  <si>
    <t>adem topal-5316968522</t>
  </si>
  <si>
    <t>60e58d289962131c33b3bed6</t>
  </si>
  <si>
    <t>Reşatbeyli Tatlıcı Zeki, Çukurova (Güzelyalı Mah.)</t>
  </si>
  <si>
    <t>aytek bey/5443831982-3222347172</t>
  </si>
  <si>
    <t>Güzelyalı, Anadolu Lisesi Cad. Huzur Apt. Altı D:No. 8/A, 01170 Çukurova/Adana</t>
  </si>
  <si>
    <t>mehmet bey/5528081189-3222110010</t>
  </si>
  <si>
    <t>60636229b71fbc8b50198ca9</t>
  </si>
  <si>
    <t>Bereket Sofrası Kebap &amp; Lahmacun &amp; Pide (Güzelyalı Mah.)</t>
  </si>
  <si>
    <t>esra erkiş/05370282322</t>
  </si>
  <si>
    <t>güzelyalı mah 81173 sok açelya apt no 3 a çukurova adana</t>
  </si>
  <si>
    <t>60e4b52d20baee651a7f4e85</t>
  </si>
  <si>
    <t>Gaudi Dondurma, Çukurova (Mahfesığmaz Mah. - Turgut Özal Blv.)</t>
  </si>
  <si>
    <t>evrim kılıç özdemir/5057596938</t>
  </si>
  <si>
    <t>mahfesığmaz mah turgut özal bulvarı no 95 a çukurova adana</t>
  </si>
  <si>
    <t>60e4b70a6c6e9f6fdb6b7041</t>
  </si>
  <si>
    <t>Emre Büfe, Çukurova (Mahfesığmaz Mah. - Kenan Evren Blv.)</t>
  </si>
  <si>
    <t>döndü korkmaz/5078564488</t>
  </si>
  <si>
    <t>mahfesığmaz mah kenan evren bulv no 54 / 1 a çukurova adana</t>
  </si>
  <si>
    <t>2 yerde Sarıçam oalcak</t>
  </si>
  <si>
    <t>sarıçam</t>
  </si>
  <si>
    <t>erteleme yapılacak</t>
  </si>
  <si>
    <t>60b9ff93c01be0581d3cdff4</t>
  </si>
  <si>
    <t>Doyum Döner Cafe, Sarıçam (Gültepe Mah.)</t>
  </si>
  <si>
    <t>Sarıçam/Gültepe</t>
  </si>
  <si>
    <t>hüseyin dike/5550971750</t>
  </si>
  <si>
    <t>gültepe mah 611 sk no 3 iç kapı no a sarıçam adana</t>
  </si>
  <si>
    <t>ulasılmadı</t>
  </si>
  <si>
    <t>603f638ca64e33a1414dba4d</t>
  </si>
  <si>
    <t>Ali Şef Tavuk (Gültepe Mah.)</t>
  </si>
  <si>
    <t>metin can çapanoğlu/5360669364</t>
  </si>
  <si>
    <t>gültepe mh çatalan cd no 136 F sarıçam adana</t>
  </si>
  <si>
    <t>ileri tarihte istiyor</t>
  </si>
  <si>
    <t>603386656a39b5829c6e7281</t>
  </si>
  <si>
    <t>Past&amp;Hanem (Gültepe Mah.)</t>
  </si>
  <si>
    <t>serdal bey/5068971356</t>
  </si>
  <si>
    <t>gültepe mh 914 sk no 2 b sarıçam adana</t>
  </si>
  <si>
    <t xml:space="preserve">geri donuş </t>
  </si>
  <si>
    <t>60b2077cd13b385f81a960b0</t>
  </si>
  <si>
    <t>Sarıçam Sıcak Tatlı &amp; Baklava, Sarıçam (Gültepe Mah.)</t>
  </si>
  <si>
    <t>bayram kiş/5354408881</t>
  </si>
  <si>
    <t>gültepe mah 856 sk kampüs deluxe apt a blok no 23 sarıçam adana</t>
  </si>
  <si>
    <t>seyhan</t>
  </si>
  <si>
    <t>10.30</t>
  </si>
  <si>
    <t>Seyhan        Çınarlı</t>
  </si>
  <si>
    <t>hüseyin yalçın/3223633282</t>
  </si>
  <si>
    <t>Seyhan        Reşatbey</t>
  </si>
  <si>
    <t>hüseyin yücel/3224573363</t>
  </si>
  <si>
    <t>Seyhan        Cemalpaşa</t>
  </si>
  <si>
    <t>mustafa ağırman/3228880809</t>
  </si>
  <si>
    <t>605a525e80cc1c9bf02602f2</t>
  </si>
  <si>
    <t>Alya Bakery (Gürselpaşa Mah.)</t>
  </si>
  <si>
    <t>tuba zarif        5304261510</t>
  </si>
  <si>
    <t>gürselpaşa mh 75530 sk gold plus city sitesi b blok no 5/24 seyhan adana</t>
  </si>
  <si>
    <t>çukurova</t>
  </si>
  <si>
    <t>Saat 11:30 randevu notuna bakar mısınız</t>
  </si>
  <si>
    <t>Tombiş Cafe (toros mah.)</t>
  </si>
  <si>
    <t>Çukurova/ Toros</t>
  </si>
  <si>
    <t>randevu saatinde gidilmesini rica ediyor</t>
  </si>
  <si>
    <t>savaş sezgin        5538954901</t>
  </si>
  <si>
    <t>60635df0b48e84d2bf443d9e</t>
  </si>
  <si>
    <t>Doy Doy (Güzelyalı Mah. - Süleyman Demirel Blv.)</t>
  </si>
  <si>
    <t>ali yıldırım        3222394900/5372507223/05436964318</t>
  </si>
  <si>
    <t>kurttepe mah süleyman demirel bulv no 84 c çukurova adana</t>
  </si>
  <si>
    <t>sevgi ünaldı/Murat bey        5052582015</t>
  </si>
  <si>
    <t>Devam çekimi</t>
  </si>
  <si>
    <t>60ed84e34758480b8ee1bae1</t>
  </si>
  <si>
    <t>Burger Taxi, Sarıçam (Gültepe Mah.)</t>
  </si>
  <si>
    <t>Sarıçam/GÜLTEPE</t>
  </si>
  <si>
    <t>MEHMET ALİ ASLAN3224502400</t>
  </si>
  <si>
    <t>gültepe mah 886 sk no 3 A sarıçam adana</t>
  </si>
  <si>
    <t>6014b4853a747816b6609716</t>
  </si>
  <si>
    <t>Çelikler Lokantası, Sarıçam (Mehmet Akif Ersoy Mah.)</t>
  </si>
  <si>
    <t>Sarıçam/Mehmet Akif Ersoy 1. Bölge</t>
  </si>
  <si>
    <t>bekir cihan/5453903078</t>
  </si>
  <si>
    <t>mehmet akif ersoy cad kozan bulvarı no 764 sarıçam adana</t>
  </si>
  <si>
    <t>6015485bf8fb0b3741fa2924</t>
  </si>
  <si>
    <t>Alâ Döner &amp; Pizza, Sarıçam (Çarkıpare Mah.)</t>
  </si>
  <si>
    <t xml:space="preserve">Sarıçam/çarkıpare </t>
  </si>
  <si>
    <t>ferhat aslan/5388725516</t>
  </si>
  <si>
    <t>çarkıpare mah çatalan cad no 214 a sarıçam adana</t>
  </si>
  <si>
    <t>60ab7a84d3424563a04614f7</t>
  </si>
  <si>
    <t>Rüya Döner, Sarıçam (Gültepe Mah.)</t>
  </si>
  <si>
    <t>fidan kaya/5434315454 ertan bey</t>
  </si>
  <si>
    <t>Gültepe Mah. Çatalan cad 59/B Sarıçam-Adana</t>
  </si>
  <si>
    <t>6064667cb48e84659c44d1b7</t>
  </si>
  <si>
    <t>Adana Kebap &amp; Çorba (Yeşiltepe Mah.)</t>
  </si>
  <si>
    <t>ramazan ercan/5325106107-3223441444</t>
  </si>
  <si>
    <t>yeşiltepe mh çatalan cd no 48 sarıçam adana</t>
  </si>
  <si>
    <t>6068c2b1e693b73eb1644dfe</t>
  </si>
  <si>
    <t>Sev Al Cafe Döner (Esentepe Mah.)</t>
  </si>
  <si>
    <t xml:space="preserve">Sarıçam / esentepe </t>
  </si>
  <si>
    <t>orhan büyükhan / 3223418282</t>
  </si>
  <si>
    <t>esentepe mah 3023 sk türk telekom no 3 sarıçam adana</t>
  </si>
  <si>
    <t>Sarıçam        Gültepe</t>
  </si>
  <si>
    <t>metin can çapanoğlu        5360669364</t>
  </si>
  <si>
    <t>6076f807d4c52441976104b8</t>
  </si>
  <si>
    <t>01 Sarıçam Tantuni (Esentepe Mah.)</t>
  </si>
  <si>
    <t>Sarıçam        Şahintepe</t>
  </si>
  <si>
    <t>emine hanım/ 05051117300</t>
  </si>
  <si>
    <t>esentepe mah kozan caddesi 161 d sarıçam adana</t>
  </si>
  <si>
    <t>6014841467e56206ac85768a</t>
  </si>
  <si>
    <t>Gözde Döner, Seyhan (Hürriyet Mah.)</t>
  </si>
  <si>
    <t>hasan dağ/5522790205</t>
  </si>
  <si>
    <t>KARASOKU MAH. SAYDAM CAD. NO: 23 A SEYHAN/ ADANA</t>
  </si>
  <si>
    <t>tam saatinde işletme de olunması gerek sonrasında kabul edemem dedi</t>
  </si>
  <si>
    <t>602c099dc20d0464f54fb2f6</t>
  </si>
  <si>
    <t>Taxim Döner (Kuruköprü Mah.)</t>
  </si>
  <si>
    <t>Seyhan/Kuruköprü</t>
  </si>
  <si>
    <t>tuba akkuş-mehmet bey/5524831701</t>
  </si>
  <si>
    <t>kuru köprü mh inönü cd aslanoğlu iş merk no 73A seyhan adana</t>
  </si>
  <si>
    <t>60d98b0d240a9705be5cacf7</t>
  </si>
  <si>
    <t>Barajyolu Pizza (Sümer Mah.)</t>
  </si>
  <si>
    <t>Seyhan        Sümer</t>
  </si>
  <si>
    <t>nurullah gök        3222281214</t>
  </si>
  <si>
    <t>Sümer mah Bülent angın Bulvarı site apt seyhan adana</t>
  </si>
  <si>
    <t>6062d3a71d92b24282746d02        Yıldızoğlu Kebap &amp; Lahmacun (Yeşilevler Mah.)</t>
  </si>
  <si>
    <t>Seyhan	Yeşilevler</t>
  </si>
  <si>
    <t>mehmet ercan eralp	3224334400</t>
  </si>
  <si>
    <t>Yıldızoğlu Kebap ve Lahmacun Salonu Mehmet Akif Ersoy Cad N 39/A YEŞİLEVLER/DEMETEVLER MAH SEYHAN/ADANA</t>
  </si>
  <si>
    <t>özcan sergun gümüşay        03224440831</t>
  </si>
  <si>
    <t xml:space="preserve">602455c8cb7fffe69f20c0bd   </t>
  </si>
  <si>
    <t xml:space="preserve">    Öz Star Börekçilik,(Toros Mah. - Turgut Özal Blv.</t>
  </si>
  <si>
    <t>NEVZAT KARDAŞ        3222310085</t>
  </si>
  <si>
    <t>neslihan serçe        5376389416</t>
  </si>
  <si>
    <t xml:space="preserve"> DEVAM ÇEKİMİ</t>
  </si>
  <si>
    <t>nihal çetin        5386466545</t>
  </si>
  <si>
    <t>çukurova güzelyalı</t>
  </si>
  <si>
    <t xml:space="preserve"> 5457477171 nilüfer erçelik</t>
  </si>
  <si>
    <t>60f295e59aeb4eea1bf71a4c</t>
  </si>
  <si>
    <t>Karataş Balıkçısı Ömer , Çukurova (Belediye Evleri Mah.)</t>
  </si>
  <si>
    <t>Hamit ELMAS 05414750163</t>
  </si>
  <si>
    <t>BELEDİYE EVLERİ MAHALLESİ 84029 SOKAK TAN APARTMANI B BLOK NO:2/1F</t>
  </si>
  <si>
    <t>60d79724d48ae4249e31e7ab</t>
  </si>
  <si>
    <t>Sumac Döner , Çukurova (Yüzüncü Yıl Mah.)</t>
  </si>
  <si>
    <t>Deniz 5441523852</t>
  </si>
  <si>
    <t>yüzüncü yıl bulvarı fazlı meto bulvarı 89/b çukurova adana</t>
  </si>
  <si>
    <t>yusuf ortaçgülen	3222332545-05336552384</t>
  </si>
  <si>
    <t>60e57f090e590f11c935246b</t>
  </si>
  <si>
    <t>Çiğ Köfte Deryası , Çukurova (Belediye Evleri Mah.)</t>
  </si>
  <si>
    <t>umut can tekin	5364403889</t>
  </si>
  <si>
    <t>belediye evleri mah 84172 sok no 4 b iç kapı no 1 çukurova adana</t>
  </si>
  <si>
    <t>3223633282/05074429224</t>
  </si>
  <si>
    <t>6102bb6dc95303025d1c7fcf</t>
  </si>
  <si>
    <t>Bi Yer Döner &amp; İskender Cafe, Seyhan (Gazipaşa Mah.)</t>
  </si>
  <si>
    <t>Seyhan        Gazipaşa</t>
  </si>
  <si>
    <t>tayfun turmuş        5383250116</t>
  </si>
  <si>
    <t>GAZİPAŞA MAH. 66036 SK. TUĞBA APT A BLOK NO: 11 A SEYHAN/ ADANA</t>
  </si>
  <si>
    <t>60fc04f42d651c14a37f0863</t>
  </si>
  <si>
    <t>Ramocan Pide &amp; Lahmacun, Seyhan (Gülbahçesi Mah.)</t>
  </si>
  <si>
    <t>Seyhan        Gülbahçesi</t>
  </si>
  <si>
    <t>ENES ÇELİK        5331441753</t>
  </si>
  <si>
    <t>GÜLBAHÇESİ MAH. OBALAR CAD. NO: 582 A SEYHAN/ ADANA</t>
  </si>
  <si>
    <t>Seyhan        Yenibaraj</t>
  </si>
  <si>
    <t>Mehmet Sayılık        5424757623/5424757623</t>
  </si>
  <si>
    <t>60b4b14bc0091b21497a8a0a</t>
  </si>
  <si>
    <t>Balıkçı Seyit Usta'nın Yeri, Seyhan (Pınar Mah.)</t>
  </si>
  <si>
    <t>Seyhan        Pınar</t>
  </si>
  <si>
    <t>elif elmas        5323906301</t>
  </si>
  <si>
    <t>Pınar, Pınar Mah. Türkmenbaşı Bulvarı, 74191. Sk. No: 3, 01160 Seyhan/Adana</t>
  </si>
  <si>
    <t>610107c9c17b1102b12f0822</t>
  </si>
  <si>
    <t>Ramos Döner, Seyhan (Pınar Mah.)</t>
  </si>
  <si>
    <t>abdullah kılıç        3222618282</t>
  </si>
  <si>
    <t>kemal arıkan	5380443909</t>
  </si>
  <si>
    <t xml:space="preserve">5fe5c2c9333ef55a95ae6d4c        </t>
  </si>
  <si>
    <t>Ateş Midye, Seyhan (Kurtuluş Mah.)</t>
  </si>
  <si>
    <t>gökhan ateş        5309024909</t>
  </si>
  <si>
    <t>kurtuluş mah m. sabuncu blv. no:58/a seyhan adana</t>
  </si>
  <si>
    <t>60a264aac4c262f4997e74e0</t>
  </si>
  <si>
    <t>Miraç Pasta &amp; Fırın (Gültepe Mah.)</t>
  </si>
  <si>
    <t>Sarıçam	Gültepe</t>
  </si>
  <si>
    <t>ruhat karakurt        5465520163</t>
  </si>
  <si>
    <t>Gültepe MAh. 717 sk nurettin baş sitesi a blok no 2 a iç kapı no 1 sarıçam adana</t>
  </si>
  <si>
    <t>602fdf62c85ce46efc858a10</t>
  </si>
  <si>
    <t>California, Sarıçam (Gültepe Mah.)</t>
  </si>
  <si>
    <t>Sarıçam        Sarıçam</t>
  </si>
  <si>
    <t>hakan yüzbaş        3225025555-05525022555-5073888888</t>
  </si>
  <si>
    <t>gültepe mh çatalan cd no 222/d sarıçam adana</t>
  </si>
  <si>
    <t>60b21e70da7e0ef54107ed04</t>
  </si>
  <si>
    <t>Köftehane Etsiz Çiğ Köfte, Sarıçam (Osmangazi Mah.)</t>
  </si>
  <si>
    <t>Sarıçam	Osmangazi</t>
  </si>
  <si>
    <t>burhan kar        5050238236</t>
  </si>
  <si>
    <t>Osmangazi Mah.2008 Sk. Toki İş Merkezi No:3/B, 01000 Sarıçam/Adana</t>
  </si>
  <si>
    <t xml:space="preserve">60b2077cd13b385f81a960b0 </t>
  </si>
  <si>
    <t>bayram kiş	5354408881</t>
  </si>
  <si>
    <t>5ffdf0ed4a4dfa18bdab9f76</t>
  </si>
  <si>
    <t>Ceyhan Ocakbaşı,(Namık Kemal Mah.)</t>
  </si>
  <si>
    <t>Seyhan Namıkpaşa</t>
  </si>
  <si>
    <t>Mustafa AĞBAYRAM 5079580101</t>
  </si>
  <si>
    <t>namık kemal mah mücahitler cad no:102/a seyhan adana</t>
  </si>
  <si>
    <t>5fde811ed108fc858a2bc16d</t>
  </si>
  <si>
    <t>Chocomass Çikolata &amp; Pasta &amp; Waffle, Seyhan (Cemalpaşa Mah.)</t>
  </si>
  <si>
    <t>Seyhan Cemalpaşa</t>
  </si>
  <si>
    <t>Sebahattin GEDİKOĞLU 3229990453</t>
  </si>
  <si>
    <t>cemalpaşa mah 63007 sk no 29/a şinasi uzunkavak apt b blok zemin kat seyhan adana</t>
  </si>
  <si>
    <t>6040e881fc13be184a5c8925</t>
  </si>
  <si>
    <t>Gökçeli Express (Yeşilevler Mah.)</t>
  </si>
  <si>
    <t>yasin demir	5464353636</t>
  </si>
  <si>
    <t>DEMETEVLER MAH. MEHMET AKİF ERSOY CAD. NO: 13 İÇ KAPI NO: 1 SEYHAN/ ADANA</t>
  </si>
  <si>
    <t>şelale alpçoğay        5434573628</t>
  </si>
  <si>
    <t>6100712ec9187e817b3c8f7b</t>
  </si>
  <si>
    <t>Yeşil Doğa Pasta &amp; Fırın, Seyhan (Yeşilyurt Mah.)</t>
  </si>
  <si>
    <t>Seyhan        Yeşilyurt</t>
  </si>
  <si>
    <t>ABDULLAH SÜMER        5310270393</t>
  </si>
  <si>
    <t>YEŞİLYURT MAH. KARAAFAT CAD. NO: 126 B SEYHAN/ ADANA</t>
  </si>
  <si>
    <t>60f371348ae949f18bb16e38</t>
  </si>
  <si>
    <t>Fırat Keyifler Kebap, Çukurova (Toros Mah. - Turgut Özal Blv.)</t>
  </si>
  <si>
    <t>Çukurova Toros</t>
  </si>
  <si>
    <t>Fethi Çiçek 3222343621</t>
  </si>
  <si>
    <t>Toros Mah. Turgut Özal Blv. 78192 Sok. 2/G Çukurova, Adan</t>
  </si>
  <si>
    <t>60806b23d0f2122fd5fc11df</t>
  </si>
  <si>
    <t>Sultan Tantuni (Gürselpaşa Mah. - A.İzzet Begoviç Blv.)</t>
  </si>
  <si>
    <t>sultan teker        5526640601</t>
  </si>
  <si>
    <t>gürselpaşa mah aliya izzet begoviç blv no 93 10 4k plaza altı seyhan adana</t>
  </si>
  <si>
    <t>lokasyon yakın oldugu için farklı ilçeler</t>
  </si>
  <si>
    <t>60b225ba07c53b762b0cf61f</t>
  </si>
  <si>
    <t>Veysel Paça, Seyhan (Ziyapaşa Mah.)</t>
  </si>
  <si>
    <t>Seyhan Ziyapaşa</t>
  </si>
  <si>
    <t>Mehmet Gözütok 3224595300</t>
  </si>
  <si>
    <t>Yenibaraj Hastaneler Kavşağı Nadirler Apt, D:15, 01150 Seyhan/Adana</t>
  </si>
  <si>
    <t>6034fc52a26855195d29cf96</t>
  </si>
  <si>
    <t>Adana Taşköprü Közde Döner (Türkocağı Mah.)</t>
  </si>
  <si>
    <t>Seyhan Türkocağı</t>
  </si>
  <si>
    <t>Osman Bey 5382822213</t>
  </si>
  <si>
    <t>türkocağı mh debboy cd no 22 a seyhan adana</t>
  </si>
  <si>
    <t>60d509118f06152eb6e9b067</t>
  </si>
  <si>
    <t>Mia Mocha Chocolate , Seyhan (Cemalpaşa Mah.)</t>
  </si>
  <si>
    <t>saray özdemir        5525067316</t>
  </si>
  <si>
    <t>cemalpaşa mah mustafa gümüşdamla sokak no 5 b seyhan adana</t>
  </si>
  <si>
    <t>5fddc2c9f5b4ce7a8bbc9256</t>
  </si>
  <si>
    <t>Bizim Börekçilik, Seyhan (Kurtuluş Mah. - Atatürk Cad.)</t>
  </si>
  <si>
    <t>Muhammed KARDAŞ 3222337575</t>
  </si>
  <si>
    <t xml:space="preserve">Toros mah. seyit bul. 78130.sokak seyhan adana </t>
  </si>
  <si>
    <t xml:space="preserve">toros mahallesindeki şubeden çekim yapılacak </t>
  </si>
  <si>
    <t>60678527d418361809d37eda</t>
  </si>
  <si>
    <t>Aydoruk Döner (Pınar Mah.)</t>
  </si>
  <si>
    <t>Seyhan Tellidere</t>
  </si>
  <si>
    <t>Aytaç LİMONKOPARAN 3222612186</t>
  </si>
  <si>
    <t>Pınar Mah. 74004. Sk (4. Sk.) Seyhan, Adana</t>
  </si>
  <si>
    <t>60d0e85f70593e6c18852e60</t>
  </si>
  <si>
    <t>Diyet Kapımda , Çukurova (Huzurevleri Mah.)</t>
  </si>
  <si>
    <t>Seyhan cemal paşa</t>
  </si>
  <si>
    <t>Yusuf bey 5433623122</t>
  </si>
  <si>
    <t xml:space="preserve">cemal paşa mah. toros cad. konur apt. b blok zemin kat </t>
  </si>
  <si>
    <t>60fc07dd1e304a3044fca2d0</t>
  </si>
  <si>
    <t>İzol Baklava &amp; Börek, Seyhan (Yenibaraj Mah.)</t>
  </si>
  <si>
    <t>FAHMETTİN YALÇIN        5012420077</t>
  </si>
  <si>
    <t>YENİBARAJ MAH. ŞEHİT YÜZBAŞI BÜLENT ANGIN BLV. NO: 66 C SEYHAN/ ADANA</t>
  </si>
  <si>
    <t>5fde4e15e8c62402471ef69d</t>
  </si>
  <si>
    <t>Eyvan Kebap, Çukurova (Güzelyalı Mah.)</t>
  </si>
  <si>
    <t>Çukurova        Güzelyalı</t>
  </si>
  <si>
    <t>BEYHAN KORKMAZ        3222325686</t>
  </si>
  <si>
    <t>Güzelyalı Mah. 81075 No:2/A Çukurova Adana</t>
  </si>
  <si>
    <t>gidilmeden 30 dakika once aransın</t>
  </si>
  <si>
    <t>60270ee021f17679833a3f37</t>
  </si>
  <si>
    <t>Horoz Döner, Seyhan (Şehitduran Mah.)</t>
  </si>
  <si>
    <t>Seyhan        Şehitduran</t>
  </si>
  <si>
    <t>şahin gültekin        5394412391</t>
  </si>
  <si>
    <t>şehitduran mah eminağa cad 49 b seyhan adana</t>
  </si>
  <si>
    <t xml:space="preserve">duygu </t>
  </si>
  <si>
    <t>seyhan yeşilyurt</t>
  </si>
  <si>
    <t>yasin yaman 3222256988</t>
  </si>
  <si>
    <t>60647f314c11b051683c33d8</t>
  </si>
  <si>
    <t>Narin Kebap &amp; Döner (Yeşilyuva Mah.)</t>
  </si>
  <si>
    <t>Seyhan	Yeşilyuva</t>
  </si>
  <si>
    <t>turan savcı        3223651775/05308640147</t>
  </si>
  <si>
    <t>yeşilyuva mah bakımyurdu cd no 131 a seyhan adana</t>
  </si>
  <si>
    <t>606e16bfd1b22e06d7c7c964</t>
  </si>
  <si>
    <t>Ustaların Yeri (Yeşilyurt Mah.)</t>
  </si>
  <si>
    <t>derya özder	5366510484</t>
  </si>
  <si>
    <t>yeşilyurt mh 70082 sk no 29 seyhan adana</t>
  </si>
  <si>
    <t>610403b8f9c50763207677ba</t>
  </si>
  <si>
    <t>Kamelya Döner, Seyhan (Kurtuluş Mah.)</t>
  </si>
  <si>
    <t>ender güleray        3225020144/5323763556</t>
  </si>
  <si>
    <t>Kurtuluş mah. Ziyapaşa bulvarı no 21/B Seyhan/ADANA</t>
  </si>
  <si>
    <t xml:space="preserve">çukurova güzelyalı </t>
  </si>
  <si>
    <t>3222350725 ahmet cihan dağbakan</t>
  </si>
  <si>
    <t>mehmet bey 05528081189</t>
  </si>
  <si>
    <t>ali bozkuş 3222326688</t>
  </si>
  <si>
    <t>teyit aramasında ulaşılamadı</t>
  </si>
  <si>
    <t xml:space="preserve"> Çukurova	Güzelyalı</t>
  </si>
  <si>
    <t>savaş savaş 3224540407 - 5054401444</t>
  </si>
  <si>
    <t>fotoğrafçı arakadaşımız gitmediği randevülere gidiceği için randevu alınmayacak</t>
  </si>
  <si>
    <t>6034e9cdc2ae549565758257</t>
  </si>
  <si>
    <t>Çoban Katık Döner (Yeni Baraj Mah.)</t>
  </si>
  <si>
    <t>ALİ BERK ÇOBAN        3222283940</t>
  </si>
  <si>
    <t>Yenibaraj, Bülent Angın Blv. 118 A, 01150 Seyhan/Adana</t>
  </si>
  <si>
    <t>60b62b8b971eff2b3ce56d52</t>
  </si>
  <si>
    <t>Flavor Inn, Seyhan (Yenibaraj Mah.)</t>
  </si>
  <si>
    <t>mehmet enser 3222276767</t>
  </si>
  <si>
    <t>Yenibaraj, 68070. Sk. No:7 01150, 01150 Seyhan/Adana</t>
  </si>
  <si>
    <t>60259b3f59222d5625d33967</t>
  </si>
  <si>
    <t>By ÇD Döner, Çukurova (Yurt Mah. - Turgut Özal Blv.)</t>
  </si>
  <si>
    <t>Çukurova        Yurt</t>
  </si>
  <si>
    <t>davut deletioğlu        5326621653</t>
  </si>
  <si>
    <t>YURT MAH. TURGUT ÖZAL BLV. NO: 160 A ÇUKUROVA/ ADANA</t>
  </si>
  <si>
    <t>ELEKTİRİK KESİNTİSİNDEN DOLAYI İPTAL</t>
  </si>
  <si>
    <t>ferhat nizam 3222398595</t>
  </si>
  <si>
    <t>5314843223 levent dağlı</t>
  </si>
  <si>
    <t>seyhan 2000 evler</t>
  </si>
  <si>
    <t>mehmet nuri koçaklı 5524562505</t>
  </si>
  <si>
    <t>60d2e0325211031547e48080</t>
  </si>
  <si>
    <t>Royal Tantuni &amp; Döner Cafe, Seyhan (Gürselpaşa Mah.)</t>
  </si>
  <si>
    <t>seyhan Gürselpaşa</t>
  </si>
  <si>
    <t>ÜMİT BEYHAN GÖRGÜN 5551983265</t>
  </si>
  <si>
    <t xml:space="preserve">gürselpaşa mah 75261 sk no 2 seyhan adana </t>
  </si>
  <si>
    <t>gidildiğinde Hasan Bey ile görüşülecek</t>
  </si>
  <si>
    <t>seyhan bahçeşehir</t>
  </si>
  <si>
    <t xml:space="preserve"> 5075052939 selçuk odabaşı</t>
  </si>
  <si>
    <t>60ff1319e322604685faa6b8</t>
  </si>
  <si>
    <t xml:space="preserve"> Çukurova Toros</t>
  </si>
  <si>
    <t>ahmet oran 5330706140</t>
  </si>
  <si>
    <t>Ahmet çaykara 3229991805</t>
  </si>
  <si>
    <t>mahfesığmaz mah devletbahçeli bulvarı no :4/b çukurova adana</t>
  </si>
  <si>
    <t>60f374ba34b1cac685b9cdbc</t>
  </si>
  <si>
    <t>Antakya Reyhan Döner , Çukurova (Güzelyalı Mah.)</t>
  </si>
  <si>
    <t xml:space="preserve">seyhan </t>
  </si>
  <si>
    <t>mehmet bey 5453289095</t>
  </si>
  <si>
    <t>GÜZELYALI MAH. TURGUT ÖZAL BLV. NO: 68 E ÇUKUROVA/ ADANA</t>
  </si>
  <si>
    <t xml:space="preserve">Çukurova Güzelyazı </t>
  </si>
  <si>
    <t>özcan sergun gümüşay 5326633666</t>
  </si>
  <si>
    <t>605a5537dce77375a21099fc</t>
  </si>
  <si>
    <t>Şinasi Cafe (Gürselpaşa Mah.)</t>
  </si>
  <si>
    <t>buğra aysan        5365054494</t>
  </si>
  <si>
    <t>gürselpaşa mh aliya izzet begoviç blv no 89/B seyhan adana</t>
  </si>
  <si>
    <t xml:space="preserve">teyit aramasında açmadı </t>
  </si>
  <si>
    <t xml:space="preserve">Seyhan Yeşilevler </t>
  </si>
  <si>
    <t>Mehmet YÜCEL 5337748342</t>
  </si>
  <si>
    <t>60e4536a5faaa9a68c1997d7</t>
  </si>
  <si>
    <t>Tatlıcı Zeki Altınok, Seyhan (Reşatbey Mah.)</t>
  </si>
  <si>
    <t>seyhan Reşatbey</t>
  </si>
  <si>
    <t>hasan altınok 5345222261</t>
  </si>
  <si>
    <t>Reşatbey, Ordu Cd. no53 eylül apartman, 01120 Seyhan/Adana</t>
  </si>
  <si>
    <t>Duygu Telli</t>
  </si>
  <si>
    <t>6047e05c24a3ce2ee870410d</t>
  </si>
  <si>
    <t>Horoz Döner (Gülpınar Mah.)</t>
  </si>
  <si>
    <t>seyhan gülpınar</t>
  </si>
  <si>
    <t>cuma acar 5531013688</t>
  </si>
  <si>
    <t>gülpınar mah meydan cd no 7/a seyhan adana</t>
  </si>
  <si>
    <t>Mertcan karaman</t>
  </si>
  <si>
    <t>5414191701 burak bey</t>
  </si>
  <si>
    <t xml:space="preserve">3227770303 tuncay bozkuş </t>
  </si>
  <si>
    <t xml:space="preserve">5558657375 mustafa bey </t>
  </si>
  <si>
    <t xml:space="preserve">teyit aramasında ulaşılamadı </t>
  </si>
  <si>
    <t>6014512d998c13d1848730ef</t>
  </si>
  <si>
    <t>Çiğ Köfte Dünyası, Çukurova (Beyazevler Mah.)</t>
  </si>
  <si>
    <t>çukurova adana</t>
  </si>
  <si>
    <t>mizbah zengin        3229995252</t>
  </si>
  <si>
    <t>Beyazevler Mah Devlet baçeli bulvarı ali genç giyen Apt 18/s Çukurova Adana</t>
  </si>
  <si>
    <t>teyit araması için arandı yetkili yok.</t>
  </si>
  <si>
    <t>döndü korkmaz        5078564488</t>
  </si>
  <si>
    <t>05528081189 mehmet bey</t>
  </si>
  <si>
    <t>61122d2eb13ec64f27b57862</t>
  </si>
  <si>
    <t>Canoğlu Döner &amp; İskender, Seyhan (Karasoku Mah.)</t>
  </si>
  <si>
    <t>Seyhan        Karasoku</t>
  </si>
  <si>
    <t>abdulkadir aylık        3223518772</t>
  </si>
  <si>
    <t>karasoku mah postane cd no 9 A seyhan adana</t>
  </si>
  <si>
    <t>SEYHAN</t>
  </si>
  <si>
    <t>60c8b01128abdf32386d30a2</t>
  </si>
  <si>
    <t>Öz Antep Altın Baklava, Seyhan (Tellidere Mah.)</t>
  </si>
  <si>
    <t>adem özer        5306031067</t>
  </si>
  <si>
    <t>tellidere mah mücahitler cad no 160 a seyhan adana</t>
  </si>
  <si>
    <t>60f5532e3d2a7e66ae08f8c6</t>
  </si>
  <si>
    <t>Gitti Döner, Seyhan (Yeşilevler Mah.)</t>
  </si>
  <si>
    <t>seyhan yeşilevler</t>
  </si>
  <si>
    <t>5531471047 burak çelik</t>
  </si>
  <si>
    <t>yeşilevler mah özgür cd no 70 c seyhan adana</t>
  </si>
  <si>
    <t>6113a482737b1c467787f07c</t>
  </si>
  <si>
    <t>Kaya Cafe &amp; Restoran, Seyhan (Döşeme Mah.)</t>
  </si>
  <si>
    <t>Seyhan        Döşeme</t>
  </si>
  <si>
    <t>Deniz koç        5413507394</t>
  </si>
  <si>
    <t>döşeme mah 60068 sk melisa apt a blok seyhan adana</t>
  </si>
  <si>
    <t xml:space="preserve">61139a4af7e0d76c2a5d05e5        </t>
  </si>
  <si>
    <t>Şırdancı Memo, Seyhan (Denizli Mah.)</t>
  </si>
  <si>
    <t>Seyhan        Narlıca</t>
  </si>
  <si>
    <t>mahmut özdaş        5411094701</t>
  </si>
  <si>
    <t>Denizli mah şehit mehmet özel cd no 196 seyhan adana</t>
  </si>
  <si>
    <t>teyit için arandı açmadı</t>
  </si>
  <si>
    <t>6024579f49682f727aa0d372</t>
  </si>
  <si>
    <t>Öz Star Börekçilik, Çukurova (Kurttepe Mah.)</t>
  </si>
  <si>
    <t>nevzat kardaş        3222420002/05332503139</t>
  </si>
  <si>
    <t>Kurttepe, Süleyman Demirel Blv. 86 B, 01170 Çukurova/Adana</t>
  </si>
  <si>
    <t>60be200989353644be0ba0fb</t>
  </si>
  <si>
    <t>Dr. Makarna &amp; Burger, Çukurova (Yurt Mah. - Turgut Özal Blv.)</t>
  </si>
  <si>
    <t>Çukurova       Yurt</t>
  </si>
  <si>
    <t>Yunus Emre Akdeniz 5426969856</t>
  </si>
  <si>
    <t>yurt mah turgut özal bulv no 178 c iç kapı no çukurova adana</t>
  </si>
  <si>
    <t>60d98563e294220c6aa59ced</t>
  </si>
  <si>
    <t>All Chicken Burn , Çukurova (Mahfesığmaz Mah.)</t>
  </si>
  <si>
    <t>ÖMER FARUK KÖRLÜ        5457719101</t>
  </si>
  <si>
    <t>6093ef743eafe4ad168485c7</t>
  </si>
  <si>
    <t>Köz Döner (Meydan Mah.)</t>
  </si>
  <si>
    <t>Seyhan Meydan</t>
  </si>
  <si>
    <t xml:space="preserve">ekrem karakoyun        3224313331/0546 867 6098 </t>
  </si>
  <si>
    <t>meydan mah bakımyurdu cd no 251 a seyhan adana</t>
  </si>
  <si>
    <t>5fe0e758d3f42b1416aedfe0</t>
  </si>
  <si>
    <t>Pizza Homemade Seyhan (Gürselpaşa Mah.)</t>
  </si>
  <si>
    <t>Mehmet Ziya Akçay/05445203377</t>
  </si>
  <si>
    <t>gürselpaşa mah aliya izzet begoviç blv no 102/c seyhan adana</t>
  </si>
  <si>
    <t>611509283ac649f6f6d42955</t>
  </si>
  <si>
    <t>Sabah &amp; Öğle 0615, Seyhan (Yeşiloba Mah.)</t>
  </si>
  <si>
    <t>fikret yalçın        5331305772</t>
  </si>
  <si>
    <t>Yeşiloba mh fatma esma nayman sk Aslandamı iş merkezi A/6 seyhan adana</t>
  </si>
  <si>
    <t>610d38efdf23a45c6fa887c8</t>
  </si>
  <si>
    <t>Oregano Pizza, Seyhan (Gürselpaşa Mah.)</t>
  </si>
  <si>
    <t>vedat emre eren        5411192021</t>
  </si>
  <si>
    <t>gürsel paşa mah şehit polis şahin polat aydın blv no 39 a</t>
  </si>
  <si>
    <t>mertcan</t>
  </si>
  <si>
    <t>6034c6623bb304184a2d3c7b</t>
  </si>
  <si>
    <t>ÇD Döner (Gazipaşa Mah.)</t>
  </si>
  <si>
    <t>Seyhan Gazipaşa</t>
  </si>
  <si>
    <t>Mustafa Bey 05541367160</t>
  </si>
  <si>
    <t>GAZİPAŞA MAH. BARAJ CAD. NO: 23 A SEYHAN/ ADANA</t>
  </si>
  <si>
    <t>çukurova huzurevleri</t>
  </si>
  <si>
    <t>3222420003 abdullah uğar</t>
  </si>
  <si>
    <t xml:space="preserve">huzurevleri mah 77215 sok no6/d çukurova adana merve sitesi </t>
  </si>
  <si>
    <t>abdurrahman karaca 5353375796</t>
  </si>
  <si>
    <t xml:space="preserve">607d4620c36c878fc5ef443b    </t>
  </si>
  <si>
    <t>Çukurova        Yüzüncüyıl</t>
  </si>
  <si>
    <t>cafer zengin        5550747305</t>
  </si>
  <si>
    <t>3222328486 -05349200682 ibrahim bey</t>
  </si>
  <si>
    <t>zeynep gümüş 5526380202</t>
  </si>
  <si>
    <t>seyhan kurtuluş</t>
  </si>
  <si>
    <t>hatice akyıldız 5357645905</t>
  </si>
  <si>
    <t>kurtulus mah ziyapaşa blv havuz apt a blok no :46/b seyhan adana</t>
  </si>
  <si>
    <t>3222550000 şahin kot</t>
  </si>
  <si>
    <t xml:space="preserve">Sezer </t>
  </si>
  <si>
    <t>14.30</t>
  </si>
  <si>
    <t>16.30</t>
  </si>
  <si>
    <t>60c74e8e41f4cbacb744c4a2</t>
  </si>
  <si>
    <t>Pizza La Matta, Seyhan (Reşatbey Mah.)</t>
  </si>
  <si>
    <t>Bilal Bey  05449110103</t>
  </si>
  <si>
    <t>reşatbey mah 62030 sk no 8 a seyhan adana</t>
  </si>
  <si>
    <t>celal sayman        5526615101</t>
  </si>
  <si>
    <t>60882f4b4eb0b73fe4da7643</t>
  </si>
  <si>
    <t>Gökçelix Express Döner &amp; Kebap (Narlıca Mah.)</t>
  </si>
  <si>
    <t>322432010/5454322728</t>
  </si>
  <si>
    <t>Narlıca, Şehit Mehmet Özel Caddesi Denizli Karakolu Yani 45/A, 01180 Seyhan/Adana</t>
  </si>
  <si>
    <t>60e420048e09e060608ada98</t>
  </si>
  <si>
    <t>Öyküm Cafe, Seyhan (Çınarlı Mah.)</t>
  </si>
  <si>
    <t>görkem şire        3223634329 /05380844338</t>
  </si>
  <si>
    <t>çınarlı mah inönü caddesi no 22 C seyhan adana</t>
  </si>
  <si>
    <t>60fe95392d651c0883ce8598</t>
  </si>
  <si>
    <t>Aydın Börekçilik, Sarıçam (Gültepe Mah.)</t>
  </si>
  <si>
    <t>aydın alptekin        5528083630/5332839783</t>
  </si>
  <si>
    <t>gültepe mah çatalan cd no 176 d sarıçam adana</t>
  </si>
  <si>
    <t>Açmadı</t>
  </si>
  <si>
    <t>Sarıçam	Esentepe</t>
  </si>
  <si>
    <t>orhan büyükhan/5417877624</t>
  </si>
  <si>
    <t>Sarıçam	Mehmet Akif Ersoy 1. Bölge</t>
  </si>
  <si>
    <t>bekir cihan	5453903078</t>
  </si>
  <si>
    <t>6114f34b041cc6f6ae35b04c</t>
  </si>
  <si>
    <t>Tez Getir Döner, Sarıçam (Yavuz Sultan Selim Mah.)</t>
  </si>
  <si>
    <t>Sarıçam	Yavuz Sultan Selim</t>
  </si>
  <si>
    <t>yakup ateş	5526073776</t>
  </si>
  <si>
    <t>yavuz sultan selim mah 3332 sk no 121 sarıçam adana</t>
  </si>
  <si>
    <t>Sarıçam	Çarkıpare</t>
  </si>
  <si>
    <t>ferhat aslan	5388725516</t>
  </si>
  <si>
    <t>603e3464303c95afe93092dc</t>
  </si>
  <si>
    <t>5 Kardeşler Kebap Ve Izgara Çeşitleri (Gültepe Mah.)</t>
  </si>
  <si>
    <t>leyla kocaman        5454013058</t>
  </si>
  <si>
    <t>gültepe mah. çatalan cd. no 31 sarıçam adana</t>
  </si>
  <si>
    <t>6047e164902bc62878df3dc9</t>
  </si>
  <si>
    <t>Çiğ Köfte Konağı (Gültepe Mah.)</t>
  </si>
  <si>
    <t>esat tahiroğlu        3225026461/5522997838</t>
  </si>
  <si>
    <t>gültepe mah 1979 sk birlik sağlam apt altı sarıçam adana</t>
  </si>
  <si>
    <t>60882dac5d77c0f4cadeda2b</t>
  </si>
  <si>
    <t>Armağan Baklava (Şahintepe Mah.)</t>
  </si>
  <si>
    <t>Sarıçam	Şahintepe</t>
  </si>
  <si>
    <t>ali saygılı	5336565282</t>
  </si>
  <si>
    <t>şahintepe mah kozan blv no 294 sarıçam adana</t>
  </si>
  <si>
    <t>emine hanım        3223418087</t>
  </si>
  <si>
    <t>611bda291d0529122232f95b</t>
  </si>
  <si>
    <t>Lale Börekçilik, Sarıçam (Gültepe Mah.)</t>
  </si>
  <si>
    <t>siracettin dayan/5384923391/3224502223</t>
  </si>
  <si>
    <t>gültepe mah 891 sk no 2 iç kapı no 3 sarıçam adana</t>
  </si>
  <si>
    <t xml:space="preserve">60e451917144115331655f3a     </t>
  </si>
  <si>
    <t>Tatlıcı Zeki Altınok, Seyhan (Yenibaraj Mah. - Barajyolu)</t>
  </si>
  <si>
    <t>hasan altınok        5326947582/ulaşılamadı</t>
  </si>
  <si>
    <t>Yenibaraj, 68030. Sk., 01150 Seyhan/Adana</t>
  </si>
  <si>
    <t>600c5cdce940198fb3eb6be6</t>
  </si>
  <si>
    <t>Gar Meyhanesi , (Kurtuluş Mah.)</t>
  </si>
  <si>
    <t>mehmet yalçın        3224580600/05335909111/ ulaşılamadı</t>
  </si>
  <si>
    <t>kurtuluş mah şinasi efendi cad sultan apt no:33/b seyhan adana</t>
  </si>
  <si>
    <t>60c76752ff5d9189dab2c6f9</t>
  </si>
  <si>
    <t>Neşem Döner, Yüreğir (Karacaoğlan Mah.)</t>
  </si>
  <si>
    <t>Yüreğir Adana</t>
  </si>
  <si>
    <t>süleyman erdemer 5302091085</t>
  </si>
  <si>
    <t>KARACAOĞLAN MAH. ŞEHİT J.ER.MUSTAFA GÖKSAL CAD. NO: 205 YÜREĞİR/ ADANA</t>
  </si>
  <si>
    <t>606e128d699d173ab0752238</t>
  </si>
  <si>
    <t>Anadolu Çiğköfte,Yüreyir(bahçelievler mah.)</t>
  </si>
  <si>
    <t>Yüreğir Güneşli</t>
  </si>
  <si>
    <t>Hasan Özüş 5426514067</t>
  </si>
  <si>
    <t>anadolu mah süleyman vahit cd 235 yüreğir adana</t>
  </si>
  <si>
    <t xml:space="preserve">gelmeden önce aransın </t>
  </si>
  <si>
    <t>61138a86f7e0d79b5759f482</t>
  </si>
  <si>
    <t>Fırın Pastanya, Yüreğir (Atakent Mah.)</t>
  </si>
  <si>
    <t>abdullah delen 5318947684</t>
  </si>
  <si>
    <t>atakent mah yaşar doğu cd no 139/A yüreğir adana</t>
  </si>
  <si>
    <t>604d30a2cc98d70511a66c8a</t>
  </si>
  <si>
    <t>Adana Börekçilik (Selahattin Eyyubi Mah.)</t>
  </si>
  <si>
    <t>Yüreğir        Serinevler</t>
  </si>
  <si>
    <t>ersin kardaş        3223283535</t>
  </si>
  <si>
    <t>serinevler mh Mustafa Kemal Paşa Blv. No:108, 01240 Yüreğir/Adana</t>
  </si>
  <si>
    <t>60041dc97b25a2ab7eecfaa7</t>
  </si>
  <si>
    <t>Aristone Cafe,(Kurtuluş Mah. - Atatürk Cad.)</t>
  </si>
  <si>
    <t>12.30</t>
  </si>
  <si>
    <t>SEYHAN/REŞAT BEY</t>
  </si>
  <si>
    <t>ONUR KIRICI 3224586060</t>
  </si>
  <si>
    <t>60e5f665404ddf1440e8453f</t>
  </si>
  <si>
    <t>Naz Baklavam, Seyhan (Gazipaşa Mah.)</t>
  </si>
  <si>
    <t>SEYHAN/ZİYAPAŞA</t>
  </si>
  <si>
    <t>Fatma Erdoğan 5451150405</t>
  </si>
  <si>
    <t>gazipaşa mahallesi baraj caddesi bağlar karakolu yanı no 27 b seyhan adana</t>
  </si>
  <si>
    <t>61138ceadf23a498ae6d3d8b</t>
  </si>
  <si>
    <t>Adana Lezzet Sokağı, Seyhan (Yeşilyurt Mah.)</t>
  </si>
  <si>
    <t>seyhan/yeşilyurt</t>
  </si>
  <si>
    <t>ALİ MİRAÇ AŞIK 3222257171</t>
  </si>
  <si>
    <t>yeşilyurt mah ibo osman cd no 3/A seyhan adana</t>
  </si>
  <si>
    <t>611ad3ffb935079440e61002</t>
  </si>
  <si>
    <t>Next Döner, Seyhan (Sakarya Mah.)</t>
  </si>
  <si>
    <t>seyhan/şakirpaşa</t>
  </si>
  <si>
    <t>Hasan Aka 3224321907</t>
  </si>
  <si>
    <t>sakarya mah mehmet akif ersoy cd no 18 a seyhan adana</t>
  </si>
  <si>
    <t>60f556ab98080286cfacd9dd</t>
  </si>
  <si>
    <t>Begoviç Börekçisi, Seyhan (Gürselpaşa Mah.)</t>
  </si>
  <si>
    <t>yasin karagiydiren        3222620063</t>
  </si>
  <si>
    <t>Gürselpaşa, Aliya İzzet Begoviç Blv, 01200 Seyhan/Adana</t>
  </si>
  <si>
    <t>börekci oldundan net 10 gibi burda olmanızı istiyo daha güzel cıkar pişmiş diyor</t>
  </si>
  <si>
    <t>600c57a0cf43c161e4bc3ae5</t>
  </si>
  <si>
    <t>İsotto Çiğköfte, Seyhan (Yeşilyurt Mah.)</t>
  </si>
  <si>
    <t>tuncay bektaş        5382084042</t>
  </si>
  <si>
    <t>yeşilyurt mah necip fazıl kısakürek blv no:44/c seyhan adana</t>
  </si>
  <si>
    <t>6014b6add9ee3ce9b5042121</t>
  </si>
  <si>
    <t>Çomaç’ Cım, Seyhan (Pınar Mah.)</t>
  </si>
  <si>
    <t>galip bingül        5374978167</t>
  </si>
  <si>
    <t>Pınar Mah 74004 SK ile 75676 SK KESİŞİMİ PARK İÇİ, 01000 Seyhan</t>
  </si>
  <si>
    <t>6092a4dd17f8af5350d4251f</t>
  </si>
  <si>
    <t>Kazancılar Restorant Büyüksaat (Sarıyakup Mah.)</t>
  </si>
  <si>
    <t>Seyhan	Sarıyakup</t>
  </si>
  <si>
    <t>süleyman murat uğuruyar/3223513512</t>
  </si>
  <si>
    <t>sarıyakup mah 23002 sk no 45 a seyhan adana</t>
  </si>
  <si>
    <t>seyhan Pınar</t>
  </si>
  <si>
    <t>abdullah kılıç 3222618282</t>
  </si>
  <si>
    <t>fatih mutlu 5449273756</t>
  </si>
  <si>
    <t>GELMEDEN ÖNCE 1 SAAT HATIRLAT</t>
  </si>
  <si>
    <t>seyhan pınar</t>
  </si>
  <si>
    <t>uğur gönlü 5458781954</t>
  </si>
  <si>
    <t>MEŞGULE ATIYO SÜREKLİ</t>
  </si>
  <si>
    <t>tolga sayılkan 3225033803</t>
  </si>
  <si>
    <t>MEŞGUL CALIYO</t>
  </si>
  <si>
    <t>çukurova Mahfesığmaz</t>
  </si>
  <si>
    <t>ahmet kaya  5301509748</t>
  </si>
  <si>
    <t>çukurova Beyazevler</t>
  </si>
  <si>
    <t>Selçuk Televi 3222920000</t>
  </si>
  <si>
    <t>çukurova yurt</t>
  </si>
  <si>
    <t>recep bozkuş  3222394877</t>
  </si>
  <si>
    <t>yurt mah turgut özal bulv tuna sit 200/f çukurova adana</t>
  </si>
  <si>
    <t>erkan karakaya 5315809815</t>
  </si>
  <si>
    <t>seyhan/ Cemalpaşa</t>
  </si>
  <si>
    <t>levent dağlı 5314843223</t>
  </si>
  <si>
    <t>ulaşılmadı</t>
  </si>
  <si>
    <t>600c3c27104d8bc181f29e17</t>
  </si>
  <si>
    <t>Adıyamanlı Çiğ Köfteci Ali Baba, Seyhan (Reşatbey Mah.)</t>
  </si>
  <si>
    <t>Seyhan/ reşatbey</t>
  </si>
  <si>
    <t>Serkan Kılıçarslan 5495121940</t>
  </si>
  <si>
    <t>Reşatbey Mahallesi 62005 sokak no:18/A KVK karşısı Seyhan/ADANA</t>
  </si>
  <si>
    <t>seyhan/demetevler</t>
  </si>
  <si>
    <t>SEYFETTİN TOLGA APAYDIN 5360383382</t>
  </si>
  <si>
    <t>seyhan/Gazipaşa</t>
  </si>
  <si>
    <t>yüksel bey 3224576537</t>
  </si>
  <si>
    <t>Çukurova        Beyazevler</t>
  </si>
  <si>
    <t>ismail aydoğdu        5399142636</t>
  </si>
  <si>
    <t>Çukurova toros</t>
  </si>
  <si>
    <t>ahmet oran        5330706140</t>
  </si>
  <si>
    <t>isa kaya        3222350090</t>
  </si>
  <si>
    <t>ali eftekin        3229995579</t>
  </si>
  <si>
    <t>engin deliduman	3224532781</t>
  </si>
  <si>
    <t>Ayşegül Kır</t>
  </si>
  <si>
    <t>611d01c6e45a069385033360</t>
  </si>
  <si>
    <t>Aydın Gökçeli Pizza, Seyhan (Kuruköprü Mah.)</t>
  </si>
  <si>
    <t>Seyhan	Kuruköprü</t>
  </si>
  <si>
    <t>Murat Bey / 5314952926</t>
  </si>
  <si>
    <t>kuruköprü mah sefa özler cad no 16 b seyhan adana</t>
  </si>
  <si>
    <t>himmet kotan	5442143958</t>
  </si>
  <si>
    <t xml:space="preserve">TURGUT ÖZAL BULV. KEYFİ AKSİYAH KEBAP İÇERİSİ ÇİĞ KÖFTECİ </t>
  </si>
  <si>
    <t>restorantı kapatıcak</t>
  </si>
  <si>
    <t>60148dfb998c13d874873636</t>
  </si>
  <si>
    <t>Şırdancı Kemal, Seyhan (Kocavezir Mah.)</t>
  </si>
  <si>
    <t>Seyhan	Kocavezir</t>
  </si>
  <si>
    <t>kemal karahanlı	5302827278</t>
  </si>
  <si>
    <t>Kocavezir, Karacaoğlan Cd., 01060 Seyhan/Adana</t>
  </si>
  <si>
    <t>60806d4dc36c8796c5f0106a</t>
  </si>
  <si>
    <t>Begova Saray Pasta &amp; Cafe &amp; Unlu Mamüller (Döşeme Mah.)</t>
  </si>
  <si>
    <t>Seyhan Döşeme</t>
  </si>
  <si>
    <t>necmettin alpboğa 3224561000</t>
  </si>
  <si>
    <t>döşeme mah 60075 sk baysan iş merkezi a blok seyhan adana</t>
  </si>
  <si>
    <t>608926ec65feb04231771bbf</t>
  </si>
  <si>
    <t>Film Kütüphanesi (Güzelyalı Mah.)</t>
  </si>
  <si>
    <t>oğuz bey	5066514350-05435514606</t>
  </si>
  <si>
    <t>güzelyalı mah 81151 sok enveer özkan apt no 2 a çukurova adana</t>
  </si>
  <si>
    <t>6005f7a7c795bd791541d984</t>
  </si>
  <si>
    <t>Çoban Katık Döner,Yurt Mah. - Turgut Özal Blv.)</t>
  </si>
  <si>
    <t>celal tanrıöver        3222471002-05323631355</t>
  </si>
  <si>
    <t>yurt mah turgut özal bulv tuna sitesi no:176/a çukurova adana</t>
  </si>
  <si>
    <t>606c70886fb1811cd1ce451a</t>
  </si>
  <si>
    <t>Gıyasbey Döner (Belediye Evleri Mah.)</t>
  </si>
  <si>
    <t>şahabettin arıkboğa        3222471199-05397206530</t>
  </si>
  <si>
    <t>Belediye Evleri, mahlesi, 84165. Sk. no 13, 01170 Çukurova/Adana</t>
  </si>
  <si>
    <t>60b14bed46bce76d4d640a04</t>
  </si>
  <si>
    <t>Yağlar Kasap &amp; Restaurant, Çukurova (Toros Mah.)</t>
  </si>
  <si>
    <t>yağız bey        3222338777-05301451175</t>
  </si>
  <si>
    <t>toros mah ali sepici bulv beyza apt işyeri no 65 a çukurova adana</t>
  </si>
  <si>
    <t>612157961b3481a47c60e7e8</t>
  </si>
  <si>
    <t>Diyet Zamanı , Seyhan (Cemalpaşa Mah.)</t>
  </si>
  <si>
    <t>müzeyyen hanım	5326593191-05433480309</t>
  </si>
  <si>
    <t>cemalpaşa mah atatürk caddesi behice yazgan apt zemin kat no 2 seyhan adana</t>
  </si>
  <si>
    <t>605cc37d6c2d4716ef4ef064</t>
  </si>
  <si>
    <t>Usta Eller Fırın Pasta &amp; Cafe (Gürselpaşa Mah.)</t>
  </si>
  <si>
    <t>ibrahim sayan	5339284051</t>
  </si>
  <si>
    <t>GÜRSELPAŞA MAH. ALİYA İZZET BEGOVİÇ BLV. 29 A SEYHAN/ADANA</t>
  </si>
  <si>
    <t>5fecd1c52ccf25ee1b21e9b1</t>
  </si>
  <si>
    <t>Pizza Taxi, Seyhan (Kurtuluş Mah. - Ziyapaşa Blv.)</t>
  </si>
  <si>
    <t>emin harput	3222903838</t>
  </si>
  <si>
    <t>kurtuluş mah ramazanoğlu cad no:23/b seyhan adana</t>
  </si>
  <si>
    <t>603f9ef792b6d00b22dade54</t>
  </si>
  <si>
    <t>Şendoğan Kebap (Yeşilyurt Mah.)</t>
  </si>
  <si>
    <t>fahri şık	5300710995</t>
  </si>
  <si>
    <t>Yeşilyurt Mahallesi 71181 Sok. No:29/D Subaşılar Sitesi Altı, 01150 Seyhan/Adana</t>
  </si>
  <si>
    <t>6120ea88e818f2c94faa5da6</t>
  </si>
  <si>
    <t>Sevgili Döner , Çukurova (Güzelyalı Mah.)</t>
  </si>
  <si>
    <t>esme sevgili        5334032126-05334406735</t>
  </si>
  <si>
    <t>605cc895d79a792ef7473f90</t>
  </si>
  <si>
    <t>Kristal Börek (Yüzüncüyıl Mah.)</t>
  </si>
  <si>
    <t>sinan yücesoylu        5370104919-05441940001</t>
  </si>
  <si>
    <t>yüzüncü yıl mah 85054 sok b blok no 11/2a çukurova adana</t>
  </si>
  <si>
    <t>6033aa53965500178b0fc1d4</t>
  </si>
  <si>
    <t>Halil İbrahim Kebap (Mahfesığmaz Mah.)</t>
  </si>
  <si>
    <t>bilal bey        3222330910-05454810581</t>
  </si>
  <si>
    <t>mahfesığmaz mh 79019 sk no 7/b çukurova adana</t>
  </si>
  <si>
    <t>60154a0f94d17a4c8ba7a7de</t>
  </si>
  <si>
    <t>Gökçeli Cafe Seyhan , (Çınarlı mah.)</t>
  </si>
  <si>
    <t>soner akyıldız	5355254643</t>
  </si>
  <si>
    <t>çınarlı mah inönü cad ceylanoğlu işhanı no20/a seyhan adana</t>
  </si>
  <si>
    <t>5ffeb9f4292a61152cb28fde</t>
  </si>
  <si>
    <t>Seç Baklava, Seyhan (Reşatbey Mah.)</t>
  </si>
  <si>
    <t>reyhan kahraman        3224585569-05435079227</t>
  </si>
  <si>
    <t>Reşatbey Mh., Cumhuriyet cd 37/D, 01120 Seyhan/Adana</t>
  </si>
  <si>
    <t>6026e434ab6bbf20692dc2df</t>
  </si>
  <si>
    <t>Çınarlı Lahmacun &amp; Pide, Seyhan (Çınarlı Mah.)</t>
  </si>
  <si>
    <t>ahmet orakci        5075938347 -05075938358</t>
  </si>
  <si>
    <t>çınarlı mah 61030 sk no 5 b seyhan adana</t>
  </si>
  <si>
    <t>603a90c269811f2170942d9f</t>
  </si>
  <si>
    <t>Papino (Kurtuluş Mah. - Sular Mevkii)</t>
  </si>
  <si>
    <t>berkay aygün	3224560419-05335247492</t>
  </si>
  <si>
    <t>Kurtuluş Mahallesi 64019 Sok. F.Tekeli Apt, D:91/A, 01120 Seyhan Adana</t>
  </si>
  <si>
    <t>Fatih Baykan/5364246898</t>
  </si>
  <si>
    <t>6124e7989914250bd2bf67f7</t>
  </si>
  <si>
    <t>Viento Cheesecake, Çukurova (Güzelyalı Mah.)</t>
  </si>
  <si>
    <t>Selçuk Televi/5368410101</t>
  </si>
  <si>
    <t>güzelyalı mah turgut özal bulvarı no 110 c çukurova adana</t>
  </si>
  <si>
    <t>6009aacd9611de29decd0f2a Viento Cheesecake, Çukurova (Mahfesığmaz Mah.) isimli işletmede 4 ürün çekilmmiş. burası yeni şube buradaki çekimler oraya oradakiler buraya eklenecek. devam çekimi</t>
  </si>
  <si>
    <t>6121546ca3243000b0de3f03</t>
  </si>
  <si>
    <t>Macha Cafe , Çukurova (Güzelyalı Mah.)</t>
  </si>
  <si>
    <t>Mert Bey/5425450126</t>
  </si>
  <si>
    <t>GÜZELYALI MH.81149 SK. ÖVGÜ APT.ALTI NO: 2 İÇ KAPI NO: A ÇUKUROVA/ ADANA</t>
  </si>
  <si>
    <t>Fırat Topan/5072338641</t>
  </si>
  <si>
    <t xml:space="preserve">Cihangir Kebap, Çukurova isimli işletme ile iç içelermiş. </t>
  </si>
  <si>
    <t>Tuğba Buyur</t>
  </si>
  <si>
    <t>6126169fec3d2640184bed4b</t>
  </si>
  <si>
    <t>Asil Fırın &amp; Pasta, Seyhan (Yeşilyurt Mah.)</t>
  </si>
  <si>
    <t>ömer yavuz	5525728209</t>
  </si>
  <si>
    <t>yeşilyurt mah 70001 sk no 6 a seyhan adana</t>
  </si>
  <si>
    <t>60b4ad3db125717d52c4fc4b</t>
  </si>
  <si>
    <t>Öz Antep Altın Baklava, Seyhan (Sümer Mah.)</t>
  </si>
  <si>
    <t>Ramazan Bey/5324072494</t>
  </si>
  <si>
    <t>sümer mah ibo osman cd no 184 a seyhan adana</t>
  </si>
  <si>
    <t>605b30ea3abb06369d34124b</t>
  </si>
  <si>
    <t>Bereket Sofrası Kebap &amp; Lahmacun (Gürselpaşa Mah.)</t>
  </si>
  <si>
    <t>savaş süzgünol	3222610445-05442973439</t>
  </si>
  <si>
    <t>gürselpaşa mh 75066 sk no 6 seyhan adana</t>
  </si>
  <si>
    <t>HAMİT ELMAS	5330485908</t>
  </si>
  <si>
    <t>damla nur mercan        5539594629</t>
  </si>
  <si>
    <t>ozan ulus	5467875437</t>
  </si>
  <si>
    <t>6105c090f1137eb7064ce4dc</t>
  </si>
  <si>
    <t>Balıkçı Şahin, Çukurova (Yüzüncü Yıl Mah.)</t>
  </si>
  <si>
    <t>vedat sinar	3222564656-05465775343</t>
  </si>
  <si>
    <t>Yüzüncüyıl, Hacı Bektaş Veli Blv 87 F 01170 Çukurova/Adana</t>
  </si>
  <si>
    <t>60afaf0a0eb3bacc158420d9</t>
  </si>
  <si>
    <t>Masal Döner, Seyhan (Mithatpaşa Mah.)</t>
  </si>
  <si>
    <t>Seyhan	Mithatpaşa</t>
  </si>
  <si>
    <t>nezihe okur-05446574751</t>
  </si>
  <si>
    <t>mithatpaşa mah mücahitler cd no 35/A seyhan adana</t>
  </si>
  <si>
    <t>6123f31c6221e629915c44cd</t>
  </si>
  <si>
    <t>Hatay Damak Döner, Seyhan (Cemalpaşa Mah.)</t>
  </si>
  <si>
    <t>Nurşin Hanım/5305153770</t>
  </si>
  <si>
    <t>cemalpaşa mah ethem ekin sokak no 29 a seyhan adana</t>
  </si>
  <si>
    <t>Seyhan/Yeşilyurt</t>
  </si>
  <si>
    <t>ABDULLAH SÜMER/5310270393</t>
  </si>
  <si>
    <t>602467d95d729ce5db4ed329</t>
  </si>
  <si>
    <t>Şırdancı Kardeşler, (Yeşilyurt Mah. - Karaafat Cad.)</t>
  </si>
  <si>
    <t>zekeriya koparal	5443371346</t>
  </si>
  <si>
    <t>yeşilyurt mah karaafat cad no 142 seyhan adana</t>
  </si>
  <si>
    <t>ender güleray        3225020144--5323763556</t>
  </si>
  <si>
    <t>600b2c37523bc66b263eda26</t>
  </si>
  <si>
    <t>Mr. Çiğ Köfte, Seyhan (Çınarlı Mah.)</t>
  </si>
  <si>
    <t>umut günaydın	5370393877</t>
  </si>
  <si>
    <t>çınarlı mah dr ali menteşoğlu cad no:4/b seyhan adana</t>
  </si>
  <si>
    <t>görkem şire	3223634329</t>
  </si>
  <si>
    <t>Seyhan	Dumlupınar</t>
  </si>
  <si>
    <t>celal deniz- 5367980149</t>
  </si>
  <si>
    <t>603e168e618c3a7681244fed</t>
  </si>
  <si>
    <t>Valide Sultan Kebap (Mehmet Akif Ersoy Mah.)</t>
  </si>
  <si>
    <t>abdullah toprak	3223292980</t>
  </si>
  <si>
    <t>mehmet akif ersoy mah kozan cd no 696/b sarıçam adana</t>
  </si>
  <si>
    <t>603511e5238d2c28b460f15d</t>
  </si>
  <si>
    <t>Ayyıldız Kebap &amp; Lahmacun (Gültepe Mah.)</t>
  </si>
  <si>
    <t>mehmet fatih yıldız        5327822920</t>
  </si>
  <si>
    <t>gültepe mh çatalan cd no 92 a sarıçam adana</t>
  </si>
  <si>
    <t>aydın alptekin        5528083630--5332839783</t>
  </si>
  <si>
    <t>bayram kiş        5354408881</t>
  </si>
  <si>
    <t>6014ad9761fea73b351f1a74</t>
  </si>
  <si>
    <t>Donatello, Çukurova (Huzurevleri Mah.)</t>
  </si>
  <si>
    <t>volkan gündoğdu	5325939227</t>
  </si>
  <si>
    <t>Turgut Özal Bulvarı, 211 Huzurevleri, Çukurova, Adana</t>
  </si>
  <si>
    <t>604c851f7ebf1783853258fb</t>
  </si>
  <si>
    <t>Samanyolu Pasta, Çukurova (Huzurevleri Mah.)</t>
  </si>
  <si>
    <t>adem çatan	5069087780- 5435079227</t>
  </si>
  <si>
    <t>611ae7ff73581b38c6e0e113</t>
  </si>
  <si>
    <t>Kaan Büfe &amp; Fast Food , Çukurova (Toros Mah.)</t>
  </si>
  <si>
    <t xml:space="preserve">     14.00</t>
  </si>
  <si>
    <t>elif yanar	501333522-05550330094</t>
  </si>
  <si>
    <t>TOROS MAH. 78096 SK. NO: 1 C ÇUKUROVA/ ADANA</t>
  </si>
  <si>
    <t>irem apt altı</t>
  </si>
  <si>
    <t>60642d59f4083eac9087f032</t>
  </si>
  <si>
    <t>Şef Tavuk &amp; Izgara, Çukurova (Toros Mah.)</t>
  </si>
  <si>
    <t>ali eyriparmak        5349379214</t>
  </si>
  <si>
    <t>toros mah barış manço bulv no 12 b çukurova adana</t>
  </si>
  <si>
    <t>611aed5f315279d75ad02499</t>
  </si>
  <si>
    <t>Pizza Bia, Çukurova (Mahfesığmaz Mah.)</t>
  </si>
  <si>
    <t>buse özkarakoyuncu	5075600201- 05439278081</t>
  </si>
  <si>
    <t>mahfesığmaz mah 79005 sok andırın apt no 1 iç kapı no 21 çukurova adana</t>
  </si>
  <si>
    <t>Saat 14.00' de ki randevunun notuna bakabilir misiniz:)</t>
  </si>
  <si>
    <t>6070c8cb9e322f4b68b85b2a</t>
  </si>
  <si>
    <t>Kebap 52 (Kurtuluş Mah.)</t>
  </si>
  <si>
    <t xml:space="preserve">     11.30</t>
  </si>
  <si>
    <t>bülent bayrak	3224586432-05327174499</t>
  </si>
  <si>
    <t>kurtuluş mah ramazanoğlu cd köşem apt altı no 16 a seyhan adana</t>
  </si>
  <si>
    <t>5fde4869fdea331ba6decc01</t>
  </si>
  <si>
    <t>Hasan Usta Kebap, Seyhan (Sümer Mah. - Barajyolu)</t>
  </si>
  <si>
    <t>ALAATTİN ORAL 3222259798-05448403900</t>
  </si>
  <si>
    <t>Yenibaraj mh. 68030 sk. No:3 Seyhan Adana</t>
  </si>
  <si>
    <t>Restoran yetkilisi sizleri ağarlamak istiyor, aç gelsin fotoğrafçı arkadaşımız dediler, afiyet olsun:)</t>
  </si>
  <si>
    <t>601574e7d1201b46839584ab</t>
  </si>
  <si>
    <t>Mavi Bulvar Dönercisi (Yeşilyurt Mah.)</t>
  </si>
  <si>
    <t>numan akçay	5426197983-05398144132</t>
  </si>
  <si>
    <t>yeşilyurt mah mavi bulvar burak apt altı no: 61 a seyhan adana</t>
  </si>
  <si>
    <t>60a6689877346ad1d97a63f6</t>
  </si>
  <si>
    <t>Sular Kebap, Seyhan (Cemalpaşa Mah. - Sular Mevkii)</t>
  </si>
  <si>
    <t xml:space="preserve">    18.00</t>
  </si>
  <si>
    <t>ahmet ograş        5444542202</t>
  </si>
  <si>
    <t>cemalpaşa ethem ekin sk tahir ilba apt no 31 seyhan adana</t>
  </si>
  <si>
    <t>doğukan idigük        5449234554</t>
  </si>
  <si>
    <t>6119448de8611e3c36e22f50</t>
  </si>
  <si>
    <t>Kurttepe Pilavcısı, Çukurova (Yurt Mah.)</t>
  </si>
  <si>
    <t>Ömer turan	3222338888-05322014143</t>
  </si>
  <si>
    <t>Yurt mahallesi 71507 sk no 3a cukurova adana</t>
  </si>
  <si>
    <t>6128c6423ff997b4db8e4366</t>
  </si>
  <si>
    <t>Cadde Şırdan &amp; Paça Salonu , Çukurova (Mahfesığmaz Mah.)</t>
  </si>
  <si>
    <t xml:space="preserve">               17.00</t>
  </si>
  <si>
    <t>mertcan aktaş	5307924401-05427250147</t>
  </si>
  <si>
    <t>mahfesığmaz mah turgut özal bulv no 35 b çukurova adana</t>
  </si>
  <si>
    <t>onur dilmen        3222230101-05447691954</t>
  </si>
  <si>
    <t>60045df306055859114efba8</t>
  </si>
  <si>
    <t>Birbiçer Ciğer,(Belediyeevleri Mah. - Türkmenbaşı Blv.)</t>
  </si>
  <si>
    <t>mahmut özçiftçi        3222615959-05336518221</t>
  </si>
  <si>
    <t>pınar mah ayhan güngör sk royal evleri b blok no:19/a seyhan adana</t>
  </si>
  <si>
    <t>ibrahim beytekin	5445458329</t>
  </si>
  <si>
    <t>devam çekimi olusturuldu</t>
  </si>
  <si>
    <t>çukurova/beyazevler</t>
  </si>
  <si>
    <t>ismail/5399142636</t>
  </si>
  <si>
    <t>ev yemekleri olduğu için bu günlere istedi</t>
  </si>
  <si>
    <t>6105bb9a22132815bdfa0e1f</t>
  </si>
  <si>
    <t>Zuuum Cafe , Çukurova (Karslılar Mah.)</t>
  </si>
  <si>
    <t>Çukurova	Karslılar</t>
  </si>
  <si>
    <t>barış bey	5449522997</t>
  </si>
  <si>
    <t>Karslılar, 82096. Sk. 2 A, 01170 Çukurova/Adana</t>
  </si>
  <si>
    <t>5fea0ac12ccf25531a215ecc</t>
  </si>
  <si>
    <t>Kasr-ı Kervan Kebap,Güzelyalı Mah. - Turgut Özal Blv.)</t>
  </si>
  <si>
    <t>ismail çalıkıran	3222346444</t>
  </si>
  <si>
    <t>turgut ozal bulv guzelyalı mah a. kerim akray apt no:36/d çukurova adana</t>
  </si>
  <si>
    <t>611b73b9988cb8e0c4846880</t>
  </si>
  <si>
    <t>Yağlar Et &amp; Mangal, Çukurova (Gastronomi Pazarı)</t>
  </si>
  <si>
    <t>behçet bey	5327702319-05309735119</t>
  </si>
  <si>
    <t>gastronomi pazarı içi</t>
  </si>
  <si>
    <t>607c2563d415f0d575ac5514</t>
  </si>
  <si>
    <t>Balıkçı Duran (Sümer Mah. - Barajyolu)</t>
  </si>
  <si>
    <t>Seyhan	/Sümer</t>
  </si>
  <si>
    <t>duran parlak	/3222242240</t>
  </si>
  <si>
    <t>sümer mah ş.yüzbaşı bülent angın blv no 81 b seyhan adana</t>
  </si>
  <si>
    <t>608dab94d69d45c59253c632</t>
  </si>
  <si>
    <t>Pizza Turko's (Cemalpaşa Mah.)</t>
  </si>
  <si>
    <t>harun akkuş        5424770165</t>
  </si>
  <si>
    <t>cemalpaşa mah ethem ekin sokak öğretmenler sitesi b blok no 13 b seyhan adana</t>
  </si>
  <si>
    <t>Zeliha Özer</t>
  </si>
  <si>
    <t>60774818a562d4e7c2efd287</t>
  </si>
  <si>
    <t>Adana Erbey Döner (Tellidere Mah.)</t>
  </si>
  <si>
    <t>Seyhan	/Tellidere</t>
  </si>
  <si>
    <t>serkan büyükocak/	3222620430</t>
  </si>
  <si>
    <t>pınar mah mücahitler cd 305/b seyhan adana</t>
  </si>
  <si>
    <t>Yurdagül Kulaksız</t>
  </si>
  <si>
    <t>5438601473 // uğur</t>
  </si>
  <si>
    <t>Çukurova/kurttepe</t>
  </si>
  <si>
    <t>alperen/5375774935</t>
  </si>
  <si>
    <t>60891d694589d3006899c695</t>
  </si>
  <si>
    <t>Mako Makarna, Seyhan (Cemalpaşa Mah.)</t>
  </si>
  <si>
    <t>ersoy pazarbaşı	5307066256</t>
  </si>
  <si>
    <t>cemalpaşa mah 63007 sokak sökün apt b blok seyhan adana</t>
  </si>
  <si>
    <t>606351ef3364a43fb0a385f0</t>
  </si>
  <si>
    <t>Mellow Cakes Co. (Cemalpaşa Mah.)</t>
  </si>
  <si>
    <t>ece güven	5434211605</t>
  </si>
  <si>
    <t>CEMALPAŞA MAH. 63010 SK. SÜMER TOWERS A BLOK NO: 2 /2A SEYHAN/ ADANA</t>
  </si>
  <si>
    <t xml:space="preserve">kendi fotograflarım var dedi iptal etti </t>
  </si>
  <si>
    <t>6026da5b2e6b65289da66430</t>
  </si>
  <si>
    <t>Köşem Döner, Seyhan (Sümer Mah. - Barajyolu)</t>
  </si>
  <si>
    <t>emrah benzer        5059819999</t>
  </si>
  <si>
    <t>SÜMER MAH. ŞEHİT YÜZBAŞI BÜLENT ANGIN BLV. NO: 127 /1B SEYHAN/ ADANA</t>
  </si>
  <si>
    <t>5feb1432cf3376c170b46b68</t>
  </si>
  <si>
    <t>Şef Kebap, Seyhan (Sümer Mah. - Barajyolu)</t>
  </si>
  <si>
    <t>mehmet korkmaz        3222260011-05373636081</t>
  </si>
  <si>
    <t>yenibaraj mah ş. yüzbaşı bülent angın bulv. yolgeçen apt no:68/a seyhan adana</t>
  </si>
  <si>
    <t>606242b065ce68b0a2abbd0a</t>
  </si>
  <si>
    <t>ÇD Döner, Çukurova (Toros Mah.)</t>
  </si>
  <si>
    <t>aslı görkem	3222279000-05435457313</t>
  </si>
  <si>
    <t>toros mah ahmet sapmaz bulv ata apt no 28/a çukurova adana</t>
  </si>
  <si>
    <t>60c7bbdecaa82f9293de1e0b</t>
  </si>
  <si>
    <t>Vita Mia Gelato , Çukurova (Mahfesığmaz Mah.)</t>
  </si>
  <si>
    <t>ahmet cihan dağbakan        3222350725-05368263703</t>
  </si>
  <si>
    <t>adem çatan        5069087780</t>
  </si>
  <si>
    <t>Huzurevleri 80. Yıl Bulvarı Karavanli Apt, D:42, 01330 Çukurova/Adana</t>
  </si>
  <si>
    <t>606377b8f2765e9b4c991e6f</t>
  </si>
  <si>
    <t>Şehr-i Kebap &amp; Fırın, Çukurova (Yüzüncü Yıl Mah.)</t>
  </si>
  <si>
    <t>yunus emre kılıç        5427378893-05373115065</t>
  </si>
  <si>
    <t>yüzüncü yıl mah fazlı meto bulvarı no 69 / e yıldırımlar sitesi a blok çukurova adana</t>
  </si>
  <si>
    <t>60248641f8d6e985b3ba6d7f</t>
  </si>
  <si>
    <t>Dürümcü İbo Usta, Seyhan (Pınar Mah.)</t>
  </si>
  <si>
    <t>ibrahim öztürk        5467211228</t>
  </si>
  <si>
    <t>pınar mah nazım hikmet cad no 12 b seyhan adana</t>
  </si>
  <si>
    <t>60db071eec117453a9d60798</t>
  </si>
  <si>
    <t>Murat Börek, Seyhan (Kurtuluş Mah.)</t>
  </si>
  <si>
    <t>murat türkmen        5377631852</t>
  </si>
  <si>
    <t>kurtuluş mah 98/B mehmet nuri sabuncu bulvarı seyhan adana</t>
  </si>
  <si>
    <t>6079ff3f117f7c13f20e0daf</t>
  </si>
  <si>
    <t>Çiğ Köftem 02 (Dumlupınar Mah.)</t>
  </si>
  <si>
    <t>yunus danış        5433956218</t>
  </si>
  <si>
    <t>dumlupınar mah kıbrıs cd no 98 a seyhan adana</t>
  </si>
  <si>
    <t>611ae6435b5b62ada9e51eed</t>
  </si>
  <si>
    <t>Waflin , Seyhan (Cemalpaşa Mah.)</t>
  </si>
  <si>
    <t>serdar mercankaya        5417750999-05525363523</t>
  </si>
  <si>
    <t>cemalpaşa mah mustafa gümüşdamla sk. gül apt no:7/b seyhan adana</t>
  </si>
  <si>
    <t xml:space="preserve">RANDEVU İPTAL </t>
  </si>
  <si>
    <t>60f3768b0011e838350563dd</t>
  </si>
  <si>
    <t>Qui Coffee, Çukurova (Güzelyalı Mah.)</t>
  </si>
  <si>
    <t>harun yıldırım	5336566651-05447328822</t>
  </si>
  <si>
    <t>GÜZELYALI MAH. 81152 SK. NO: 2 İÇ KAPI NO: 1- ÇUKUROVA/ ADANA</t>
  </si>
  <si>
    <t>6092d5a30039503ee7f8d21e</t>
  </si>
  <si>
    <t>Tantunici Cemil, Çukurova (Yüzüncü Yıl Mah.)</t>
  </si>
  <si>
    <t>cemil burkaş        5445462025</t>
  </si>
  <si>
    <t>100.yıl mah.çukurova ilçe emniyet müdürlüğü karşısı 100.yıl cami önü</t>
  </si>
  <si>
    <t>60c79d8e9aeae2be8b5e6111</t>
  </si>
  <si>
    <t>Waflin, Çukurova (Mahfesığmaz Mah. - Turgut Özal Blv.)</t>
  </si>
  <si>
    <t>Burak Özalp        8502277747-05533552333</t>
  </si>
  <si>
    <t>Mahfesığmaz mahallesi Turgut Özal bulvarı no:137-e Çukurova Adana</t>
  </si>
  <si>
    <t>60a804c942791b4d5a5bf40f</t>
  </si>
  <si>
    <t>ÇD Döner, Çukurova (Huzurevleri Mah.)</t>
  </si>
  <si>
    <t>aytaç bey 3226063301-05356727336</t>
  </si>
  <si>
    <t>huzurevleri mah ismet atlı bulv metro sitesi b blok no 13/2b çukurova adana</t>
  </si>
  <si>
    <t>5feb776fe4a5e2816c795f6a</t>
  </si>
  <si>
    <t>Piton Döner, Seyhan (İsmetpaşa Mah.)</t>
  </si>
  <si>
    <t>mehmet ikram taş        3224320909</t>
  </si>
  <si>
    <t>ismetpaşa mah 51010 sk. no:10 seyhan adana</t>
  </si>
  <si>
    <t>duygu gökerk        5428448370-05317905870</t>
  </si>
  <si>
    <t>5fedf6b38365ab225e8ed3dd</t>
  </si>
  <si>
    <t>La Favola Pizzeria, Seyhan (Kurtuluş Mah. - Ziyapaşa Blv.)</t>
  </si>
  <si>
    <t>barış yalçındağ	3224226115</t>
  </si>
  <si>
    <t>kurtuluş mah 64010 sok didem apt no:13/a seyhan adana</t>
  </si>
  <si>
    <t>seyhan/cemalpaşa</t>
  </si>
  <si>
    <t>cemalpaşa mah valiyolu cd tansu apt no:11/b seyhan adana</t>
  </si>
  <si>
    <t>6026d88ee70cee4c3ab955ac</t>
  </si>
  <si>
    <t>Salkım Söğüt Fırın &amp; Pasta,(Yüzüncü Yıl Mah.)</t>
  </si>
  <si>
    <t>irfan dayan	5360341469</t>
  </si>
  <si>
    <t>yüzüncü yıl mah fazlı meto bulv no 93 çukurova adana</t>
  </si>
  <si>
    <t>ali alkan akata        3222332334--5326274662</t>
  </si>
  <si>
    <t>602f8fd96f409c60ebd0ccaa</t>
  </si>
  <si>
    <t>Planet Cafe (Belediyeevleri Mah.)</t>
  </si>
  <si>
    <t>mehmet süer	5384527498</t>
  </si>
  <si>
    <t>belediye evleri mh 84239 sk no 12-1 çukurova adana</t>
  </si>
  <si>
    <t>6035167d680e6892334bc55b</t>
  </si>
  <si>
    <t>Maya Cupcake (Kurtuluş Mah.)</t>
  </si>
  <si>
    <t>Seyhan kurtuluş</t>
  </si>
  <si>
    <t>şule//5355693203</t>
  </si>
  <si>
    <t>kurtuluş mah ramazanoğlu cd arzu amber apt a blok no 11 a seyhan adana</t>
  </si>
  <si>
    <t>60e4545e6bd4dbb5610ccac1</t>
  </si>
  <si>
    <t>Macho Waffle, Seyhan (Yenibaraj Mah. - Barajyolu)</t>
  </si>
  <si>
    <t>ahmet bey         5357273030</t>
  </si>
  <si>
    <t>Yenibaraj, , 68046. Sk.hatıra apt. no:1 D:E, 01150 Seyhan/Adana</t>
  </si>
  <si>
    <t>Seyhan	Şakirpaşa</t>
  </si>
  <si>
    <t>hasan aka	3224321907-05366234280</t>
  </si>
  <si>
    <t>uğur gönlü - 05458781954</t>
  </si>
  <si>
    <t>MURAT BEY - 05359771817</t>
  </si>
  <si>
    <t>"TOROS MAH. ALİ SEPİCİ BLV. NO:5/A ÇUKUROVA/ADANA"</t>
  </si>
  <si>
    <t>6024101f49682f7f27a0cc29</t>
  </si>
  <si>
    <t>Çiğ Köfte Deryası, Çukurova (Huzurevleri Mah.)</t>
  </si>
  <si>
    <t>Çukurova/huzurevleri</t>
  </si>
  <si>
    <t>huzurevleri mah 77150 sok no 11 çağatay apt çukurova adana</t>
  </si>
  <si>
    <t>SEVGİ-05318937336-05531689347</t>
  </si>
  <si>
    <t>meltem aşanbuğa	5324072494</t>
  </si>
  <si>
    <t>6049d9f589a2c577777e51af</t>
  </si>
  <si>
    <t>Warehouse (Cemalpaşa Mah.)</t>
  </si>
  <si>
    <t>çağlayan kocahan	5321132332</t>
  </si>
  <si>
    <t>cemalpaşa mh toros cd ertan apt no 28/a seyhan adana</t>
  </si>
  <si>
    <t xml:space="preserve">ÜRÜN VE İSİM DEĞİŞİKLİĞİ YAPILMIŞ. </t>
  </si>
  <si>
    <t>Seyhan/beşocak</t>
  </si>
  <si>
    <t>ibrahim//5445458329</t>
  </si>
  <si>
    <t>60be21aeeb496504f372fb78</t>
  </si>
  <si>
    <t>Şırdancı Reşit, Seyhan (Hurmalı Mah.)</t>
  </si>
  <si>
    <t>Seyhan/hurmanlı</t>
  </si>
  <si>
    <t>Hurmalı, Bakımyurdu Cd. no10, 01060 Seyhan/Adana</t>
  </si>
  <si>
    <t>Ferhat Köksal</t>
  </si>
  <si>
    <t>60a26daa5196d48c7769a744</t>
  </si>
  <si>
    <t>ÇÇ Döner &amp; Pizza, Sarıçam (Gültepe Mah.)</t>
  </si>
  <si>
    <t>mehmet çelik 3224501333-05467997279/5447997279</t>
  </si>
  <si>
    <t>gültepe mah 810 sk no 7 f sarıçam adana</t>
  </si>
  <si>
    <t>mehmet bey         5054523208</t>
  </si>
  <si>
    <t>fidan kaya        3223410565- 5434315454 ertan bey"</t>
  </si>
  <si>
    <t>pınar uysun	3223418087</t>
  </si>
  <si>
    <t>diğer subedeki fotoğrafları kullanacaklarmıs randevu iptal etti</t>
  </si>
  <si>
    <t>60f28d8022dee6e2da369539</t>
  </si>
  <si>
    <t>Kazbaşı House , Çukurova (Süleyman Demirel Bulv.)</t>
  </si>
  <si>
    <t>13.30</t>
  </si>
  <si>
    <t>mert ali ezgü         (0322) 889 06 06-05428930385</t>
  </si>
  <si>
    <t>GÜZELYALI MAH. SÜLEYMAN DEMİREL BLV. NO: 19 A ÇUKUROVA/ ADANA</t>
  </si>
  <si>
    <t>60a8024d04a5e26d984f98c8</t>
  </si>
  <si>
    <t>Venedik Pasta &amp; Cafe (Güzelyalı Mah.)</t>
  </si>
  <si>
    <t>hakan koşmaz	3224351435-05336496825</t>
  </si>
  <si>
    <t>Turgut Özal Bulvarı No:14/D Bulvar Apt. Altı Çukurova/Adana</t>
  </si>
  <si>
    <t xml:space="preserve">5449234554- UĞUR BEY </t>
  </si>
  <si>
    <t>sude alkan</t>
  </si>
  <si>
    <t>nevzat kardaş	3222420002</t>
  </si>
  <si>
    <t>serhan bey - 05445208200- 05362942732</t>
  </si>
  <si>
    <t>süleyman//5525235273</t>
  </si>
  <si>
    <t>6082bb575d77c0461ade6800</t>
  </si>
  <si>
    <t>Pizza Max (Sümer Mah.)</t>
  </si>
  <si>
    <t>kadir özgan        5528250001</t>
  </si>
  <si>
    <t>sümer mah mavi bulv duygu cafe seyhan adana</t>
  </si>
  <si>
    <t>devir alan kişi aytaç bey - 03226063301-5356727336</t>
  </si>
  <si>
    <t>celal bey -05367980149</t>
  </si>
  <si>
    <t>barış gökçeli	3224452554-</t>
  </si>
  <si>
    <t xml:space="preserve">3224297482- elif hanım </t>
  </si>
  <si>
    <t>yeşiloba mah 46003 sk 1 Z159 seyhan adana</t>
  </si>
  <si>
    <t>emrah benzer	5059819999</t>
  </si>
  <si>
    <t>Başka Randevu Alınmayacak!!!</t>
  </si>
  <si>
    <t>Hatem Soyaslan</t>
  </si>
  <si>
    <t>6141b8043f62aecccd620a22</t>
  </si>
  <si>
    <t xml:space="preserve"> Tatlıcı İhsan, Seyhan (Yeşilyurt Mah.) </t>
  </si>
  <si>
    <t>Ramazan Bey/5367489967</t>
  </si>
  <si>
    <t>yeşilyurt mah. 70206. sok no:1/daire 1 seyhan /adana</t>
  </si>
  <si>
    <t xml:space="preserve">hedef listede  bulunamadı genel merkez talabiyle randevu alındı - ürünlerin hepsini çıkartacak </t>
  </si>
  <si>
    <t xml:space="preserve">ferhat köksal </t>
  </si>
  <si>
    <t>601546715bc3490bc9ca9351</t>
  </si>
  <si>
    <t>Baba Kebap, Seyhan (Fevzipaşa Mah.)</t>
  </si>
  <si>
    <t>Seyhan	Fevzipaşa</t>
  </si>
  <si>
    <t>sabri gel	5337730238-03224293701</t>
  </si>
  <si>
    <t>FEVZİPAŞA MAH. 48056 SK. NO: 136 A SEYHAN/ ADANA</t>
  </si>
  <si>
    <t>5fde740739426c8e146236e4</t>
  </si>
  <si>
    <t>Eyüp Can Kebap &amp; Lahmacun, Seyhan (Sümer Mah. - Barajyolu)</t>
  </si>
  <si>
    <t xml:space="preserve">EYÜP GÜRLER        3222810000-5070955855 </t>
  </si>
  <si>
    <t>Sümer Mah necip fazıl kısakürek cd arma vera sitesi b blok no 10 /a seyhan adana</t>
  </si>
  <si>
    <t>can montana	5445127366</t>
  </si>
  <si>
    <t>veysel zengin	5368944006</t>
  </si>
  <si>
    <t>610073a9f9c507bacb0c9ce5</t>
  </si>
  <si>
    <t>Çiğ Köfte Konağı, Yüreğir (Akıncılar Mah.)</t>
  </si>
  <si>
    <t>Yüreğir	Akıncılar</t>
  </si>
  <si>
    <t>Zekiye Çırakoğlu	5541112772</t>
  </si>
  <si>
    <t>YAVUZLAR MAH. İLİM YOLU BLV. 165/A YÜREĞİR/ADANA</t>
  </si>
  <si>
    <t>61139c0143e52187c57bb76e</t>
  </si>
  <si>
    <t>Güloğlu Döner, Yüreğir (Yavuzlar Mah.)</t>
  </si>
  <si>
    <t>Yüreğir	Yavuzlar</t>
  </si>
  <si>
    <t xml:space="preserve">5055247614 BÜLENT BEY </t>
  </si>
  <si>
    <t>yavuzlar mah orhan kemal bulv no 215 yüreğir adana</t>
  </si>
  <si>
    <t>6009703537de62d6dcb408ee</t>
  </si>
  <si>
    <t>Dom Dom Köfte, Yüreğir (Kışla Mah.)</t>
  </si>
  <si>
    <t>fatma yüksel	5541135976</t>
  </si>
  <si>
    <t>Kışla Mahallesi, Dr. Mithat Özsan Bulvarı, 4522. Sokak No:1, Yüreğir/Adana</t>
  </si>
  <si>
    <t>ayhan akın        3223440505</t>
  </si>
  <si>
    <t>MUSA BEY        5530893212</t>
  </si>
  <si>
    <t>İRFAN BEY  - 5075600201</t>
  </si>
  <si>
    <t>esra erkiş	3222151515</t>
  </si>
  <si>
    <t>6092acc170951485d71198fe</t>
  </si>
  <si>
    <t>Börekçi Kardeşler (Tahsilli Mah.)</t>
  </si>
  <si>
    <t>Yüreğir	Dervişler</t>
  </si>
  <si>
    <t>cemil kardaş	3223244901-05439397445</t>
  </si>
  <si>
    <t>tahsilli mah kozan cd 329 yüreğir adana</t>
  </si>
  <si>
    <t>6127507ee3cfe82c2e3a71ee</t>
  </si>
  <si>
    <t>Şansım Döner, Yüreğir (Kışla Mah.)</t>
  </si>
  <si>
    <t>Yüreğir        Kışla</t>
  </si>
  <si>
    <t>mehmet caymaz        3223442121-05326855023</t>
  </si>
  <si>
    <t>kışla mah 4389 sk no 4 iç kapı no a yüreğir adana</t>
  </si>
  <si>
    <t>60ab7e54d6af65fa1cd0ff54</t>
  </si>
  <si>
    <t>SM Ocakbaşı, Yüreğir (Serinevler Mah.)</t>
  </si>
  <si>
    <t>Yüreğir	Serinevler</t>
  </si>
  <si>
    <t>ebubekir saylan	5538820123</t>
  </si>
  <si>
    <t>seribevler mah manolya cd no 78 yüreğir adana</t>
  </si>
  <si>
    <t>6093fa815931358cea172ec5</t>
  </si>
  <si>
    <t>By Ada Döner, Yüreğir (Serinevler Mah.)</t>
  </si>
  <si>
    <t>bünyamin arık	3223285454-05444221638</t>
  </si>
  <si>
    <t>serinevler mah şehit mustafa köksal caddesi no 139 yüreğir adana</t>
  </si>
  <si>
    <t>60149285d22e22bcc6b5b2b6</t>
  </si>
  <si>
    <t>Fırıngo Pasta &amp; Cafe, Çukurova (Huzurevleri Mah.)</t>
  </si>
  <si>
    <t>Çukurova / Huzurevleri</t>
  </si>
  <si>
    <t>Emel Hanım / 5333437977</t>
  </si>
  <si>
    <t>Huzurevleri Mh. Turgut Özal Blv. Elit Apt. Zemin Kat No:210/B, 01360 Çukurova/Adana</t>
  </si>
  <si>
    <t>Çukurova / Belediye Evleri</t>
  </si>
  <si>
    <t>5364403889 Umut Bey</t>
  </si>
  <si>
    <t>60a60e220328fd888989da7f</t>
  </si>
  <si>
    <t>Mersii Pastanesi (Huzurevleri Mah.)</t>
  </si>
  <si>
    <t>Teymur Bey / 5322083468</t>
  </si>
  <si>
    <t>huzurevleri mah 77215 sok no 4 e çukurova adana</t>
  </si>
  <si>
    <t>6143b4bb1009ac85c5a73ad0</t>
  </si>
  <si>
    <t>Cupid Burger, Çukurova (Mahfesığmaz Mah. - Turgut Özal Blv.)</t>
  </si>
  <si>
    <t xml:space="preserve">                12.30</t>
  </si>
  <si>
    <t>sami tekcan	5385448391-03222354494</t>
  </si>
  <si>
    <t>mahfesığmaz mah turgut özal bulv no 53 c çukurova adana</t>
  </si>
  <si>
    <t>Çukurova / Güzelyalı</t>
  </si>
  <si>
    <t>Galip bey / 5426180882</t>
  </si>
  <si>
    <t>6143b0422e8af89fccdc1907</t>
  </si>
  <si>
    <t>Hamburgerci Mükerrem, Çukurova (Güzelyalı Mah.)</t>
  </si>
  <si>
    <t xml:space="preserve">                15.00</t>
  </si>
  <si>
    <t>onurcan çiftçi        5323337279-05322190801</t>
  </si>
  <si>
    <t>güzelyalı mah turgut özal bulv akdeniz apt no 76 a çukurova adana</t>
  </si>
  <si>
    <t>6143b2ce5482b078a709ea71</t>
  </si>
  <si>
    <t>Beğendik Döner, Çukurova (Beyazevler Mah.)</t>
  </si>
  <si>
    <t xml:space="preserve">                 17.00</t>
  </si>
  <si>
    <t>muhammet hanifi sündük        5303954809-05314069939</t>
  </si>
  <si>
    <t>beyazevler mah 80003 sk mustafa kulak apt no 6 a çukurova adana</t>
  </si>
  <si>
    <t>60272071e70ceeaea6b963b5</t>
  </si>
  <si>
    <t>Öncü Börekçilik, Çukurova (Toros Mah.)</t>
  </si>
  <si>
    <t>Seyhan yenibaraj</t>
  </si>
  <si>
    <t>Eyyüp Bey / 5324870255</t>
  </si>
  <si>
    <t>merkez ptt yanı vakıflar sarayı altı istanbul pilavcısında çekimler gerçekleşecek</t>
  </si>
  <si>
    <t xml:space="preserve">Eyyüp beyin iki şubesi var istanbul pilavcısının ID olmadığı için buraya yazamadık </t>
  </si>
  <si>
    <t>İstanbul Pilavcısı</t>
  </si>
  <si>
    <t>6144823c4897b03060839278</t>
  </si>
  <si>
    <t>Eren Döner, Seyhan (Pınar Mah.)</t>
  </si>
  <si>
    <t xml:space="preserve">                 14.00</t>
  </si>
  <si>
    <t>Bahri bey 3222610162-05523730165</t>
  </si>
  <si>
    <t>pınar mah nazım hikmet cd no 20 b seyhan adana</t>
  </si>
  <si>
    <t xml:space="preserve">YARINA ERTELENDİ </t>
  </si>
  <si>
    <t>6145d7824a202336169dbfe1</t>
  </si>
  <si>
    <t>Beyaz Mutfak, Seyhan (Yeşilyurt Mah.)</t>
  </si>
  <si>
    <t xml:space="preserve">                 16.00</t>
  </si>
  <si>
    <t>sema sakacalı	5416130100-0557520557</t>
  </si>
  <si>
    <r>
      <rPr>
        <rFont val="Arial"/>
      </rPr>
      <t xml:space="preserve">yeşilyurt mah Buberen </t>
    </r>
    <r>
      <rPr>
        <rFont val="Arial"/>
        <color rgb="FF1155CC"/>
        <u/>
      </rPr>
      <t>apt.no:39/a</t>
    </r>
    <r>
      <rPr>
        <rFont val="Arial"/>
      </rPr>
      <t xml:space="preserve"> yesilyurt halısaha karşısı  seyhan adana</t>
    </r>
  </si>
  <si>
    <t>Mizbah Bey/3229995252</t>
  </si>
  <si>
    <t>Yetkili olmasa bile ustası hazırlık yapacakmış. Daha önce randevu alınmış ama gidilmemiş</t>
  </si>
  <si>
    <t>Hüseyin Bey/5494090102</t>
  </si>
  <si>
    <t>6149cb472b54dc760ab4d50c</t>
  </si>
  <si>
    <t>Serinyayla Büfe, Çukurova (Mahfesığmaz Mah. - Turgut Özal Blv.)</t>
  </si>
  <si>
    <t>Hasan Bey/5314046193</t>
  </si>
  <si>
    <t>mahfesığmaz mah 79132 sk yonca apt no 12 iç kapı no 01 çukuorva adana</t>
  </si>
  <si>
    <t>6009b382c5f833dc249055e1</t>
  </si>
  <si>
    <t>Osman Usta Şırdan (Mahfesığmaz Mah.)</t>
  </si>
  <si>
    <t>Mehmet Ali Bey/3222353538/5372212569</t>
  </si>
  <si>
    <t>Mahfesığmaz Mah, Şehitler Blv No:16 /Kenan evren bulvarı kebapçı Zeki usta yanı</t>
  </si>
  <si>
    <t>614480f57e62cf793640f2e1</t>
  </si>
  <si>
    <t>Yeni Dostlar Kebap, Seyhan (Kurtuluş Mah.)</t>
  </si>
  <si>
    <t>Seyhan / Kurtuluş</t>
  </si>
  <si>
    <t>5306912377 ahmet bey</t>
  </si>
  <si>
    <t>kurtuluş mah 64016 sk yaşar apt no 18 b seyhan adana</t>
  </si>
  <si>
    <t xml:space="preserve">        16.00</t>
  </si>
  <si>
    <t>60a66f2f6236f1cc8968b69a</t>
  </si>
  <si>
    <t>Türkmenbaşı Paça (Gürselpaşa Mah. - Türkmenbaşı Blv.)</t>
  </si>
  <si>
    <t>Beytullah Bey/5387264460/3229993134</t>
  </si>
  <si>
    <t>Gürselpaşa, İzzetbegoviç Bulvarı Hüseyin Özdeş Apt. altı 91/C 75646 sokak , 01200 Seyhan/Adana</t>
  </si>
  <si>
    <t>yusuf kölge/3222070707 / 5364962832 / 5435906001</t>
  </si>
  <si>
    <t>fethi çiçek/3222343621</t>
  </si>
  <si>
    <t>Toros Mah. Turgut Özal Blv. 78192 Sok. 2/G Çukurova, Adana(doğal park sokak)</t>
  </si>
  <si>
    <t>606af4d7eb165e009d8d374e</t>
  </si>
  <si>
    <t>The Bull Burger, Çukurova (Güzelyalı Mah. - Turgut Özal Blv.)</t>
  </si>
  <si>
    <t>Emrah Bey/5459579275</t>
  </si>
  <si>
    <t>GÜZELYALI MAHALLESİ TURGUT ÖZAL BULVARI YAKAMOZ APT. 96/A ÇUKUROVA / ADANA</t>
  </si>
  <si>
    <t>Mehmet Bey/5330485908</t>
  </si>
  <si>
    <t>Selcan Topçu</t>
  </si>
  <si>
    <t xml:space="preserve">Seyhan/Barış	</t>
  </si>
  <si>
    <t xml:space="preserve">5347012507 / veli bey </t>
  </si>
  <si>
    <t>60eedeb102cac1046ada286e</t>
  </si>
  <si>
    <t>Merkez Tantuni, Seyhan (Onur Mah.)</t>
  </si>
  <si>
    <t>Seyhan/Onur</t>
  </si>
  <si>
    <t xml:space="preserve">atakan çakmak/5459533342      </t>
  </si>
  <si>
    <t>onur mh onur cd no 59 seyhan adana</t>
  </si>
  <si>
    <t>5ff4758a333ef5e271b08d32</t>
  </si>
  <si>
    <t>Guest, Seyhan (Gürselpaşa Mah.)</t>
  </si>
  <si>
    <t xml:space="preserve">Seyhan/Gürselpaşa	</t>
  </si>
  <si>
    <t>didem hanım / 5418522802</t>
  </si>
  <si>
    <t>gürselpaşa mah aliya izzet begoviç bulvarı özdeş apt no:91/e seyhan adana</t>
  </si>
  <si>
    <t>600c9455b1969176e73d2e45</t>
  </si>
  <si>
    <t>Paçacım (Gürselpaşa Mah.)</t>
  </si>
  <si>
    <t xml:space="preserve">mehmet salih balyen/5324042101                </t>
  </si>
  <si>
    <t>Gürselpaşa, Ali Bozdoğanoğlu Blv No:25/a, 01200 Seyhan/Adana</t>
  </si>
  <si>
    <t>hüseyin dike	5550971750</t>
  </si>
  <si>
    <t>6092b6779f1f74ad09cae4ff</t>
  </si>
  <si>
    <t>Arısoy Restaurant &amp; Catering, Sarıçam (Acıdere Osb Mah.)</t>
  </si>
  <si>
    <t>Sarıçam	Acıdereosb</t>
  </si>
  <si>
    <t>azmi huzur yurtçu	5365538673</t>
  </si>
  <si>
    <t>acıdere osb mah inönü blv no 8 sarıçam adana</t>
  </si>
  <si>
    <t>60807081d0f212bd34fc1265</t>
  </si>
  <si>
    <t>İstanbul Çiğ Köfte (Şahintepe Mah.)</t>
  </si>
  <si>
    <t>İdris Tülü        5432013481   5426470702</t>
  </si>
  <si>
    <t>şahintepe mah kozan blv 52/b1 sarıçam adana</t>
  </si>
  <si>
    <t>veysel demirtaş	5528992233</t>
  </si>
  <si>
    <t>6149d88f74c1c5c5db026e6a</t>
  </si>
  <si>
    <t>01 Ada Dönercim , Çukurova (Yüzüncü Yıl mah.)</t>
  </si>
  <si>
    <t>barbaros hayreddin gürsoy        5079724473</t>
  </si>
  <si>
    <t>yüzüncü yıl mah 85062 sk d blok no 60/2 iç kapı no 4 çukurova adana</t>
  </si>
  <si>
    <t>semiha akçal	5512400101</t>
  </si>
  <si>
    <t>603f7cc43d7b8528f752f458</t>
  </si>
  <si>
    <t>Önder Kebap &amp; Lahmacun (Toros Mah.)</t>
  </si>
  <si>
    <t>hıdır ağırman	5373832396</t>
  </si>
  <si>
    <t>toros mah 78141 sk kazancı apt no 8 b çukurova adana</t>
  </si>
  <si>
    <t>ayşenur  hanım	5355693203</t>
  </si>
  <si>
    <t>ferhat köksal</t>
  </si>
  <si>
    <t>614d8ba1ea1b0b479f9d9065</t>
  </si>
  <si>
    <t>Şinasi Lounge, Seyhan (Kurtuluş Mah.)</t>
  </si>
  <si>
    <t>cuma cem yetişgen	5073777444- 05332620525</t>
  </si>
  <si>
    <t>kurtuluş mah şinasi efendi cd suphi ramazanoğlu apt b girişi no 22 c seyhan adana</t>
  </si>
  <si>
    <t>614e5468356f54f6c8140099</t>
  </si>
  <si>
    <t>Murat Babacan Yeni Nesil Çiğ Köfte, (Belediyeevleri Mah.)</t>
  </si>
  <si>
    <t>ethem sözütek        5454301932-05374300499</t>
  </si>
  <si>
    <t>belediye evleri mah sadık ahmet bulv no 44 a bp petrol içi çukurova adana</t>
  </si>
  <si>
    <t>6151e1add547cf92384efa69</t>
  </si>
  <si>
    <t>Paşabey Baklava , Çukurova (Toros Mah.)</t>
  </si>
  <si>
    <t>aydın şık	5357697918</t>
  </si>
  <si>
    <t>nevzat kardaş        3222420002-5302231353</t>
  </si>
  <si>
    <t>6151df15ac79e4ac1b09961c</t>
  </si>
  <si>
    <t>Oburix Cafe , Çukurova (Huzurevleri Mah.)</t>
  </si>
  <si>
    <t>mehmet gencay	5462289354</t>
  </si>
  <si>
    <t>Huzurevleri mahallesi 77057 sokak no 14 a cukurova adana</t>
  </si>
  <si>
    <t>602fb60d5f9272680d86955b</t>
  </si>
  <si>
    <t>Bizim Börekçilik (Gürselpaşa Mah.)</t>
  </si>
  <si>
    <t>Seyhan/ Gürselpaşa</t>
  </si>
  <si>
    <t xml:space="preserve">selim bey        3225038100 - 5323084713 </t>
  </si>
  <si>
    <t>Gürselpaşa, Gold Plaza, Aliya İzzet Begoviç Blv, 01170 Çukurova/Adana</t>
  </si>
  <si>
    <t>602fb8b35eff1057160ea7ac</t>
  </si>
  <si>
    <t>Bizim Börekçilik (Ziyapaşa Mah.)</t>
  </si>
  <si>
    <t>Seyhan / Ziyapaşa</t>
  </si>
  <si>
    <t xml:space="preserve">selim bey        3225038100- 5323084713 </t>
  </si>
  <si>
    <t>Ziyapaşa mh Kasım Gülek Bulvarı Nadirler Apt, D:109/A, 01140 Seyhan/Adana</t>
  </si>
  <si>
    <t>6149b2cf1ba9b54496dfbdd4</t>
  </si>
  <si>
    <t>Chef Mirdesli Çeşni Gurme, Seyhan (Çınarlı Mah.)</t>
  </si>
  <si>
    <t>mehmet mustafa mirdesli	5393630276</t>
  </si>
  <si>
    <t>çınarlı mah 61020 sk no 3 a seyhan adana</t>
  </si>
  <si>
    <t>ALİ BEY 3222330050 - 5432412147</t>
  </si>
  <si>
    <t>6141c4c68226549b37c9eadb</t>
  </si>
  <si>
    <t>Karıncı Eyüp, Seyhan (Hürriyet Mah.)</t>
  </si>
  <si>
    <t>Seyhan	Hürriyet</t>
  </si>
  <si>
    <t>YUNUS VANÇİN	5304998710</t>
  </si>
  <si>
    <t>HÜRRİYET MAH. 20001 SK. NO: 9 A SEYHAN/ ADANA</t>
  </si>
  <si>
    <t xml:space="preserve">meltem aşanbuğa-5536149004 </t>
  </si>
  <si>
    <t>6141bc8695480d0413420708</t>
  </si>
  <si>
    <t>Stad Döner &amp; Kebap Salonu, Sarıçam (Çarkıpare Mah.)</t>
  </si>
  <si>
    <t>Sarıçam/Çarkıpare</t>
  </si>
  <si>
    <t>Esin Hanım/5376067743</t>
  </si>
  <si>
    <t>Çarkıpare mah çatalan cd no 346 iç kapı no 27 sarıçam adana</t>
  </si>
  <si>
    <t>Yeni Stadyum tam karşısı.</t>
  </si>
  <si>
    <t>Hakan Bey/5073888888</t>
  </si>
  <si>
    <t>Mehmet Bey/5054523208</t>
  </si>
  <si>
    <t>Ahmet Bey/3222391657</t>
  </si>
  <si>
    <t>imge oflaz	5364960646</t>
  </si>
  <si>
    <t xml:space="preserve">kemal arıkan	5380443909 </t>
  </si>
  <si>
    <t xml:space="preserve">NAZIM HİKMET CAD.  PINAR SİTESİ C BLOK ZEMİN KAT </t>
  </si>
  <si>
    <t>614d910167d735492bbf4eda</t>
  </si>
  <si>
    <t>Kebapçı H. Murat Usta, Seyhan (Ziyapaşa Mah.)</t>
  </si>
  <si>
    <t>halime alğan	3224544701</t>
  </si>
  <si>
    <t>ziyapaşa mah baraj caddesi no 94 c seyhan adana</t>
  </si>
  <si>
    <t>ERKAN BEY        3222258765-05327155999</t>
  </si>
  <si>
    <t>Sümer Mahallesi, Barajyolu Bulvar 5. Durak No 7 Sümer</t>
  </si>
  <si>
    <t>60cdbd15205feeabbc7cfc14</t>
  </si>
  <si>
    <t>D'Juice, Seyhan (Kurtuluş Mah.)</t>
  </si>
  <si>
    <t>Seyhan	/Kurtuluş</t>
  </si>
  <si>
    <t>5343548374//benay uludağlı</t>
  </si>
  <si>
    <t>kurtuluş mah 64019 sk evren apt 26 03 seyhan adana</t>
  </si>
  <si>
    <t>Seyhan/	Pınar</t>
  </si>
  <si>
    <t>erdoğan özer	5425942705</t>
  </si>
  <si>
    <t>Seyhan/	Yenibaraj</t>
  </si>
  <si>
    <t xml:space="preserve">mehmet enser/5327445906 </t>
  </si>
  <si>
    <t xml:space="preserve">DEVAM ÇEKİMİ </t>
  </si>
  <si>
    <t>Seyhan	/Döşeme</t>
  </si>
  <si>
    <t>Deniz koç	/5413507394</t>
  </si>
  <si>
    <t xml:space="preserve">gidilmeden 1 saat önce aranmasını istiyor </t>
  </si>
  <si>
    <t xml:space="preserve"> ferhat köksal</t>
  </si>
  <si>
    <t>60a400ff7e9c4d5dff3d926e</t>
  </si>
  <si>
    <t>Star Börekçilik, Çukurova (Yüzüncü Yıl Mah.)</t>
  </si>
  <si>
    <t>cahit kardaş	5363206913</t>
  </si>
  <si>
    <t>yüzüncü yıl mah hacı bektaş veli bulv no 155 iç kapı no 1 çukurova adana</t>
  </si>
  <si>
    <t xml:space="preserve">TEYMUR BEY - 05322083468 </t>
  </si>
  <si>
    <t xml:space="preserve">DEVAM ÇEKİMİ TALEP ETTİ </t>
  </si>
  <si>
    <t>60376534f4f38611c483385e</t>
  </si>
  <si>
    <t>Afiyet Kebap (Huzurevleri Mah.)</t>
  </si>
  <si>
    <t>erdoğan aksoyan	3228020818 - 05327684719</t>
  </si>
  <si>
    <t>HUZUREVLERİ MAH. 77088 SK. GİRİCİLER APT. NO: 2 İÇ KAPI NO: 02 ÇUKUROVA/ ADANA</t>
  </si>
  <si>
    <t>barış gökçeli        3224452554 - 5531137373</t>
  </si>
  <si>
    <t>615cb7e7196a5d33f485a9f1</t>
  </si>
  <si>
    <t>Anadolu Çiğköfte, Seyhan (Hurmalı Mah.)</t>
  </si>
  <si>
    <t>muhammet şükrü özkarakaş	5447203988</t>
  </si>
  <si>
    <t>hurmalı mah kurtuluş cd no 73 seyhan adana</t>
  </si>
  <si>
    <t>615de382197eb93f957fca6d</t>
  </si>
  <si>
    <t>Tost Büfe, Seyhan (Cemalpaşa Mah. - Gazipaşa Blv.)</t>
  </si>
  <si>
    <t>Murat Kapukaya	5412211947</t>
  </si>
  <si>
    <t>Cemalpaşa, Gazipaşa Cad. No:28, 01120 Seyhan/Adana</t>
  </si>
  <si>
    <t>615b00e2aa0a0117f804be9a</t>
  </si>
  <si>
    <t>Anadolu Etaş, Seyhan (Tellidere Mah.)</t>
  </si>
  <si>
    <t>AHMET BÜDÜN	3225029096 - 05427311932</t>
  </si>
  <si>
    <t>tellidere mah mücahitler cd no 246 c hatice kayalı apt seyhan adana</t>
  </si>
  <si>
    <t xml:space="preserve">YENİ YETKİLİ - 5323184435 </t>
  </si>
  <si>
    <t xml:space="preserve">        12.00</t>
  </si>
  <si>
    <t>merve bulut	3222349797- 05326573234</t>
  </si>
  <si>
    <t>6143c0d2f9ce2e2a009f60e7</t>
  </si>
  <si>
    <t>Mayla Fırın &amp; Pasta, Çukurova (Yüzüncü Yıl Mah.)</t>
  </si>
  <si>
    <t xml:space="preserve">gülcan korkmaz        5445420280- </t>
  </si>
  <si>
    <t>15.30</t>
  </si>
  <si>
    <t>6155b39b0f840c286862f8f5</t>
  </si>
  <si>
    <t>Casco Pizzeria , Çukurova (Güzelyalı Mah.)</t>
  </si>
  <si>
    <t>Esef Doğru	5342906230</t>
  </si>
  <si>
    <t>Güzelyalı mah Süleyman Demirel Bulv. no 3/C Çukurova Adana</t>
  </si>
  <si>
    <t>6155afd45dbf64156e92e394</t>
  </si>
  <si>
    <t>Hatice Pastanesi , Çukurova (Güzelyalı Mah.)</t>
  </si>
  <si>
    <t>Hatice Turan	5416814214</t>
  </si>
  <si>
    <t>Huzurevleri mah Süleyman Demirel bulvarı Birlik apt no 91 a Çukurova Adana</t>
  </si>
  <si>
    <t>teyit için arandı devam çekimi oluşturuldu 29 / 12 / 2021</t>
  </si>
  <si>
    <t>615de1ae16054412f42dae92</t>
  </si>
  <si>
    <t>Adana Dürümcüsü , Çukurova (Toros Mah.)</t>
  </si>
  <si>
    <t>Muhammet Belindir	5064670177</t>
  </si>
  <si>
    <t xml:space="preserve">teyit için arandı ulaşılamadı </t>
  </si>
  <si>
    <t>615c457eca5c5ea34a01171d</t>
  </si>
  <si>
    <t>Dalyan Balık , Çukurova (Karslılar Mah.)</t>
  </si>
  <si>
    <t>Hasan Altun	5305611088</t>
  </si>
  <si>
    <t>Karslılar Mah. Adnan Menderes Blv. No:105/A Çukurova Adana</t>
  </si>
  <si>
    <t>turan savcı	3223651775 - 05308640147</t>
  </si>
  <si>
    <t>616009b3e01a0f629428999c</t>
  </si>
  <si>
    <t>PasteA Cafe, Seyhan (Reşatbey Mah.)</t>
  </si>
  <si>
    <t xml:space="preserve">SEYHAN-REŞAT BEY </t>
  </si>
  <si>
    <t xml:space="preserve">5358927723- MURAT BEY </t>
  </si>
  <si>
    <t xml:space="preserve">REŞAT BEY MAH. 5 OCAK CAD. 5 OCAK APT. ALTI </t>
  </si>
  <si>
    <t>615ec948f7a5f66861353489</t>
  </si>
  <si>
    <t>Pastanya Fırın &amp; Cafe, Seyhan (Sümer Mah.)</t>
  </si>
  <si>
    <t>Mehmet Delen	5368930798</t>
  </si>
  <si>
    <t>sümer mah 69126 sk evliya apt no 10 a seyhan adana</t>
  </si>
  <si>
    <t>615fe93d74a19e9efc9a25a5</t>
  </si>
  <si>
    <t>Gramaj Bakery &amp; Cake Shop, Seyhan (Cemalpaşa Mah.)</t>
  </si>
  <si>
    <t>Sultan Babat        3229995339- 05383006563</t>
  </si>
  <si>
    <t>Cemalpaşa mah 63010 sk.no 11 a seyhan adana</t>
  </si>
  <si>
    <t>mustafa demirbaş        3222330083- 05444715131</t>
  </si>
  <si>
    <t>mahfesığmaz mah 79141 sokak şafak apt no 1 çukurova adana</t>
  </si>
  <si>
    <t>600b2677cf43c1340fbbf84e</t>
  </si>
  <si>
    <t>Damak Baklava ( Güzelyalı Mah.)</t>
  </si>
  <si>
    <t>metin kurtoğlu        5414119713- 05066569713</t>
  </si>
  <si>
    <t>güzelyalı mah anadolu lisesi cad merve apt altı no:20/b çukurova adana</t>
  </si>
  <si>
    <t>615c3a45def13834a75cbe97</t>
  </si>
  <si>
    <t>Time Out Coffee &amp; Sandwich, Çukurova (Güzelyalı Mah.)</t>
  </si>
  <si>
    <t>Melda Kaymaz	5078334941</t>
  </si>
  <si>
    <t>Güzelyalı mah 81100 sk. No: 1/a Çukurova Adana</t>
  </si>
  <si>
    <t>616405f7638d1f571747b787</t>
  </si>
  <si>
    <t>Altın Tava Kavurma Dürüm , Çukurova (Mahfesığmaz Mah.)</t>
  </si>
  <si>
    <t>İnanç Bozkurt        5448709403 - 05061709775</t>
  </si>
  <si>
    <t>mahfesıgmaz mah turgut özal bulvno 35 çukurova adana</t>
  </si>
  <si>
    <t xml:space="preserve">teyit için arandı çalışanı net bir bilgim yok dedi </t>
  </si>
  <si>
    <t xml:space="preserve"> ferhat köksal </t>
  </si>
  <si>
    <t>615cb438545f9b352246833f</t>
  </si>
  <si>
    <t>Bizim Fırın Pasta &amp; Cafe, Seyhan (Döşeme Mah.)</t>
  </si>
  <si>
    <t>resul inal	5380510547</t>
  </si>
  <si>
    <t>döşeme mah m. nuri sabuncu blv kayalı apt no 99 a seyhan adana</t>
  </si>
  <si>
    <t>615ec3c48f102c80036de61a</t>
  </si>
  <si>
    <t>Ziyapaşa Tost, Seyhan (Kurtuluş Mah.)</t>
  </si>
  <si>
    <t>adil can        5520712401</t>
  </si>
  <si>
    <t>kurtuluş mah 64004 sk no 26 alganlar sitesi seyhan adana</t>
  </si>
  <si>
    <t>615b050383a76638bb84bd5c</t>
  </si>
  <si>
    <t>Kebapçı Yusuf, Seyhan (Pınar Mah.)</t>
  </si>
  <si>
    <t>HALİME ÜNNÜ	3222611515- 05330405782</t>
  </si>
  <si>
    <t>pınar mah 74002 sk no 2 d seyhan adana</t>
  </si>
  <si>
    <t>can yıldırım	5322083468</t>
  </si>
  <si>
    <t>614e4c31fddab77234305ce6</t>
  </si>
  <si>
    <t>ÇD Çukurova Döner , Çukurova (Huzurevleri Mah.)</t>
  </si>
  <si>
    <t>serdar atılan	5356727336</t>
  </si>
  <si>
    <t>İbrahim Bey ; 5526881340</t>
  </si>
  <si>
    <t>ÖMER BEY - 5387767080</t>
  </si>
  <si>
    <t>60d0ec3e3b18f9ad6125eea2</t>
  </si>
  <si>
    <t>Diyet Kapımda , Seyhan(Cemalpaşa Mah.)</t>
  </si>
  <si>
    <t>yusuf onur ergezer	5433623122</t>
  </si>
  <si>
    <t>cemalpaşa mah toros cad no B blok zemin kat  15/4 seyhan adana</t>
  </si>
  <si>
    <t xml:space="preserve">çekim saglanmıs ama panele yüklenmedüği için tekrardan çekim saglanacak  </t>
  </si>
  <si>
    <t xml:space="preserve">kapattım 30 kere arıyorsunuz dedi </t>
  </si>
  <si>
    <t>ibrahim kuş        5326046420</t>
  </si>
  <si>
    <t>6037978df539a0e556059aff</t>
  </si>
  <si>
    <t>İlgim Döner (Cumhuriyet Mah.)</t>
  </si>
  <si>
    <t>Yüreğir	Cumhuriyet</t>
  </si>
  <si>
    <t>eren bey        5445407846</t>
  </si>
  <si>
    <t>cumhuriyet mh süleyman vahit cd no 176 yüreğir adana</t>
  </si>
  <si>
    <t>615f580a662651167ba18c65</t>
  </si>
  <si>
    <t>Cesur Pide, Yüreğir (Levent Mah.)</t>
  </si>
  <si>
    <t>Yüreğir	Levent</t>
  </si>
  <si>
    <t>Mehmet Gerez        5312949310</t>
  </si>
  <si>
    <t>levent mah levent cd no 4 yüreğir adana</t>
  </si>
  <si>
    <t>6145da4430bfc851acf45e01</t>
  </si>
  <si>
    <t>Yanar Döner 01, Yüreğir (Kazım Karabekir Mah.)</t>
  </si>
  <si>
    <t>cihan kurt	5369919901</t>
  </si>
  <si>
    <t>kazım karabekir mah m. kemalpaşa blv 4191 sk no 7 a yüreğir adana</t>
  </si>
  <si>
    <t xml:space="preserve">resul inal        /5380510547              </t>
  </si>
  <si>
    <t>Seyhan/Çınarlı</t>
  </si>
  <si>
    <t xml:space="preserve">ZAFER KARATAŞ/3224580709/5324658674                </t>
  </si>
  <si>
    <t>çınarlı mah ziyapaşa blv taştepe apt no 61 a seyhan adana</t>
  </si>
  <si>
    <t xml:space="preserve">devam cekımı - ulaşılamadı </t>
  </si>
  <si>
    <t xml:space="preserve">FAHMETTİN YALÇIN/5012420077                </t>
  </si>
  <si>
    <t>devam cekımı</t>
  </si>
  <si>
    <t xml:space="preserve">Murat Kapukaya/5412211947                </t>
  </si>
  <si>
    <t xml:space="preserve">çrş günü aranıp prş gününe randevu oluşturulacak </t>
  </si>
  <si>
    <t xml:space="preserve">Gül hanım /0322) 239 70 00     </t>
  </si>
  <si>
    <t xml:space="preserve">yunus uçmak/3222480025              </t>
  </si>
  <si>
    <t>Betül Demir</t>
  </si>
  <si>
    <t>60624841b71fbc364e195433</t>
  </si>
  <si>
    <t>Ata Kumpir (Mahfesığmaz Mah.-Turgut Özal Blv.)</t>
  </si>
  <si>
    <t xml:space="preserve">Çukurova/ Güzelyalı </t>
  </si>
  <si>
    <t>Özlem ÖZTÜRK/ 3222340706</t>
  </si>
  <si>
    <t>mahfesıgmaz mah turgut özal bulv selamet apt no:101 e çukurova adana</t>
  </si>
  <si>
    <t xml:space="preserve">3 kasıma ertelenecek - ertlemesi saglandı 4 kasım 18.30 vaktıne  </t>
  </si>
  <si>
    <t>dilek acar	5079090494</t>
  </si>
  <si>
    <t>6143c283fe2d6af3f03cbcbc</t>
  </si>
  <si>
    <t>Şırdancı Kudret, Çukurova (Güzelyalı Mah. - Turgut Özal Blv.)</t>
  </si>
  <si>
    <t>rifat can bilgin	5526174640</t>
  </si>
  <si>
    <t>yurt mah kurttepe cad coşanlar apt no 48 a çukurova adana</t>
  </si>
  <si>
    <t xml:space="preserve">restorant satışa açık değil </t>
  </si>
  <si>
    <t>Sarıçam/Esentepe</t>
  </si>
  <si>
    <t>Orhan Bey/5417877624</t>
  </si>
  <si>
    <t>600602d2f9bae4f42952e1a5</t>
  </si>
  <si>
    <t>Şirinoğlu Baklava, Sarıçam (Çarkıpare Mah.)</t>
  </si>
  <si>
    <t>mehmet gökhan bozkuş/3222326688 / 5538696506</t>
  </si>
  <si>
    <t>çarkıpare mah çatalan cad koza arrena sarıçam adana</t>
  </si>
  <si>
    <t>606e0e97070f3bf7644b15b1</t>
  </si>
  <si>
    <t>Tantunici Adem (Çarkıpare Mah.)</t>
  </si>
  <si>
    <t>Adem bey/552 284 40 01</t>
  </si>
  <si>
    <t>çarkıpare mh çatalan cd no 218 / c sarıçam adana</t>
  </si>
  <si>
    <t xml:space="preserve">FOTOĞRAFÇI İSTEĞİYLE   RANDEVU  ALINMAYACAK  </t>
  </si>
  <si>
    <t>60ad6669ab98d3666726872a</t>
  </si>
  <si>
    <t>Adana Nohut Dürüm, Seyhan (Cemalpaşa Mah.)</t>
  </si>
  <si>
    <t>canan boğa        5322814079</t>
  </si>
  <si>
    <t>cemalpaşa mah 63005 sok gonca apt no 19 b seyhan adana</t>
  </si>
  <si>
    <t xml:space="preserve">ulaşılamadı </t>
  </si>
  <si>
    <t>numan akçay        5426197983</t>
  </si>
  <si>
    <t>616dc32a800128fa3ea2346f</t>
  </si>
  <si>
    <t>Cız&amp;Bız Sokak Lezzetleri, Seyhan (Cemalpaşa Mah.)</t>
  </si>
  <si>
    <t>Ahmet Tufan        5317006770 - 05365445341</t>
  </si>
  <si>
    <t xml:space="preserve">devam çekimi  - ulaşılamadı </t>
  </si>
  <si>
    <t>60245ad7db16c8f6e6f0b96b</t>
  </si>
  <si>
    <t>Hayat Cafe, Seyhan (Reşatbey Mah.)</t>
  </si>
  <si>
    <t>BEŞİR KILIÇ	3224578820 - 05424287187</t>
  </si>
  <si>
    <t>Reşatbey cad. Atatürk Cd. 20 / A  01120 Seyhan/Adana</t>
  </si>
  <si>
    <t>6172bafb78535148def9583c</t>
  </si>
  <si>
    <t>Vita Fit, Çukurova (Güzelyalı Mah. - Turgut Özal Blv.)</t>
  </si>
  <si>
    <t>taha şen        5439360963 - 05446917300</t>
  </si>
  <si>
    <t>güzelyalı mah 81161 sk veli işlek apt no 5 e çukurova adana</t>
  </si>
  <si>
    <t>603f7a57430b9299f4620332</t>
  </si>
  <si>
    <t>Cafe Kırmızı (Beyazevler Mah.)</t>
  </si>
  <si>
    <t>Çukurova    Sümer</t>
  </si>
  <si>
    <t>ömer kocahan        5433483411</t>
  </si>
  <si>
    <t xml:space="preserve">sümer mah. 691077 sok. gökhan apt.3 / C Çukurova / Adana </t>
  </si>
  <si>
    <t xml:space="preserve">araç kullanıyorum şuan hiç müsait değilim beyfendi dedi yüzüme kapattı </t>
  </si>
  <si>
    <t>6176ba3c26a37d6ed7990c2d</t>
  </si>
  <si>
    <t>Sıcak Fırın, Seyhan (Pınar Mah.)</t>
  </si>
  <si>
    <t xml:space="preserve">Mevlüt Bey        5079587878 - 05337741210 </t>
  </si>
  <si>
    <t>pınar mah nazım hikmet cd no 19 a seyhan adana</t>
  </si>
  <si>
    <t>6172c1a8314de40a72448f5c</t>
  </si>
  <si>
    <t>Pote Lounge , Seyhan (Cemalpaşa Mah.)</t>
  </si>
  <si>
    <t>murat fevzi kaya	5050703611</t>
  </si>
  <si>
    <t>cemalpaşa mah 63009 sk oğuz apt no 16 seyhan adana</t>
  </si>
  <si>
    <t>ayşe aşçıbaşı	5528830146</t>
  </si>
  <si>
    <t xml:space="preserve">devam çekimi  </t>
  </si>
  <si>
    <t>6045d0fdee8c4a536ba0af1f</t>
  </si>
  <si>
    <t>Pizza Taxi (Yeni Mah.)</t>
  </si>
  <si>
    <t xml:space="preserve">Seyhan / Yeni </t>
  </si>
  <si>
    <t>Mustafa Bey / 5412710184</t>
  </si>
  <si>
    <t>yeni mah. 87071 sk no 15 / 1u seyhan adana</t>
  </si>
  <si>
    <t>selvet çetinkaya/	3229992946</t>
  </si>
  <si>
    <t xml:space="preserve">devamm çekimi  - yetkili yok 30 dk ya gelir benim bir bilgim yok dedi çalışanı </t>
  </si>
  <si>
    <t>Seyhan/Tellidere</t>
  </si>
  <si>
    <t xml:space="preserve">ibrahim demirel/3222613130 /5365474377               </t>
  </si>
  <si>
    <t xml:space="preserve">çekim obür işletmesinde olacak - EMPİR TEPE REAL ALIŞVERİŞ MERKEZİ MUTFAĞIM GARDIN BY DÖNERİN YANI HD DÖNERİN  KARŞISI </t>
  </si>
  <si>
    <t>60a26973fe6fd8ecb12c28c3</t>
  </si>
  <si>
    <t>Çınar Fırın, Yüreğir (Atakent Mah.)</t>
  </si>
  <si>
    <t xml:space="preserve">servet kaya/5414020104                </t>
  </si>
  <si>
    <t>atakent mah afetevleri cd no 43 yüreğir adana</t>
  </si>
  <si>
    <t xml:space="preserve">Musa Erdoğdu/3223463617        </t>
  </si>
  <si>
    <t>Yüreğir/Selahattin Eyyubi</t>
  </si>
  <si>
    <t>Ayşe Gültekin/3223293857</t>
  </si>
  <si>
    <t>5ffe05493b0c6d74040ede72</t>
  </si>
  <si>
    <t>Köse, Seyhan (Saydam Cad.)</t>
  </si>
  <si>
    <t xml:space="preserve">Seyhan/ Kurtuluş </t>
  </si>
  <si>
    <t>Özkan Tanrıverdi/ 3224560550</t>
  </si>
  <si>
    <t>Çınarlı mah. ziya paşa bulvarı no:55 seyhan</t>
  </si>
  <si>
    <t xml:space="preserve">merkezde var tüm ürünler dedi merkezle iletişime geçin ben onay vermedim çekim için dedi iptali sağlandı </t>
  </si>
  <si>
    <t>61716649d83a93e7505c367f</t>
  </si>
  <si>
    <t>İstanbul Çiğ Köfte, Seyhan (Yeşilyurt Mah.)</t>
  </si>
  <si>
    <t>Seyhan / Yüreğir</t>
  </si>
  <si>
    <t>Alican Bey / 5423132185</t>
  </si>
  <si>
    <t>yeşilyurt mah necip fazıl kısakürek blv yardım apt c girişi no 34 seyhan adana</t>
  </si>
  <si>
    <t>61715e67b4c3c99407a79de0</t>
  </si>
  <si>
    <t>Tatlıses Çiğ Köfte, Seyhan (Kurtuluş Mah.)</t>
  </si>
  <si>
    <t xml:space="preserve">Sadık Bey / 5383004818 </t>
  </si>
  <si>
    <t>Kurtuluş mah. 64016 sokak musa ballı apt. zemin kat kızılay kan merkezi yanı</t>
  </si>
  <si>
    <t xml:space="preserve">Seyhan/ Pınar </t>
  </si>
  <si>
    <t>Abdullah Kılıç / 3222618282</t>
  </si>
  <si>
    <t>60635cad2f111ef6db8da6b8</t>
  </si>
  <si>
    <t>Reyhan Pastanesi (Yeşilyurt Mah.)</t>
  </si>
  <si>
    <t>Masum Bey/5345052413</t>
  </si>
  <si>
    <t>yeşilyurt mah ibo osman cd no 39 a seyhan adana</t>
  </si>
  <si>
    <t>gidilmeden önce aranmak istiyor.</t>
  </si>
  <si>
    <t>617fcb4a75a902ae33a3f1f4</t>
  </si>
  <si>
    <t>Best Börek , Seyhan (Cemalpaşa Mah.)</t>
  </si>
  <si>
    <t>osman duran/5438510192</t>
  </si>
  <si>
    <t>CEMALPAŞA MAH. ORDU CAD. POYRAZ RESIDENCE NO: 95 A SEYHAN/ ADANA</t>
  </si>
  <si>
    <t xml:space="preserve">Çağlar Bey/3229995339 / 5383006563 </t>
  </si>
  <si>
    <t>617ff1913a5f5484fc89e6b2</t>
  </si>
  <si>
    <t>Antik Döner, Sarıçam (Yeşiltepe Mah.)</t>
  </si>
  <si>
    <t>Sarıçam/Yeşiltepe</t>
  </si>
  <si>
    <t>Suat Bey/3223417385</t>
  </si>
  <si>
    <t>yeşiltepe mah kozan cd no 5 / B 1 sarıçam adana</t>
  </si>
  <si>
    <t>617954ddc8ea1e2322ff69a2</t>
  </si>
  <si>
    <t>Bayraklı Tantuni, Sarıçam (Mehmet Akif Ersoy Mah.)</t>
  </si>
  <si>
    <t>Mustafa Bey/5357292874</t>
  </si>
  <si>
    <t>mehmet akif ersoy mah kozan yeni sokak no 32 c sarıçam adana</t>
  </si>
  <si>
    <t>615f565dfb83d03e31fc1e3d</t>
  </si>
  <si>
    <t>Tombik Fastfood, Sarıçam (Çarkıpare Mah.)</t>
  </si>
  <si>
    <t>Yaşar Bey/3225023339</t>
  </si>
  <si>
    <t>çarkıpare mah 1247 sk no 7 FD sarıçam adana</t>
  </si>
  <si>
    <t>Adem Bey/552 284 40 01</t>
  </si>
  <si>
    <t>617fccf8cf18a71f697db78c</t>
  </si>
  <si>
    <t>Argos Kebap , Seyhan (Cemalpaşa Mah.)</t>
  </si>
  <si>
    <t>gökhan acımış        3224588606</t>
  </si>
  <si>
    <t>cemalpaşa mah 63009 sok akaltun apt no 4 b seyhan adana</t>
  </si>
  <si>
    <t xml:space="preserve">şuan müsait değilim dedi yüzüme kapattı </t>
  </si>
  <si>
    <t>6025988eff60ad2be0c04684</t>
  </si>
  <si>
    <t>BIG-S Burger, Seyhan (Gürselpaşa Mah.)</t>
  </si>
  <si>
    <t xml:space="preserve">Seyhan/ Gürselpaşa </t>
  </si>
  <si>
    <t>Aras Bey/ 5491999190</t>
  </si>
  <si>
    <t>gürselpaşa mah aliya izzet begoviç blv. 75322 üçgül cadde iş merk. a blok no 2 seyhan adana</t>
  </si>
  <si>
    <t xml:space="preserve">devam çekimi </t>
  </si>
  <si>
    <t>602fbfd68653ef09a2d23bec</t>
  </si>
  <si>
    <t>Meşhur Adıyaman Çiğ Köftecisi Ömer Aybak (Onur Mah.)</t>
  </si>
  <si>
    <t xml:space="preserve">Seyhan/ Onur </t>
  </si>
  <si>
    <t>Atakan Çakmak/ 5432956306</t>
  </si>
  <si>
    <t xml:space="preserve">çekim sağlanmadı devir ettim ben orayı dedi </t>
  </si>
  <si>
    <t>Kübra Toprak</t>
  </si>
  <si>
    <t>Seyhan/ Çınarlı</t>
  </si>
  <si>
    <t xml:space="preserve">Eda hanım : 5393630276 </t>
  </si>
  <si>
    <t>6049eefa9756a0616edad16d</t>
  </si>
  <si>
    <t>Seyhan/ Cemalpaşa</t>
  </si>
  <si>
    <t xml:space="preserve">melek hanım : 05324907220/ 3224545824 </t>
  </si>
  <si>
    <t>cemalpaşa mh ethem ekin sk özal apt no 34/a seyhan adana</t>
  </si>
  <si>
    <t xml:space="preserve">devam çekimi- çekim istemiyor </t>
  </si>
  <si>
    <t>ahmet orakci :  5075938347</t>
  </si>
  <si>
    <t>Atatürk caddesi büyükşehir belediye tiyatro binası  karşı sokağı halk bankası arası.</t>
  </si>
  <si>
    <t>60377c386fdb1a4b2abe759f</t>
  </si>
  <si>
    <t>Mıdık Ocakbaşı &amp; Et Evi (Yeşilyurt Mah. - Karaafat Cad.)</t>
  </si>
  <si>
    <t xml:space="preserve">Seyhan/ Yeşilyurt </t>
  </si>
  <si>
    <t>Çağlar Sözütek/ 5079821682</t>
  </si>
  <si>
    <t>Yeşilyurt, Karaafat Cd No:142, 01150 Seyhan/Adana</t>
  </si>
  <si>
    <t xml:space="preserve">çekim istemiyor </t>
  </si>
  <si>
    <t>61769cbb86eecd4821e61010</t>
  </si>
  <si>
    <t>Tekin Mersin Tantuni, Seyhan (Tellidere Mah.)</t>
  </si>
  <si>
    <t>yusuf tekin/*5461730133</t>
  </si>
  <si>
    <t>tellidere mah mücahitler cd no 176 b seyhan adana</t>
  </si>
  <si>
    <t>RANDEVU OLUŞTURULMAYACAK!!!!</t>
  </si>
  <si>
    <t xml:space="preserve">Seyhan/ Sümer </t>
  </si>
  <si>
    <t>Servet Polat/ 3222273575</t>
  </si>
  <si>
    <t>617ff3821ff4003da8c6218c</t>
  </si>
  <si>
    <t>01 Cheff Döner Cafe, Seyhan (Kurtuluş Mah.)</t>
  </si>
  <si>
    <t>hanefi alp        3225033803 - 05538575272</t>
  </si>
  <si>
    <t>kurtuluş mah atatürk cd gülbahçesi sitesi seyhan adana</t>
  </si>
  <si>
    <t>618bed251a3fa4a9b2a135f2</t>
  </si>
  <si>
    <t>ÇD Döner, Seyhan (Tellidere Mah.)</t>
  </si>
  <si>
    <t>Nadir Özdemir	5431873301 - 05323184435</t>
  </si>
  <si>
    <t>TELLİDERE MAH. 72137 SK. SERAPARK 8 APT A BLOK NO: 1 B SEYHAN/ ADANA</t>
  </si>
  <si>
    <t xml:space="preserve">- ulaşılamadı </t>
  </si>
  <si>
    <t>6188fe1cc3d5eeecd1ce63df</t>
  </si>
  <si>
    <t>Waffle Garage, Seyhan (Gürselpaşa Mah.)</t>
  </si>
  <si>
    <t>ENVER BEY         5382257174 - 05388588395</t>
  </si>
  <si>
    <t>TEKZEN, Aliya İzzetbegoviç Bulvarı 75322 Sk, 200 MT. İLERİSİ No: 2, 01170 Seyhan/Adana</t>
  </si>
  <si>
    <t>taha şen/5439360963</t>
  </si>
  <si>
    <t>(daha önce iptal edilmiş bu sefer gidilmesi rica olunur)- taha bey no : 05446917300 taha bey sekreteri ben iletişime geçer sizlere geri dönüş sağlarım dedi</t>
  </si>
  <si>
    <t>608db2606caf5449e6a84c1c</t>
  </si>
  <si>
    <t>Tombik Döner Cafe, Çukurova (Beyazevler Mah.)</t>
  </si>
  <si>
    <t>MERAL ÖZDEMIR        3222252600 - 5535359402</t>
  </si>
  <si>
    <t>Beyazevler mahlesi 80053 yusuf televi apt altinda kapı no 2b çukurova adana</t>
  </si>
  <si>
    <t>tekrardan randevusu oluşturuldu çrs günü saat 17.00</t>
  </si>
  <si>
    <t>618a8cfd4e902f20d782f769</t>
  </si>
  <si>
    <t>Ali Baba Cafe , Çukurova (Güzelyalı Mah.)</t>
  </si>
  <si>
    <t>SENCER YILMAZ        5306552464 - 05379156127</t>
  </si>
  <si>
    <t>Güzelyalı, Turgut Özal Blv. 82/A, 01170 Çukurova/Adana</t>
  </si>
  <si>
    <t xml:space="preserve">kendi prof. fotoğrafları var ama kalan ürünleri için çekim istiyor </t>
  </si>
  <si>
    <t>6005f4a0c669c2e20c9c4c9c</t>
  </si>
  <si>
    <t>By Kassab Kebap (Güzelyalı Mah.)</t>
  </si>
  <si>
    <t>muharrem semih kılınç        5304155940</t>
  </si>
  <si>
    <t>güzelyalı mah 81163 sok no:36-1b çukurova adana</t>
  </si>
  <si>
    <t>çalışanı yetkli yok ben öğrenir geri dönüş sağlarım size dedi - ulaşılamadı</t>
  </si>
  <si>
    <t>seyhan/yüreğir/çukurova/sarıçam</t>
  </si>
  <si>
    <t>Sude Alkan</t>
  </si>
  <si>
    <t>618aadad3c9e3b3f60a005e5</t>
  </si>
  <si>
    <t>Y.E-Doy Döner, Çukurova (Beyazevler Mah.)</t>
  </si>
  <si>
    <t>ekrem tuna irik/5449211411</t>
  </si>
  <si>
    <t>beyazevler mah devlet bahçeli bulv. yeterler apt no 32 iç kapı no 01 çukurova adana</t>
  </si>
  <si>
    <t xml:space="preserve">ustasıyla ilgili bir sıkıntısı varmış </t>
  </si>
  <si>
    <t>618a475aae24ef0e3e06ab73</t>
  </si>
  <si>
    <t>Saksı Cafe , Çukurova (Mahfesığmaz Mah.)</t>
  </si>
  <si>
    <t>Hamit Bey/5013292860</t>
  </si>
  <si>
    <t>mahfesığmaz mah 79159 sokak no 6 a çukurova adana</t>
  </si>
  <si>
    <t>618aabbe9e474e44fbb51dc0</t>
  </si>
  <si>
    <t>Birbiçer Kebap , Çukurova (Güzelyalı Mah.-Süleyman Demirel Bul.)</t>
  </si>
  <si>
    <t xml:space="preserve">Gökhan Bey/5322376077/5432345644 </t>
  </si>
  <si>
    <t>Güzelyalı, Süleyman Demirel bulvarı Zirve Apartman Altı C blok 43/A, 01170 Çukurova/Adana</t>
  </si>
  <si>
    <t xml:space="preserve">prs saat 18.00 a ertelemesi sağlandı </t>
  </si>
  <si>
    <t>6193b877839d56f839f6395d</t>
  </si>
  <si>
    <t>Altın Et Tantuni , Çukurova (Mahfesığmaz Mah.)</t>
  </si>
  <si>
    <t>İnanç Bey/5061709771</t>
  </si>
  <si>
    <t xml:space="preserve">müsait değilim haftaya tekrardan randevu oluşturalım dedi - devir ediyorum dedi </t>
  </si>
  <si>
    <t>saat 17:00 randevusu 1 saat önceden aranmak ister ona göre hazırlık yapacaklar</t>
  </si>
  <si>
    <t>61936c52839d56b3a2e73b8d</t>
  </si>
  <si>
    <t>Ütü Tost, Seyhan (Kurtuluş Mah. - Atatürk Cad.)</t>
  </si>
  <si>
    <t>serhan şimşekyılmaz        3222256225 - 05439522016</t>
  </si>
  <si>
    <t>Atatürk caddesi Gülbahçesi sitesi Bblok No:65, 01040 Seyhan/Adana</t>
  </si>
  <si>
    <t xml:space="preserve">Çukurova/ Kurttepe </t>
  </si>
  <si>
    <t>Sena Hanım / 5436964318</t>
  </si>
  <si>
    <t xml:space="preserve">Perşembe gününe tekrardan randevusu oluşturuldu </t>
  </si>
  <si>
    <t>Sude alkan</t>
  </si>
  <si>
    <t>Enes Bey/5416210113</t>
  </si>
  <si>
    <t>Huzurevleri mah. Turgut Özal blv. No : 211/A Çukurova Adana</t>
  </si>
  <si>
    <t xml:space="preserve">şuan müsait değilim hastanedeyim dedi daha önce çekim sağlanmadı müsait bir vaktinde tekrardan iletişime geçilecek - RESTORANT SATIŞA AÇIK DEĞİL </t>
  </si>
  <si>
    <t xml:space="preserve">teyit için arandı ulaşılamadı - çrş gününe saat 17.00 ertelemesi sağlandı </t>
  </si>
  <si>
    <t>618ccc7e77a79e0dce38b4fd</t>
  </si>
  <si>
    <t>arif güngör/5347143127</t>
  </si>
  <si>
    <t>yeşilyurt mah 70619 sk no 9 a seyhan adana</t>
  </si>
  <si>
    <t>61996c0bae699a6ca83ecfed</t>
  </si>
  <si>
    <t>Döner Vadisi, Seyhan (Yeşilyurt Mah. - Karaafat Cad.)</t>
  </si>
  <si>
    <t>Nurettin Bey / 5306338107</t>
  </si>
  <si>
    <t>yeşilyurt mah karaafat cd 134 b seyhan adana</t>
  </si>
  <si>
    <t>61962b8ca140e2b691897a9d</t>
  </si>
  <si>
    <t>La Creme, Seyhan (Gürselpaşa Mah.)</t>
  </si>
  <si>
    <t xml:space="preserve">Seyhan/Gürselpaşa </t>
  </si>
  <si>
    <t>Burcu Hanım / 5071006433</t>
  </si>
  <si>
    <t>Gürselpaşa Mah. Aliye izzet begoviç bulvarı  üçkür cadde B blok  seyhan adana</t>
  </si>
  <si>
    <t>61997402f5385196d6a9f12b</t>
  </si>
  <si>
    <t>Bun The Bun, Seyhan (Gürselpaşa Mah.)</t>
  </si>
  <si>
    <t>BERAT KIYAN	/5330291330</t>
  </si>
  <si>
    <t>Aliya İzzet Begoviç Blv, Gürselpaşa, 01200 Seyhan/Adana</t>
  </si>
  <si>
    <t>618d0735cdedeb828bd23364</t>
  </si>
  <si>
    <t>Habib Chef Et &amp; Kebap, Seyhan (Kurtuluş Mah.)</t>
  </si>
  <si>
    <t>metin ayırmaç/05366893175</t>
  </si>
  <si>
    <t>kurtuluş mah ramazanoğlu cad no 14 a seyhan adana</t>
  </si>
  <si>
    <t xml:space="preserve">kendi fotoğrafım var olmazsa ben reklamcımla iletişime geçer istediğiniz boyutlarda yüklemesini sağlarım dedi </t>
  </si>
  <si>
    <t>6192679677a79e7bf2fe33f6</t>
  </si>
  <si>
    <t>ibrahim çoban/05537310101</t>
  </si>
  <si>
    <t>SÜMER MAH. ŞEHİT YÜZBAŞI BÜLENT ANGIN BLV. MUHTARLAR SİTESİ PASAJI NO: 127 /1B SEYHAN/ ADANA</t>
  </si>
  <si>
    <t>6199726f11e446c3169a4093</t>
  </si>
  <si>
    <t>Federal Coffee, Seyhan (Gürselpaşa Mah.)</t>
  </si>
  <si>
    <t>erinç oksal/5534280872</t>
  </si>
  <si>
    <t>gürselpaşa mah aliya izzet begoviç blv üçgül cadde iş merkezi seyhan adana</t>
  </si>
  <si>
    <t xml:space="preserve">kendi fotoğrafım var dedi iptal etti </t>
  </si>
  <si>
    <t>61996ee9884dd0226f517317</t>
  </si>
  <si>
    <t>Paşam Döner, Seyhan (Bahçeşehir Mah.)</t>
  </si>
  <si>
    <t>mahmut sümer/5448187999</t>
  </si>
  <si>
    <t>bahçeşehir mah mehmet fuat dıblan blv no 118 seyhan adana</t>
  </si>
  <si>
    <t xml:space="preserve">yoldayken kendisi iptalini sağladı </t>
  </si>
  <si>
    <t>61a4dab450f7404d97e42b41</t>
  </si>
  <si>
    <t>Reşatbeyli Tatlıcı Zeki, Çukurova (Kenan Evren Blv.)</t>
  </si>
  <si>
    <t>Yusuf Bey/3222335358</t>
  </si>
  <si>
    <t>mahfesığmaz mah kenan evren bulv no14 / b çukurova adana</t>
  </si>
  <si>
    <t>hava yağmurlu olduğu için cuma gününe ertelemesi sağlandı</t>
  </si>
  <si>
    <t>618aa5a73eabc755b305d672</t>
  </si>
  <si>
    <t>Madalyon Kebap, Çukurova (Huzurevleri Mah.)</t>
  </si>
  <si>
    <t>Kerem Bey/5442394930</t>
  </si>
  <si>
    <t>huzurevleri mah ismet atlı bul eser apt no 3 a çukurova adana</t>
  </si>
  <si>
    <t xml:space="preserve">iptal 1 ürün var </t>
  </si>
  <si>
    <t>619ce8e250f7403699bab2b2</t>
  </si>
  <si>
    <t>İce Studio Coffee , Çukurova (Güzelyalı Mah.)</t>
  </si>
  <si>
    <t>Onur Bey/5300628501</t>
  </si>
  <si>
    <t>Güzelyalı mahallesi uğurmumcu bulvarı güzelyalı apt no:34a çukurova adana</t>
  </si>
  <si>
    <t xml:space="preserve">hava yağmurlu olduğu için cuma günü saat  4 ertelemesi sağlandı </t>
  </si>
  <si>
    <t>61a4dd5ab50ef86686da4afd</t>
  </si>
  <si>
    <t>Ede Firik Dondurma , Çukurova (Güzelyalı Mah.)</t>
  </si>
  <si>
    <t>Aliye Hanım/Arif Bey/5335120969</t>
  </si>
  <si>
    <t>güzelyalı mah turgut özal bulv no 20 d çukurova adana</t>
  </si>
  <si>
    <t xml:space="preserve">hava yağmurlu olduğu için cuma günü saat 5 ertelemesi sağlandı </t>
  </si>
  <si>
    <t>Serap Apaydın</t>
  </si>
  <si>
    <t>619f7b96bcb905de8f4699fd</t>
  </si>
  <si>
    <t>Türkmenbaşı Büfe, Seyhan (Gürselpaşa Mah.)</t>
  </si>
  <si>
    <t>Murat Balkış/5424137331</t>
  </si>
  <si>
    <t>gürselpaşa mah ali bozdoğanoğlu blv seyhan adana Karakol karşısı</t>
  </si>
  <si>
    <t xml:space="preserve">iptal - özel sebeblerim var dedi çekim istemedi </t>
  </si>
  <si>
    <t>60f025f072d5f25286626c55</t>
  </si>
  <si>
    <t>Doğa Fırın Pasta &amp; Cafe, Seyhan (Gürselpaşa Mah.)</t>
  </si>
  <si>
    <t>Sevilay Çelik /5306616524</t>
  </si>
  <si>
    <t>Abdullah kılıç  / 3222618282</t>
  </si>
  <si>
    <t>telefon acmadı ulaşılamadı - tekrardan randevu oluşturuldu prş günü saat 15.00</t>
  </si>
  <si>
    <t>61a74e2339009a0d51006944</t>
  </si>
  <si>
    <t>Maya Cupcake, Seyhan (Kurtuluş Mah.)</t>
  </si>
  <si>
    <t>VEYSİ TURĞUT/ 05308414701/5355693203</t>
  </si>
  <si>
    <t>604f3dca4642ff50fb74af39</t>
  </si>
  <si>
    <t>Mis Döner &amp; İskender, Çukurova (Huzurevleri Mah.)</t>
  </si>
  <si>
    <t>Çukurova /Huzurevleri</t>
  </si>
  <si>
    <t>ugur bozduman/5435127139</t>
  </si>
  <si>
    <t>Huzurevleri, 80. Yıl Bulvarı. Panlı Apt. D:26, Çukurova/Adana</t>
  </si>
  <si>
    <t xml:space="preserve">Hava durumunda dolayı çekim sağlanmadı -  çrş gününe ertelemesi sağlandı </t>
  </si>
  <si>
    <t>61a4d66ac591d5d347f9cc4b</t>
  </si>
  <si>
    <t>Akdo , Çukurova (Güzelyalı Mah.)</t>
  </si>
  <si>
    <t>Fatih Şirin        3222331717 - 05326609086</t>
  </si>
  <si>
    <t>Güzelyalı, Turgut Özal Blv. NO.98/B, 01170 Çukurova/Adana</t>
  </si>
  <si>
    <t>600b11d2d6c5917e6edf728b</t>
  </si>
  <si>
    <t>Bi Tepsi, Çukurova (Güzelyalı Mah. - Turgut Özal Blv.)</t>
  </si>
  <si>
    <r>
      <rPr>
        <rFont val="Arial, sans-serif"/>
        <color rgb="FF000000"/>
        <sz val="10.0"/>
      </rPr>
      <t>Çukurova /Güzelyal</t>
    </r>
    <r>
      <rPr>
        <rFont val="Arial, sans-serif"/>
        <color rgb="FF000000"/>
        <sz val="9.0"/>
      </rPr>
      <t>ı</t>
    </r>
  </si>
  <si>
    <t>Onur Uludağ/3222343030/5339584431</t>
  </si>
  <si>
    <t>güzelyalı mah 81118 sok no:48/a çukurova adan</t>
  </si>
  <si>
    <t>Hava durumunda dolayı çekim sağlanmadı</t>
  </si>
  <si>
    <t xml:space="preserve">Hava durumunda dolayı çekim sağlanmadı - çrş gününe ertelemesi sağlandı </t>
  </si>
  <si>
    <t>Ethem bey/5454301932</t>
  </si>
  <si>
    <t>belediye evleri mah sadık ahmet bulv no 44 a bp petrol içi çukurova adana Eski Carfourse karşısı</t>
  </si>
  <si>
    <t xml:space="preserve">devir edeceklerini bildirdiler </t>
  </si>
  <si>
    <t>Çukurova	/Belediye Evleri</t>
  </si>
  <si>
    <t>Damla nur mercan:5539594629</t>
  </si>
  <si>
    <t>veysel demirtaş/5528992233</t>
  </si>
  <si>
    <t xml:space="preserve">hazirandan beri aranıyormuş ulaşılamadı </t>
  </si>
  <si>
    <t>Çukurova	/Huzurevleri</t>
  </si>
  <si>
    <t>teymur bey:5322083468</t>
  </si>
  <si>
    <t>61b8bd0a3b26a2e15be9fc8d</t>
  </si>
  <si>
    <t>Kardeşler Unlu Mamülleri , Çukurova (Belediye Evleri Mah.)</t>
  </si>
  <si>
    <t>Çukurova	/BelediyeEvleri</t>
  </si>
  <si>
    <t>recep koçak/ 3222550013/05446010165</t>
  </si>
  <si>
    <t>belediye evleri mah turgut özal bulvarı kültür apt no 249 çukurova adana</t>
  </si>
  <si>
    <t>Aliye Mankır/5335120969</t>
  </si>
  <si>
    <t xml:space="preserve">kendi fotoğraflarım var onları kullanmak istiyorum saolun dedi </t>
  </si>
  <si>
    <t xml:space="preserve">getiri kapattık diyip geçistirdiler çekim istemiyorlar </t>
  </si>
  <si>
    <t xml:space="preserve">FOTOĞRAFÇI ARKADAŞIMIZ RAHATSIZLANDIĞINDAN DOLAYI ÇEKİMLER  SAĞLANMADI </t>
  </si>
  <si>
    <t xml:space="preserve">devam çekimi - prş gününe ertelemesi sağlandı </t>
  </si>
  <si>
    <t>SONER SARP/5339298859</t>
  </si>
  <si>
    <t xml:space="preserve">Prş gününe ert. sağlanıldı </t>
  </si>
  <si>
    <t>619f418fb4bb23ce92a683af</t>
  </si>
  <si>
    <t>MB İskenderun Döner, Seyhan (Barış Mah.)</t>
  </si>
  <si>
    <t>murat demir	5524519301 - 05451010149</t>
  </si>
  <si>
    <t>barış mah yeşilevler cd no 107 seyhan adana</t>
  </si>
  <si>
    <t>HÜSEYİN BEY  / 3222618282</t>
  </si>
  <si>
    <t>61b1091b70bb7f2a081955ea</t>
  </si>
  <si>
    <t>Reşit Usta Light Kebap, Seyhan (Yenibaraj Mah. - Barajyolu)</t>
  </si>
  <si>
    <t>Doğan bey:3222269255/5300296591</t>
  </si>
  <si>
    <t>YENİBARAJ MAH/SEMT Ş.YÜZBAŞI BÜLENT ANGIN BLV. NO: 24 A SEYHAN/ ADANA</t>
  </si>
  <si>
    <t>yoğunluktan dolayı iptal dedi persembeye ertelendi</t>
  </si>
  <si>
    <t xml:space="preserve">Çukurova  Huzurevleri </t>
  </si>
  <si>
    <t>61c1d7c918ba3c3335e459d2</t>
  </si>
  <si>
    <t>Paşabey, Çukurova (Mahfesığmaz Mah. - Turgut Özal Blv.)</t>
  </si>
  <si>
    <t>firdes karaörs        5427804450</t>
  </si>
  <si>
    <t>mahfesığmaz mah devlet bahçeli bulvarı cemil kaya apt no 9 cukurova adana</t>
  </si>
  <si>
    <t>61b25fd7b5680b00cef70721</t>
  </si>
  <si>
    <t>Mr. Midye &amp; Kuyu Kokoreç , Çukurova (Turgut Özal Blv.)</t>
  </si>
  <si>
    <t>Gökhan Bey        5464421443 - 05421010110</t>
  </si>
  <si>
    <t>mahfesığmaz mah .Turgut Özal Blv. 59/E, 01170 Enerjisa karşısı Çukurova/Adana</t>
  </si>
  <si>
    <t>ustasının oğlu rahatsızlanmış - kendi fotoğraflarım var onları kullanmak istiyorum dedi</t>
  </si>
  <si>
    <t>61b8c718388e9f2c00e4b626</t>
  </si>
  <si>
    <t>Vittoria Coffee and Chocolate , Çukurova (Güzelyalı Mah.)</t>
  </si>
  <si>
    <t>MERT BEY 5425450126</t>
  </si>
  <si>
    <t>GÜZELYALI MAH. 81149 SK. 4KA FOUR LIVING RESIDANCE NO: 8 İÇ KAPI NO: 1 ÇUKUROVA/ ADANA</t>
  </si>
  <si>
    <t xml:space="preserve">ulaşılamadı - çrş gününe ert. sağlanıldı </t>
  </si>
  <si>
    <t>61b8c394dda99ddf44114886</t>
  </si>
  <si>
    <t>Yemek Canavarı , Çukurova (Güzelyalı Mah.)</t>
  </si>
  <si>
    <t>yoğunum dedi</t>
  </si>
  <si>
    <t>61bc815ad5c2fdbbac989dc1</t>
  </si>
  <si>
    <t>Kaburgacı Fatih, Seyhan (Şakirpaşa Mah.)</t>
  </si>
  <si>
    <t>Seyhan / Şakirpaşa</t>
  </si>
  <si>
    <t>Ramazan Bey/5453492437</t>
  </si>
  <si>
    <t>Şakirpaşa Mah ŞAKİRPASA SOKAK 198/A</t>
  </si>
  <si>
    <t>elemöan eksik</t>
  </si>
  <si>
    <t>başka zaman yoğunum dedi</t>
  </si>
  <si>
    <t>baska tarih</t>
  </si>
  <si>
    <t>61c6685b1bf9f84ebf92a089</t>
  </si>
  <si>
    <t>Chicken Garage Cajun&amp;Burger, Çukurova (Mahfesığmaz Mah.)</t>
  </si>
  <si>
    <t>çağatay yalçın	/5348557485</t>
  </si>
  <si>
    <t>MAHFESIĞMAZ MAH. TURGUT ÖZAL BLV. NO: 23 B ÇUKUROVA/ ADANA</t>
  </si>
  <si>
    <t xml:space="preserve">MERT BEY 5425450126 - </t>
  </si>
  <si>
    <t>61a748f01f41ad0c36e2592a</t>
  </si>
  <si>
    <t>Mavi Köşe Unlu Mamülleri, Seyhan (Mithatpaşa Mah.)</t>
  </si>
  <si>
    <t>Seyhan/Mithatpaşa</t>
  </si>
  <si>
    <t>Şefik Bey/5393384348</t>
  </si>
  <si>
    <t>mithatpaşa mah 58001 sk no 54 seyhan adana</t>
  </si>
  <si>
    <t>61b10674cdeef23e10df0b23</t>
  </si>
  <si>
    <t>Osmanlı Döner, Seyhan (Fatih Mah.)</t>
  </si>
  <si>
    <t>Emin Bey/3222620606</t>
  </si>
  <si>
    <t>fatih mah mücahitler cd no 171 c seyhan adana</t>
  </si>
  <si>
    <t>61c1b1e9dda99d6669a37a36</t>
  </si>
  <si>
    <t>Doğal Yemek Evi, Seyhan (Gazipaşa Mah.)</t>
  </si>
  <si>
    <t>Seyhan/Gazipaşa</t>
  </si>
  <si>
    <t>Mustafa Bey/5365107781</t>
  </si>
  <si>
    <t>GAZİPAŞA MAH. 66036 SK. B BLOK NO: 22 /1 İÇ KAPI NO: 58 SEYHAN/ ADANA</t>
  </si>
  <si>
    <t>61c1ac40ec3faf3e700e6656</t>
  </si>
  <si>
    <t>Elle Çiğ Köfte, Seyhan (Yenibaraj Mah.)</t>
  </si>
  <si>
    <t>Vedat Bey/5331528808</t>
  </si>
  <si>
    <t>yenibaraj mah 68046 sk hatıra apt no 1 d seyhan adana</t>
  </si>
  <si>
    <t>61b104dfee597b22022eadcb</t>
  </si>
  <si>
    <t>Birbiçer Sokak Lezzetleri, Seyhan (Hurmalı Mah.)</t>
  </si>
  <si>
    <t>Seyhan/Hurmalı</t>
  </si>
  <si>
    <t>Selçuk Bey/5415101212</t>
  </si>
  <si>
    <t>Hurmalı Mahallesi Bakımyurdu Caddesi, 34003. Sk. No 1, 01030 Seyhan/Adana</t>
  </si>
  <si>
    <t xml:space="preserve">Yüreğir </t>
  </si>
  <si>
    <t>İlk randevuya tam saatinde gidilsin, servis saatine denk gelirse çekim yaptıramam der.</t>
  </si>
  <si>
    <t>Özhan Oruç</t>
  </si>
  <si>
    <t>61fa5a84a2dfe885bbd96202</t>
  </si>
  <si>
    <t>Başkent Döner, Yüreğir (Dadaloğlu Mah.)</t>
  </si>
  <si>
    <t>Yüreğir / Dadaloğlu</t>
  </si>
  <si>
    <t>Ali Bey / 5362961416 / 5373694216</t>
  </si>
  <si>
    <t>DADALOĞLU MAH 2567 SK NO 1 YÜREĞİR ADANA / kısmet apartmanı altı</t>
  </si>
  <si>
    <t>618ccf1e2b090ee8d77c2882</t>
  </si>
  <si>
    <t>Şen Köşe Pastanesi, Yüreğir (Yavuzlar Mah.)</t>
  </si>
  <si>
    <t>Yüreğir / Yavuzlar</t>
  </si>
  <si>
    <t>Can Bey / 3223248878 / 5335641749</t>
  </si>
  <si>
    <t>yavuzlar mah orhan kemal bulvarı no 190 yüreğir adana</t>
  </si>
  <si>
    <t>61e13d22fdedf347dd5cdc0a</t>
  </si>
  <si>
    <t>Dostlar Börek &amp; Fast Food, Yüreğir (Akıncılar Mah.)</t>
  </si>
  <si>
    <t>Yüreğir / Akıncılar</t>
  </si>
  <si>
    <t>Aytaç Bey / 3223220509 / 5336314701</t>
  </si>
  <si>
    <t>AKINCILAR MAH. İLİM YOLU BLV. NO: 166 A YÜREĞİR/ ADANA</t>
  </si>
  <si>
    <t>61a93b7664dd7460fa77aa0c</t>
  </si>
  <si>
    <t>Öz Dürüm Matik, Yüreğir (Kazım Karabekir Mah.)</t>
  </si>
  <si>
    <t>Yüreğir / Kazım Karabekir</t>
  </si>
  <si>
    <t xml:space="preserve">Emrah Bey / 5418724122 </t>
  </si>
  <si>
    <t>kazım karabekir mah 4190 sk no 62 a yüreğir adana</t>
  </si>
  <si>
    <t>61d44e0000449ac1c9b09de9</t>
  </si>
  <si>
    <t>Emrah Bey / 5369919901 / 5068264017</t>
  </si>
  <si>
    <t xml:space="preserve"> ustanın adliyelik bir işi olmuş bugun ki çekimi ertelemek istedi</t>
  </si>
  <si>
    <t>620a12ac4eff269cdaa28b2d</t>
  </si>
  <si>
    <t>Onur Kardeşler Unlu Mamüller, Seyhan (Sümer Mah.)</t>
  </si>
  <si>
    <t>Seyhan / Sümer</t>
  </si>
  <si>
    <t>Veysel Bey / 5322726875</t>
  </si>
  <si>
    <t>SÜMER MAH BÜLENT ANGIN BLV MUHİTTİN YEM APT NO 195 D SEYHAN ADANA</t>
  </si>
  <si>
    <t>620faea55a4d2bb9b13c4421</t>
  </si>
  <si>
    <t>Seyhan / Cemalpaşa</t>
  </si>
  <si>
    <t>Yüksel Bey / 3224589488 / 5346713201</t>
  </si>
  <si>
    <t>61de810cdfb99e5cf2fffafc</t>
  </si>
  <si>
    <t>Mutfak, Seyhan (Reşatbey Mah.)</t>
  </si>
  <si>
    <t>Seyhan / Reşatbey</t>
  </si>
  <si>
    <t>Emre Bey / 5396534305</t>
  </si>
  <si>
    <t xml:space="preserve"> erdoğan kundura yanı / REŞATBEY MAH 62002 SK NO 3/1 İÇ KAPI NO 109 SEYHAN ADANA</t>
  </si>
  <si>
    <t>620a2fcab24b4a24c7fedefb</t>
  </si>
  <si>
    <t>ÇD Döner, Seyhan (Reşatbey Mah.)</t>
  </si>
  <si>
    <t>İlker Bey / 3224587888 / 5456259860</t>
  </si>
  <si>
    <t>reşatbey mahallesi gazeteci Sinan tanyıldız sokak no 30/B</t>
  </si>
  <si>
    <t>Daha önce diğer şubesinde çekim yapılmış onların kullanılmasını istiyor</t>
  </si>
  <si>
    <t>620b4fbc60192893eb6795eb</t>
  </si>
  <si>
    <t>Mas Kebap, Seyhan (Kurtuluş Mah.)</t>
  </si>
  <si>
    <t xml:space="preserve">Gegin Bey / 3224533765 </t>
  </si>
  <si>
    <t>KURTULUŞ MAH M. NUR SABUNCU CAD SUNAOĞLU APT NO 68 SEYHAN ADANA</t>
  </si>
  <si>
    <t>Çekildi mi diye teyit amaçlı arandı çalışanı fakat yetkili işletmede değil geldiği zaman ben sizlere dönüş sağlarım dedi</t>
  </si>
  <si>
    <t>2. randevu gün içerisinde müsaitlik durumuna göre teyitleşmek istiyor. Gün içerisdinde sabah saatlerinde aranabilir</t>
  </si>
  <si>
    <t>6200ef8e9b97485f4aaf709d</t>
  </si>
  <si>
    <t>Öğmen Cafe &amp; Fırın Pasta, Seyhan (Fatih Mah.)</t>
  </si>
  <si>
    <t>Seyhan / Fatih</t>
  </si>
  <si>
    <t>Emre Bey / 5434108913</t>
  </si>
  <si>
    <t>Fatih mahallesi mücahitler caddesi no 239/A kız bakal karşısı Seyhan adana</t>
  </si>
  <si>
    <t>61f7c1d8686ff66c9250c81a</t>
  </si>
  <si>
    <t>Emel'Ce Kebap, Seyhan (İsmetpaşa Mah.)</t>
  </si>
  <si>
    <t>Seyhan / İsmetpaşa</t>
  </si>
  <si>
    <t>Emel Hanım / 3224331414 / 5433509390</t>
  </si>
  <si>
    <t>ismetpaşa mah mehmet akif ersoy cd no 138 seyhan adana</t>
  </si>
  <si>
    <t>620654ab033d6428607b7a1e</t>
  </si>
  <si>
    <t>Miss Kebap, Seyhan (Pınar Mah.)</t>
  </si>
  <si>
    <t>Seyhan / Pınar</t>
  </si>
  <si>
    <t>Yaşar Bey / 3222620808</t>
  </si>
  <si>
    <t>pınar mah 74004 sk no 53/a seyhan adana</t>
  </si>
  <si>
    <t>61e7c79d934c002c21adca84</t>
  </si>
  <si>
    <t>Bizim Ocakbaşı, Seyhan (Yeşilyurt Mah. - Karaafat Cad.)</t>
  </si>
  <si>
    <t>Seyhan / Yeşilyurt</t>
  </si>
  <si>
    <t>Şerafettin Bey / 3223210202 / 5537141202</t>
  </si>
  <si>
    <t>YEŞİLYURT MAH KARAAFAT CADDESİ NO 138/1A SEYHAN ADANA</t>
  </si>
  <si>
    <t>61b9b52c88979f639a71c0a8</t>
  </si>
  <si>
    <t>Tostçu Murat, Seyhan (Yenibaraj Mah.)</t>
  </si>
  <si>
    <t>Seyhan / Yenibaraj</t>
  </si>
  <si>
    <t>Murat Bey / 5301328437</t>
  </si>
  <si>
    <t>yenibaraj mah şehit yüzbaşı bülent angın blv no 44 b seyhan adana</t>
  </si>
  <si>
    <t>6214ee228e6acf382a3464e0</t>
  </si>
  <si>
    <t>Ekrem Coşkun Döner, Seyhan (Yenibaraj Mah. - Barajyolu)</t>
  </si>
  <si>
    <t>Sefa Bey / 3222261006 / 5364000969</t>
  </si>
  <si>
    <t>Yenibaraj, Köseli Apartmanı, Bülent Angın Blv., 01150 Seyhan/Adana</t>
  </si>
  <si>
    <t>620fa3a00cee8c04efdf9f1e</t>
  </si>
  <si>
    <t>Bade Ocakbaşı &amp; Meze Evi, Seyhan (Sümer Mah.)</t>
  </si>
  <si>
    <t>Deniz Bey / 5331647115</t>
  </si>
  <si>
    <t>SÜMER MAH 69077 SK NO 8 SEYHAN ADANA</t>
  </si>
  <si>
    <t>çekim için yetişmemiş</t>
  </si>
  <si>
    <t>61d9d36c3c6cd549053d5dc7</t>
  </si>
  <si>
    <t>Tosthane, Seyhan (Sümer Mah.)</t>
  </si>
  <si>
    <t>Akay Bey / 5304571236</t>
  </si>
  <si>
    <t>sümer mah necip fazıl kısakürek blv no 10 b seyhan adana/eyüpcan kebap yanı</t>
  </si>
  <si>
    <t>62177cde23b054dc116dacc2</t>
  </si>
  <si>
    <t>Tostçu Mahmut, Seyhan (Yenibaraj Mah.)</t>
  </si>
  <si>
    <t>Bünyamin Bey / 5336620491</t>
  </si>
  <si>
    <t>Yenibaraj, Bülent Angın Blv. No:92/E, 01150 Çukurova/Adana</t>
  </si>
  <si>
    <t xml:space="preserve">kendi fotoğrafını kullanmak istiyor </t>
  </si>
  <si>
    <t>61d7f2fc28d089103ae52c07</t>
  </si>
  <si>
    <t>Karbeyaz, Seyhan (Yenibaraj Mah.)</t>
  </si>
  <si>
    <t>Ömer Bey / 5528542302</t>
  </si>
  <si>
    <t>YENİBARAJ MAH YÜZBAŞI BÜLENT ANGIN BLV NO 42 E SEYHAN ADANA</t>
  </si>
  <si>
    <t>621517d62c28f8fffd1d5086</t>
  </si>
  <si>
    <t>Mia Mocha , Seyhan (Cemalpaşa Mah.)</t>
  </si>
  <si>
    <t>MESUT BEY/5525067316</t>
  </si>
  <si>
    <t>CEMALPAŞA MAH. MUSTAFA GÜMÜŞDAMLA SK. NO: 5 A SEYHAN/ ADANA</t>
  </si>
  <si>
    <t>6214f1d91579e5b7ad4ff51e</t>
  </si>
  <si>
    <t>Sena Baklava, Seyhan (Kurtuluş Mah.)</t>
  </si>
  <si>
    <t>Sena Hanım/8502207778/5512336046</t>
  </si>
  <si>
    <t>KURTULUŞ MAH. RAMAZANOĞLU CAD. ARZU AMBER APT A GİRİŞİ NO: 11 A SEYHAN/ ADANA</t>
  </si>
  <si>
    <t>621b5cf0e60e2f45e93eff3b</t>
  </si>
  <si>
    <t>Bun The Bun, Seyhan (Cemalpaşa Mah.)</t>
  </si>
  <si>
    <t>Berat Bey/5535782194</t>
  </si>
  <si>
    <t>Cemalpasa mah 3Sk Karabucak apt altı no 14 seyhan adana</t>
  </si>
  <si>
    <t>61bb929db23d61095c8ab602</t>
  </si>
  <si>
    <t>Zengin Döner, Seyhan (Aydınlar Mah.)</t>
  </si>
  <si>
    <t>Seyhan/Fevzipaşa</t>
  </si>
  <si>
    <t>Emin Bey/5416730121</t>
  </si>
  <si>
    <t>aydınlar mah vefa cd no 236 seyhan adana</t>
  </si>
  <si>
    <t xml:space="preserve">İptal nedeni: Yetkilinin hastane işi varmış bir saat sonra gelmesini istemiş ama arkadaşımız gidemeyeceği için haftaya ertelemesi yapılacak takvim açılınca. </t>
  </si>
  <si>
    <t>61fa5801064e23a1ca2d6df5</t>
  </si>
  <si>
    <t>Seyhan/Barış</t>
  </si>
  <si>
    <t>Mehmet Bey/3224210174/5382811455</t>
  </si>
  <si>
    <t>Barış, Vefa Cad. 126/b, 01180 Seyhan/Adana</t>
  </si>
  <si>
    <t>Ulaşılamadı</t>
  </si>
  <si>
    <t>Murat Bey/5524519301</t>
  </si>
  <si>
    <t>Belirlediğimiz gün ve saatte arkadaşınız hiç gelmiyor dedi. Haftaya alınacak tekrar</t>
  </si>
  <si>
    <t>61de9d8c33217c10cec1ba2c</t>
  </si>
  <si>
    <t>Yıldız Döner, Seyhan (Kuruköprü Mah.)</t>
  </si>
  <si>
    <t>Abdürrahim Bey/5437167882</t>
  </si>
  <si>
    <t>KURUKÖPRÜ MAH. KURUKÖPRÜ SK. NO: 1 A İÇ KAPI NO: SEYHAN/ADANA</t>
  </si>
  <si>
    <t>Gökhan Bey/3224588606</t>
  </si>
  <si>
    <t>11:30 randevusu (pasta garden) kesinlikle gidilmesi gerekiyor ürünlerinin çoğunluğunu çıkartacak</t>
  </si>
  <si>
    <t>61f2c4a0b91196ca9a36a4fc</t>
  </si>
  <si>
    <t>Elit Fırın Pasta &amp; Cafe, Çukurova (Mahfesığmaz Mah.)</t>
  </si>
  <si>
    <t>Çukurova / Mahfesığmaz</t>
  </si>
  <si>
    <t>Kahraman Bey / 5443125823</t>
  </si>
  <si>
    <t>mahfesığmaz mah turgut özal bulv 79088 sok no 61/c çukurova adana</t>
  </si>
  <si>
    <t xml:space="preserve">Ferhat Köksal </t>
  </si>
  <si>
    <t>620424f33e9fdb7714909250</t>
  </si>
  <si>
    <t>Can Tatlı &amp; Dondurma, Çukurova (Huzurevleri Mah.)</t>
  </si>
  <si>
    <t>Mustafa Cengiz        3222484649 - 5065252385</t>
  </si>
  <si>
    <t>Huzurevleri mah şehit jandarma sefa izbudak sokak seçkin Sitesi Ablok no 28 iç kapı no k çukurova adana</t>
  </si>
  <si>
    <t xml:space="preserve">ulaşılamadı  - salı gününe ertelemesi sağlanıldı </t>
  </si>
  <si>
    <t>61f2c2424bded960c978e344</t>
  </si>
  <si>
    <t>Pasta Garden Yemek, Çukurova (Karslılar Mah.)</t>
  </si>
  <si>
    <t>Çukurova / Karslılar</t>
  </si>
  <si>
    <t>Selçuk Bey / 5064874475</t>
  </si>
  <si>
    <t>karslılar mah süleyman demirel bulv no 54 a çukurova adana</t>
  </si>
  <si>
    <t xml:space="preserve">pasta bölümü çekimi sağlandı yemek bölümü kaldı onun içinde 1 ay sonra çekim istiyor </t>
  </si>
  <si>
    <t>61d5f597f3b939d1989016fb</t>
  </si>
  <si>
    <t>İkizler Mantı , Çukurova (Huzurevleri Mah.)</t>
  </si>
  <si>
    <t>Asya Söyler	5052364924</t>
  </si>
  <si>
    <t>huzurevleri mah77105 sok altıneller apt no 8 iç kapı no 1 çukurova adana</t>
  </si>
  <si>
    <t>61db43b9f2e640dbaa75a2a4</t>
  </si>
  <si>
    <t>Yemek Kitabı, Çukurova (Huzurevleri Mah.)</t>
  </si>
  <si>
    <t>Erol Bey / 5315442595</t>
  </si>
  <si>
    <t>HUZUREVLERİ MAH. İSMET ATLI BLV. NO: 6 /1B ÇUKUROVA/ ADANA</t>
  </si>
  <si>
    <t xml:space="preserve">erteleme talep etti - haftasonu çekimi sağlanacak  - salı gününe ertelemesi sağlanıldı </t>
  </si>
  <si>
    <t>61f2b46bf3bc5305c8e853bf</t>
  </si>
  <si>
    <t>Pasta Canavarı , Çukurova (Güzelyalı Mah.)</t>
  </si>
  <si>
    <t>Emre Bey / 5425190954</t>
  </si>
  <si>
    <t>Güzelyalı mahallesi Turgut Özal bulvarı 81081 sokak doktor İbrahim keskin sitesi altı pasta canavarı no 83 çukurova adana</t>
  </si>
  <si>
    <t>61daeae138902f173fadd1c9</t>
  </si>
  <si>
    <t>Ezmeze, Çukurova (Mahfesığmaz Mah.)</t>
  </si>
  <si>
    <t>Gökhan Bey / 5442395058</t>
  </si>
  <si>
    <t>mahfesığmaz mah 79133 sk no 13 çukurova adana</t>
  </si>
  <si>
    <t>yoğunluktan dolayı ertelemesi sağlanacak  - haftasonu çekimi sağlanacak</t>
  </si>
  <si>
    <t>621b5ec19278810640709c09</t>
  </si>
  <si>
    <t>Baba Onbaşılar Kebap &amp; Ciğer, Çukurova (Toros Mah.)</t>
  </si>
  <si>
    <t>Çukurova  / Toros</t>
  </si>
  <si>
    <t>İLKEM YİĞİT KIYAN	5434539356</t>
  </si>
  <si>
    <t>TOROS MAH. 78195 SK. CİĞERCİ CİĞERCİ NO: 3 F ÇUKUROVA/ ADANA</t>
  </si>
  <si>
    <t>61e94c13d6747787a8176f45</t>
  </si>
  <si>
    <t>Hasan Masat, Çukurova (Toros Mah.)</t>
  </si>
  <si>
    <t>Ömür Bey 3222267767 - 05434739312</t>
  </si>
  <si>
    <t>toros mah mavi bulvar baskın öztürkoğlu apt no 36 a çukurova adana</t>
  </si>
  <si>
    <t>61d88167f2e640040ef41e45</t>
  </si>
  <si>
    <t>Harrem Çiğ Köfte, Çukurova (Yurt Mah.)</t>
  </si>
  <si>
    <t>HALİL ÇİFTÇİ	5446965223</t>
  </si>
  <si>
    <t>Yurt mahallesi 71383 sokak EREN1 APT No/2-A</t>
  </si>
  <si>
    <t>6220ae3bcd34592026857aeb</t>
  </si>
  <si>
    <t>Wu Healty, Çukurova (Toros Mah. - Kenan Evren Blv.)</t>
  </si>
  <si>
    <t>Akın Bey / 5076403798</t>
  </si>
  <si>
    <t>TOROS MAH. 78067 SK. YADIGAR HANIM APT NO: 7 B ÇUKUROVA/ ADANA</t>
  </si>
  <si>
    <t>6203d823e989f96b00d38e88</t>
  </si>
  <si>
    <t>Özdemirler Unlu Mamülleri, Çukurova (Belediye Evleri Mah.)</t>
  </si>
  <si>
    <t>MEHMET BEY  ÖZDEMİR	5538834715</t>
  </si>
  <si>
    <t>belediye evleri mah hilmi kürklü bulv no 27 a çukurova adana</t>
  </si>
  <si>
    <t>ürün eksik</t>
  </si>
  <si>
    <t>62260f6357e3db009a40336a</t>
  </si>
  <si>
    <t>Adana Lezzet Durağı, Çukurova (Mahfesığmaz Mah.Kenan Evren Blv.)</t>
  </si>
  <si>
    <t>Ali aslangören	5300851147</t>
  </si>
  <si>
    <t>Mahfesığmaz mah damar arıkoğlu blv. 22/b çukurova /ADANA</t>
  </si>
  <si>
    <t xml:space="preserve">çekim istemiyor bir daha aranmayacak </t>
  </si>
  <si>
    <t>3-4 tane ürün var dedi</t>
  </si>
  <si>
    <t>61d871a19acef378f9cc2ce1</t>
  </si>
  <si>
    <t>Bir Tat Restoran, Çukurova (Yüzüncü Yıl Mah.)</t>
  </si>
  <si>
    <t>Doğuş Korkmaz 3222566554 5520029255</t>
  </si>
  <si>
    <t>yüzüncü yıl mah hacı bektaş veli bulv no 57/a çukurova adana</t>
  </si>
  <si>
    <t>6225d6b7ea4c47cca55dad94</t>
  </si>
  <si>
    <t>Hasan Masat, Çukurova (Yurt Mah.)</t>
  </si>
  <si>
    <t>Ali Keskin	3222420167</t>
  </si>
  <si>
    <t>Yurt Mah. Kurttepe Cad. A.Kadir Giriş Apt. Zemin Kat No: 18 Çukurova/Adana</t>
  </si>
  <si>
    <t>620414456d44b750bac83b35</t>
  </si>
  <si>
    <t>Musa Usta Unlu Mamülleri, Çukurova (Yurt Mah.)</t>
  </si>
  <si>
    <t>İbrahim Meşale	5356911611</t>
  </si>
  <si>
    <t>yurt mah turgut özal bulvarı tuna sitesi altı no 174/f çukurova adana</t>
  </si>
  <si>
    <t>601495de61fea777591f147c</t>
  </si>
  <si>
    <t>Tombiş Cafe, Çukurova (Toros Mah.)</t>
  </si>
  <si>
    <t>salih sola        3222354114/5418445451</t>
  </si>
  <si>
    <t>Toros Mah., Barış Manço Bulv. Öztürk Apt., 01170 Çukurova/Adana</t>
  </si>
  <si>
    <t>6226136c1edcd84a33161450</t>
  </si>
  <si>
    <t>Alâ Börek, Çukurova (Huzurevleri Mah.)</t>
  </si>
  <si>
    <t>Yusuf uğur/5451550085</t>
  </si>
  <si>
    <t>Huzurevleri mahallesi 77140 sokak no 8/b çukurova adana</t>
  </si>
  <si>
    <t>Mehmet Bey/5538834715</t>
  </si>
  <si>
    <t>62275142fe19333d2592f2d6</t>
  </si>
  <si>
    <t>Köftehane Etsiz Çiğ Köfte, Çukurova (Yurt Mah.)</t>
  </si>
  <si>
    <t>Çukurova	/Yurt</t>
  </si>
  <si>
    <t>Bilal yurt / 5378381781/05539319602</t>
  </si>
  <si>
    <t>yurt mah 71427 sok no 5/c çukurova adana</t>
  </si>
  <si>
    <t>6225cf8d377f7430ca71b338</t>
  </si>
  <si>
    <t>Mr. Kütük Döner, Çukurova (Mahfesığmaz Mah. - Kenan Evren Blv.)</t>
  </si>
  <si>
    <t>Cemil Bey/5389366768</t>
  </si>
  <si>
    <t>şehitler bul. mahfesığmaz mah. 79119 sok. petek sitesi 1. blok çukurova adana</t>
  </si>
  <si>
    <t>Semt Pazarı karşısı</t>
  </si>
  <si>
    <t>Ali Bey/5300851147</t>
  </si>
  <si>
    <t>Mahfesığmaz mah damar arıkoğlu blv. 22/b çukurova /ADANA Nacibey Apt. altı</t>
  </si>
  <si>
    <t>Geçen seferde gidilmemiş gidilmesini istiyor</t>
  </si>
  <si>
    <t xml:space="preserve">  </t>
  </si>
  <si>
    <t>6229d9412dc7c91deb53547a</t>
  </si>
  <si>
    <t>Fırın Adana, Seyhan (Gürselpaşa Mah.)</t>
  </si>
  <si>
    <t>Taner Koçaklı	5412271725</t>
  </si>
  <si>
    <t>gürselpaşa mah 75268 sk no 2 seyhan adana</t>
  </si>
  <si>
    <t>6220c4b7f358540005dac6ef</t>
  </si>
  <si>
    <t>Şehrizen Künefe &amp; Kadayıf &amp; Börek, Seyhan (Gürselpaşa Mah.)</t>
  </si>
  <si>
    <t>ABDULLAH AY	5325913763</t>
  </si>
  <si>
    <t>GÜRSELPAŞA MAH MAVİ BULVAR NO 121 A BLOK SEYHAN ADANA</t>
  </si>
  <si>
    <t xml:space="preserve">haftasonu çekilecek </t>
  </si>
  <si>
    <t>61e140e49c344965d418bcba</t>
  </si>
  <si>
    <t>Köy Sofrası, Seyhan (Hanedan Mah.)</t>
  </si>
  <si>
    <t>Seyhan	Hanedan</t>
  </si>
  <si>
    <t>Orçun Bey 3223650105</t>
  </si>
  <si>
    <t>HANEDEN MAH BAKIMYURDU MAH NO 41 SEYHAN ADANA</t>
  </si>
  <si>
    <t xml:space="preserve">devam çekimi alınabilir </t>
  </si>
  <si>
    <t>61f9033b4177519da4e2dda0</t>
  </si>
  <si>
    <t>La Creme, Seyhan (Çınarlı Mah.)</t>
  </si>
  <si>
    <t>BURCU HANIM       5071006433</t>
  </si>
  <si>
    <t>cinarli mah 61027 sok no 15/B seyhan adana</t>
  </si>
  <si>
    <t>621cc46bbfca5569ea7eaa48</t>
  </si>
  <si>
    <t>Tiryaki Döner, Seyhan (Pınar Mah.)</t>
  </si>
  <si>
    <t>Ergin Bey      5526655201</t>
  </si>
  <si>
    <t>61e7d7e63db5912a053d218d</t>
  </si>
  <si>
    <t>Yaprak Kebap &amp; Döner, Seyhan (Namık Kemal Mah.)</t>
  </si>
  <si>
    <t>Çağlan Hanım 3224576538 - 5364044401</t>
  </si>
  <si>
    <t>NAMIK KEMAL MAH AHMET REMZİ YÜREĞİR CD ERZİN APT NO 21 SEYHAN ADANA</t>
  </si>
  <si>
    <t xml:space="preserve">Sude Alkan </t>
  </si>
  <si>
    <t>61e7d9ab0dd67f7a96c41d8e</t>
  </si>
  <si>
    <t>Mekan Kebap, Seyhan (Gürselpaşa Mah.)</t>
  </si>
  <si>
    <t>NURULLAH ARSLANTAŞ	5436652518</t>
  </si>
  <si>
    <t>GÜRSELPAŞA MAH ALİYA İZZET BEGOVİÇ BULV NO 92 C SEYHAN ADANA</t>
  </si>
  <si>
    <t>61d807e5afb1ebaba2c9085d</t>
  </si>
  <si>
    <t>Merkez Közde Döner, Seyhan (Ova Mah.)</t>
  </si>
  <si>
    <t>MEHMET SÜREN        05413892101</t>
  </si>
  <si>
    <t>OVA MAH/SEMT ŞAKİRPAŞA CAD. NO: 133 A SEYHAN/ ADANA</t>
  </si>
  <si>
    <t>6200bc3b964d39e28f5fd769</t>
  </si>
  <si>
    <t>Kaplan Tantuni, Seyhan (Kuruköprü Mah.)</t>
  </si>
  <si>
    <t>Seyhan  kuruköprü</t>
  </si>
  <si>
    <t>Muhammet bey 3223633781 - 05369490113</t>
  </si>
  <si>
    <t>kuruköprü mah 33007 sk no 18 seyhan adana</t>
  </si>
  <si>
    <t xml:space="preserve">personel eksik dedi yarına ertelemesi sağlanıldı </t>
  </si>
  <si>
    <t>61d2e086333eba85aba50379</t>
  </si>
  <si>
    <t>Kardeşler Unlu Mamüller, Seyhan (Tellidere Mah.)</t>
  </si>
  <si>
    <t>ENGİN ÖGMEN	5399353009</t>
  </si>
  <si>
    <t>tellidere mah 72080 sk ahmet demirel plaza A BLOK ZEMİN KAT NO :4 seyhan adana</t>
  </si>
  <si>
    <t>619977784cb7b369f7d2d751</t>
  </si>
  <si>
    <t>Düsas, Seyhan (Yeni Mah.)</t>
  </si>
  <si>
    <t>Seyhan	Yeni</t>
  </si>
  <si>
    <t>CENGİZ BEY 05466465963 	3222710808</t>
  </si>
  <si>
    <t>yeni mahalle m1 avm simit sarayı yanı  seyhan adana</t>
  </si>
  <si>
    <t>61cae8dd627a7701db2e8073</t>
  </si>
  <si>
    <t>Tavukçum Soner, Seyhan (Fevzipaşa Mah.)</t>
  </si>
  <si>
    <t>SONER BAYIRLI	5424223177</t>
  </si>
  <si>
    <t>Fevzipaşa mahallesi vefa CAD. No 59A seyhan adana</t>
  </si>
  <si>
    <t>621563455a4d2b3011ab9b2d</t>
  </si>
  <si>
    <t>Shelter Pet Cafe , Seyhan (Cemalpaşa Mah.)</t>
  </si>
  <si>
    <t>ENİS BEY 5323672117</t>
  </si>
  <si>
    <t>CEMALPAŞA MAH. BAHAR CAD. ADANUS PERLA A BLOK NO: 29 İÇ KAPI NO: 29 SEYHAN/ ADANA</t>
  </si>
  <si>
    <t>61d6e7e70363bf200b188e64</t>
  </si>
  <si>
    <t>Selim Usta Kebap (Belediyeevleri Mah. - Türkmenbaşı Blv.)</t>
  </si>
  <si>
    <t>Muharrem bey 5304905442</t>
  </si>
  <si>
    <t>GÜRSELPAŞA MAH ALİ BOZDOĞANOĞLU BLV NO 15 A SEYHAN ADANA</t>
  </si>
  <si>
    <t xml:space="preserve">yarına ertelemesi sağlanıldı </t>
  </si>
  <si>
    <t>622f204853ba25bdf9574744</t>
  </si>
  <si>
    <t>Meşhur Sarıyer Börekçisi, Seyhan (Yeşiloba Mah.)</t>
  </si>
  <si>
    <t>Bünyamin Keleş	5316941852</t>
  </si>
  <si>
    <t>Yeşiloba mah turhan cemal beriker blv no 485 a seyhan adana</t>
  </si>
  <si>
    <t>6231e6de6c098356592844c3</t>
  </si>
  <si>
    <t>Tost Büfe, Seyhan (Cemalpaşa Mah.)</t>
  </si>
  <si>
    <t>Zafer Gür	3224596941</t>
  </si>
  <si>
    <t>cemalpaşa mah. gazipaşa bul. esen apt. no 28 c seyhan adana</t>
  </si>
  <si>
    <t>622fa16c4ed45e5874ad5ff5</t>
  </si>
  <si>
    <t>Kardelen Kebap &amp; Lahmacun, Seyhan (Yeşilyurt Mah.)</t>
  </si>
  <si>
    <t>Abdurrahim Bozboğa3222272777</t>
  </si>
  <si>
    <t>yeşilyurt mah. 70529 sok no 59 b seyhan adana</t>
  </si>
  <si>
    <t>murat demir	5524519301</t>
  </si>
  <si>
    <t>61b9ca416d012a0a453a724e</t>
  </si>
  <si>
    <t>Vittoria Coffee and Chocolate, Seyhan (Pınar Mah.)</t>
  </si>
  <si>
    <t>Neslihan hanım 5445127366</t>
  </si>
  <si>
    <t>RANDEVU ALINMAYACAK</t>
  </si>
  <si>
    <t>Restaurant ID</t>
  </si>
  <si>
    <t>Restoran
Adı</t>
  </si>
  <si>
    <t>Satışa
Açık Mı?</t>
  </si>
  <si>
    <t>Mutfak</t>
  </si>
  <si>
    <t>TOPLAM
SİPARİŞ</t>
  </si>
  <si>
    <t>SON 2 
HAFTA</t>
  </si>
  <si>
    <t>RESİMLİ
ÜRÜN</t>
  </si>
  <si>
    <t>RESİMSİZ
ÜRÜN</t>
  </si>
  <si>
    <t>TOPLAM
ÜRÜN</t>
  </si>
  <si>
    <t>Ratio</t>
  </si>
  <si>
    <t>Yetkili</t>
  </si>
  <si>
    <t>Telefon</t>
  </si>
  <si>
    <t>İLÇE</t>
  </si>
  <si>
    <t>MAHALLE</t>
  </si>
  <si>
    <t>Geleneksel
Zincir</t>
  </si>
  <si>
    <t>FOTOĞRAF SEGMENT</t>
  </si>
  <si>
    <t>Aradık Mı?</t>
  </si>
  <si>
    <t>Kendi Fotosu
Var</t>
  </si>
  <si>
    <t>Randevu 
Durumu</t>
  </si>
  <si>
    <t>Fotoğrafçı</t>
  </si>
  <si>
    <t>Not</t>
  </si>
  <si>
    <t>Randevu Alma 
Tarihi</t>
  </si>
  <si>
    <t>Randevu 
Tarihi</t>
  </si>
  <si>
    <t>Anket
Durum</t>
  </si>
  <si>
    <t>1. Arama</t>
  </si>
  <si>
    <t>1. Arama
Tarihi</t>
  </si>
  <si>
    <t>2. Arama</t>
  </si>
  <si>
    <t>2. Arama
Tarihi</t>
  </si>
  <si>
    <t>3. Arama</t>
  </si>
  <si>
    <t>3. Arama
Tarihi</t>
  </si>
  <si>
    <t>4. Arama</t>
  </si>
  <si>
    <t>4. Arama
Tarihi</t>
  </si>
  <si>
    <t>5. Arama</t>
  </si>
  <si>
    <t>5. Arama
Tarihi</t>
  </si>
  <si>
    <t>1. Arayan</t>
  </si>
  <si>
    <t>2. Arayan</t>
  </si>
  <si>
    <t>3. Arayan</t>
  </si>
  <si>
    <t>4. Arayan</t>
  </si>
  <si>
    <t>5. Arayan</t>
  </si>
  <si>
    <t>SY</t>
  </si>
  <si>
    <t>SY - Durum</t>
  </si>
  <si>
    <t>Döner</t>
  </si>
  <si>
    <t>barbaros hayreddin gürsoy</t>
  </si>
  <si>
    <t>Yüzüncüyıl</t>
  </si>
  <si>
    <t>Randevu Alındı</t>
  </si>
  <si>
    <t>musaıt degıl 5ten sonra arancak</t>
  </si>
  <si>
    <t>Tekrar Aranacak</t>
  </si>
  <si>
    <t>Görüşüldü</t>
  </si>
  <si>
    <t>Sinem Koçak</t>
  </si>
  <si>
    <t>mustafa altunkaynak</t>
  </si>
  <si>
    <t>Sucuzade</t>
  </si>
  <si>
    <t>Fulya Kortak</t>
  </si>
  <si>
    <t>hanefi alp</t>
  </si>
  <si>
    <t>Kurtuluş</t>
  </si>
  <si>
    <t>ULAŞILMADI</t>
  </si>
  <si>
    <t>Sokak Lezzetleri</t>
  </si>
  <si>
    <t>pınar uysun</t>
  </si>
  <si>
    <t>Sarıçam</t>
  </si>
  <si>
    <t>Şahintepe</t>
  </si>
  <si>
    <t>yetkililere ezgi hanımın numarasını iletecekler- ulasılamadı - randevu oluşturuldu /teyit için arandı yetkili yok no iletildi</t>
  </si>
  <si>
    <t>Yetkili Yok</t>
  </si>
  <si>
    <t>Dönüş Yapacak</t>
  </si>
  <si>
    <t>624ac7875406c23fc4b9667e</t>
  </si>
  <si>
    <t>01 Servis Künefe, Ceyhan (Namık Kemal Mah.)</t>
  </si>
  <si>
    <t>Pasta &amp; Tatlı</t>
  </si>
  <si>
    <t>EMRAH ÖZER</t>
  </si>
  <si>
    <t>Ceyhan</t>
  </si>
  <si>
    <t>Namık Kemal</t>
  </si>
  <si>
    <t>namık kemal mah. orhan ekinci bul. no 66 iç kapı no z3 ceyhan adana</t>
  </si>
  <si>
    <t>6204dfe3bc188a960e30cf59</t>
  </si>
  <si>
    <t>01 Urfa Sofrası, Yüreğir (Dadaloğlu Mah.)</t>
  </si>
  <si>
    <t>ABDURRAHMAN TOPRAK</t>
  </si>
  <si>
    <t>Yüreğir</t>
  </si>
  <si>
    <t>Dadaloğlu</t>
  </si>
  <si>
    <t>DADALOĞLU MAH ŞEHİT JAN. ER MUSTAFA GÖKSAL CAD NO 14 YÜREĞİR ADANA</t>
  </si>
  <si>
    <t>İleride Randevu Alınacak</t>
  </si>
  <si>
    <t>62409c93f48420a955ad2cea</t>
  </si>
  <si>
    <t>112 Kaburgacı Kenan, Yüreğir (Kazım Karabekir Mah.)</t>
  </si>
  <si>
    <t>Kebap</t>
  </si>
  <si>
    <t>Onur Öncü Uyandı</t>
  </si>
  <si>
    <t>Kazım Karabekir</t>
  </si>
  <si>
    <t>kazım karabekir mah. 4192 sok. no 4 iç kapı no 201</t>
  </si>
  <si>
    <t>zeynep topaloğlu</t>
  </si>
  <si>
    <t>Yurt</t>
  </si>
  <si>
    <t>Ayşegül Dulkadir</t>
  </si>
  <si>
    <t>leyla kocaman</t>
  </si>
  <si>
    <t>Gültepe</t>
  </si>
  <si>
    <t>yarın 4 de aranacak</t>
  </si>
  <si>
    <t>Deneme</t>
  </si>
  <si>
    <t>6070c6c9dc91044886734ac4</t>
  </si>
  <si>
    <t>5 Ocak Kebap (Kurtuluş Mah.)</t>
  </si>
  <si>
    <t>erisn şendoğan</t>
  </si>
  <si>
    <t>kurtuluş mah şinasi efendi cd suphi ramazanoğlu apt b girişi no 22 d seyhan adana</t>
  </si>
  <si>
    <t xml:space="preserve">5324412251 ersin bey mail verildi bayramdan sonra gönderimini sağlayacaklar-bır saate aranacak- yüzüme kapattı </t>
  </si>
  <si>
    <t>Sezer Arslan</t>
  </si>
  <si>
    <t>602ba8e05eff103e230ddcf1</t>
  </si>
  <si>
    <t>7/C Ocakbaşı (Mahfesığmaz Mah.)</t>
  </si>
  <si>
    <t>soner sarp</t>
  </si>
  <si>
    <t>Mahfesığmaz</t>
  </si>
  <si>
    <t>MAHFESIĞMAZ MAH. 79019 sk no 23/A ÇUKUROVA/ ADANA</t>
  </si>
  <si>
    <t>Başka Şubeden Çekilecek</t>
  </si>
  <si>
    <t>5ffe23ee4a4dfa3a5caba607        7/C Ocakbaşı Gazipaşa,(Cemalpaşa Mah.) ızgara ürünleri buradan yüklenecek</t>
  </si>
  <si>
    <t>Cemalpaşa</t>
  </si>
  <si>
    <t>61b264592be549f3bda5fe7f</t>
  </si>
  <si>
    <t>7/C Ocakbaşı, Çukurova (Mahfesığmaz Mah.)</t>
  </si>
  <si>
    <t>SONER SARP</t>
  </si>
  <si>
    <t>Mahfesığmaz mh, 79019. Sk 23/A, 01150 Çukurova/Adana</t>
  </si>
  <si>
    <t>5ffe23ee4a4dfa3a5caba607        7/C Ocakbaşı Gazipaşa,(Cemalpaşa Mah.) izgara ürünleri buradan yüklenecek</t>
  </si>
  <si>
    <t>60153c905fe8231f17cfb78f</t>
  </si>
  <si>
    <t>Abdullah Usta Kebap, Seyhan (Pınar Mah.)</t>
  </si>
  <si>
    <t>ismail kılınç</t>
  </si>
  <si>
    <t>Pınar</t>
  </si>
  <si>
    <t>pınar mah semt 74052sk seyhan adana</t>
  </si>
  <si>
    <t xml:space="preserve">fotograflarımı bugun çekecegim sizlere gönderirim dedi mail verildi.(bügün atcaz dedİ)/ açmadı- ulasılamadı </t>
  </si>
  <si>
    <t>Tost &amp; Sandviç</t>
  </si>
  <si>
    <t>memduh birdir</t>
  </si>
  <si>
    <t>Kayalıbağ</t>
  </si>
  <si>
    <t>Derya Tatlı</t>
  </si>
  <si>
    <t>kemal sabancı</t>
  </si>
  <si>
    <t>Sümer</t>
  </si>
  <si>
    <t>BERAT</t>
  </si>
  <si>
    <t xml:space="preserve">HAFTAYA </t>
  </si>
  <si>
    <t>mustafa orhan</t>
  </si>
  <si>
    <t>Döşeme</t>
  </si>
  <si>
    <t>Börek</t>
  </si>
  <si>
    <t>ersin kardaş</t>
  </si>
  <si>
    <t>Serinevler</t>
  </si>
  <si>
    <t>dç için arandı yalnızca su boregı urunlerı eksık</t>
  </si>
  <si>
    <t>veysel zengin</t>
  </si>
  <si>
    <t>2000 Evler</t>
  </si>
  <si>
    <t>çekim yapıldı .</t>
  </si>
  <si>
    <t>Muhammet Belindir</t>
  </si>
  <si>
    <t>Toros</t>
  </si>
  <si>
    <t>serkan büyükocak</t>
  </si>
  <si>
    <t>Tellidere</t>
  </si>
  <si>
    <t>Çekim İstemiyor</t>
  </si>
  <si>
    <t xml:space="preserve">yetkili müsait degil. yarım saat sonra arayın dediler./mail verildi (musait oldugumda göndercem dedi)-yetkili iki saate gelir dedi- yanlış numara </t>
  </si>
  <si>
    <t>61b32fd96311be259b7c4149</t>
  </si>
  <si>
    <t>Adana Gurmesi Tantuni Dünyası, Sarıçam (Yeşiltepe Mah.)</t>
  </si>
  <si>
    <t>Taner Aksoy</t>
  </si>
  <si>
    <t>Yeşiltepe</t>
  </si>
  <si>
    <t>YEŞİLTEPE MAH. ÇATALAN CAD. NO: 2 B SARIÇAM/ ADANA</t>
  </si>
  <si>
    <t>6255318a77674f597b22477b</t>
  </si>
  <si>
    <t>Adana Lezzet Durağı, Çukurova (Mahfesığmaz Mah.)</t>
  </si>
  <si>
    <t>Riber Ergün</t>
  </si>
  <si>
    <t>mahfesığmaz mah. damar arıkoğlu bul. no 22 a çukurova adana</t>
  </si>
  <si>
    <t>Ali Miraç Aşık</t>
  </si>
  <si>
    <t>Yeşilyurt</t>
  </si>
  <si>
    <t>donus yapılacak</t>
  </si>
  <si>
    <t>murat bey</t>
  </si>
  <si>
    <t xml:space="preserve">2 kere randevu alınmış gidilmemiş./yetkili yoktu(istemiyor </t>
  </si>
  <si>
    <t>canan boğa</t>
  </si>
  <si>
    <t>Randevu İptal</t>
  </si>
  <si>
    <t xml:space="preserve">açıp yüzüme kapattı  </t>
  </si>
  <si>
    <t>Ecem Ünal</t>
  </si>
  <si>
    <t>6229d63c31a6056df37ed1a7</t>
  </si>
  <si>
    <t>Adana Sofrası, Ceyhan (Namık Kemal Mah.)</t>
  </si>
  <si>
    <t>Gökhan Lak</t>
  </si>
  <si>
    <t>NAMIK KEMAL MAHALLESİ AHMET URAL SOKAK NO:54/ZA</t>
  </si>
  <si>
    <t>osman bey</t>
  </si>
  <si>
    <t>Türkocağı</t>
  </si>
  <si>
    <t>Nilüfer Erçelik</t>
  </si>
  <si>
    <t>Güzelyalı</t>
  </si>
  <si>
    <t>5379682594 bütün ürünlerin çekimleri gerçekleştirilmiş</t>
  </si>
  <si>
    <t>621340f818fb79fc0432e4ea</t>
  </si>
  <si>
    <t>Adanas Çiğ Köfte &amp; Meze, Ceyhan (Burhaniye Mah.)</t>
  </si>
  <si>
    <t>Çiğ Köfte</t>
  </si>
  <si>
    <t>NİGAR UZUN</t>
  </si>
  <si>
    <t>Burhaniye</t>
  </si>
  <si>
    <t>burhaniye mah kızılay cad no 72 ceyhan adana</t>
  </si>
  <si>
    <t>Serkan Kılıçarslan</t>
  </si>
  <si>
    <t>Reşatbey</t>
  </si>
  <si>
    <t>salı çarşamba randevu verilebilir</t>
  </si>
  <si>
    <t>Fotoğraflarım Var</t>
  </si>
  <si>
    <t>erdoğan özer</t>
  </si>
  <si>
    <t xml:space="preserve">açmadı </t>
  </si>
  <si>
    <t>6038ebc8a69617f99256f27c</t>
  </si>
  <si>
    <t>Adıyörem Çiğ Köfte (Karacaoğlan Mah.)</t>
  </si>
  <si>
    <t>adem kocatürk</t>
  </si>
  <si>
    <t>Kozan</t>
  </si>
  <si>
    <t>Karacaoğlan</t>
  </si>
  <si>
    <t>karacaoğlan mah turgut özal blv sultan hatun apt no 115 c kozan adana</t>
  </si>
  <si>
    <t>Franchise</t>
  </si>
  <si>
    <t>614d972035a05d0b209f023a</t>
  </si>
  <si>
    <t>Adıyörem Çiğ Köfte, Seyhan (İkibinevler Mah.)</t>
  </si>
  <si>
    <t>mehmet kaya</t>
  </si>
  <si>
    <t>2000 evler mah 76067 sk no 1 a seyhan adana</t>
  </si>
  <si>
    <t>Balık &amp; Deniz Ürünleri</t>
  </si>
  <si>
    <t>doğukan idigük</t>
  </si>
  <si>
    <t>2 saat sonra aranacak/haftaya cuma günü için aranacak-randevu olusturuldu</t>
  </si>
  <si>
    <t>erdoğan aksoyan</t>
  </si>
  <si>
    <t>Huzurevleri</t>
  </si>
  <si>
    <t>mail olarak gönderilmiş.(göndermiş 15 gün olmuş / yarın ara /yt yok 1 saat sonra/Profesyonel çekimleri varmış mail verildi</t>
  </si>
  <si>
    <t>62598b5ab1244c6188cf9899</t>
  </si>
  <si>
    <t>Agah Restaurant, Seyhan (Kurtuluş Mah.)</t>
  </si>
  <si>
    <t>KADİR SİCİMOĞLU</t>
  </si>
  <si>
    <t>Kurtuluş mahallesi Ramazanoğlu caddesi 64003 sokak No:27/A Seyhan/ADANA</t>
  </si>
  <si>
    <t>osman bayer</t>
  </si>
  <si>
    <t>61a762f9e3548a519246b129</t>
  </si>
  <si>
    <t>Ağabey Döner, Seyhan (Sümer Mah.)</t>
  </si>
  <si>
    <t>ERCAN DOĞAN</t>
  </si>
  <si>
    <t>sümer mah ibo osman cd seyhan adana</t>
  </si>
  <si>
    <t xml:space="preserve">yetkili 1 saate gelir dedi tekrar aranack </t>
  </si>
  <si>
    <t>ibrahim üstün</t>
  </si>
  <si>
    <t xml:space="preserve">5372431001 cuma arayacak pazartesiye randevu yazılacak/tüm ürünleri çekildi aranmayacak </t>
  </si>
  <si>
    <t>60094522c5f8331c25904198</t>
  </si>
  <si>
    <t>Ailem Tavukçuluk, Çukurova (Yurt Mah.)</t>
  </si>
  <si>
    <t>Tavuk</t>
  </si>
  <si>
    <t>Alkan IŞIK</t>
  </si>
  <si>
    <t>Süleyman Demirel bulvarı Yurt mahallesi 71549 sokak no 1/H Çukurova/Adana</t>
  </si>
  <si>
    <t>ÇEKİM YAPILMIŞ. BİLGİLERİ YOK</t>
  </si>
  <si>
    <t>6105b8b4bddc0d546d0f7a8c</t>
  </si>
  <si>
    <t>Akarsu Kebap &amp; Izgara , Çukurova (Yüzüncü Yıl Mah.)</t>
  </si>
  <si>
    <t>mekye akarsu</t>
  </si>
  <si>
    <t>yüzüncü yıl mah fazlı metro bulvarı gülbahar gruop apt altı a blok 53/c a101 marlet karşısı çukurova adana</t>
  </si>
  <si>
    <t xml:space="preserve">geçen de aradınız istemiyorum şuan dedi/ istemedi </t>
  </si>
  <si>
    <t>Fatih Şirin</t>
  </si>
  <si>
    <t xml:space="preserve">yetkili izinde salı veya çrş gelecek </t>
  </si>
  <si>
    <t>61b706bfc6a890313b6f4ea7</t>
  </si>
  <si>
    <t>Akdo, Seyhan (Pınar Mah.)</t>
  </si>
  <si>
    <t>Gürselpaşa</t>
  </si>
  <si>
    <t>PINAR MAH, Ali Bozdoğanoğlu Blv NO:54/D, 01010 Seyhan/Adana</t>
  </si>
  <si>
    <t xml:space="preserve">yetkili diğer şubede dedi </t>
  </si>
  <si>
    <t>614d934902b749456bd4306b</t>
  </si>
  <si>
    <t>Akıllıoğlu El Yapımı Çiğ Köfte, Kozan (Karacaoğlan Mah.)</t>
  </si>
  <si>
    <t>EMRAH AKILLIOĞLU</t>
  </si>
  <si>
    <t>karacaoğlan mah goncagül sokak no 6 sultan hatun apt kozan adana</t>
  </si>
  <si>
    <t>Lokasyon Uzak</t>
  </si>
  <si>
    <t>607f3a80974e08ee3f0c8902</t>
  </si>
  <si>
    <t>Akif Börekçioğlu, Çukurova (Mahfesığmaz Mah.)</t>
  </si>
  <si>
    <t>melda aynalı</t>
  </si>
  <si>
    <t>Tadilat Var</t>
  </si>
  <si>
    <t>tadilat 6 eylüle kadar sürebilirmiş/5362515158 NIHAL HAFTAYA RANDEVU OLUŞTURULABİLİR ARANSIN. dükkan müsait degil tadilatta dedi..//aranıp randevu verilsin/kendisi dönüş yapcak // 6 eylüle kadar aranmasın çok aramışız- tatile gitmişler gelsin arıyacaklar dedi çalışanı- melda hanım hastanedeymis ben sizlere donus saglarım dedi - melda hanım hasta oldugundan dolayı müsait bir zamanda kendisi geri dönüş saglayacaklar dedi - müsait olunca donecem dedi - NİHAL HANIMLA KONUŞULDU DÖNÜŞ YAPACAĞINI BELİRTTİ GÜN İÇİNDE - ulaşılamadı / cenazeleri varmış.-</t>
  </si>
  <si>
    <t>ferhat aslan</t>
  </si>
  <si>
    <t>Çarkıpare</t>
  </si>
  <si>
    <t>eksık olarak pızza urunlerı kalmıs onların da satısı yok</t>
  </si>
  <si>
    <t>savaş savaş</t>
  </si>
  <si>
    <t xml:space="preserve">5054401444 HAFTAYA ARA </t>
  </si>
  <si>
    <t>600987dbf9bae4ba4c5387c2</t>
  </si>
  <si>
    <t>Âlâ Ocakbaşı, Seyhan (Tellidere Mah.)</t>
  </si>
  <si>
    <t>ömer çelik</t>
  </si>
  <si>
    <t>pınar mah mücahitler cad no:313 / a seyhan adana</t>
  </si>
  <si>
    <t>fotografları var mı yokmu inceleyecek dönecek// yok iftardan sonra dediler fotografları inceledimi ögrenilmedi(geitr yemegi kunlanmıyorum dedi</t>
  </si>
  <si>
    <t>Dünya Mutfağı</t>
  </si>
  <si>
    <t>levent dağlı</t>
  </si>
  <si>
    <t>devam çekimi talep edermi diye aradık ulaşamadık./devam çekimi alındı / açmadı.</t>
  </si>
  <si>
    <t>6003132149bc3dbfaac9dbc8</t>
  </si>
  <si>
    <t>Alaçatı Muhallebicisi,(Toros Mah. - Turgut Özal Blv.)</t>
  </si>
  <si>
    <t>Kahvaltı</t>
  </si>
  <si>
    <t>önder çebiç</t>
  </si>
  <si>
    <t>yurt mah turgut özal bulv no 158-1a/1 çukurova adana</t>
  </si>
  <si>
    <t>franchise  olup olmadığını teyit amaçlı arandı ulaşılamadı</t>
  </si>
  <si>
    <t>6257e3c6d3c44133a05ae743</t>
  </si>
  <si>
    <t>Algül Dondurma, Sarıçam (Şahintepe Mah.)</t>
  </si>
  <si>
    <t>KÜRŞAT KOCAMAN</t>
  </si>
  <si>
    <t>şahintepe mah. kozan bul. 374/B Sarıçam adana</t>
  </si>
  <si>
    <t>SENCER YILMAZ</t>
  </si>
  <si>
    <t xml:space="preserve">kendi fotoğraflarını mail olarak atıcak kalan ürünleri için çekim istiyor randevu oluşturuldu </t>
  </si>
  <si>
    <t>ali akdeniz</t>
  </si>
  <si>
    <t>toros mah şehitler blv no 35 a çukurova adana</t>
  </si>
  <si>
    <t xml:space="preserve">mahfesığmaz mah. turgut özal bulv. no 115/d </t>
  </si>
  <si>
    <t>metin can çapanoğlu</t>
  </si>
  <si>
    <t xml:space="preserve">personel eksikk ve çekim düşünmüyorum dedi.15 kere aradınız istemiyorum dedi aranmasın </t>
  </si>
  <si>
    <t>61c58e03fda64dd67a7cd832</t>
  </si>
  <si>
    <t>Alido Dondurma, Sarıçam (Osmangazi Mah.)</t>
  </si>
  <si>
    <t>FATİH ÇAKMAK</t>
  </si>
  <si>
    <t>Osmangazi</t>
  </si>
  <si>
    <t>Osmangazi Mah. 1966 Sk. No:10D (Osmangazi İş Merk. Karşısı, 01790 Sarıçam/Adana</t>
  </si>
  <si>
    <t>ÖMER FARUK KÖRLÜ</t>
  </si>
  <si>
    <t xml:space="preserve">TEK ÜRÜN VAR./ hala tek ürünü var ayrıca çekim yapılmış fakat fotoğraflar çalındı denmiş doğruluğunu teyit istiyor </t>
  </si>
  <si>
    <t>6234808b521ea478b63abbe8</t>
  </si>
  <si>
    <t>Alo Balık, Seyhan (Gürselpaşa Mah.)</t>
  </si>
  <si>
    <t>Deniz Ürünleri</t>
  </si>
  <si>
    <t>BERDAN AKÇEKOCE</t>
  </si>
  <si>
    <t>GÜRSELPAŞA MAH. ALİYA İZZET BEGOVİÇ BLV. NO: 102 B SEYHAN/ ADANA</t>
  </si>
  <si>
    <t>deniz can gülli</t>
  </si>
  <si>
    <t>tadilat varmış 3 hafta sonra bitermiş/çekim için randevu verilmesini istiyor/5367492062/işletme 12 de aransın/ tüm ürünler çekilmiş</t>
  </si>
  <si>
    <t>Ev Yemekleri</t>
  </si>
  <si>
    <t>ismail aydoğdu</t>
  </si>
  <si>
    <t>Beyazevler</t>
  </si>
  <si>
    <t>YT YOK OGLEDEN SONRA ARANILACAKrandevu alındı sonra devasm çekimi de olabilir sabah saatleri için alınsın randevu</t>
  </si>
  <si>
    <t>Nurhayat Kabataş</t>
  </si>
  <si>
    <t>5fde89ec0654ee84b2e89aa1</t>
  </si>
  <si>
    <t>American Chicken Box, Seyhan (Cemalpaşa Mah.)</t>
  </si>
  <si>
    <t>Mehmet Sayılık</t>
  </si>
  <si>
    <t>cemalpaşa mah 63012 sok özdemir sit no 5/b seyhan adana</t>
  </si>
  <si>
    <t xml:space="preserve">kayıtlı böyle bir numara yokm- numara yanlış </t>
  </si>
  <si>
    <t>6149dbb69e06e02e6c17587f</t>
  </si>
  <si>
    <t>An-takya Döner , Seyhan (Cemalpaşa Mah..)</t>
  </si>
  <si>
    <t>çağlayan kocahan</t>
  </si>
  <si>
    <t>CEMALPAŞA MAH. BAHAR CAD. ERTAN APT NO: 15 A SEYHAN/ ADANA</t>
  </si>
  <si>
    <t>ÇEKİM YAPILDI DENİLİYOR.</t>
  </si>
  <si>
    <t>muhammet şükrü özkarakaş</t>
  </si>
  <si>
    <t>619970893a1a5fcadaa9dbcc</t>
  </si>
  <si>
    <t>Anadolu Çiğköfte, Yüreğir (Anadolu Mah.)</t>
  </si>
  <si>
    <t>hasan özüş</t>
  </si>
  <si>
    <t>Güneşli</t>
  </si>
  <si>
    <t>anadolu mah süleyman vahit cad no 235 iç kapı no a yüreğir adana</t>
  </si>
  <si>
    <t>mail atacak</t>
  </si>
  <si>
    <t>adem topal</t>
  </si>
  <si>
    <t>Belediye Evleri</t>
  </si>
  <si>
    <t>Devam çekimi randevusu. alındı</t>
  </si>
  <si>
    <t>6172c37d61c94c2111e59cd4</t>
  </si>
  <si>
    <t>Antakya Sos Döner, Çukurova (Yüzüncü Yıl Mah.)</t>
  </si>
  <si>
    <t>seda gönlü</t>
  </si>
  <si>
    <t>YÜZÜNCÜYIL MAH. HACI BEKTAŞ VELİ BLV. MANOLYA SİT. B BLOK ALTI NO: 10 A ÇUKUROVA/ ADANA</t>
  </si>
  <si>
    <t>Geleneksel</t>
  </si>
  <si>
    <t xml:space="preserve">pınar mah seyhan </t>
  </si>
  <si>
    <t>uğur gönlü</t>
  </si>
  <si>
    <t>Ali Bey/5432412147(05458781954/ mail verildi</t>
  </si>
  <si>
    <t>tuncay bozkuş</t>
  </si>
  <si>
    <t>5354601623 tüm ürünler çekildi sisteme yüklenmemiş dedi/esat beyden devam çekimi randevusu aldık</t>
  </si>
  <si>
    <t>61f7b559194c9137b5cae742</t>
  </si>
  <si>
    <t>Antik Döner, Sarıçam (Gültepe Mah.)</t>
  </si>
  <si>
    <t>SUAT İDEMER</t>
  </si>
  <si>
    <t>GÜLTEPE MAH ÇATALAN CAD NO 59 A SARIÇAM ADANA</t>
  </si>
  <si>
    <t>60ff0f7e07177f730c879dd8</t>
  </si>
  <si>
    <t>Antiochia Döner , Çukurova (Güzelyalı Mah.)</t>
  </si>
  <si>
    <t>züleyha hanım</t>
  </si>
  <si>
    <t>numara eksik (0322) 212 01 31
(</t>
  </si>
  <si>
    <t>ZÜLEYHA ATLAS</t>
  </si>
  <si>
    <t>randevu alındı</t>
  </si>
  <si>
    <t>Hemen Randevu İstiyorum</t>
  </si>
  <si>
    <t>5fe5bf7af0267cf286124773</t>
  </si>
  <si>
    <t>Antiochia Döner, Seyhan (Yenibaraj Mah. - Barajyolu)</t>
  </si>
  <si>
    <t>yasin atlas</t>
  </si>
  <si>
    <t>Yenibaraj</t>
  </si>
  <si>
    <t>yeni baraj mah. 68047 sk gülkent apt a blok no2/a seyhan adana</t>
  </si>
  <si>
    <t xml:space="preserve">kendi fotoğraflarını mail olarak atıcak- yetkili yok - ULASILAMADI - ulasılamadı </t>
  </si>
  <si>
    <t>61e6b9fe899a317d4e161888</t>
  </si>
  <si>
    <t>Ara Döner 01, Çukurova (Toros Mah.)</t>
  </si>
  <si>
    <t>Alp Ocak</t>
  </si>
  <si>
    <t>toros mah barış manço bulvarı no 2 c çukurova adana</t>
  </si>
  <si>
    <t>tel kapalı</t>
  </si>
  <si>
    <t>6096e39e0c17441e2b2361f8</t>
  </si>
  <si>
    <t>Arada Biyer (Mahfesığmaz Mah.)</t>
  </si>
  <si>
    <t>levent tanrıverdi</t>
  </si>
  <si>
    <t>Mahfesığmaz mah.79112 sokak no:14/A Çukurova ADANA</t>
  </si>
  <si>
    <t xml:space="preserve">pazartesi günleri ulaşılabilir / GETİR YEMEK İLE TELEFON SIKINTISI VAR BU DÜZELMEDEN ÇALIŞMAK İSTEMİYOR.- ulasılamadı- levent bey saat 4-5 de gelir dedi / getir yemek deyince suratıma kapttı </t>
  </si>
  <si>
    <t>Eylem Ünal</t>
  </si>
  <si>
    <t>gökhan acımış</t>
  </si>
  <si>
    <t>badel avcılar</t>
  </si>
  <si>
    <t>620a0dcefb198bca1bdbbf01</t>
  </si>
  <si>
    <t>Arı Ekspress Döner, Seyhan (Yeşiloba Mah.)</t>
  </si>
  <si>
    <t>İLMETTİN ÇALPAN</t>
  </si>
  <si>
    <t>Yeşiloba</t>
  </si>
  <si>
    <t>YEŞİLOBA MAH. 46120 SK. NO: 77 İÇ KAPI NO: 1 SEYHAN/ ADANA</t>
  </si>
  <si>
    <t>azmi huzur yurtçu</t>
  </si>
  <si>
    <t>Acıdereosb</t>
  </si>
  <si>
    <t>mesgul</t>
  </si>
  <si>
    <t>622600ea55ab1968f84804ef</t>
  </si>
  <si>
    <t>Arifzade Organik Çiğ Köfte &amp; Meze, Çukurova (Beyazevler Mah.)</t>
  </si>
  <si>
    <t>Süleyman Ürek</t>
  </si>
  <si>
    <t>Beyazevler mah. 80003 sok 16/B Çukurova adana</t>
  </si>
  <si>
    <t>onur kırıcı</t>
  </si>
  <si>
    <t>reşatbey mah arı apt altı no:20 seyhan adana</t>
  </si>
  <si>
    <t xml:space="preserve">5435081205 Hasret Hanım onur bey ile görüşecek anlatacak. geri dönüş yapacaklar-3 de aranacak . MAİL ATACAK </t>
  </si>
  <si>
    <t>61d44bea0719be3052c93449</t>
  </si>
  <si>
    <t>Art City Pizza &amp; Burger, Seyhan (Reşatbey Mah.)</t>
  </si>
  <si>
    <t>Pizza</t>
  </si>
  <si>
    <t>ORHAN EMEN</t>
  </si>
  <si>
    <t>reşatbey mah gazeteci sinan tanyıldız sk hazer apt no 21 seyhan adana</t>
  </si>
  <si>
    <t xml:space="preserve">ben geri dönüş sağlarım dedi tadilat var dedi </t>
  </si>
  <si>
    <t>61b33263b02a4fbfb9bec033</t>
  </si>
  <si>
    <t>Artizan Burger, Seyhan (Gürselpaşa Mah.)</t>
  </si>
  <si>
    <t>Burger</t>
  </si>
  <si>
    <t>Cem Polat</t>
  </si>
  <si>
    <t>gürselpaşa mah a. izzet begoviç bulv 25/b seyhan adana</t>
  </si>
  <si>
    <t>5052293441 öğleden sonra aranacak</t>
  </si>
  <si>
    <t>6240a5098b92a15592879afd</t>
  </si>
  <si>
    <t>Arya Kebap Evi,Kozan (Cumhuriyet Mah.)</t>
  </si>
  <si>
    <t>Kemal Örtlek</t>
  </si>
  <si>
    <t>Cumhuriyet mah. andıl cad. no 167 d kozan adana</t>
  </si>
  <si>
    <t>623ac62a91f997eb4f073789</t>
  </si>
  <si>
    <t>Asel Patisserie &amp; Cafe, Sarıçam (Gültepe Mah.)</t>
  </si>
  <si>
    <t>Rahime Avli</t>
  </si>
  <si>
    <t>Gültepe Mah. Erguvan Cad. Pınar B No:22 A Sarıçam Adana</t>
  </si>
  <si>
    <t>6203dd790523e61c3ac2acfd</t>
  </si>
  <si>
    <t>Asil Börek, Çukurova (Yüzüncü Yıl Mah.)</t>
  </si>
  <si>
    <t>Ömer Yücesoylu</t>
  </si>
  <si>
    <t>yüzüncü yıl mah 85054 sk b blok no 11 / 2a çukurova adana</t>
  </si>
  <si>
    <t xml:space="preserve">yapmayalım dedi </t>
  </si>
  <si>
    <t>ömer yavuz</t>
  </si>
  <si>
    <t>Mutlaka istiyor 1 hafta sonrasına ürünlerini tedarik edecek pazartesi ya da salıya randevu oluşturulacak</t>
  </si>
  <si>
    <t>6245e4019ea99671f389fd52</t>
  </si>
  <si>
    <t>Aslan Cafe, Seyhan (Sümer Mah.)</t>
  </si>
  <si>
    <t>HELİN ASLAN</t>
  </si>
  <si>
    <t>sümer mah. 69071 sok. tüzün apt. b girişi no 9 a seyhan adana</t>
  </si>
  <si>
    <t>606c30380c5b642062d7159b</t>
  </si>
  <si>
    <t>Asmaaltı Kebap (Gürselpaşa Mah.)</t>
  </si>
  <si>
    <t>yunus alagöz</t>
  </si>
  <si>
    <t>Gürselpaşa Mah. 75268 Sok. 58 Seyhan, Adana</t>
  </si>
  <si>
    <t xml:space="preserve">meıl verıldı/20 sindan sonra- ben sizlere atarım dedi-3 gün sonra dönüş saglanacak - ogleden sonra aranacak - hocam yunus bey yarın burda olur dedi suan yok dedi yarın bu saatlerde arıyabilirsiniz dedi - meşgul - yetkili 1 gibi gelir dedi </t>
  </si>
  <si>
    <t>fehmi kardeşoğlu</t>
  </si>
  <si>
    <t>ersan aşık</t>
  </si>
  <si>
    <t>özlem öztürk</t>
  </si>
  <si>
    <t xml:space="preserve">reklamcısı attıgı zaman atıcakmış(05424092592-bulent beyın numarası verıldı ulasılamadı- ulasılmadı </t>
  </si>
  <si>
    <t>aziz altunkaynak</t>
  </si>
  <si>
    <t>meşgul-AÇMADI.</t>
  </si>
  <si>
    <t>622b4b8fa6d59cd622d9134c</t>
  </si>
  <si>
    <t>Atahan Kebap, Yüreğir (Dadaloğlu Mah.)</t>
  </si>
  <si>
    <t>Hakan Emre Türksev</t>
  </si>
  <si>
    <t>dadaloğlu mah. kozan cad. no 371 iç kapı no Z01 yüreğir adana</t>
  </si>
  <si>
    <t>5fe5c2c9333ef55a95ae6d4c</t>
  </si>
  <si>
    <t>Menü</t>
  </si>
  <si>
    <t>gökhan ateş</t>
  </si>
  <si>
    <t>annesiymiş açan akşam 6 gibi arayın dedi</t>
  </si>
  <si>
    <t>6026d6e0ff60ad067ac077be</t>
  </si>
  <si>
    <t>Ateş Sosis, Seyhan (Sümer Mah. - Barajyolu)</t>
  </si>
  <si>
    <t>cihan ateş</t>
  </si>
  <si>
    <t>YENİBARAJ MAH. 68053 SK. AYDIN 6 APT NO: 8 A SEYHAN/ ADANA</t>
  </si>
  <si>
    <t xml:space="preserve">yetkili ezgi hanıma dönüş yapacak /ARANMASIN ÇOK ARANMIŞ- yüzüme kapattı </t>
  </si>
  <si>
    <t>yunus uçmak</t>
  </si>
  <si>
    <t>625918c0bfa31557f51c6a0c</t>
  </si>
  <si>
    <t>Ayder Kebap, Çukurova (Güzelyalı Mah.)</t>
  </si>
  <si>
    <t>UĞUR DERSİM DURAN</t>
  </si>
  <si>
    <t>güzelyalı mah. 81201 sok. no 1-1A Çukurova Adana</t>
  </si>
  <si>
    <t>aydın alptekin</t>
  </si>
  <si>
    <t>erkan barış gökçeli</t>
  </si>
  <si>
    <t>abdulhenan</t>
  </si>
  <si>
    <t>ulasılamadı</t>
  </si>
  <si>
    <t>barış gökçeli</t>
  </si>
  <si>
    <t>Kuruköprü</t>
  </si>
  <si>
    <t xml:space="preserve">5531137373- ulasılamadı </t>
  </si>
  <si>
    <t>yeşilyurt mah ibo osman cd imta apt a blok no 129 A seyhan adana</t>
  </si>
  <si>
    <t>5531137373/Kuruköprü mah. özler cad no 16/B aydın gökçeli  kafe sistemdeki adres yanlış</t>
  </si>
  <si>
    <t>aytaç limonkoparan</t>
  </si>
  <si>
    <t>iş yoğunluğundan daha hazır hale gelemedik 1 ay sonra aransın dedi. saat 14.00 aranacak/05422345464</t>
  </si>
  <si>
    <t>Haluk Ayman</t>
  </si>
  <si>
    <t>gökhan birdir</t>
  </si>
  <si>
    <t>Sistemden Çıkmak İstiyor</t>
  </si>
  <si>
    <t xml:space="preserve">getirle ilgili aranmyacak. fiyat güncellemesi ypılmamış 1 ydır </t>
  </si>
  <si>
    <t>mehmet fatih yıldız</t>
  </si>
  <si>
    <t>5059826794 amatör çekimlri varmış yollayacak yolucak en kısa zamanda/Devam çekimi istemez</t>
  </si>
  <si>
    <t>618cd21700737db4ef4f1711</t>
  </si>
  <si>
    <t>Ayyıldız Pizza, Kozan (Tufanpaşa Mah.)</t>
  </si>
  <si>
    <t>Ebubekir akgedik</t>
  </si>
  <si>
    <t>Tufanpaşa</t>
  </si>
  <si>
    <t>tufanpaşa mah üstün sokak no 113 kozan adana</t>
  </si>
  <si>
    <t>sabri gel</t>
  </si>
  <si>
    <t>Fevzipaşa</t>
  </si>
  <si>
    <t>maile atıcak fotoğrafları(yarın atcak - randevu oluşturuldu</t>
  </si>
  <si>
    <t>İLKEM YİĞİT KIYAN</t>
  </si>
  <si>
    <t>TÜLİN AVCI</t>
  </si>
  <si>
    <t>deniz bey yetkili</t>
  </si>
  <si>
    <t>620f8abdf34a7067172b2825</t>
  </si>
  <si>
    <t>Bağrıyanık Ciğer &amp; Kebap, Yüreğir (Köprülü Mah.)</t>
  </si>
  <si>
    <t>SAFİYE BAĞRIYANIK</t>
  </si>
  <si>
    <t>Köprülü</t>
  </si>
  <si>
    <t>KÖPRÜLÜ MAH MİTHAT ÖZHAN BLV NO 6 YÜREĞİR ADANA</t>
  </si>
  <si>
    <t>selçuk odabaşı</t>
  </si>
  <si>
    <t>Bahçeşehir</t>
  </si>
  <si>
    <t>bayramdan sonra devam çekimi istiyor./devam çekimi</t>
  </si>
  <si>
    <t>Dicle Harmancı</t>
  </si>
  <si>
    <t>Mavi Arslan</t>
  </si>
  <si>
    <t>625075d1741679cf40007840</t>
  </si>
  <si>
    <t>Bak Tat Ye, Seyhan (Gürselpaşa Mah.)</t>
  </si>
  <si>
    <t>Köfte</t>
  </si>
  <si>
    <t>Ömer Boğça</t>
  </si>
  <si>
    <t>Gürselpaşa mah. 6. cad. c blok no 113/1A seyhan adana</t>
  </si>
  <si>
    <t>Hüseyin Çağlar</t>
  </si>
  <si>
    <t>5357718204/randevu alındı yazıyor nisanda ama fotoğraf oranı 0 teyit amacıyla aradım açmadı tekrar aranıp çekim yapılıp yapılmadığı sorulsun yapıldıysa eğer merkeze iletilsin - ÇEKİM YAPILMIŞ.</t>
  </si>
  <si>
    <t>60154feb5778c45408c0eefa</t>
  </si>
  <si>
    <t>Bakery Loven, Çukurova (Güzelyalı Mah.)</t>
  </si>
  <si>
    <t>hanife geç</t>
  </si>
  <si>
    <t>GÜZELYALI MAH. 81150 SK. A BLOK NO: 3 /1A ÇUKUROVA/ ADANA</t>
  </si>
  <si>
    <t>bu hafta göndericek- ben sizi arıyacam dedi kapattı - yüzüme kapattı - ulasılamadı / fotoğraflar için arandı açmadı.</t>
  </si>
  <si>
    <t>6220cc5908e3e6280d8e0f3b</t>
  </si>
  <si>
    <t>Baklavacızade, Yüreğir (Serinevler Mah.)</t>
  </si>
  <si>
    <t>Fatma Arice</t>
  </si>
  <si>
    <t>serinevler mah. 3714 sok no 30 iç kapı no A yüreğir/adana</t>
  </si>
  <si>
    <t>61b9bc7aed2948f41942992d</t>
  </si>
  <si>
    <t>Bal Aile Kasap &amp; Kebap, Kozan (Çanaklı Mah.)</t>
  </si>
  <si>
    <t>Nilgün Bal</t>
  </si>
  <si>
    <t>Varsaklar</t>
  </si>
  <si>
    <t>çanaklı mah güneri cd no 134 kozan adana</t>
  </si>
  <si>
    <t>duran parlak</t>
  </si>
  <si>
    <t>tadilat yapacakmış beyefendi/tadilat muhtemelen bitmiş ama yetkili yok/açmadı</t>
  </si>
  <si>
    <t>vedat sinar</t>
  </si>
  <si>
    <t>Yüzüncüyıl, Hacı Bektaş Veli Blv 93 A, 01170 Çukurova/Adana</t>
  </si>
  <si>
    <t>EYLÜL ORTASINDA TEKRAR ARANACAK</t>
  </si>
  <si>
    <t>veysel demirtaş</t>
  </si>
  <si>
    <t>RANDEVU ISTEDILER GÖRÜŞME SAGLANDI YOGUN OLURSAM GELSİN YOKSA GELMESİN DİYOR AMA RANDEVUSU OLUSTURULABİLİR</t>
  </si>
  <si>
    <t>6257e6a5c6c1038db4893a43</t>
  </si>
  <si>
    <t>Balım Pasta &amp; Cafe, Sarıçam (Şahintepe Mah.)</t>
  </si>
  <si>
    <t>Beyceli</t>
  </si>
  <si>
    <t>beyceli mah. tufanbeyli cad. no 43 adana sarıçam</t>
  </si>
  <si>
    <t>62342e7b30864f83a63e9000</t>
  </si>
  <si>
    <t>Ballıbaba Dondurma, Çukurova (Güzelyalı Mah.)</t>
  </si>
  <si>
    <t>Dondurma</t>
  </si>
  <si>
    <t>Fevziye Biçer</t>
  </si>
  <si>
    <t>güzelyalı mah. turgut özal bul. anıl apt b blok no 10 m çukurova adana</t>
  </si>
  <si>
    <t>6063553f8a29facc3e2e79b0</t>
  </si>
  <si>
    <t>Barajyolu Döner (Sümer Mah.)</t>
  </si>
  <si>
    <t>nurullah gök</t>
  </si>
  <si>
    <t xml:space="preserve">5527141214 fotografcıma mailinizi verdim o gönderecekti sorayım gönderdigi mail adresini vereyim dedi/çaldı açmadı- ulasilmadı </t>
  </si>
  <si>
    <t>05536400973 Nurullah bey</t>
  </si>
  <si>
    <t>622f98628a8d3d64f2684725</t>
  </si>
  <si>
    <t>Baran Etsiz Çiğköfte, Seyhan (Gülbahçesi Mah.)</t>
  </si>
  <si>
    <t>Ahmet Erbeyi</t>
  </si>
  <si>
    <t>Gülbahçesi</t>
  </si>
  <si>
    <t>gülbahçesi mah 13082 sok no 11 seyhan adana</t>
  </si>
  <si>
    <t>ALİ BALIK</t>
  </si>
  <si>
    <t>DADALOĞLU MAH 2567 SK NO 1 YÜREĞİR ADANA</t>
  </si>
  <si>
    <t>kısmet apt altı / 5373694216</t>
  </si>
  <si>
    <t>602f98437491a90237069689</t>
  </si>
  <si>
    <t>Battalbey Çiğ Köftecisi (İstiklal Mah.)</t>
  </si>
  <si>
    <t>ali gençer</t>
  </si>
  <si>
    <t>İstiklal</t>
  </si>
  <si>
    <t>istiklal mh bakımyurdu cd no 180 a seyhan adana</t>
  </si>
  <si>
    <t>602fc306a9d2c13e0f002991</t>
  </si>
  <si>
    <t>Battalbey Çiğ Köftecisi (Toros Mah.)</t>
  </si>
  <si>
    <t>abdullah turan</t>
  </si>
  <si>
    <t>TOROS MAH. MAVİ BLV. NO: 24 A ÇUKUROVA/ ADANA</t>
  </si>
  <si>
    <t>6149a8017534bc1d54bc4a50</t>
  </si>
  <si>
    <t>BayEmir Döner, Seyhan (Kocavezir Mah.)</t>
  </si>
  <si>
    <t>EMİRHAN ŞİMŞEKYILMAZ</t>
  </si>
  <si>
    <t>Kocavezir</t>
  </si>
  <si>
    <t>kocavezir mah obalar cad no 70 iç kapı no 101 seyhan adana</t>
  </si>
  <si>
    <t>Başka şubesinde fotoğraf yok!</t>
  </si>
  <si>
    <t>kara pezen</t>
  </si>
  <si>
    <t>Mehmet Akif Ersoy 1. Bölge</t>
  </si>
  <si>
    <t>Mustafa Bey</t>
  </si>
  <si>
    <t>yasemin tuştaş</t>
  </si>
  <si>
    <t>ezgi</t>
  </si>
  <si>
    <t>necmettin alpboğa</t>
  </si>
  <si>
    <t>henüz faaliyete geçmemişler/kendisi dönüş yapıcak</t>
  </si>
  <si>
    <t>yasin karagiydiren</t>
  </si>
  <si>
    <t>muhammet hanifi sündük</t>
  </si>
  <si>
    <t>RANDEVU İSTEDILER</t>
  </si>
  <si>
    <t>anıl can bektaş</t>
  </si>
  <si>
    <t>emel yılmaz</t>
  </si>
  <si>
    <t>savaş süzgünol</t>
  </si>
  <si>
    <t>kontrol edip arayacaklar/kendisinin bilgisi yoktu görüşüp dönüş sağlayacak,//SEYYAT BEYLE GÖRÜŞME SAĞLANDI KENDİSİ ŞEHİR DIŞINDA 1 HAFTA SONRA DÖNÜŞ YAPICAK O ZAMN ARANSIN- RANDEVU OLUSTURULDU</t>
  </si>
  <si>
    <t>esra erkiş</t>
  </si>
  <si>
    <t>kampanya günü 1inden sonra belli olur dedi ileride uygunluga göre aransın./yoğunluk var 2 hafta sonra aranmasını talep ediyor.-05370282322// 05370282322 esra hanımın numarası şehir dışındaymıi 2 hafta sonra aransın/devam çekimide olacak büyük ihtimalle/önümüzdeki hafta carsamba perşembe olur dediler.</t>
  </si>
  <si>
    <t>rahmetullah özdemir</t>
  </si>
  <si>
    <t>devam çekimi için arandı yetkili yok/yarım saat sonra gelir dendi.</t>
  </si>
  <si>
    <t>6245753f432e7a8f49833a79</t>
  </si>
  <si>
    <t>Best Chicken Döner &amp; İskender, Ceyhan (Cumhuriyet Mah.)</t>
  </si>
  <si>
    <t>Sedat Adıgüzel</t>
  </si>
  <si>
    <t>Cumhuriyet</t>
  </si>
  <si>
    <t>Cumhuriyet mah orhan ekici bulv atakent a no 29 ceyhan adana</t>
  </si>
  <si>
    <t>60246602f8d6e94fd6ba6a04</t>
  </si>
  <si>
    <t>Bestem Döner &amp; İskender, Seyhan (Pınar Mah.)</t>
  </si>
  <si>
    <t>hakan özkan</t>
  </si>
  <si>
    <t>pınar mah 75174 sok no 16 seyhan adana</t>
  </si>
  <si>
    <t>Restoran Silindi</t>
  </si>
  <si>
    <t>sistemi tablette kullanıyordum sıkıntı oldu bende sistemi sildim der</t>
  </si>
  <si>
    <t>sema sakacalı</t>
  </si>
  <si>
    <t>yeşilyurt mah 70166 sk no 4 a seyhan adana</t>
  </si>
  <si>
    <t>60b149a27b00bc886706c32f</t>
  </si>
  <si>
    <t>Beylerbeyi Cafe, Çukurova (Toros Mah.)</t>
  </si>
  <si>
    <t>bilal yurduseven</t>
  </si>
  <si>
    <t>toros mah mavi bulvar no 26 a çukurova adana</t>
  </si>
  <si>
    <t xml:space="preserve">5343526636 suan istemiyorum dedi çekim istemiyora yakın tadilat var dedi 2 hafta sonra aranıp son durum ögrenilsin./1 hafta sonra aransın/ ISRALA İSTEMEDİ/ yarın sabah 10 gibi aranacak - 2 HAFTA BİTER SUAN DOĞALGAZI BEKLİYORUM DEDİ / yarın sabah 10 gibi aranırsa bilal bey ile görüşebilir </t>
  </si>
  <si>
    <t>6026fa10fc9e270564b6ece5</t>
  </si>
  <si>
    <t>Beyzade Kebap &amp; Kasap &amp; Steakhouse, (Kabasakal Mah.)</t>
  </si>
  <si>
    <t>orhan daşkıran</t>
  </si>
  <si>
    <t>Kabasakal</t>
  </si>
  <si>
    <t>Prof. Necmettin Erbakan Bulvarı, Semiramis Köy Yolu, 01170 Çukurova</t>
  </si>
  <si>
    <t>/FOTOĞRAFI VAR DAHA SONRA ATACAK.05334053571- ulasılamadı/ Fotoğraflar için arandı yetkili yok, çalışanlardan biri yetkiliye dönüş yaptıracak.</t>
  </si>
  <si>
    <t>6026fbbbc8290966763d20fc</t>
  </si>
  <si>
    <t>Beyzade Kebap, (Mahfesığmaz. - Turgut Özal Blv.)</t>
  </si>
  <si>
    <t>Mahfesığmaz, 01170 Çukurova/Adana</t>
  </si>
  <si>
    <t>güzelyalı subesinde ömer bey ile görüşülecek fotograflar var mı yok mu gönderdimi ögrenilecek o dogrultuda ilerlenecek/ öme bey arandı açmadı(2344387/ fotoğraflar için arandı açmadı.</t>
  </si>
  <si>
    <t>6026fd748474c46bfc38ba88</t>
  </si>
  <si>
    <t>Beyzade Kebap, Çukurova (Güzelyalı Mah.)</t>
  </si>
  <si>
    <t>ömer daşkıran</t>
  </si>
  <si>
    <t>Güzelyalı, 81185. Sk. 14/A, 01170 Çukurova/Adana</t>
  </si>
  <si>
    <t>5303753921 kendi fotoğrafları var mail adresi verildi.// başım yogun ilgilenemedim ilgilenip gönderecegim der//4 şube içinde görüşülecek/mail tekrar verildli. ogleden sonra saat üc gibi aranacak/ Fotoğraflar için arandı ömer bey cuma namazında daha sonra aranacak.</t>
  </si>
  <si>
    <t>6026f82d55fa616434fd0f4d</t>
  </si>
  <si>
    <t>Beyzade Kebap, Çukurova (Yüzüncü Yıl Mah.)</t>
  </si>
  <si>
    <t>ali daşkıran</t>
  </si>
  <si>
    <t>100.YIL M. 85112 S. NO: 87 İÇ KAPI NO: A ÇUKUROVA/ ADANA</t>
  </si>
  <si>
    <t>5305430371/ MAİLE ATACAK-numara yanlıs / fotoğraflar için arandı mail adresi verildi.</t>
  </si>
  <si>
    <t>nuriye ünal</t>
  </si>
  <si>
    <t>mail verildi//teyit için arandı ytk yok(05343845905-numara yanlış</t>
  </si>
  <si>
    <t>mail verildi/ gönderdik dediler/eksikler için aradık yetkili yok.</t>
  </si>
  <si>
    <t>61afadb0223fe6711b34515c</t>
  </si>
  <si>
    <t>Bi Tatlı Park, Seyhan (İsmetpaşa Mah.)</t>
  </si>
  <si>
    <t>TUĞBA AVCI</t>
  </si>
  <si>
    <t>İsmetpaşa</t>
  </si>
  <si>
    <t>ismetpaşa mah 51229 sk kıyıkent evleri a blok no 8 seyhan adana</t>
  </si>
  <si>
    <t>onur uludağ</t>
  </si>
  <si>
    <t>güzelyalı mah 81118 sok no:48/a çukurova adana</t>
  </si>
  <si>
    <t>mevcut resimleri yoladı uygun görülmedi randevu alındı</t>
  </si>
  <si>
    <t>600b0ecad6c5913726df7245</t>
  </si>
  <si>
    <t>Bi Tepsi, Seyhan (Sümer Mah.)</t>
  </si>
  <si>
    <t>Onur Uludağ</t>
  </si>
  <si>
    <t>sümer mah abdi ipekçi cad no :48/a seyhan adana</t>
  </si>
  <si>
    <t xml:space="preserve">çalışanı eray bey 10 dk ya ben sizlere dönüş sağlarım dedş </t>
  </si>
  <si>
    <t>621897517f1e6117625b3ece</t>
  </si>
  <si>
    <t>Bi Yer Döner &amp; İskender Cafe, Seyhan (Yeşilyurt Mah.)</t>
  </si>
  <si>
    <t>tayfun turmuş</t>
  </si>
  <si>
    <t>YEŞİLYURT MAH. KARAAFAT CAD. NO: 52 A SEYHAN/ ADANA</t>
  </si>
  <si>
    <t xml:space="preserve">haftaya cuma ara </t>
  </si>
  <si>
    <t>60ab81c83ab7422e5bae6904</t>
  </si>
  <si>
    <t>Bi'Tat Tantuni (Yeni Mah. - M1 AVM)</t>
  </si>
  <si>
    <t>hakan canpolat</t>
  </si>
  <si>
    <t>Yeni</t>
  </si>
  <si>
    <t>yeni mah 87071 sk M1 Avm seyhan adana</t>
  </si>
  <si>
    <t>Diğer şubede fotoğraf çekimi gerçekleşmemiş // diğer şubeden fotoğraf çekilcek aranmasın</t>
  </si>
  <si>
    <t>60d59bb5cec4f7d0434144ef</t>
  </si>
  <si>
    <t>NURETTİN DAĞTEKİN</t>
  </si>
  <si>
    <t xml:space="preserve">11:15 de geliyormuş yetkili  / fotoğraf çekimi yapıldı dedi sedat bey </t>
  </si>
  <si>
    <t>6225f14276aaff4fbf55cd41</t>
  </si>
  <si>
    <t>Big Burger City, Çukurova ( Mahfesığmaz Mah.)</t>
  </si>
  <si>
    <t>Nurullah Yılmaz</t>
  </si>
  <si>
    <t>mahfessığmaz mah. turgut özal bul. egemen apt. no 35 iç kapı no 1 çukurova adana</t>
  </si>
  <si>
    <t>haftaya randevu alınacak bu hafta sonu açılışları var</t>
  </si>
  <si>
    <t>cuma çekirge</t>
  </si>
  <si>
    <t>gürselpaşa mh 75266 sk no 20/c seyhan adana</t>
  </si>
  <si>
    <t>GEREK DUYMUYORMUŞ.</t>
  </si>
  <si>
    <t>Pide</t>
  </si>
  <si>
    <t>Doğuş Korkmaz</t>
  </si>
  <si>
    <t>mahmut özçiftçi</t>
  </si>
  <si>
    <t xml:space="preserve">sistemde sorun yaşıyoruz dedi önce bunları halletmek isterim dedi hallettikten sonra arayacak aranırsa 2 hafta sonra aransın / özel numarasını vermiyorlar </t>
  </si>
  <si>
    <t>61b272523fc88ebf5a9a9514</t>
  </si>
  <si>
    <t>Birbiçer Kebap , Çukurova (Güzelyalı Mah.-Adnan Menderes Bulv.)</t>
  </si>
  <si>
    <t>ferhan ökmen</t>
  </si>
  <si>
    <t>güzelyalı mah adnan menderes bulv no 43 a çukurova adana</t>
  </si>
  <si>
    <t>mehmet nuri şimşek</t>
  </si>
  <si>
    <t xml:space="preserve">5322376077/5432345644 gökhan </t>
  </si>
  <si>
    <t>selçuk bayram</t>
  </si>
  <si>
    <t>Hurmalı</t>
  </si>
  <si>
    <t>selim bey</t>
  </si>
  <si>
    <t>5323084713 Kadir bey /maıl paylascak</t>
  </si>
  <si>
    <t>Ziyapaşa</t>
  </si>
  <si>
    <t xml:space="preserve">5323084713 Kadir bey </t>
  </si>
  <si>
    <t>resul inal</t>
  </si>
  <si>
    <t>ŞERAFETTİN ÇAKMAK</t>
  </si>
  <si>
    <t>YEŞİLYURT MAH KARAAFAT CADDESİ NO 138 SEYHAN ADANA</t>
  </si>
  <si>
    <t>61d9de30f1bdc49dc2ae890c</t>
  </si>
  <si>
    <t>Blackbird Coffee &amp; Kitchen, Yüreğir (Serinevler Mah.)</t>
  </si>
  <si>
    <t>CKM RESTORAN VE GIDA İŞLETMELERİ A.Ş.</t>
  </si>
  <si>
    <t>Serinevler Mahallesi, Mustafa Kemal Paşa Blv. no: 101, 01240 Yüreğir/Adana</t>
  </si>
  <si>
    <t>ibrahim kuş</t>
  </si>
  <si>
    <t>eksık urunlerın cekımını ıstemez</t>
  </si>
  <si>
    <t>61634ca8ab37a8396ea577d2</t>
  </si>
  <si>
    <t>Bloom Sweets, Seyhan (Sümer Mah.)</t>
  </si>
  <si>
    <t>eylem kaplan özcan</t>
  </si>
  <si>
    <t>sümer mah 69077 sk gül apt zemin kat 4/A seyhan adana</t>
  </si>
  <si>
    <t xml:space="preserve">yanlış numara - işletme kapalı </t>
  </si>
  <si>
    <t>5ff42270e97c0d836dd2a6a9</t>
  </si>
  <si>
    <t>Bolulu Hasan Usta,(Kurtuluş Mah. - Ziyapaşa Blv.)</t>
  </si>
  <si>
    <t>ismail baran</t>
  </si>
  <si>
    <t>mithat saraçoğlu cad kurtulus mah gökkuşagı apt no:416 seyhan adana</t>
  </si>
  <si>
    <t>Beray Güllü</t>
  </si>
  <si>
    <t>60674fa712cde60489ce5b0b</t>
  </si>
  <si>
    <t>Botta Bloom (Cemalpaşa mah.)</t>
  </si>
  <si>
    <t>ümit kış</t>
  </si>
  <si>
    <t>Cemalpaşa, Toros Cd. Çiğdem Apt D:6-C Seyhan/Adana</t>
  </si>
  <si>
    <t xml:space="preserve">ŞUAN ÇOK YOĞUN OLDUKLARI İÇİN DAHA SONRA DEDİ/ Yelda Hanım 05448262781/yarım saat sonra ara- müsait degilim dedi - ben sizlere donus saglarım dedi </t>
  </si>
  <si>
    <t>muzaffer özel</t>
  </si>
  <si>
    <t>cemil kardaş</t>
  </si>
  <si>
    <t>Dervişler</t>
  </si>
  <si>
    <t>sabah saatleri aransın</t>
  </si>
  <si>
    <t>620428feb12d5b86a18f5ff3</t>
  </si>
  <si>
    <t>Bullong Beef Burger, Çukurova (Huzurevleri Mah.)</t>
  </si>
  <si>
    <t>Nehir Altay</t>
  </si>
  <si>
    <t>HUZUREVLERİ MAH. 77140 SK. NO: 8 A ÇUKUROVA/ ADANA</t>
  </si>
  <si>
    <t>kendisi dönüş yapacak gün ayarlayacak</t>
  </si>
  <si>
    <t>BERAT KIYAN</t>
  </si>
  <si>
    <t>Gürselpaşa Mah., Aliya İzzet Begoviç Blv., No:25B, Seyhan, Adana, Türkiye,</t>
  </si>
  <si>
    <t>ali alkan akata</t>
  </si>
  <si>
    <t xml:space="preserve">Teyit için arandı ulaşılamadı/5326274662/sisteme yüklenmemi,ş fotograflar 1 aydır. Güneş Beye iletildi- daha once cekılmis begenmedik dedi istemiyoruz dedi/GAZİ PAŞA SUBESINDE CEKIM ISTERLER </t>
  </si>
  <si>
    <t>60887cac74b647012d741f35</t>
  </si>
  <si>
    <t>Burger Bar, Seyhan (Cemalpaşa Mah.)</t>
  </si>
  <si>
    <t>hüsamettin hüyük</t>
  </si>
  <si>
    <t>Cemalpaşa, Ethem Ekin Sk. No:26, 01120 Seyhan/Adana</t>
  </si>
  <si>
    <t xml:space="preserve">mail verıldı kendı fotografları var -husammettın bey yok kardesı bır saate gelir dedi- yetkili yok dedi suan dedi öğlen saat 2 gibi gelir dedi </t>
  </si>
  <si>
    <t>60cb58335bba507995d47b5f</t>
  </si>
  <si>
    <t>Burger Bar, Seyhan (Sümer Mah. - Barajyolu)</t>
  </si>
  <si>
    <t>Yenibaraj, Gülkent apt, 68047. Sk. No:2/B D:A Blok, 01150 Seyhan/Adana</t>
  </si>
  <si>
    <t>aynı şube</t>
  </si>
  <si>
    <t>5fe5c9f35118f199a98c4c14</t>
  </si>
  <si>
    <t>Burger Motto, Seyhan (Gürselpaşa Mah.)</t>
  </si>
  <si>
    <t>taner tekin</t>
  </si>
  <si>
    <t>gürselpaşa mah aliya izzet begoviç bulv. medlife apt b blok no:29/1a seyhan adana</t>
  </si>
  <si>
    <t>zulkuf.tekin97@gmail.com/tekrardan meil verildi</t>
  </si>
  <si>
    <t>612613a0afcbdf1fa3a1e71d</t>
  </si>
  <si>
    <t>Burger@, Kozan (Karacaoğlan Mah.)</t>
  </si>
  <si>
    <t>orkun ölmez</t>
  </si>
  <si>
    <t>karacaoğlan mah şehit hüseyin soydan cd bora açar sitesi b blok 31 a kozan adana</t>
  </si>
  <si>
    <t>5ff8263158e9c14900d771c4</t>
  </si>
  <si>
    <t>Burgerhall, Seyhan (Gürselpaşa Mah.)</t>
  </si>
  <si>
    <t>berkay tutar</t>
  </si>
  <si>
    <t>gürselpaşa mah ali bozdoğanoğlu bulv dinçerler plaza no:77/a seyhan adana</t>
  </si>
  <si>
    <t>Başka şubesi neresi? Fotoğraflı başka şube yok // 444 1 466 numarada sıkıntı var merkez numarası sıkıntılı</t>
  </si>
  <si>
    <t>gamze gümüşay</t>
  </si>
  <si>
    <t xml:space="preserve">5325144670// çekimler sağlanmış çoğu yüklenmemiş  - 60152799d9ee3cc853043f46 güzelyalı işletmesindeki ürünlerin fotoğrafları kullanılacak </t>
  </si>
  <si>
    <t>6014b2703a7478379f609715</t>
  </si>
  <si>
    <t>Burgerhome, Seyhan (Yeni Mah.)</t>
  </si>
  <si>
    <t>adem bey</t>
  </si>
  <si>
    <t>Yeni, 87071. Sk. No:5, 01200 Seyhan/Adana</t>
  </si>
  <si>
    <t xml:space="preserve">5538520799- 5533446651 öznür hanım mail adresi veridi - 60152799d9ee3cc853043f46 güzelyalı işletmesindeki ürünlerin fotoğrafları kullanılacak </t>
  </si>
  <si>
    <t>erman mutlu</t>
  </si>
  <si>
    <t>mahfesığmaz mah turgut özal bulv 55/d çukurova adana</t>
  </si>
  <si>
    <t>61dbd9032bd6b49786186b18</t>
  </si>
  <si>
    <t>Burgerz, Çukurova (Toros Mah.)</t>
  </si>
  <si>
    <t>Çağrı Demir</t>
  </si>
  <si>
    <t>toros mah 78195 sok no 5 a çukurova adana</t>
  </si>
  <si>
    <t>bizim müşterilerimiz zaten belli gerek yok der</t>
  </si>
  <si>
    <t>620f86855171b105060dbebb</t>
  </si>
  <si>
    <t>Bus Stop Sokak Lezzetleri, Ceyhan (Namık Kemal Mah.)</t>
  </si>
  <si>
    <t>LAZGİN DÜNDAR</t>
  </si>
  <si>
    <t>Mithat Paşa</t>
  </si>
  <si>
    <t>Ebülfeyz Elçibey Caddesi, 01960, 01950 Ceyhan/Adana</t>
  </si>
  <si>
    <t>60887a780bbb7e386e3f2beb</t>
  </si>
  <si>
    <t>Büyük Adana Kebap (Cemalpaşa Mah. - Gazipaşa Blv.)</t>
  </si>
  <si>
    <t>cesur oral</t>
  </si>
  <si>
    <t>cemalpaşa mahallesi toros caddesi no:33/b seyhan /ADANA</t>
  </si>
  <si>
    <t xml:space="preserve">GÖNDERİCEK - ulasılamadı </t>
  </si>
  <si>
    <t>bünyamin arık</t>
  </si>
  <si>
    <t>yetkilinin numarasını verdiler,arandı ama açmadı</t>
  </si>
  <si>
    <t>davut deletioğlu</t>
  </si>
  <si>
    <t>Başka şube yok!? // BEN DÜŞÜNÜRSEM SİZE DÖNÜŞ YAPARIM DEDİ. -haftaya cuma gününe istiyor randevu/Yarın arayın dedi Cihan Bey abisi</t>
  </si>
  <si>
    <t>623cacfd17a61bb3625c997b</t>
  </si>
  <si>
    <t>By Lookma Waffle (Yurt Mah. - Turgut Özal Blv.)</t>
  </si>
  <si>
    <t>ÖZGÜR ÇOPUR</t>
  </si>
  <si>
    <t>Yurt Mah. Turgut Özal Blv. No:166 A Çukurova/ADANA</t>
  </si>
  <si>
    <t>abdullah uğar</t>
  </si>
  <si>
    <t xml:space="preserve">BAŞKA ŞUBE YOK, HANGİ ŞUBEYMİŞ DETAY ALALIM LÜTFEN // restoran ismi Tombiş Cafe/Yetkili ismi doğru numarası 5317190186 adres hatalı yetkilinin verdiği adres:Toros mah. Barış Manço Bulv.Öztürk Ap. Çukurova/Adana // ilgilenmiyormuş/ başka şubelermiş </t>
  </si>
  <si>
    <t>625ab75c2ca88a9b808bfbef</t>
  </si>
  <si>
    <t>Cadde'S Döner &amp; Köfte, Ceyhan (Namık Kemal Mah.)</t>
  </si>
  <si>
    <t>Musa Köksal</t>
  </si>
  <si>
    <t>namık kemal mah. seyid ahmet arvasi bul. no 69 ceyhan adana</t>
  </si>
  <si>
    <t>ilhan öztürk</t>
  </si>
  <si>
    <t>6064a3337692c7aa4dfd5017</t>
  </si>
  <si>
    <t>Cafe Inn, Çukurova (Toros Mah.)</t>
  </si>
  <si>
    <t>murat tekin</t>
  </si>
  <si>
    <t>toros Mahallesi Ali Sepici Bulv Özen Apt. 9/C, 01170 Çukurova/Adana</t>
  </si>
  <si>
    <t>yetkili şehir dışındaymış/10 gün sonra yapalım işler açılsın dediler/ USTALARI İLE KONUŞUP GÜN İÇİN DÖNÜŞ YAPACAK // eylül 15 gibi istiyor okulların açılmasını bekliyomuş ezginin no verildi -Yetkili murat bey sehir dısındaymıs no: 05384522155- müsait olunca dönüş yapacakmış 2-3 güne aranacak - 05384522155 numara geçiçi olarak servis dışı</t>
  </si>
  <si>
    <t>ömer kocahan</t>
  </si>
  <si>
    <t>beyazevler mah devlet bahçeli blv no 30 d çukurova adana</t>
  </si>
  <si>
    <t xml:space="preserve">mail verildi//teyit için arandı gönderilmiş- numara mesgul </t>
  </si>
  <si>
    <t>suat kanber</t>
  </si>
  <si>
    <t>cemalpaşa mah 63009 sok as apt no 2 iç kapı no 3 seyhan adana</t>
  </si>
  <si>
    <t>5323087500  /    cemalpaşa mah doktorlar sitesi C blok no 21/A   // yetkili yok / yetkili yok şehir dışında aradım açmadı.</t>
  </si>
  <si>
    <t>hamza abalı</t>
  </si>
  <si>
    <t>Ulubatlı Hasan</t>
  </si>
  <si>
    <t>bayramdan sonra</t>
  </si>
  <si>
    <t>60623e3bb71fbc6c67195412</t>
  </si>
  <si>
    <t>Cajun Corner (Cemalpaşa Mah.)</t>
  </si>
  <si>
    <t>aytaç çirkin</t>
  </si>
  <si>
    <t>cemalpaşa mah 63005 sok no 1 a seyhan adana</t>
  </si>
  <si>
    <t xml:space="preserve">franchise olduğu için çekimler merkezden yapılıyormuş.- yetkili yok </t>
  </si>
  <si>
    <t>Hamitcan Fidan</t>
  </si>
  <si>
    <t>5fe5d8d0e4a5e22c1d78ac23</t>
  </si>
  <si>
    <t>Cajun Corner, Çukurova (Beyazevler Mah.)</t>
  </si>
  <si>
    <t>beyazevler mah 80005 sokak no:3/b çukurova adana</t>
  </si>
  <si>
    <t xml:space="preserve">çrş günü aranacak yetkili prş gelecek o zaman eksik ürünümüz kalmaz dedi  - ulaşılamadı </t>
  </si>
  <si>
    <t>5fe5dd21f0267c6313124b8d</t>
  </si>
  <si>
    <t>Cajun Corner, Seyhan (Pınar Mah.)</t>
  </si>
  <si>
    <t>tunç karslı</t>
  </si>
  <si>
    <t>pınar mah 74097 sok a blok no 3/c seyhan adana</t>
  </si>
  <si>
    <t xml:space="preserve">tunç bey no : 05368304467 mail adresi verildi şuan işletmede değilim mersinde  işletme açtık dedi - ulaşılamadı </t>
  </si>
  <si>
    <t>hakan yüzbaş</t>
  </si>
  <si>
    <t>5073888888 Devam çekimi</t>
  </si>
  <si>
    <t>aydın parlakbileker</t>
  </si>
  <si>
    <t>RANDEVU ALINDI</t>
  </si>
  <si>
    <t>624579ed9cd685b34c447d19</t>
  </si>
  <si>
    <t>Can Döner, Seyhan (Hürriyet Mah.)</t>
  </si>
  <si>
    <t>MUSTAFA ZÜMRÜTYAPRAK</t>
  </si>
  <si>
    <t>Hürriyet</t>
  </si>
  <si>
    <t>HÜRRİYET MAH. 20045 SK. MODA RENGARENK NO: 2 SEYHAN/ ADANA</t>
  </si>
  <si>
    <t>62436b7c00f867b061138a8b</t>
  </si>
  <si>
    <t>Can Kardeşler Kebap, Yüreğir (Kazım Karabekir Mah.)</t>
  </si>
  <si>
    <t>Samet Akdağ</t>
  </si>
  <si>
    <t>kazım karabekir mah. mustafa kemal paşa bul. no 24 iç kapı no 201 yüreğir adana</t>
  </si>
  <si>
    <t>Mustafa Cengiz</t>
  </si>
  <si>
    <t>BlackList</t>
  </si>
  <si>
    <t>zülküf altun</t>
  </si>
  <si>
    <t>5346775925 cep no</t>
  </si>
  <si>
    <t>abdulkadir aylık</t>
  </si>
  <si>
    <t>Karasoku</t>
  </si>
  <si>
    <t>Esef Doğru</t>
  </si>
  <si>
    <t xml:space="preserve">ulasılamadı </t>
  </si>
  <si>
    <t>60ba2cd2fa657e68b28f43ce</t>
  </si>
  <si>
    <t>Cebrail Usta'nın Yeri, Yüreğir (Kiremithane Mah.)</t>
  </si>
  <si>
    <t>orhan yıldız</t>
  </si>
  <si>
    <t>Kiremithane</t>
  </si>
  <si>
    <t>kiremithane mah haşim dalgıç caddesi no 106 yüreğir adana</t>
  </si>
  <si>
    <t>ömer tunç</t>
  </si>
  <si>
    <t>Dumlupınar</t>
  </si>
  <si>
    <t>5fecf46712b7159782a4b380</t>
  </si>
  <si>
    <t>Cengiz Burger&amp;Taps (Cemalpaşa Mah.)</t>
  </si>
  <si>
    <t>ural cenap çiftçi</t>
  </si>
  <si>
    <t>cemalpaşa mah 63007 sok. özeller apt no:22/d seyhan adana</t>
  </si>
  <si>
    <t>hepsi tamamlanmadım tamamlayınca gönderirim dedi gönderince arayıp kndimailinide verecek</t>
  </si>
  <si>
    <t>60245011e42a4a6f0dc37c41</t>
  </si>
  <si>
    <t>Center Stage, Seyhan (Cemalpaşa Mah.)</t>
  </si>
  <si>
    <t>Emircan gürdoğan</t>
  </si>
  <si>
    <t>Toros caddesi barış apartmanı altı no 92/1 01120 seyhan adana</t>
  </si>
  <si>
    <t xml:space="preserve">kendi fotoğ. kullancak- 1 saat sonra aranacak - ulaşılamadı </t>
  </si>
  <si>
    <t>Mehmet Gerez</t>
  </si>
  <si>
    <t>Levent</t>
  </si>
  <si>
    <t>levent mah levent cd no 41 yüreğir adana</t>
  </si>
  <si>
    <t>seyfi kurt</t>
  </si>
  <si>
    <t>6079f670c9d16181a2142365</t>
  </si>
  <si>
    <t>Ceyhan Balkaymak Dondurma (Mithatpaşa Mah.)</t>
  </si>
  <si>
    <t>selçuk taşcı</t>
  </si>
  <si>
    <t>mithat paşa mah inönü blv no 50 iç kapı no 01 ceyhan adana</t>
  </si>
  <si>
    <t>yarın saat beste aranacak</t>
  </si>
  <si>
    <t>61150b1c0e75661ede5f3005</t>
  </si>
  <si>
    <t>Ceywing's Chicken, Ceyhan (Cumhuriyet Mah.)</t>
  </si>
  <si>
    <t>songül dinçer</t>
  </si>
  <si>
    <t>Cumhuriyet Mahallesi M.Sepetçioğlu Bulvarı No:62 Ceyhan/ADANA</t>
  </si>
  <si>
    <t>61f13e62aec4bb7e239792ba</t>
  </si>
  <si>
    <t>Chef Döner, Sarıçam (Yavuz Sultan Selim Mah.)</t>
  </si>
  <si>
    <t>MERYEM ÖZASLAN</t>
  </si>
  <si>
    <t>Yavuz Sultan Selim</t>
  </si>
  <si>
    <t>YAVUZ SULTAN SELİM MAH KOZAN BULVARI NO 275 D SARIÇAM ADANA</t>
  </si>
  <si>
    <t>dilan adar</t>
  </si>
  <si>
    <t>mehmet mustafa mirdesli</t>
  </si>
  <si>
    <t>Çınarlı</t>
  </si>
  <si>
    <t xml:space="preserve">devam çekimi alındı eda hanımdan </t>
  </si>
  <si>
    <t>618aa8352dcfbf75db2203e3</t>
  </si>
  <si>
    <t>sibel andırır</t>
  </si>
  <si>
    <t>MAHFESIĞMAZ MAH. 79015 SK. NO: 3 A ÇUKUROVA/ ADANA</t>
  </si>
  <si>
    <t xml:space="preserve">kendi fotoğraflarım var mail adresi verildi bir hafta sonra teyit amaçlı aranacak </t>
  </si>
  <si>
    <t>60ad6df75dea45a0c772d6e3</t>
  </si>
  <si>
    <t>Chicken Crunchy (Mahfesığmaz Mah.)</t>
  </si>
  <si>
    <t>diğer panelı ıcın cekılmıs bu panelı zaten tek urun cıkartıyormus</t>
  </si>
  <si>
    <t>çağatay yalçın</t>
  </si>
  <si>
    <t>606d9eea2e2345217d64cfdc</t>
  </si>
  <si>
    <t>Chocolabs Chocolate &amp; Coffee (Güzelyalı Mah. - Uğur Mumcu Blv.)</t>
  </si>
  <si>
    <t>levent bey</t>
  </si>
  <si>
    <t>GÜZELYALI MAHALallesi Uğur Mumcu Blv. NO:2/B, 01170 Çukurova/Adana</t>
  </si>
  <si>
    <t>SİTEM ETTİ MEMNUN DEĞİLMİŞ.</t>
  </si>
  <si>
    <t>609005f3cad48674408d53b6</t>
  </si>
  <si>
    <t>Chopstick (Mahfesığmaz Mah. - Turgut Özal Blv.)</t>
  </si>
  <si>
    <t>İçecek</t>
  </si>
  <si>
    <t>leyla aydın</t>
  </si>
  <si>
    <t>mahfesığmaz mah 79142 sk no 2 e çukurova adana</t>
  </si>
  <si>
    <t xml:space="preserve">ben irtibata geçerim dedi ezgi hanımın numarası verildi- İSTEMİYORUM DEDİ - İSTEMİYORUM dedi </t>
  </si>
  <si>
    <t>60c752cf7b738398bf2610e1</t>
  </si>
  <si>
    <t>Cızbız Cafe 01, Seyhan (Gürselpaşa Mah.)</t>
  </si>
  <si>
    <t>özkan kenanoğlu</t>
  </si>
  <si>
    <t>Gürselpaşa Mah. Yzb. Pilot Mehmet Ali Kurçer Cad. Dreamtown 2 Sitesi B Blok 32/A, 01200</t>
  </si>
  <si>
    <t xml:space="preserve">şuan düşünmüyor </t>
  </si>
  <si>
    <t>şahin kot</t>
  </si>
  <si>
    <t xml:space="preserve">devam çekimi  istemiyor  </t>
  </si>
  <si>
    <t>hüseyin kıstak</t>
  </si>
  <si>
    <t>akşam 5 ten sonra gelirmiş yetkili/devam çekimi çin arandı yetkili yok/kasiyere durum anlatıldı yetkili yok. o anlatacak bizi arıycaklar yetkili akşam geliyormuş./ytk gelmemiş/devam alınmış zaten</t>
  </si>
  <si>
    <t>6253df47d6e147890d70761d</t>
  </si>
  <si>
    <t>Cihangir Dürümmatik, Seyhan (Kurtuluş Mah. - Ziyapaşa Blv.)</t>
  </si>
  <si>
    <t>Gökhan Korkmaz</t>
  </si>
  <si>
    <t>KURTULUŞ MAH. ZİYAPAŞA BLV. NO: 6 A SEYHAN/ ADANA</t>
  </si>
  <si>
    <t>61dc28a42bd6b4f8bc28854d</t>
  </si>
  <si>
    <t>Cihangir Kebap &amp; Büryan, Seyhan (Pınar Mah.)</t>
  </si>
  <si>
    <t>GÖKHAN KORKMAZ</t>
  </si>
  <si>
    <t>PINAR MAH. ALİ BOZDOGANOĞLU BLV. NO: 30 B SEYHAN/ ADANA</t>
  </si>
  <si>
    <t xml:space="preserve">gökhan bey ilgilenmez böyle şeylerle muhasebeyle görüşün der görüşemedim </t>
  </si>
  <si>
    <t>Başak Hanım Gökhan Beyle görüşmemizi istedi/05327007525 Gkhan bey Açmıyor  -İSTEMİYORUZ DEDİ SEBEBİNİ SORDUĞUMDA/zamanı yokmuş olursa bölge sorumlusu ile iletişime geçecekmş</t>
  </si>
  <si>
    <t>6257e414d39abc4541cb22df</t>
  </si>
  <si>
    <t>Cihat Döner, Sarıçam (Gültepe Mah.)</t>
  </si>
  <si>
    <t>İbrahim özer</t>
  </si>
  <si>
    <t>GÜLTEPE MAH. KANUNİ SULTAN SÜLEYMAN BLV. NO: 61 B SARIÇAM/ ADANA</t>
  </si>
  <si>
    <t>6244a91e6919dbaf410576e5</t>
  </si>
  <si>
    <t>Cimbilli Ocakbaşı Seyhan (Yeşilyuva Mah.)</t>
  </si>
  <si>
    <t>yusuf karakoç</t>
  </si>
  <si>
    <t>yeşilyuva mah.36006 sok. no 2 iç kapı no 1 seyhan adana</t>
  </si>
  <si>
    <t>5fece9efcf337695c7b4a7da</t>
  </si>
  <si>
    <t>Cool Koala Cafe, Seyhan (Cemalpaşa Mah.)</t>
  </si>
  <si>
    <t>önder özel</t>
  </si>
  <si>
    <t>cemalpaşa mah bahar cad adanus perla alp altı seyhan adana</t>
  </si>
  <si>
    <t xml:space="preserve"> kendım donus yaparım dedı çekim istemiyor / fotoğraflar için arandı yetkili yok yetkili no açmadı.</t>
  </si>
  <si>
    <t>606313838843fe369a7c78b7</t>
  </si>
  <si>
    <t>Cozy Burger (Reşatbey Mah.)</t>
  </si>
  <si>
    <t>remzi kılıç</t>
  </si>
  <si>
    <t>reşatbey mah 62031 sk no 3A seyhan adana</t>
  </si>
  <si>
    <t>kendisi çekim yapıp gönderecek/ezgi hanımı arıyacaklar - bir saate aranacak- 6 da aranacak - 1 saate aranacak yetkili yok dedi / Fotoğraflar için arandı mail adresi verildi.</t>
  </si>
  <si>
    <t>5fe5df6dcf3376d115b348ca</t>
  </si>
  <si>
    <t>Creppy, Çukurova (Güzelyalı Mah. - Turgut Özal Blv.)</t>
  </si>
  <si>
    <t>uğur akın kavak</t>
  </si>
  <si>
    <t>mahfesığmaz mah 79154 sok no:2a çukurova adana</t>
  </si>
  <si>
    <t>prof fotograflarım var dendi//teyit için arandı merkezi arayın dedi</t>
  </si>
  <si>
    <t>sami tekcan</t>
  </si>
  <si>
    <t>sistemdeki numara aranmıyacak isletme numarası 3222354494</t>
  </si>
  <si>
    <t>6037a001c4115aec2dee49ff</t>
  </si>
  <si>
    <t>Çağ Tatlı (Yeşilyurt Mah. - İbo Osman Cad.)</t>
  </si>
  <si>
    <t>yasin bey</t>
  </si>
  <si>
    <t>yeşilyurt mh ibo osman cd münire fidancı apt d blok no 177 d seyhan adana</t>
  </si>
  <si>
    <t xml:space="preserve">mail atacak- ulasılamadı - mail adresi tekrardan verildi bu hafta içi yüklerim dedi - resimleri toparlayayım atarım bu aralar çok yoğun oluyorum dedi </t>
  </si>
  <si>
    <t>60d39c7b3b18f919c326952a</t>
  </si>
  <si>
    <t>Çağlı Kebap, Çukurova (Huzurevleri Mah.)</t>
  </si>
  <si>
    <t>mahmut çağlı</t>
  </si>
  <si>
    <t>Huzurevleri, 77150. Sk. 7/A, 01360 Çukurova/Adana</t>
  </si>
  <si>
    <t>mail adresi verildi fotoğrafları gönderecek mehmet bey</t>
  </si>
  <si>
    <t>6214fda933f4f107258bb107</t>
  </si>
  <si>
    <t>Çağrı Büfe, Çukurova (Güzelyalı Mah.)</t>
  </si>
  <si>
    <t>ÇAĞRI BEY</t>
  </si>
  <si>
    <t>GÜZELYALI MH. 52 SK. ŞENGEL AP.ALTI NO: 1 SEYHAN/ ADANA</t>
  </si>
  <si>
    <t>öğlen saati olduğu için sonra ara der</t>
  </si>
  <si>
    <t>5ff6022cccad8fb64e3a9d57</t>
  </si>
  <si>
    <t>Çakıl Taşı Midye &amp; Kokoreç, (Güzelyalı Mah)</t>
  </si>
  <si>
    <t>seda meler</t>
  </si>
  <si>
    <t>güzelyalı mah süleyman demirel blv başer sitesi no:21/a 01000 çukurova adana</t>
  </si>
  <si>
    <t xml:space="preserve">dönüş yapıcam dedi-ŞUAN DÜŞÜNMÜYOR DÜŞÜNÜRSEK DÖNÜŞ YAPICAM DEDİ/son kez geliyoruz civar restoranlar çekildi sizin menünüzüde çekilim dedik. eşimle görüşüp 1 2 saate sizi tekrara ararım dediler// mail adresimize atıcak mail adresi tekrar iletildi -ulasılamadı- elimizde fotograflar var dedi arkadasımda şuan  dedi fotografların boyutları büyük olduğundan dolayı yükleme sağlayamadım dedi  küçültsün ben mail adresine atarım dedi - çekim istemiyor </t>
  </si>
  <si>
    <t>61d450c324d8b47814e3aaaa</t>
  </si>
  <si>
    <t>Çakın Et Ve Balık Restoran, Kozan (Tufanpaşa Mah.)</t>
  </si>
  <si>
    <t>BEŞİR ÇAKIN</t>
  </si>
  <si>
    <t>TUFANPAŞA MAH ANDIL CD NO 70 KOZAN ADANA</t>
  </si>
  <si>
    <t>61d2ea2ce9b4792c4eb38dac</t>
  </si>
  <si>
    <t>Çarşı Fırat Közde Döner, Seyhan (Fevzipaşa Mah.)</t>
  </si>
  <si>
    <t>YUSUF GÖKTAŞ</t>
  </si>
  <si>
    <t>FEVZİPAŞA MAH VEFA CD NO 289 SEYHAN ADANA</t>
  </si>
  <si>
    <t>6-7 gibi aranacak yoğunmuş</t>
  </si>
  <si>
    <t>hüseyin yalçın</t>
  </si>
  <si>
    <t>05074429224 hüseyin bey</t>
  </si>
  <si>
    <t>serdar atılan</t>
  </si>
  <si>
    <t xml:space="preserve">ulasılamadı - öbür işletmesinde çekim saglanmıs ama yükleme saglanmamış yetkili yok dedi öğlen sonra saat 2 gibi aranacak </t>
  </si>
  <si>
    <t>mustafa seymen</t>
  </si>
  <si>
    <t>Gazipaşa</t>
  </si>
  <si>
    <t>gerek yok dedi defalarca aranmış.</t>
  </si>
  <si>
    <t>Ayşe Gültekin</t>
  </si>
  <si>
    <t>Selahattin Eyyubi</t>
  </si>
  <si>
    <t>aslı görkem</t>
  </si>
  <si>
    <t xml:space="preserve">bayramdan sonra aranmak istedi haziran 10 dan sonra ara/SITEDE RESMIMIZIN OLMASINI ISTEMIYORUZ - RANDEVU OLUSTURULDU / ortağı ile görüşüp dönüş sağlayacak </t>
  </si>
  <si>
    <t>60637e9ae81f5b091986bc8f</t>
  </si>
  <si>
    <t>ÇD Döner, Çukurova (Yüzüncü Yıl Mah.)</t>
  </si>
  <si>
    <t>bilgehan akcan</t>
  </si>
  <si>
    <t>yüzüncü yıl mah 85112 sok a blok no 42 a çukurova adana</t>
  </si>
  <si>
    <t xml:space="preserve">fotografları paylaşmadıgımız için çekim istemiyor- Bilgehan bey no : 05352655069 ulasılamadı </t>
  </si>
  <si>
    <t>AYŞE GÜLTEKİN</t>
  </si>
  <si>
    <t>Nadir Özdemir</t>
  </si>
  <si>
    <t>602c16e1537f205b3cf3c9e0</t>
  </si>
  <si>
    <t>Çekbi Döner (Şahintepe Mah.)</t>
  </si>
  <si>
    <t>gökhan bey</t>
  </si>
  <si>
    <t>şahintepe mh kozan blv b no 10 b iç kapı no 42 sarıçam adana</t>
  </si>
  <si>
    <t>kendı çekımlerını gondercekler</t>
  </si>
  <si>
    <t>bekir cihan</t>
  </si>
  <si>
    <t>servet kaya</t>
  </si>
  <si>
    <t>Atakent</t>
  </si>
  <si>
    <t>PANALDE FOTOGRAFLAR MEVCUT DEVAM CEKIMI OLUSTURULABILIR</t>
  </si>
  <si>
    <t>Lahmacun</t>
  </si>
  <si>
    <t>ahmet orakci</t>
  </si>
  <si>
    <t>hafta sonu gönderimini sağlayacak- randevu olusturuldu/ randevu alındı ahmet beyden.</t>
  </si>
  <si>
    <t>5fe62a0087a63b2f16316e07</t>
  </si>
  <si>
    <t>Çıtır Döner, Çukurova (Mahfesığmaz Mah.)</t>
  </si>
  <si>
    <t>ismail koştur</t>
  </si>
  <si>
    <t>mahfesığmaz mah damar arıkoğlu bulv ekin apt 21/b çukurova adana</t>
  </si>
  <si>
    <t xml:space="preserve">MAİL ATACAKMIŞmeşguk fotografcım var dedi - ismail bey no : 05412637383 ulaşılamadı </t>
  </si>
  <si>
    <t>umut can tekin</t>
  </si>
  <si>
    <t>Açmadı.</t>
  </si>
  <si>
    <t>60241280808472635e73d3ee</t>
  </si>
  <si>
    <t>Çiğ Köfte Deryası, (Mahfesığmaz Mah. - Kenan Evren Blv.)</t>
  </si>
  <si>
    <t>tarık doğan</t>
  </si>
  <si>
    <t>Mahfesığmaz, Yusuf Gizir, Kenan Evren, 79077. Sk. D:Apt No:7, 01250 Çukurova/Adana</t>
  </si>
  <si>
    <t>huzurevler subesınde cekılmıs</t>
  </si>
  <si>
    <t>6241bec7f36a6033803b30cf</t>
  </si>
  <si>
    <t>Çiğ Köfte Deryası, Çukurova (Güzelyalı Mah.Süleyman Demirel Blv)</t>
  </si>
  <si>
    <t>KADRİYE SILA ÜLKER</t>
  </si>
  <si>
    <t>Güzelyalı Mah. 811185 Sok. No:24C Çukurova/Adana</t>
  </si>
  <si>
    <t>603bfed7d6d0ad5caf91433d</t>
  </si>
  <si>
    <t>Çiğ Köfte Dünyası (Pınar Mah.)</t>
  </si>
  <si>
    <t>gökhan şık</t>
  </si>
  <si>
    <t>pınar mah nazım hikmet cd no 59 a seyhan adana</t>
  </si>
  <si>
    <t xml:space="preserve">2 ay sonra çekim yaptırırım dedi 2 aya çekim yapılabilir mi bilmiyorum dedim o zaman istemiyorum dedi/1-2 ay müsait olamam diyor- sehir dısındayım dedi 2-3 haftaya aranacak  - ULASILAMADI </t>
  </si>
  <si>
    <t>60630880f4083eb0e687b74f</t>
  </si>
  <si>
    <t>Çiğ Köfte Dünyası (Yenibaraj Mah.)</t>
  </si>
  <si>
    <t>zeki kaya</t>
  </si>
  <si>
    <t>yenibaraj mh şehit yüzbaşı bülent angın blv no 18 F seyhan adana</t>
  </si>
  <si>
    <t>merkeze bağlı ordan alınacak</t>
  </si>
  <si>
    <t>mizbah zengin</t>
  </si>
  <si>
    <t xml:space="preserve">franchise ama bireysel işletiyor. akşam bir arkadaşı daha gelecekmiş beni tekrar arayacaklar.- Daha önce de randevu alınmış ama gitmemişler- 6014512d998c13d1848730 bu subesindeki  ürünlerin fotoğrafları kullanılacak </t>
  </si>
  <si>
    <t>mehmet deniz</t>
  </si>
  <si>
    <t>SADECE ÇİĞKÖFTE SATIŞI VAR.</t>
  </si>
  <si>
    <t>61e7cbc17c6afc836a7c4514</t>
  </si>
  <si>
    <t>Çiğ Köfte Dünyası, Sarıçam (Gültepe Mah.)</t>
  </si>
  <si>
    <t>Aydın Alptekin</t>
  </si>
  <si>
    <t>60246d361bfca3a4a5e68f69</t>
  </si>
  <si>
    <t>Çiğ Köfte Dünyası, Seyhan (Ziyapaşa Mah.)</t>
  </si>
  <si>
    <t>ercan kaya</t>
  </si>
  <si>
    <t>ziyapaşa mah baraj cad no 16 seyhan adana</t>
  </si>
  <si>
    <t xml:space="preserve">açmadı  </t>
  </si>
  <si>
    <t>elif turhan</t>
  </si>
  <si>
    <t>10 gün sonra ulaşım sağlansın</t>
  </si>
  <si>
    <t>60550c493c09376a40eb34c8</t>
  </si>
  <si>
    <t>Çiğ Köfte Konağı (Atakent Mah.)</t>
  </si>
  <si>
    <t>Yakup Ohal</t>
  </si>
  <si>
    <t>atakent mh yaşar doğu cd A101 yanı no 105/B yüreğir adana</t>
  </si>
  <si>
    <t>10 dakika sonra aranacak/5319368254 yakup bey emre yonsul bi altta ki yani merkez şubeymiş orasıyla görüşülcek çekim yapılırsa buraya da kullanılacak</t>
  </si>
  <si>
    <t>emre yonsul</t>
  </si>
  <si>
    <t>5466600908 suan tadilat falan var 10 gün sonra aransın oluşturalım dediler /yüreğir şubesine randevu alındı buraya da kullanılacak</t>
  </si>
  <si>
    <t>esat tahiroğlu</t>
  </si>
  <si>
    <t>5466600908 emre bey tatildeymiş 4-5 gün sonra görüşelim dedi</t>
  </si>
  <si>
    <t>608aaeefafd96de5f9f7d1e6</t>
  </si>
  <si>
    <t>Çiğ Köfte Konağı (Yavuzlar Mah. - Kışla Cad.)</t>
  </si>
  <si>
    <t>cumali abucak</t>
  </si>
  <si>
    <t>Yavuzlar</t>
  </si>
  <si>
    <t>yavuzlar mah kışla cad no 208 b yüreğir adana</t>
  </si>
  <si>
    <t>MENÜ GÜNCELLEMESİ YAPACAKMIŞ.- 2 hafta falan sürer dedi menü güncellemesi - tadilatım var dedi</t>
  </si>
  <si>
    <t>Zekiye Çırakoğlu</t>
  </si>
  <si>
    <t>Akıncılar</t>
  </si>
  <si>
    <t>erdal çelik</t>
  </si>
  <si>
    <t>dadaloğlu mah kozan cd no 347 iç kapı no a yüreğir adana</t>
  </si>
  <si>
    <t>no 343/B</t>
  </si>
  <si>
    <t>614d94f8ab17adc200f820ff</t>
  </si>
  <si>
    <t>Çiğ Köfte Türkiye, Sarıçam (Yavuz Sultan Selim Mah.)</t>
  </si>
  <si>
    <t>emin gökalp</t>
  </si>
  <si>
    <t>yavuz sultan selim mah kozan blv no 221 a sarıçam adana</t>
  </si>
  <si>
    <t>15 dk sonra aranacak ama açmadı/yarın ısletmede olmayacakmıs daha sonra gorusulcek/hazırlığım yok yapamayız hiç müsait olmuyorum</t>
  </si>
  <si>
    <t>61d4600ea9a9b1813dd48c21</t>
  </si>
  <si>
    <t>Çiğ Köfte Türkiye, Yüreğir (Ptt Evleri Mah.)</t>
  </si>
  <si>
    <t>ENES DOĞAN</t>
  </si>
  <si>
    <t>ptt evleri mah mimoza cd no 2 B yüreğir adana</t>
  </si>
  <si>
    <t>İş yeri sahibi ile kira konusunda anlaşamıyoruz tamamen kapatma olasılığımız var ne olacağı belli olmadığı için istemiyorum der</t>
  </si>
  <si>
    <t>fatih mutlu</t>
  </si>
  <si>
    <t>6221c9de3d343f620fd3f770</t>
  </si>
  <si>
    <t>Çiğ Köfteci Ömer Usta, Sarıçam (Şahintepe Mah.)</t>
  </si>
  <si>
    <t>Fadime Yörük</t>
  </si>
  <si>
    <t>şahintepe mah. 3170 sok. no 40 iç kapı no 1 sarıçam adana</t>
  </si>
  <si>
    <t>yunus danış</t>
  </si>
  <si>
    <t xml:space="preserve">SAAT 15:01 DE ARANCAK- RANDEVU OLUSTURULDU </t>
  </si>
  <si>
    <t>622b19274652b9a748add630</t>
  </si>
  <si>
    <t>Çiğköfteci Recep Usta, Yüreğir (Ulubatlı Hasan Mah.)</t>
  </si>
  <si>
    <t>İmdat Kocatürk</t>
  </si>
  <si>
    <t>ulubatlı hasan mah. kozan cad. no 582 iç kapı no b yüreğir adana</t>
  </si>
  <si>
    <t>602fbb2ff2a4ca7151c3afa7</t>
  </si>
  <si>
    <t>Çiğköftem (Toros Mah. - Kenan Evren Blv.)</t>
  </si>
  <si>
    <t>abdullah alyagut</t>
  </si>
  <si>
    <t>toros mh şehitler blv erol şayan apt no 21 d çukurova adana</t>
  </si>
  <si>
    <t xml:space="preserve">mail atacak//bilgisayardaydı bilgisayara suan erişimim yok olunca hemen gönderirim olmaz derseniz sizler çekime gelirsiniz der/aradık motor üstündeymiş daha sonra dedi- ben sizlere dönüs saglıyacam dedi simdi </t>
  </si>
  <si>
    <t>Erkan Demirel</t>
  </si>
  <si>
    <t>nurettin karadal</t>
  </si>
  <si>
    <t>celal tanrıöver</t>
  </si>
  <si>
    <t>mail gönderecekmiş//teyit için arandı gönderilcek- randevu alındı</t>
  </si>
  <si>
    <t>62346d32af291d41349e80f3</t>
  </si>
  <si>
    <t>Çukurova Börek Tatlı, Çukurova (Huzurevleri Mah.)</t>
  </si>
  <si>
    <t>Hayati Yerlikaya</t>
  </si>
  <si>
    <t>Güzelyalı mahallesi Süleyman Demirel BLV Burak apartmanı altı no 27 A çukurova adana</t>
  </si>
  <si>
    <t>6253e8f0b1c55fb67addf194</t>
  </si>
  <si>
    <t>D- Life, Seyhan (Cemalpaşa Mah.)</t>
  </si>
  <si>
    <t>Fit</t>
  </si>
  <si>
    <t>ÇAĞLA YILMAZ</t>
  </si>
  <si>
    <t>cemalpaşa mah. 63004 sok. karsal apt no 18 a seyhan adana</t>
  </si>
  <si>
    <t>metin kurtoğlu</t>
  </si>
  <si>
    <t xml:space="preserve">geri dönüş yapıcak-MAİL VERİLDİ./tekrar arandı ses kalitesi çok kötü. metin bey yoktu.-suan ulasılamıyor- yetkili yok bir - bir buçuk saate gelir dedi  gelir dedi </t>
  </si>
  <si>
    <t>DENEME</t>
  </si>
  <si>
    <t>6070c1c629574a72d853af9d</t>
  </si>
  <si>
    <t>Dante (Kurtuluş Mah. - Ziyapaşa Blv.)</t>
  </si>
  <si>
    <t>sedat ocağ</t>
  </si>
  <si>
    <t>kurtuluş mah ziyapaşa blv no 14 b seyhan adana</t>
  </si>
  <si>
    <t xml:space="preserve">3222397878sema hanım 05393179760 elimizde fotoğraflarımız var zaten ben mail atınca haber veririm dedi- sosyal medyacımız var dedi ondan alayım atarım dedi menüm güncellendi güncel olanlarla beraber atarım dedi ben donus saglarım dedi </t>
  </si>
  <si>
    <t>60c0affe6da71b74c9cb5dc7</t>
  </si>
  <si>
    <t>Defne Kebap, Ceyhan (Ulus Mah.)</t>
  </si>
  <si>
    <t>halil sönmez</t>
  </si>
  <si>
    <t>Ulus</t>
  </si>
  <si>
    <t>Ulus, İnönü Blv., 01940 Ceyhan/Adana</t>
  </si>
  <si>
    <t>ibrahim demirel</t>
  </si>
  <si>
    <t>603a8e61021990211d5b7914</t>
  </si>
  <si>
    <t>Dene@Gör Dönersin (Güzelyalı Mah. - Turgut Özal Blv.)</t>
  </si>
  <si>
    <t>özlem hanım</t>
  </si>
  <si>
    <t>güzelyalı mh şehitler blv özdilek apt no 107 c çukurova adana</t>
  </si>
  <si>
    <t>fotograflarım var dedi ankatte hata var dedi/ - reklamcımla konusayım sızlere yarın donus yapayım dedi- ulaşılamadı / Fotoğraflar için arandı meşgule attı.</t>
  </si>
  <si>
    <t>6245820755b5dbd1df315adc</t>
  </si>
  <si>
    <t>Deniz Cafe, Çukurova (Toros Mah. - Turgut Özal Blv.)</t>
  </si>
  <si>
    <t>HÜSEYİN ESEN</t>
  </si>
  <si>
    <t>toros mah. turgut özal bulvarı no 193 a çukurova adana</t>
  </si>
  <si>
    <t>celal deniz</t>
  </si>
  <si>
    <t>6045f429ee8c4a7f82a0b8f1</t>
  </si>
  <si>
    <t>Deniz Kebap &amp; Lahmacun (Ptt Evleri Mah.)</t>
  </si>
  <si>
    <t>hüseyin gürevin</t>
  </si>
  <si>
    <t>Karacaoğlan, Mimoza Cd. No:27, 01240 Yüreğir/Adana</t>
  </si>
  <si>
    <t xml:space="preserve">5443520123 hüseyin beye mail adresimiz gönderildi- yok gerek yok dedi kapattı </t>
  </si>
  <si>
    <t>ismail bey</t>
  </si>
  <si>
    <t>ABDULHENAN</t>
  </si>
  <si>
    <t xml:space="preserve">devam çekimi istemiyor </t>
  </si>
  <si>
    <t>622b46cd1e182bd479ec9ea6</t>
  </si>
  <si>
    <t>Devran Döner, Ceyhan (Belediye Evleri Mah.)</t>
  </si>
  <si>
    <t>Ramazan Esmeray</t>
  </si>
  <si>
    <t>yarsuat mah. orhan kemal bul. no 42 iç kapı no b ceyhan adana</t>
  </si>
  <si>
    <t>62421d17bc50d19a3233e5ae</t>
  </si>
  <si>
    <t>Devran Pizza, Seyhan (Dağlıoğlu Mah.)</t>
  </si>
  <si>
    <t>Serkan Emen</t>
  </si>
  <si>
    <t>Dağlıoğlu</t>
  </si>
  <si>
    <t>Dağlıoğlu mah. Obalar Cad. No 387 A Seyhan Adana</t>
  </si>
  <si>
    <t>6014b889998c1360f1873cc1</t>
  </si>
  <si>
    <t>Deyişik Dürüm, Seyhan (Reşatbey Mah.)</t>
  </si>
  <si>
    <t>ahmet korkmaz</t>
  </si>
  <si>
    <t>Reşatbey, 62010. Sk. 37 C, 01120 Seyhan/Adana</t>
  </si>
  <si>
    <t>üyeligi iptal edecekmiş.</t>
  </si>
  <si>
    <t>62454d23c596943541587d1d</t>
  </si>
  <si>
    <t>Dillere Destan Ev Yemekleri, Çukurova (Toros Mah.)</t>
  </si>
  <si>
    <t>Hüsniye Arslan</t>
  </si>
  <si>
    <t>toros mah. ali sepici bul. no 42 b çukurova adana</t>
  </si>
  <si>
    <t>602fa0cf6f409c5478d0d139</t>
  </si>
  <si>
    <t>Diva Pastaneleri (Gürselpaşa Mah.)</t>
  </si>
  <si>
    <t>seher hanım</t>
  </si>
  <si>
    <t>GÜRSELPAŞA MAH. ALİYA İZZET BEGOVİÇ BLV. NO: 19 A SEYHAN/ ADANA</t>
  </si>
  <si>
    <t>5325965456 seher hanım hastanedeymiş 1 saat sonra dedi</t>
  </si>
  <si>
    <t>602f9c62aa09e00e872abbaf</t>
  </si>
  <si>
    <t>Diva Pastaneleri (Pınar Mah.)</t>
  </si>
  <si>
    <t>pınar mh mücahitler cd no 307 a seyhan adana</t>
  </si>
  <si>
    <t>6242090523bd1479792b26ed</t>
  </si>
  <si>
    <t>Diva Pastaneleri, Çukurova (Huzurevleri Mah. - Türkmenbaşı Blv.)</t>
  </si>
  <si>
    <t>SEHER ÇALIŞIR</t>
  </si>
  <si>
    <t>Huzurevleri Mahallesi Türkmenbaşı Bulvarı No :70/A Çukurova/Adana</t>
  </si>
  <si>
    <t>yusuf onur ergezer</t>
  </si>
  <si>
    <t>Huzurevleri Mah. 77060 Sk. No:9/A Çukurova / ADANA</t>
  </si>
  <si>
    <t xml:space="preserve">ÇEKİİM YAPILMIŞ. </t>
  </si>
  <si>
    <t>cemalpaşa mah toros cad no 15/4 seyhan adana</t>
  </si>
  <si>
    <t>PANELDE FOTOGRAFLAR MEVCUT</t>
  </si>
  <si>
    <t>60b774086dda9ef02cd2c25c</t>
  </si>
  <si>
    <t>Diyet Kapımda, Seyhan (Gürselpaşa Mah.)</t>
  </si>
  <si>
    <t>gürselpaşa mah aliya izzet begoviç bulvarı no 25/B üçgül cadde go ofis seyhan adana</t>
  </si>
  <si>
    <t>tuğçe hanıma göndereceklermiş.kapalı</t>
  </si>
  <si>
    <t>müzeyyen hanım</t>
  </si>
  <si>
    <t xml:space="preserve">dönecek </t>
  </si>
  <si>
    <t>dorukhan bostancı</t>
  </si>
  <si>
    <t>ÇEKIM GERCEKLESMIS</t>
  </si>
  <si>
    <t>mustafa ağırman</t>
  </si>
  <si>
    <t>5332983591/ fotoğrafcı kendisi çekim yapmış</t>
  </si>
  <si>
    <t>ELİF HATİCE MUMCU</t>
  </si>
  <si>
    <t>606180192eb4394778b59516</t>
  </si>
  <si>
    <t>Dolunay Cafe (Çınarlı Mah.)</t>
  </si>
  <si>
    <t>ramazan aslan</t>
  </si>
  <si>
    <t>çınarlı mh 61009 sk no 7/a seyhan adana</t>
  </si>
  <si>
    <t>mail adresi verildi. mail adresi verildi tekrardan-ulasılamadı-ben mail adresinize atarım dedı kapattı- öbür işletmede fotograflar var dedi ordan gönderim saglarım mail adresi tekrardan verildi  - 60144a7015c659f7cfa3182d burdaki işletmesindeki fotoğrafları kullanmak istiyor</t>
  </si>
  <si>
    <t>61b9c0f0388e9f4eed05361a</t>
  </si>
  <si>
    <t>Dost Çiğ Köfte Dünyası, Seyhan (İsmetpaşa Mah.)</t>
  </si>
  <si>
    <t>Ayhan Güler</t>
  </si>
  <si>
    <t>Yeşilevler</t>
  </si>
  <si>
    <t>ismetpaşa mah mehmet akif ersoy cd no 128 b seyhan adana</t>
  </si>
  <si>
    <t>açmadı</t>
  </si>
  <si>
    <t>AYTAÇ İSKAN</t>
  </si>
  <si>
    <t>ali yıldırım</t>
  </si>
  <si>
    <t>Devir</t>
  </si>
  <si>
    <t xml:space="preserve">NİŞANLISIYLA KONUŞUP DÖNÜŞ YAPACKa-istemiyorum dedi </t>
  </si>
  <si>
    <t>61b107e6c2a99942130da531</t>
  </si>
  <si>
    <t>Doy Doy Döner &amp; Cafe, Sarıçam (Gültepe Mah.)</t>
  </si>
  <si>
    <t>Hacı Sarıdoğan</t>
  </si>
  <si>
    <t>gültepe mah reyyan cd 841 sk no 9 sarıçam adana</t>
  </si>
  <si>
    <t>623b6d40551309ed3fbc3d81</t>
  </si>
  <si>
    <t>Doy Mix Döner, Ceyhan (Burhaniye Mah.)</t>
  </si>
  <si>
    <t>SERCAN HAMARAT</t>
  </si>
  <si>
    <t>BURHANİYE MAH. İNÖNÜ BLV. HUZUR APARTMANI NO: 13 İÇ KAPI NO: 1 CEYHAN/ ADANA</t>
  </si>
  <si>
    <t>62333251d5e74bc2d9413961</t>
  </si>
  <si>
    <t>Doyum Cafe, Çukurova (Belediye Evleri Mah.)</t>
  </si>
  <si>
    <t>Ayşegül Demir</t>
  </si>
  <si>
    <t>belediye evleri mah. 84282 sok. sazlıdere sitesi a blok no 2 -1 iç kapı no 02 çukurova adana</t>
  </si>
  <si>
    <t>hüseyin dike</t>
  </si>
  <si>
    <t>celal sayman</t>
  </si>
  <si>
    <t>dilber kızılboğa</t>
  </si>
  <si>
    <t>61d7f0eae8597f25a4a97aa4</t>
  </si>
  <si>
    <t>Döner-C, Yüreğir (Yavuzlar Mah.)</t>
  </si>
  <si>
    <t>ALİ CAN ÖZKAN</t>
  </si>
  <si>
    <t>YAVUZLAR MAH ORHAN KEMAL BLV NO 155 A YÜREĞİR ADANA</t>
  </si>
  <si>
    <t>Ali can bey 5456117166</t>
  </si>
  <si>
    <t>mustafa küçük</t>
  </si>
  <si>
    <t>60cc9706f364a069e1a15826</t>
  </si>
  <si>
    <t>Dönerhan, Seyhan (Telliedere Mah.)</t>
  </si>
  <si>
    <t>AZİZHAN KARAKUŞ</t>
  </si>
  <si>
    <t>TELLİDERE MAH. MÜCAHİTLER CAD. NO: 192 B SEYHAN/ ADANA</t>
  </si>
  <si>
    <t>5348792411- 4-5 gibi aranacak - numara mesgul /Fotoğraflar için arandı  ben fotoğraf istemiyorum gerek yok dedi.</t>
  </si>
  <si>
    <t>624d2e093f13ad3009b15679</t>
  </si>
  <si>
    <t>Dönerland, Çukurova (Huzurevleri Mah.)</t>
  </si>
  <si>
    <t>emrah şancı</t>
  </si>
  <si>
    <t>huzurevleri mah. 77079 sok. yenigün sitesi b blok no 1/2 iç kapı no 01 çukurova adana</t>
  </si>
  <si>
    <t>cevdet çelik</t>
  </si>
  <si>
    <t>Tepebağ</t>
  </si>
  <si>
    <t>5326001206 tolga bey/tolga bey ilgileniyor dediler ulaşılamadı</t>
  </si>
  <si>
    <t>623adb56ecc8f77b8cd59df0</t>
  </si>
  <si>
    <t>Dörtyol Tantuni, Seyhan (Kurtuluş Mah. - Atatürk Cad.)</t>
  </si>
  <si>
    <t>MERT UYANIK</t>
  </si>
  <si>
    <t>Kayalıbağ mah Atatürk cad özel sancak apt No:4 iç kapı no: 201 Seyhan/ADANA</t>
  </si>
  <si>
    <t>Yunus Emre Akdeniz</t>
  </si>
  <si>
    <t>mail atıcak</t>
  </si>
  <si>
    <t>600482dab73db5795f990b8f</t>
  </si>
  <si>
    <t>Dream House Cafe, Çukurova (Beyazevler Mah.)</t>
  </si>
  <si>
    <t>erkan katlav</t>
  </si>
  <si>
    <t>beyazevler mah 80062 sk onur apt b blok altı çukurova adana</t>
  </si>
  <si>
    <t>5395745454-suan musaıt degılım dedı yarın bu saate aranırsa sevınırım dedı</t>
  </si>
  <si>
    <t>büşra nur özgan</t>
  </si>
  <si>
    <t>Bu şubede de fotoğraf yok // 6082bb575d77c0461ade6800        Pizza Max (Sümer Mah.)</t>
  </si>
  <si>
    <t>mehtap yücel</t>
  </si>
  <si>
    <t>İbrahim Bey ; 5526881340 /devam çekimini eylül ayında istiyor aynı şeyleri tekrarlıyo</t>
  </si>
  <si>
    <t>60cf7df0d9f5754b4c382a14</t>
  </si>
  <si>
    <t>Dünya Döner, Çukurova (Toros Mah.)</t>
  </si>
  <si>
    <t>toros mah ahmet sapmaz bulv no 20 b çukurova adana</t>
  </si>
  <si>
    <t>Fotoğrafları yok, başka şubede ızgara vs çekilmiş döner yok // 5357065729/çalıyor ama sürekli meşgule düşüyor.</t>
  </si>
  <si>
    <t>servet polat</t>
  </si>
  <si>
    <t>servet bey şuan istemiyorum gerek yok dedi</t>
  </si>
  <si>
    <t>mehmet yaycıoğlu</t>
  </si>
  <si>
    <t>cengiz solmaz</t>
  </si>
  <si>
    <t>yeni mahalle m1 avm seyhan adana</t>
  </si>
  <si>
    <t xml:space="preserve">simit sarayı yanı - 05466465963 </t>
  </si>
  <si>
    <t>Aliye Mankır</t>
  </si>
  <si>
    <t>Mustafa Demirtaş</t>
  </si>
  <si>
    <t>Toros Mahallesi 78190 Sok. Baskın Safir Apt. Altı, D:2/C, 01170 Çukurova/Adana</t>
  </si>
  <si>
    <t>meşgul</t>
  </si>
  <si>
    <t>şelale alpçoğay</t>
  </si>
  <si>
    <t xml:space="preserve">randevu gerçekleşmemiş fakat randevu talepleri var aransın/kesinlikle aranmasın randevuyu iptal etti maliyeti karşılayamayacağpı için istemedi-bir saate arayın dedi mahmut beyle gorusecun dedi - istemiyorum dedi </t>
  </si>
  <si>
    <t>ömer bey</t>
  </si>
  <si>
    <t>60f2930e3a193d9ac44fad6d</t>
  </si>
  <si>
    <t>Ekrem Coşkun Döner, Çukurova (Güzelyalı Mah. - Turgut Özal Blv.)</t>
  </si>
  <si>
    <t>Hasan Denizhan</t>
  </si>
  <si>
    <t>GÜZELYALI MH. TURGUT ÖZAL BLV. NO:142/A ÇUKUROVA / ADANA</t>
  </si>
  <si>
    <t>Kamil Bey ile görüşüldü hasan bey yetkili değilmiş kamil bey genel merkezden alalım gönderelim kafamıza göre fotograf koyamayız biz biyere dedi.- 60893b511949c7198d258983</t>
  </si>
  <si>
    <t>6149a9dc8bf47f5530ec0e06</t>
  </si>
  <si>
    <t>Ekrem Coşkun Döner, Seyhan (Pınar Mah.)</t>
  </si>
  <si>
    <t>hulusi güneş</t>
  </si>
  <si>
    <t>Pınar, Huzurevleri, Türkmenbaşı Blv. No:42 D:2D, 01160 Seyhan/Adana</t>
  </si>
  <si>
    <t>kendi fotografları var  mail adresi verildi1 hafta sonra teyit amaçlı aranacak  - 60893b511949c7198d258983</t>
  </si>
  <si>
    <t>SEFA ARICI</t>
  </si>
  <si>
    <t>arda hepsağ</t>
  </si>
  <si>
    <t>5347856518 /dç istemiyor/ açmadı.</t>
  </si>
  <si>
    <t>burak elibol</t>
  </si>
  <si>
    <t>panelle alakalı fazla sorun yaşıyormuş bayramdan sonra oluşturalım rand dedi/ devam çekimi istemiyor</t>
  </si>
  <si>
    <t>618cb6cf0d6e2e36beeae3d7</t>
  </si>
  <si>
    <t>Elif Közde Döner, Yüreğir (Sarıçam Mah.)</t>
  </si>
  <si>
    <t>cumali karaçalı</t>
  </si>
  <si>
    <t>sarıçam mah kozan cd no 228 iç kapı no b yüreğir adana</t>
  </si>
  <si>
    <t>6026d50649e2e425a3f32424</t>
  </si>
  <si>
    <t>Elit Dostlar Kebap &amp; Lahmacun, (Güzelyalı Mah.)</t>
  </si>
  <si>
    <t>mehmet acar</t>
  </si>
  <si>
    <t>güzelyalı mah 81177 sok no 5 çukurova adana</t>
  </si>
  <si>
    <t xml:space="preserve"> /FOTOĞRAFI VARMIŞ MAİL ATACAK rahatsızlıgı varmıs bır haftaya aransın dedi- haftaya aranacak - sehir dısındayım dedi suan 1 hafta sonra teyit amaclı aranacak - ulasılamadı</t>
  </si>
  <si>
    <t>kahraman demir</t>
  </si>
  <si>
    <t>6120e72e2641796ddf6f8657</t>
  </si>
  <si>
    <t>Elit Fırın Pasta &amp; Cafe, Seyhan (Cemalpaşa Mah.)</t>
  </si>
  <si>
    <t>Kahraman demir</t>
  </si>
  <si>
    <t>Cemalpaşa MAH cevatyurdakul cad no 41 b seyhan adana</t>
  </si>
  <si>
    <t>yanlıs numara</t>
  </si>
  <si>
    <t>VEDAT ÖZKAN</t>
  </si>
  <si>
    <t>EMEL PANCAR</t>
  </si>
  <si>
    <t>mehmet emin özel</t>
  </si>
  <si>
    <t>ikibin evler mah bülent ecevit bulv serkan apt no 39 seyhan adana</t>
  </si>
  <si>
    <t>Nurattin Yücesoy</t>
  </si>
  <si>
    <t>mahmut bey</t>
  </si>
  <si>
    <t>5531662926  bu numara aransın/açmadı</t>
  </si>
  <si>
    <t>ahmet yavuz</t>
  </si>
  <si>
    <t>devam çekimi istemiyor./ikna edilmek üzere arandı ama ürünler fotoğrafta ki gibi müşteriye gitmediği için gerek yok diğer ürünlerin fotoğrafına der</t>
  </si>
  <si>
    <t>61d7ef450363bf471e3d213b</t>
  </si>
  <si>
    <t>Erdem Börek, Seyhan (Uçak Mah.)</t>
  </si>
  <si>
    <t>FİKRİYE KUŞCİ</t>
  </si>
  <si>
    <t>Şakirpaşa</t>
  </si>
  <si>
    <t>uçak mah şakirpaşa cd no 47 a seyhan adana</t>
  </si>
  <si>
    <t xml:space="preserve">05452506101 şefket bey ulaşılamadı </t>
  </si>
  <si>
    <t>Musa Erdoğdu</t>
  </si>
  <si>
    <t>DÇ ALINDI,</t>
  </si>
  <si>
    <t>tarık özdüzenciler</t>
  </si>
  <si>
    <t>azize burak</t>
  </si>
  <si>
    <t>60af9c49acb5f582b2a41808</t>
  </si>
  <si>
    <t>Essahlı Çiğ Köfte, Seyhan (Demetevler Mah.)</t>
  </si>
  <si>
    <t>mürsel güler</t>
  </si>
  <si>
    <t>Demetevler</t>
  </si>
  <si>
    <t>demetevler mah mehmet akif ersoy caddesi no 47 seyhan adana</t>
  </si>
  <si>
    <t xml:space="preserve">açıklama ypmadan istemiyorum dedi dinlemedi </t>
  </si>
  <si>
    <t>hülya çelik</t>
  </si>
  <si>
    <t>devam çekimi rand alındı</t>
  </si>
  <si>
    <t>617fc7f33870d0e000633d3e</t>
  </si>
  <si>
    <t>Eymen &amp; Ada Kebap , Çukurova (Belediyeevleri Mah.)</t>
  </si>
  <si>
    <t>aykut mutugu</t>
  </si>
  <si>
    <t>BELEDİYE EVLERİ MAH. 84273 SK. NO:16 ÇUKUROVA / ADANA</t>
  </si>
  <si>
    <t>aykut bey no : 05541157851 kendi fotoğrafları var mail adresimiz paylaşıldı gönderim sağlayacaklar.</t>
  </si>
  <si>
    <t>güllü uyarlar</t>
  </si>
  <si>
    <t>hepsi çekilmiş</t>
  </si>
  <si>
    <t>619f484b991db096365e35c1</t>
  </si>
  <si>
    <t>Eyüp Can Döner, Seyhan (Dumlupınar Mah.)</t>
  </si>
  <si>
    <t>HASAN TOPRAK</t>
  </si>
  <si>
    <t>DUMLUPINAR MAH. 38059 SK. NO: 3 SEYHAN/ ADANA</t>
  </si>
  <si>
    <t>EYÜP GÜRLER</t>
  </si>
  <si>
    <t>5070955855 fotograflarım vardı bi bakayım varsa gönderirim yoksa sizi ararım dedi- ben sıze gerı donus saglarım dedı- randevu olusturuldu</t>
  </si>
  <si>
    <t>BEYHAN KORKMAZ</t>
  </si>
  <si>
    <t>OLUR DEDİLER TEKRAR ORTAĞI İLE GÖRÜŞÜP DÖNÜŞ YAPACAKLAR EZGİ HANIMA / çekimleri yapılmış yüklenmemiş/ beyhan bey akşam 6 da geliyor.</t>
  </si>
  <si>
    <t>Gökhan Tuyğun</t>
  </si>
  <si>
    <t>hakansafa unal</t>
  </si>
  <si>
    <t>TEYİT İÇİN ARANDI DEVAM ÇEKİMİ İSTİYOR/nazmi bey devam çekimi 5387767080</t>
  </si>
  <si>
    <t>Kahve</t>
  </si>
  <si>
    <t>erinç oksal</t>
  </si>
  <si>
    <t>5fe67a6e345867dc4a4584e9</t>
  </si>
  <si>
    <t>Federal Coffee, Seyhan (Kurtuluş Mah. - Ziyapaşa Blv.)</t>
  </si>
  <si>
    <t>kurutulus mah ziyapaşa cd no:3/a özbey apt seyhan adana</t>
  </si>
  <si>
    <t>05319144852  fotografların oldugu kişiymiş adıselim bu kişi arancak ardım meşgule atıyo//numara kullanılmamakta sistemdeki numarayıda kimse açmıyor</t>
  </si>
  <si>
    <t>617ffedb6fcd035e79b38435</t>
  </si>
  <si>
    <t>Federico Store , Seyhan (Cemalpaşa Mah.)</t>
  </si>
  <si>
    <t>Levent Yamaç</t>
  </si>
  <si>
    <t>Cemalpaşa mahallesi toros cad. no:24/b seyhan adana</t>
  </si>
  <si>
    <t xml:space="preserve">Kullanıcı meşgul </t>
  </si>
  <si>
    <t>6151d8d72745ff35d518dd9a</t>
  </si>
  <si>
    <t>Fehmi Büfe , Çukurova (Yurt Mah.)</t>
  </si>
  <si>
    <t>fehmi alişan</t>
  </si>
  <si>
    <t>yurt mah turgut özal bulv no 160 d çukurova adana</t>
  </si>
  <si>
    <t xml:space="preserve">çekim istemiyor ben ilerki zamanlarda geri donus saglarım dedi </t>
  </si>
  <si>
    <t>yusuf kölge</t>
  </si>
  <si>
    <t>5435906001 / 5364962832 yusuf bey</t>
  </si>
  <si>
    <t>ömer argın</t>
  </si>
  <si>
    <t>fırat nizam</t>
  </si>
  <si>
    <t>61406978d3f10dc578d490a7</t>
  </si>
  <si>
    <t>Fırat Cafe Pandora, Seyhan (Gürselpaşa Mah.)</t>
  </si>
  <si>
    <t>Furkan Nizam</t>
  </si>
  <si>
    <t>Gürselpaşa Mah Aliya İzzet begoviç blv 106 anıl plaza seyhan adana</t>
  </si>
  <si>
    <t xml:space="preserve">çalmıyor /3224592119 bu nodan ulaşıldı. Fırat Bey;5340326541 açmadı </t>
  </si>
  <si>
    <t>Teyit için arandı yetkili yokdendi</t>
  </si>
  <si>
    <t>ferhat nizam</t>
  </si>
  <si>
    <t>devam çekimi için biraz düşünüyor ürünler çöpe gidecek diye 5412035865/Kalan ürünleri için devam çekimi talep etti uygun olduğunda aransın/devam çekimi</t>
  </si>
  <si>
    <t>fethi çiçek</t>
  </si>
  <si>
    <t>Toros Mah. Turgut Özal Blv. 78192 Sok. 2/G Çukurova, Adana</t>
  </si>
  <si>
    <t>doğal park sokak / dç alındı</t>
  </si>
  <si>
    <t>Taner Koçaklı</t>
  </si>
  <si>
    <t>abdullah delen</t>
  </si>
  <si>
    <t>ahmet hasan bozdemir</t>
  </si>
  <si>
    <t>emel hanım ile iletişime geçildi</t>
  </si>
  <si>
    <t>5fe5fabf58f3acdc83e4c316</t>
  </si>
  <si>
    <t>Fikr-Et, Çukurova (Belediyeevleri Mah. - Türkmenbaşı Blv.)</t>
  </si>
  <si>
    <t>Steak</t>
  </si>
  <si>
    <t>fikret taşkıran</t>
  </si>
  <si>
    <t>Huzurevleri Mah Türkmenbaşı bulv. No 24/a 01360 çukurova adana</t>
  </si>
  <si>
    <t xml:space="preserve">ogleden sonra dort gıbı ara dedi  istemiyorum dedi </t>
  </si>
  <si>
    <t>61afb0465fb24bb08f7a5008</t>
  </si>
  <si>
    <t>Fikr-Et, Seyhan (Yeşiloba Mah.)</t>
  </si>
  <si>
    <t>Fikret Taşkıran</t>
  </si>
  <si>
    <t>fatma esma nayman cad no: 3/17a seyhan adana</t>
  </si>
  <si>
    <t xml:space="preserve">5385411313- düşünmüyoruz dedi </t>
  </si>
  <si>
    <t>6051b74db45d10d4d871b55d</t>
  </si>
  <si>
    <t>Fix Döner (Barış Mah.)</t>
  </si>
  <si>
    <t>ömer kızmaz</t>
  </si>
  <si>
    <t>Barış</t>
  </si>
  <si>
    <t>barış mah vefa cd no 110 a seyhan adana</t>
  </si>
  <si>
    <t xml:space="preserve">dükkan benim üzerime ama arkadaşım işletiyo o gerek yok dedi diyerek rand iptal etti arkadaşının numarasını vermedi-ben size donus yaparım dedi kapattı </t>
  </si>
  <si>
    <t>mehmet enser</t>
  </si>
  <si>
    <t>Menü Güncellemesi Yapılacak</t>
  </si>
  <si>
    <t>5327445906 bayramdan sonra aranacak cep nosunu arayın/1 hafta sonra guncelleme var</t>
  </si>
  <si>
    <t>İ.Selçuk Kadıoğlu</t>
  </si>
  <si>
    <t xml:space="preserve">5324848068-tatile cıkmıs 2 hafta sonra aranacak// açmadı  </t>
  </si>
  <si>
    <t>60c35a875e8c6967f46e0f5e</t>
  </si>
  <si>
    <t>Frame &amp; Box of Taste, Seyhan (Reşatbey Mah.)</t>
  </si>
  <si>
    <t>murat alp akkaya</t>
  </si>
  <si>
    <t>reşatbey mah 62030 sk no 6/B seyhan adana</t>
  </si>
  <si>
    <t>tarık ışıkgün</t>
  </si>
  <si>
    <t>kurtuluş mh 14 sk avukatlar apt no 17/B seyhan adana</t>
  </si>
  <si>
    <t>ÜMİT KIŞ</t>
  </si>
  <si>
    <t>Teyit için arandı yetkili yok dendi-devam çekimi için arandı restorantdakilerle görüşme sağlayıp dönüş sağlıycak arayalım.ümit hanım menü değişikliğinden sonra gelin dedi.</t>
  </si>
  <si>
    <t>6149cf7872bade7cc1a46baa</t>
  </si>
  <si>
    <t>Game Of Hot Dog , Çukurova (Belediyeevleri Mah. )</t>
  </si>
  <si>
    <t>Muhammet ALi Karcun</t>
  </si>
  <si>
    <t>Belediye Evleri, 84002. Sk. 36 A, 01170 Çukurova/Adana</t>
  </si>
  <si>
    <t>Mailden gönderecek mevcut fotoğrafları varmış. Akşam açıyorlarmış sadece o yüzden de çekim istemiyor.</t>
  </si>
  <si>
    <t>evrim kılıç özdemir</t>
  </si>
  <si>
    <t>5fea5ab3cf33761e52b46203</t>
  </si>
  <si>
    <t>Gaziantep Fıstık Bahçesi, (Güzelyalı Mah. - Turgut Özal Blv.)</t>
  </si>
  <si>
    <t>mehmet akcan</t>
  </si>
  <si>
    <t>Güzelyalı, Turgut Özal Blv. No:68, 01170 Çukurova/Adana</t>
  </si>
  <si>
    <t>teyit için arandı reklamcım bana gönderince gönderirim dedi-ulasılamadı/bilgiler var reklamcımdan alamadım alayım göndereyim dedi.- ulasılamadı - numara mesgul</t>
  </si>
  <si>
    <t>İleride Randevu İstiyorum</t>
  </si>
  <si>
    <t>mustafa çakallıoğlu</t>
  </si>
  <si>
    <t>Yeşilyurt, Karaafat Cd 80/B, 01150 Seyhan/Adana</t>
  </si>
  <si>
    <t>salıya randevu istiyor</t>
  </si>
  <si>
    <t>6229d5e850af6e81bfd83a1a</t>
  </si>
  <si>
    <t>Gaziantep Mozaik Künefe &amp; Katmer, Ceyhan (Cumhuriyet Mah.)</t>
  </si>
  <si>
    <t>MÜSLÜM BOZTEKE</t>
  </si>
  <si>
    <t>CUMHURİYET MAH. HASAN CERİT BLV. NO: 9 İÇ KAPI NO: Z1 CEYHAN/ ADANA</t>
  </si>
  <si>
    <t>6079fbbec9d16189cf14238f</t>
  </si>
  <si>
    <t>Gazioğlu Döner (Ziyapaşa Mah.)</t>
  </si>
  <si>
    <t>maruf tekin</t>
  </si>
  <si>
    <t>ziyapaşa mah baraj cd teymenler apt no 22 b seyhan adana</t>
  </si>
  <si>
    <t xml:space="preserve">KENDİ FOTOĞRAFLARI VAR - mail adresi verildi yemek sepetınden alıp gonderim saglayacak </t>
  </si>
  <si>
    <t>623ccecae589c00037eb1de8</t>
  </si>
  <si>
    <t>Gece Gündüz Döner, Yüreğir (Selahattin Eyyubi Mah.)</t>
  </si>
  <si>
    <t>Caner Buldi</t>
  </si>
  <si>
    <t>selahattin eyyubi mah. şehit j.er mustafa göksal cad. no 38 iç kapı no z01 yüreğir adana</t>
  </si>
  <si>
    <t>şahabettin arıkboğa</t>
  </si>
  <si>
    <t xml:space="preserve">okullar açıldığı için çok yoğunluk yaşıyoruz dedi. kendisi dönüş sağlayacak/yetkili şehir dışında hafta sonu gelir- çok yoğunuz dedi müsait olamıyoruz dedi çekim istemiyor - şuan musait değilim biz müşteri hizmetlerini ararız dedi kapattı </t>
  </si>
  <si>
    <t>617ff80602bc2814575dfbd0</t>
  </si>
  <si>
    <t>Gizerler Çatı Restaurant, Seyhan (Reşatbey Mah.)</t>
  </si>
  <si>
    <t>cüneyt gizer</t>
  </si>
  <si>
    <t>Çınarlı, 01060 Seyhan/Adana</t>
  </si>
  <si>
    <t>AYKUT BEY RESTORAN SORUMLUSU 05377481126 mail adresi verildi</t>
  </si>
  <si>
    <t>618c1c3eeb4f889fd2b807a5</t>
  </si>
  <si>
    <t>Gourmet Handmade Burger &amp; Pizza , Çukurova (Güzelyalı Mah.)</t>
  </si>
  <si>
    <t>yusuf uçar</t>
  </si>
  <si>
    <t>GÜZELYALI MAH. 81029 SK. NO: 1 İÇ KAPI NO: 57 ÇUKUROVA/ ADANA</t>
  </si>
  <si>
    <t>güven yılmaz</t>
  </si>
  <si>
    <t>Meydan</t>
  </si>
  <si>
    <t>şehir dışına çıkmış ilerleyen zamnlarda</t>
  </si>
  <si>
    <t>yasin demir</t>
  </si>
  <si>
    <t>berat</t>
  </si>
  <si>
    <t>fotograf olabilir dedi bakıp geri dönecek</t>
  </si>
  <si>
    <t>Uğur Gökçeli</t>
  </si>
  <si>
    <t>61f138959893d31f6bc54601</t>
  </si>
  <si>
    <t>Gökçeli Express, Yüreğir (Dervişler Mah.)</t>
  </si>
  <si>
    <t>MEHMET İLKBAHAR</t>
  </si>
  <si>
    <t>DERVİŞLER MAH KOZAN CD NO 322 YÜREĞİR ADANA</t>
  </si>
  <si>
    <t>ali çolak</t>
  </si>
  <si>
    <t>6105bddf008be6512d26dc09</t>
  </si>
  <si>
    <t>Gökkuşağı Cafe , Çukurova (Güzelyalı Mah.)</t>
  </si>
  <si>
    <t>güzelyalı mah sefa parlak gümüş apt altı 102 D G 01170 Çukurova/Adana</t>
  </si>
  <si>
    <t xml:space="preserve">yokmuş getir yemek onlarda </t>
  </si>
  <si>
    <t>Diğer</t>
  </si>
  <si>
    <t>Hülya öztaş</t>
  </si>
  <si>
    <t>618c1e46bc7e8654795929d1</t>
  </si>
  <si>
    <t>Gönül Kahvesi , Çukurova (Güzelyalı Mah.)</t>
  </si>
  <si>
    <t>6215065333f4f13ff58d2bb9</t>
  </si>
  <si>
    <t>Gönül Kardeşler, Çukurova (Yurt Mah.)</t>
  </si>
  <si>
    <t>ÖZER ERÇELİK</t>
  </si>
  <si>
    <t>YURT MAH. KURTTEPE CAD. NO: 34 C ÇUKUROVA/ ADANA</t>
  </si>
  <si>
    <t>hasan dağ</t>
  </si>
  <si>
    <t>ürünlerin hepsini hazırlayacağı için kararsız</t>
  </si>
  <si>
    <t>6238d6b3ba92b9bcf1936230</t>
  </si>
  <si>
    <t>Gözde Lezzetler, Çukurova (Toros Mah.)</t>
  </si>
  <si>
    <t>ŞEYDA YEŞİL</t>
  </si>
  <si>
    <t>Toros Mah. 78128 Sk. No:2 A Çukurova/ADANA</t>
  </si>
  <si>
    <t>Sultan Babat</t>
  </si>
  <si>
    <t>5383006563 / çağlar bey</t>
  </si>
  <si>
    <t>60b771740ff8dd6cf4181ac5</t>
  </si>
  <si>
    <t>Granny's Waffles &amp; Kumpir, Seyhan (Gürselpaşa Mah.)</t>
  </si>
  <si>
    <t>mustafa erdal sevgili</t>
  </si>
  <si>
    <t>gürselpaşa mah aliya izzet begoviç blv no 93 b seyhan adana</t>
  </si>
  <si>
    <t xml:space="preserve">kendi fotograflarım var ben onları kullanmak istiyorum dedi çekim istemiyor </t>
  </si>
  <si>
    <t>61d55fa53401155f10f2ed0e</t>
  </si>
  <si>
    <t>Guer Kitchen, Seyhan (Kurtuluş Mah.)</t>
  </si>
  <si>
    <t>EMİRCAN GÜRDOĞAN</t>
  </si>
  <si>
    <t>kurtuluş mah 64003 sk no 20 a seyhan adana</t>
  </si>
  <si>
    <t xml:space="preserve">festival hazırlıklarım var 1 hafta sonra arayın dedi </t>
  </si>
  <si>
    <t>didem izgi</t>
  </si>
  <si>
    <t>619ff7473e14ff016ab63fe1</t>
  </si>
  <si>
    <t>Gül Evi Ev Yemekleri , Çukurova (Yurt Mah.)</t>
  </si>
  <si>
    <t>Hatun demiray</t>
  </si>
  <si>
    <t>YURT MAH. TURGUT ÖZAL BULV. KÜPELİ APT. NO:201 çukurova adana</t>
  </si>
  <si>
    <t>cevapsız</t>
  </si>
  <si>
    <t>mustafa maaşoğlu</t>
  </si>
  <si>
    <t>6225deb8eb4d3663fa52e8f4</t>
  </si>
  <si>
    <t>Gülbahar Döner &amp; Fast Food, Çukurova ( Toros Mah.)</t>
  </si>
  <si>
    <t>Duran Gözüküçük</t>
  </si>
  <si>
    <t>toros mah. 78138 sok. eroğlu apt. b blok no 4 iç kapı no 1 çukurova adana</t>
  </si>
  <si>
    <t xml:space="preserve">menü güncellenmesi yapacam o zman sizlere dönüş sağlarım dedi </t>
  </si>
  <si>
    <t>6143b699f3fd0b8582acc05c</t>
  </si>
  <si>
    <t>Güler Midye &amp; Kokoreç (Güzelyalı Mah. - Turgut Özal Blv.)</t>
  </si>
  <si>
    <t>güngör güler</t>
  </si>
  <si>
    <t>mahfesığmaz mah turgut özal bulv no 83 c çukurova adana</t>
  </si>
  <si>
    <t xml:space="preserve">çekim istemiyoruz biz der neden istemediğinizi öğrenebilir miyim dedim hayır dedi kapattı </t>
  </si>
  <si>
    <t>60b4b3f9a4a3c5e7422a9ec5</t>
  </si>
  <si>
    <t>Güloğlu Baklava &amp; Pasta, Seyhan (Pınar Mah.)</t>
  </si>
  <si>
    <t>ABDURRAHMAN GÜLOĞLU</t>
  </si>
  <si>
    <t>PINAR MAH. ALİ BOZDOĞANOĞLU BLV. ASAF SARALI APT A BLOK NO: 12 B SEYHAN/ ADANA</t>
  </si>
  <si>
    <t xml:space="preserve">fotografları mevcutmuş- ulasıulamadı - ulasılamadı </t>
  </si>
  <si>
    <t>aksoy gümüş</t>
  </si>
  <si>
    <t>devam çekimi istemiyor</t>
  </si>
  <si>
    <t>6245a74f3931811aa2797c80</t>
  </si>
  <si>
    <t>Güney Paça &amp; Yemek, Seyhan (Kuruköprü Mah.)</t>
  </si>
  <si>
    <t>SEDAT ŞİMŞEK</t>
  </si>
  <si>
    <t>Kuruköprü, Sefa Özler Cd. No:38, 01120 Seyhan/Adana</t>
  </si>
  <si>
    <t>metin ayırmaç</t>
  </si>
  <si>
    <t>6239e661cf63c254e6ee90b4</t>
  </si>
  <si>
    <t>Hacı Baba Kokereç, Seyhan (Sümer Mah.)</t>
  </si>
  <si>
    <t>Ayten Budak</t>
  </si>
  <si>
    <t>Sümer Mah. İbo Osman Cad. No:180 C Seyhan Adana</t>
  </si>
  <si>
    <t>620b4d2531d0235c78c95051</t>
  </si>
  <si>
    <t>Hakan Altun Restoran, Ceyhan (Namık Kemal Mah.)</t>
  </si>
  <si>
    <t>HAKAN ALTUN</t>
  </si>
  <si>
    <t>NAMIK KEMAL MAH ORHAN EKİCİ BLV NO 86 CEYHAN ADANA</t>
  </si>
  <si>
    <t>bilal bey</t>
  </si>
  <si>
    <t>5454810581/maile atıcak fotoğrafı. foyoğraf atılmış- bes dk ya donus saglayacak- randevu olusturuldu</t>
  </si>
  <si>
    <t>61d9d94cd325755825183f38</t>
  </si>
  <si>
    <t>Halk Lahmacun, Ceyhan (Konakoğlu Mah.)</t>
  </si>
  <si>
    <t>AHMET BAYTEKİN</t>
  </si>
  <si>
    <t>Konakoğlu</t>
  </si>
  <si>
    <t>KONAKOĞLU MAH HACI AHMET TOPSAKAL SK CEYHAN ADANA</t>
  </si>
  <si>
    <t>onurcan çiftçi</t>
  </si>
  <si>
    <t>5fede8d6333ef51377af6acb</t>
  </si>
  <si>
    <t>Hamburgerci Mükerrem, Seyhan (Cemalpaşa Mah.)</t>
  </si>
  <si>
    <t>önder çiftçi</t>
  </si>
  <si>
    <t>cemalpaşa mah 63010sk. yalvaç apt no:9 iç kapı noa seyhan adana</t>
  </si>
  <si>
    <t>mail atacak- kendı fotograflarımız var dedi ben yollarım dedi - çarşamba günü ararsanız ben size donus saglarım dedi - ben sizlere donus saglarım dedi yetkili isletmede yok /şuan çalışıyorum daha sonra arayın dedi panaldeki eksik fotoğraflar için arama sağladım</t>
  </si>
  <si>
    <t>5fece285e5886a237d949e21</t>
  </si>
  <si>
    <t>Hamburgerci Mükerrem, Seyhan (Kurtuluş Mah.)</t>
  </si>
  <si>
    <t>mustafa çiftçi</t>
  </si>
  <si>
    <t>kurtuluş mah şinasi efendi dk. no:25/b seyhan adana</t>
  </si>
  <si>
    <t>hiçbir şekilde bilgi vermiyor.. sürekli bilmiyorum diyor.</t>
  </si>
  <si>
    <t>60881fbb1cc6187e78e528cf</t>
  </si>
  <si>
    <t>Hamza Efendi Baklava (Barış Mah. - Vefa Cad.)</t>
  </si>
  <si>
    <t>Burak Şeker</t>
  </si>
  <si>
    <t>Barış Mahallesi Vefa Cad. No:134 /A. / Seyhan / Adana / Türkiye</t>
  </si>
  <si>
    <t>maile atacakmış</t>
  </si>
  <si>
    <t>60881af977de8ae34a03cf26</t>
  </si>
  <si>
    <t>Hamza Efendi Baklava (Çınarlı Mah. - Ziyapaşa Bul.)</t>
  </si>
  <si>
    <t>Çınarlı, 70, Ziyapaşa Blv., 01120 Seyhan/Adana</t>
  </si>
  <si>
    <t xml:space="preserve">gönderim saglanmıs </t>
  </si>
  <si>
    <t>60880af342f08ad66c9e96b3</t>
  </si>
  <si>
    <t>Hamza Efendi Baklava (Dervişler Mah.)</t>
  </si>
  <si>
    <t>Kozanyolu Dervişler Mah. No.294 YÜREĞİR</t>
  </si>
  <si>
    <t>mail atmış</t>
  </si>
  <si>
    <t>60880dd5d72f804f4f721660</t>
  </si>
  <si>
    <t>Hamza Efendi Baklava (Gürselpaşa Mah.)</t>
  </si>
  <si>
    <t>GÜRSELPAŞA MAH. 6. CADDE NO:67/A SEYHAN/ADANA</t>
  </si>
  <si>
    <t>6088226c0b0fe74f08bd7737</t>
  </si>
  <si>
    <t>Hamza Efendi Baklava (Güzelyalı Mah.)</t>
  </si>
  <si>
    <t>Güzelyalı, 81057. Sk. No:6, 01170 Çukurova/Adana</t>
  </si>
  <si>
    <t>ATICAK FOTOLARI</t>
  </si>
  <si>
    <t>60881e8527e1d1077d574bea</t>
  </si>
  <si>
    <t>Hamza Efendi Baklava (Kışla Mah.)</t>
  </si>
  <si>
    <t>Kışla</t>
  </si>
  <si>
    <t>Kışla Mah. 4389 Sk. No:32/a. / Yüreğir / Adana / Türkiye</t>
  </si>
  <si>
    <t>6088100738142a742b90ca4a</t>
  </si>
  <si>
    <t>Hamza Efendi Baklava (Meydan Mah.)</t>
  </si>
  <si>
    <t>MEYDAN MAH. KIBRIS CD. NO:42 SEYHAN</t>
  </si>
  <si>
    <t>6088131650f08fb7dfefbd5f</t>
  </si>
  <si>
    <t>Hamza Efendi Baklava (Mithatpaşa Mah.)</t>
  </si>
  <si>
    <t>Mithatpaşa</t>
  </si>
  <si>
    <t>MİTHATPAŞA MAH. 58300 sk NO:128 SEYHAN/ADANA</t>
  </si>
  <si>
    <t>608818aa889c7ef0c0e6f210</t>
  </si>
  <si>
    <t>Hamza Efendi Baklava (Onur Mah.)</t>
  </si>
  <si>
    <t>onur mah turhan cemal beriker bulvarı no 437 seyhan adana</t>
  </si>
  <si>
    <t>60880f169fce60ace6f60fd0</t>
  </si>
  <si>
    <t>Hamza Efendi Baklava (Selahattin Eyyubi Mah.)</t>
  </si>
  <si>
    <t>SELAHADDİNİ EYYÜBİ MAH. JANDARMA ER MUSTAFA GÖKSAL CD. NO:36 YÜREĞİR</t>
  </si>
  <si>
    <t>60880905176e4e101cd01a17</t>
  </si>
  <si>
    <t>Hamza Efendi Baklava (Şahintepe Mah.)</t>
  </si>
  <si>
    <t>Esentepe</t>
  </si>
  <si>
    <t>ŞAHİNTEPE MAH. KOZAN BUL. NO:74/AC SARIÇAM/ADANA</t>
  </si>
  <si>
    <t>6088067b545297b2650b914e</t>
  </si>
  <si>
    <t>Hamza Efendi Baklava (Tellidere Mah.)</t>
  </si>
  <si>
    <t>TELLİDERE MAH. NO 234 SEYHAN/ADANA</t>
  </si>
  <si>
    <t>20 küsür şubem var fotografları bugün gönderirim dedi.</t>
  </si>
  <si>
    <t>608823828a6396933e039a56</t>
  </si>
  <si>
    <t>Hamza Efendi Baklava (Toros Mah.)</t>
  </si>
  <si>
    <t>Toros Kasım Ener Caddesi Berke Sitesi 6 No: 40 D:Blok C, 01170 Çukurova/Adana</t>
  </si>
  <si>
    <t>60882497ed7a3e719b73c158</t>
  </si>
  <si>
    <t>Hamza Efendi Baklava (Yurt Mah.)</t>
  </si>
  <si>
    <t>Yurt Mah. Kurttepe Cad. Ömer Giriş Apt. Zemin Kat No:16. / Çukurova / Adana / Türkiye.</t>
  </si>
  <si>
    <t>MAİL VERİLDİ.</t>
  </si>
  <si>
    <t>608825948d56df19d67f9972</t>
  </si>
  <si>
    <t>Hamza Efendi Baklava (Yüzüncüyıl Mah.)</t>
  </si>
  <si>
    <t>Yüzüncüyıl, 85021. Sk. No:3, 01170 Çukurova/Adana</t>
  </si>
  <si>
    <t>cenazesi varmış müsait degildi anlatılamadı.</t>
  </si>
  <si>
    <t>62307c45323c421e763d0013</t>
  </si>
  <si>
    <t>Hanedan Kebap, Seyhan (Pınar Mah.)</t>
  </si>
  <si>
    <t>LEVENT AKKÖSE</t>
  </si>
  <si>
    <t>pınar mah. ş.er ayhan güngör sok. demirel park sitesi c blok no 22 d seyhan adana</t>
  </si>
  <si>
    <t xml:space="preserve">1 hafta sonra tekrardan arayın dedi </t>
  </si>
  <si>
    <t>ZAFER KARATAŞ</t>
  </si>
  <si>
    <t>5324658674 devam cekımı</t>
  </si>
  <si>
    <t>602fed31fbe5050d64aa0df2</t>
  </si>
  <si>
    <t>Hanzade Kebap, Sarıçam (Gültepe Mah.)</t>
  </si>
  <si>
    <t>tahsin bey</t>
  </si>
  <si>
    <t>gültepe mh çatalan cd no 173 a sarıçam adana</t>
  </si>
  <si>
    <t>hiç istemiyor.</t>
  </si>
  <si>
    <t>HALİL ÇİFTÇİ</t>
  </si>
  <si>
    <t>ASLIHAN CENGİZ</t>
  </si>
  <si>
    <t>eşi ömür bey :05434739312</t>
  </si>
  <si>
    <t>Ali Keskin</t>
  </si>
  <si>
    <t>6225d15d9b4ffb285d5885d2</t>
  </si>
  <si>
    <t>Hasan Masat, Karataş (Yeni Mah)</t>
  </si>
  <si>
    <t>Neşet Cengiz</t>
  </si>
  <si>
    <t>Karataş</t>
  </si>
  <si>
    <t>Yeni Mah. Atatürk Cad. No: 1/A Karataş/Adana</t>
  </si>
  <si>
    <t>6225cd1fe034d3e9eba235d8</t>
  </si>
  <si>
    <t>Hasan Masat, Seyhan (Kocavezir Mah.)</t>
  </si>
  <si>
    <t>Mehmet Ali Masat</t>
  </si>
  <si>
    <t>Kocavezir mah. Obalar Cad. No: 76/B Seyhan/Adana</t>
  </si>
  <si>
    <t>6225d529988274193b53e822</t>
  </si>
  <si>
    <t>Hasan Masat, Seyhan (Küçükdikili Mah.)</t>
  </si>
  <si>
    <t>Tolga Kumral</t>
  </si>
  <si>
    <t>Söğütlü</t>
  </si>
  <si>
    <t>Küçükdikili Çınarlı, Şehitler Cd No:7, 01010 Seyhan/Adana</t>
  </si>
  <si>
    <t>6225c8fe377f746e87700475</t>
  </si>
  <si>
    <t>Hasan Masat, Seyhan (Mestenzade Mah.)</t>
  </si>
  <si>
    <t>mestanzade mah. 21006 sok. no 2 a seyhan adana</t>
  </si>
  <si>
    <t>6225ce620115bd9471965d4f</t>
  </si>
  <si>
    <t>Hasan Masat, Seyhan (Pınar Mah.)</t>
  </si>
  <si>
    <t>Pınar Üzelpasacı</t>
  </si>
  <si>
    <t>Pınar Mah. Ali Bozdoğanoğlu Bul. No: 4/A Seyhan/Adana</t>
  </si>
  <si>
    <t>6225d3787c345c6bc2129f6a</t>
  </si>
  <si>
    <t>Hasan Masat, Yüreğir (Havutlu Mah.)</t>
  </si>
  <si>
    <t>Derya Özdüzenciler</t>
  </si>
  <si>
    <t>Havutlu</t>
  </si>
  <si>
    <t>Havutlu Mah. Karataş Cad. No: 529/A Yüreğir / Adana</t>
  </si>
  <si>
    <t>6225df4f3145e86a089d33a5</t>
  </si>
  <si>
    <t>Hasan Masat, Yüreğir (Sarıçam Mah.)</t>
  </si>
  <si>
    <t>Erdem Şekerci</t>
  </si>
  <si>
    <t>Sarıçam Mah. Kozan Cad. No: 154/A Yüreğir/Adana</t>
  </si>
  <si>
    <t>Alaattin</t>
  </si>
  <si>
    <t>ALAATTİN ORAL</t>
  </si>
  <si>
    <t>mail atacak-randevu olusturuldu</t>
  </si>
  <si>
    <t>5ffafb791f40a31be7910a52</t>
  </si>
  <si>
    <t>Hasır Künefe, Seyhan (Gürselpaşa Mah.)</t>
  </si>
  <si>
    <t>cüneyt semirli</t>
  </si>
  <si>
    <t>gürselpaşa mah aliya izeet begoviç bulv. kayabey apt. no:85/b seyhan adana</t>
  </si>
  <si>
    <t>5064230393 ajansın no oguz bey. oguz@mecaztasarim.com göndermişler cevap gitmiş isimleride yazmalarına dair onunlada ilhilenecekler- çalışanı  suan dısarda ben sızlere geri donus yaptırırım dedi/ Fotoğraflar için arandı fotoğrafları gönderdik biz dedi tekrardan mail adresi verildi kontrolü sağlayacak.</t>
  </si>
  <si>
    <t>61a88ba9873489eb832e9838</t>
  </si>
  <si>
    <t>Hatay Meze Evi, Seyhan (Kurtuluş Mah.)</t>
  </si>
  <si>
    <t>Egecem Aslanyürek</t>
  </si>
  <si>
    <t>kurtuluş mah demokrasi sk özelsancak apt no 8 iç kapı no 01 seyhan adana</t>
  </si>
  <si>
    <t>no hatalı</t>
  </si>
  <si>
    <t>mehmet aslan</t>
  </si>
  <si>
    <t>yüzüncüyıl mah. 85078 sk no 53 b çukurova adana</t>
  </si>
  <si>
    <t>Teyit için arandı açmadı</t>
  </si>
  <si>
    <t>Hatice Turan</t>
  </si>
  <si>
    <t>Kurttepe</t>
  </si>
  <si>
    <t>BEŞİR KILIÇ</t>
  </si>
  <si>
    <t>Reşatbey, Atatürk Cd. 30/B, 01120 Seyhan/Adana</t>
  </si>
  <si>
    <t>yetkili ayda bir gelirmiş yetkili başka isim 3 4 gibi gelirmiş.// saat 3 4 gibi tekrar aranacak/yetkili yok gitti der</t>
  </si>
  <si>
    <t>6050e41ab45d100ad5719d8c</t>
  </si>
  <si>
    <t>Hayata Döner (Kışla Mah.)</t>
  </si>
  <si>
    <t>cankat barışık</t>
  </si>
  <si>
    <t>Kışla mah şehir hastanesi 01370 Yüreğir/Adana</t>
  </si>
  <si>
    <t>istemiyoruz biz istersek fotoğraflarımız var yükleriz teşekkürler dedi/05346417010 şeyma hanımla görüşme sağlandı . kendisi yarın dönüş sağlıycak- mail adresi tekrardan verildi / fotoğraflar için arandı ben dönüş yapayım fotoğraflarla ilgili dedi. dönüş yapacakmıs</t>
  </si>
  <si>
    <t>alican halme</t>
  </si>
  <si>
    <t>devam çekimi alındı</t>
  </si>
  <si>
    <t>61c18c9949a6995559cdc796</t>
  </si>
  <si>
    <t>Helvacı Naci, Seyhan (Yenibaraj Mah.)</t>
  </si>
  <si>
    <t>NACİ DENİZHAN</t>
  </si>
  <si>
    <t>yenibaraj mah 68046 sk no 3 g seyhan adana</t>
  </si>
  <si>
    <t>6051c9ab808b16793ac1b7ba</t>
  </si>
  <si>
    <t>Hmbrgr Homemade Burgers (Sinanpaşa Mah. - Optimum AVM)</t>
  </si>
  <si>
    <t>caner cantimur</t>
  </si>
  <si>
    <t>Sinanpaşa</t>
  </si>
  <si>
    <t>sinanpaşa mah optimum outlet alışveriş merkezi yüreğir adana</t>
  </si>
  <si>
    <t>cuma acar</t>
  </si>
  <si>
    <t>Gülpınar</t>
  </si>
  <si>
    <t>bayramdan 20 gün sonra sabah saatlerine randevu oluşturulacak</t>
  </si>
  <si>
    <t>şahin gültekin</t>
  </si>
  <si>
    <t>Şehitduran</t>
  </si>
  <si>
    <t>vedat daşdelen</t>
  </si>
  <si>
    <t>dusunup donus yapacakmış-FOTO YOK HAFTAYA ARANSIN.</t>
  </si>
  <si>
    <t>hasan bey</t>
  </si>
  <si>
    <t>Tahsilli</t>
  </si>
  <si>
    <t>6245e0f94627774aaa5843ff</t>
  </si>
  <si>
    <t>İbocan Lahmacun &amp; Pide &amp; Pizza, Seyhan (Tepebağ Mah.)</t>
  </si>
  <si>
    <t>BARIŞ OBUS</t>
  </si>
  <si>
    <t>tepebağ mah. 27046 sok 14 a seyhan adana</t>
  </si>
  <si>
    <t>Hava Çelikten</t>
  </si>
  <si>
    <t xml:space="preserve">Onur Bey </t>
  </si>
  <si>
    <t>Asya Söyler</t>
  </si>
  <si>
    <t>melehat hanım</t>
  </si>
  <si>
    <t>mustafa bey</t>
  </si>
  <si>
    <t>devam çekimi randvusu alındı/devam çekimi</t>
  </si>
  <si>
    <t>62449c6b3c86866799e2eec5</t>
  </si>
  <si>
    <t>İlgim Cafe, Yüreğir (Yavuzlar Mah.)</t>
  </si>
  <si>
    <t>HAKAN BEYAZKUŞ</t>
  </si>
  <si>
    <t>yavuzlar mah. 4094 sok. no 3/1 yüreğir adana</t>
  </si>
  <si>
    <t>eren bey</t>
  </si>
  <si>
    <t>601567e26c1642627391136c</t>
  </si>
  <si>
    <t>İmparator İbo Kebap &amp; Döner, (Esentepe Mah.)</t>
  </si>
  <si>
    <t>SERKAN GÜÇÇÜK</t>
  </si>
  <si>
    <t>esentepe mah kozan bulv no 37 iç kapı no b1 sarıçam adana</t>
  </si>
  <si>
    <t>uğraşamayacağım dedi.</t>
  </si>
  <si>
    <t>60243de0ecc773e7cc5acdf3</t>
  </si>
  <si>
    <t>İmparator İbo Lahmacun &amp; Pide &amp; Pizza, (Sümer Mah.)</t>
  </si>
  <si>
    <t>zehra çat</t>
  </si>
  <si>
    <t>sümer mah 69065 sok yeter apt no1 a seyhan adana</t>
  </si>
  <si>
    <t>ismet usta ile görüşüldü buna ayıracak vaktimiz yok şu an dedi ısrar edildi ama yok dedi</t>
  </si>
  <si>
    <t>6064959e2b03718c6adda220</t>
  </si>
  <si>
    <t>İnci Pastanesi, Çukurova (Yurt Mah. - Turgut Özal Blv.)</t>
  </si>
  <si>
    <t>aziz pamuk</t>
  </si>
  <si>
    <t>yurt mah kurttepe cad petek apt çukurova adana</t>
  </si>
  <si>
    <t xml:space="preserve">mail atacak // dönüş yapacak -aziz bey yok dedi ben size donus yaparım dedi en gec bır saat icerisinde aranacak- 10 dk sonra aranacak </t>
  </si>
  <si>
    <t>6245ab85f484200a487a1a79</t>
  </si>
  <si>
    <t>İsimsiz, Seyhan (Gürselpaşa Mah.)</t>
  </si>
  <si>
    <t>İhsan Ertan</t>
  </si>
  <si>
    <t>Cadde AVM, Gürselpaşa Mah. Aliya İzzet Begoviç Bulv. No:25 Üçgül, 01170 Seyhan/Adana</t>
  </si>
  <si>
    <t>615cbd28d71fba71990f7e47</t>
  </si>
  <si>
    <t>İskenderun Döner, Kozan (Karacaoğlan Mah.)</t>
  </si>
  <si>
    <t>zübeyde ersoy</t>
  </si>
  <si>
    <t>karacaoğlan mah turgut özal bulvarı kozan adana</t>
  </si>
  <si>
    <t>61bc5529edd604705686de90</t>
  </si>
  <si>
    <t>İskotis Cafe, Kozan (Şevkiye Mah.)</t>
  </si>
  <si>
    <t>İSMAİL TORAZ</t>
  </si>
  <si>
    <t>Şevkiye</t>
  </si>
  <si>
    <t>şevkiye mah şefik uçak cd no 7 B kozan adana</t>
  </si>
  <si>
    <t>616dcbde58034ffade9200d8</t>
  </si>
  <si>
    <t>İstanbul Balıkçısı , Seyhan (Cemalpaşa Mah.)</t>
  </si>
  <si>
    <t>Ömer Bünyamin Yıldız</t>
  </si>
  <si>
    <t>cemalpaşa mah 63005 sok istanbul balıkcısı ibrahim no 4 a seyhan adana</t>
  </si>
  <si>
    <t xml:space="preserve">MAİL VERILDI - çoçuğum hasta hastanedeyim  daha sonra görüşelim dedi </t>
  </si>
  <si>
    <t>İdris Tülü</t>
  </si>
  <si>
    <t>arif güngör</t>
  </si>
  <si>
    <t>alican tülü</t>
  </si>
  <si>
    <t>60677ef50c5b6443a0d505e9</t>
  </si>
  <si>
    <t>İstanbul Doyum Börekçilik (Tellidere Mah.)</t>
  </si>
  <si>
    <t>erdal zengin</t>
  </si>
  <si>
    <t>Tellidere, Mücahitler Cd. 273 A, 01160 Seyhan/Adana</t>
  </si>
  <si>
    <t>Çekilen fotoğraflar beğenilmedi için silindi // yüzüncüyılda çekim yapılsın istiyor oranın randevsu alınacak.</t>
  </si>
  <si>
    <t>cafer zengin</t>
  </si>
  <si>
    <t>ÇEKİM GERCEKLESMIS AMA YUKLENMEMIS</t>
  </si>
  <si>
    <t>6064b83a4f6acb09da462f46</t>
  </si>
  <si>
    <t>İstanbul Doyum Börekçilik, Seyhan (Pınar Mah.)</t>
  </si>
  <si>
    <t>PINAR MAH. MÜCAHİTLER CAD. ASLI VE PINAR APT NO: 307 E SEYHAN/ ADANA</t>
  </si>
  <si>
    <t>ilhan yaman</t>
  </si>
  <si>
    <t>randevuya gidilmemiş sefa bey ortağıyla görüşecek tekrar randevu istiyorlar mı soralım</t>
  </si>
  <si>
    <t>60b4bd2c8d4a68c8738311e1</t>
  </si>
  <si>
    <t>İstanbul Kadayıf Dünyası, Çukurova (Belediye Evleri Mah.)</t>
  </si>
  <si>
    <t>fahri keleş</t>
  </si>
  <si>
    <t>Belediye Evleri, 2/C Yıldız Sitesi, 84029. Sk., 01360 Çukurova/Adana</t>
  </si>
  <si>
    <t>60b4b897288ff7240fb91d5f</t>
  </si>
  <si>
    <t>İstanbul Kadayıf Dünyası, Çukurova (Toros Mah.)</t>
  </si>
  <si>
    <t>Toros, Ahmet Sapmaz Blv. No:33, 01170 Çukurova/Adana</t>
  </si>
  <si>
    <t>60b4be756727d1130fa48e3c</t>
  </si>
  <si>
    <t>İstanbul Kadayıf Dünyası, Seyhan (Sümer Mah.)</t>
  </si>
  <si>
    <t>Sümer, Karafatma Cd. Özge Apt. D:139/B, 01140 Seyhan/Adana</t>
  </si>
  <si>
    <t>62456ef5b1ef45628161fe27</t>
  </si>
  <si>
    <t>İzmir Kumru, Çukurova (Toros Mah. - Kenan Evren Blv.)</t>
  </si>
  <si>
    <t>talha mahmut bozdemir</t>
  </si>
  <si>
    <t>60584a71ad0bbd04625a16a1</t>
  </si>
  <si>
    <t>İzol Baklava &amp; Börek (Pınar Mah.)</t>
  </si>
  <si>
    <t>gamze sümer</t>
  </si>
  <si>
    <t>pınar mh 74103 sk no 4/16 seyhan adana</t>
  </si>
  <si>
    <t xml:space="preserve"> gamze hanım dönüş sağladılar bireyselmiş. 542 304 79 71 genel merkez kışın cekilcek demiş onlar ceker dedi istemiyor</t>
  </si>
  <si>
    <t>FAHMETTİN YALÇIN</t>
  </si>
  <si>
    <t xml:space="preserve">devam cekımı </t>
  </si>
  <si>
    <t>6014a90294d17a8136a790f6</t>
  </si>
  <si>
    <t>Jet Restaurant, Yüreğir (Haydaroğlu Mah.)</t>
  </si>
  <si>
    <t>ercan canbolat</t>
  </si>
  <si>
    <t>Haydaroğlu</t>
  </si>
  <si>
    <t>haydaroğlu mah karataş bulv zeki kındık no 180 yüreğir adana</t>
  </si>
  <si>
    <t xml:space="preserve">5313262371- BEN MUSAİT OLDUGUMDA ARIYACAM DEDİ - gecen haftada aradınız ben söyliyecem size dedi  şuan çok yoğunum dedi </t>
  </si>
  <si>
    <t>duygu çetintaş</t>
  </si>
  <si>
    <t>Teyit için arandı toplantıdaymış iletişim sağlanamadı</t>
  </si>
  <si>
    <t>61bc53b0ed294846e8bb1a95</t>
  </si>
  <si>
    <t>Kaan Döner, Sarıçam (Gültepe Mah.)</t>
  </si>
  <si>
    <t>KAAN BERAAT KALMIŞ</t>
  </si>
  <si>
    <t>gültepe mah çatalan cd no 168 sarıçam adana</t>
  </si>
  <si>
    <t>621b548c2fd57185fb8cf881</t>
  </si>
  <si>
    <t>Kaburga Döner, Çukurova (Güzelyalı Mah.)</t>
  </si>
  <si>
    <t>esra önal</t>
  </si>
  <si>
    <t>güzelyalı mah 81156 sok zakir gergin apt no 3/b çukurova adana</t>
  </si>
  <si>
    <t>dönecek</t>
  </si>
  <si>
    <t>MUHAMER SEVDİ</t>
  </si>
  <si>
    <t>şakirpaşa mah şakirpaşa cd no 198 seyhan adana</t>
  </si>
  <si>
    <t>622f2ed716f8e8786fa6c123</t>
  </si>
  <si>
    <t>Kadayıf Dünyası, Seyhan (Kayalıbağ Mah.)</t>
  </si>
  <si>
    <t>Memduh Birdir</t>
  </si>
  <si>
    <t>5fe624e487a63b2b5b316d45</t>
  </si>
  <si>
    <t>Kadayıfçı Olcay (Hanedan Mah.)</t>
  </si>
  <si>
    <t>olcay tekin</t>
  </si>
  <si>
    <t>Hanedan</t>
  </si>
  <si>
    <t>hanedan mah 35009 sok no:1 seyhan adana</t>
  </si>
  <si>
    <t>5fe6219e345867474e458182</t>
  </si>
  <si>
    <t>Kadayıfçı Olcay, (Güzelyalı Mah. - Turgut Özal Blv.)</t>
  </si>
  <si>
    <t>güzelyalı mah turgut özal bulv anıl apt 2. blok no:10çukurova adana</t>
  </si>
  <si>
    <t>kemal arıkan</t>
  </si>
  <si>
    <t>pınar mah mavi bulvar 83 1 seyhan adana</t>
  </si>
  <si>
    <t xml:space="preserve">pınar mah. nazım hikmet cad. pınar sitesi c blok zemin kat kafe's eleman eksiginden dolayı şuan istemiyor ilerleyen zamnalarda /masraf etmek istemiyorum yalnızım yetşemiyorum dedi. ileride kışa dogru bakalım dedi.- numara mesgul </t>
  </si>
  <si>
    <t>ender güleray</t>
  </si>
  <si>
    <t>5323763556/053237963556</t>
  </si>
  <si>
    <t>Ünal ildeniz</t>
  </si>
  <si>
    <t>ELİF KAPLAN</t>
  </si>
  <si>
    <t>saat 13.00 - 13.00 arayın dedi  yetkili muhammet beyden randevu alındı - 05369490113</t>
  </si>
  <si>
    <t>armağan sarı</t>
  </si>
  <si>
    <t>NET BİR ŞEKİLDE İSTEMİYORUM DEDİ ANLATMADI BİLE</t>
  </si>
  <si>
    <t>abdurrahman karaca</t>
  </si>
  <si>
    <t>tadilattalar 1 ay sonra</t>
  </si>
  <si>
    <t>HAMİT ELMAS</t>
  </si>
  <si>
    <t>mehmet bey ile dç alındı</t>
  </si>
  <si>
    <t>TUĞÇE ERGÜL</t>
  </si>
  <si>
    <t>Ömer bey</t>
  </si>
  <si>
    <t>Abdurrahim Bozboğa</t>
  </si>
  <si>
    <t>622f3a8eadae29d62e62e44b</t>
  </si>
  <si>
    <t>Kardeş Döner, Seyhan (Onur Mah.)</t>
  </si>
  <si>
    <t>Zeynep Kardaş</t>
  </si>
  <si>
    <t>Onur</t>
  </si>
  <si>
    <t>onur mah. 45001 sok no 35 a seyhan adana</t>
  </si>
  <si>
    <t>ENGİN ÖGMEN</t>
  </si>
  <si>
    <t>tellidere mah 72080 sk ahmet demirel plaza seyhan adana</t>
  </si>
  <si>
    <t xml:space="preserve">A BLOK ZEMİN KAT NO :4 </t>
  </si>
  <si>
    <t>recep koçak</t>
  </si>
  <si>
    <t>muhammed beşir bildek</t>
  </si>
  <si>
    <t>yusuf ortaçgülen</t>
  </si>
  <si>
    <t xml:space="preserve">DEVAM ÇEKİMİ ALINDI </t>
  </si>
  <si>
    <t>YUNUS VANÇİN</t>
  </si>
  <si>
    <t>ismail çalıkıran</t>
  </si>
  <si>
    <t>en yakın zamanda gönderecekmiş 5464191676- numara mesgul- randevu olusturuldu /fotoğraflarım var dedi mail verildi</t>
  </si>
  <si>
    <t>süleyman murat uğuruyar</t>
  </si>
  <si>
    <t>Sarıyakup</t>
  </si>
  <si>
    <t>geri dönüş sağlayacaklar// 2 3 gibi tekrar aranacak.</t>
  </si>
  <si>
    <t>bülent bayrak</t>
  </si>
  <si>
    <t>ekim gibi istiyor-randevu olusturuldu/ çok maliyetli olur oyüzden ben kendim çekip gönderirim dedi.</t>
  </si>
  <si>
    <t>605a570c0405e9f2b5bad7a7</t>
  </si>
  <si>
    <t>Kebapçı Gökhan (Bahçeşehir Mah.)</t>
  </si>
  <si>
    <t>umut kerti</t>
  </si>
  <si>
    <t>bahçeşehir mah mehmet fuat dıblan blv no 111/A seyhan adana</t>
  </si>
  <si>
    <t xml:space="preserve">olumlu bir düşüncem olursa dönüş yaparım/yanlış numara sistemdeki numara aranmasın 0546 787 48 86/mail adresi verildi-ulasılamadı- sisitemdeki numara yanlış aranmasın kesinlikle - yetkili yok yarın ogleden sonra aranacak </t>
  </si>
  <si>
    <t>halime alğan</t>
  </si>
  <si>
    <t xml:space="preserve">HAFTAYA İÇİN ARANACAK </t>
  </si>
  <si>
    <t>621cbd106c2201ab11825547</t>
  </si>
  <si>
    <t>Kebapçı İbo, Seyhan (Sümer Mah.)</t>
  </si>
  <si>
    <t>YUSUF TÜLEK</t>
  </si>
  <si>
    <t>SÜMER MAH NECİP FAZIL KISAKÜREK BLV NO 3 B SEYHAN ADANA</t>
  </si>
  <si>
    <t xml:space="preserve">hat meşgul </t>
  </si>
  <si>
    <t>onur dilmen</t>
  </si>
  <si>
    <t>05447691954 Randevu istiyor Haftaya salıdan sonra herhangi bir gün için olablir dedi./ öğlen arayın/ haftaya randavu oluşturulacak-randevu olusturuldu</t>
  </si>
  <si>
    <t>HALİME ÜNNÜ</t>
  </si>
  <si>
    <t xml:space="preserve">saat bir iki gibi gelir dedi yetkili yok dedi suan - sistemimiz bozuk dedi bilgisayarcı gelip yapacak dedi 1 hafta sonra arayabilirsiniz dedi </t>
  </si>
  <si>
    <t>61cb1b1c057f1f60c773989c</t>
  </si>
  <si>
    <t>Keklik Et &amp; Ocakbaşı, Kozan (Tufanpaşa Mah.)</t>
  </si>
  <si>
    <t>MAHMUT KEKLİK</t>
  </si>
  <si>
    <t>Tufanpaşa mahallesi andıl caddesi no :16 Adana/Kozan</t>
  </si>
  <si>
    <t>62456ff40925f996edfe1310</t>
  </si>
  <si>
    <t>Kerim Baba Börekçilik, Yüreğir (Cumhuriyet Mah.)</t>
  </si>
  <si>
    <t>Mustafa Kemal Ciyavel</t>
  </si>
  <si>
    <t>Dede Korkut</t>
  </si>
  <si>
    <t>Cumhuriyet Mah. 768 Sok, Gülbey Karataş Cd. No: 9 D:Z01, 01280 Yüreğir/Adana</t>
  </si>
  <si>
    <t>61b8c1267baa101cbdde3b24</t>
  </si>
  <si>
    <t>Kervan Pastanesi,Çukurova (Güzelyalı mah.-Süleyman Demirel Bul.)</t>
  </si>
  <si>
    <t>Karslılar</t>
  </si>
  <si>
    <t>güzelyalı mahallesi süleyman demirel bulvarı no:55/a</t>
  </si>
  <si>
    <t xml:space="preserve">bir daha aramayın beyfendi dedi yüzüme kapattı </t>
  </si>
  <si>
    <t>mustafa gökpınar</t>
  </si>
  <si>
    <t>5426180882- galip beyle görüşüldü</t>
  </si>
  <si>
    <t>609a8fe96154b37bbe2f0093</t>
  </si>
  <si>
    <t>Keyf-i Big Burger, Kozan (Karacaoğlan Mah.)</t>
  </si>
  <si>
    <t>veysel şakir</t>
  </si>
  <si>
    <t>tufanpaşa mah turgut özal blv no 82 c kozan adana</t>
  </si>
  <si>
    <t>bünyamin düşmez</t>
  </si>
  <si>
    <t>harun kılınç</t>
  </si>
  <si>
    <t>Pınar Mah., 74049. Sok., No:10, Seyhan, Adana</t>
  </si>
  <si>
    <t>abdulhenan doğan</t>
  </si>
  <si>
    <t>Teyit için arandı ulaşılamadı/tellidere mahallesi mücahitler caddesi 72137 sokak telepark apartmanı 6</t>
  </si>
  <si>
    <t>620e362c26bf9c27032df44e</t>
  </si>
  <si>
    <t>Kırmızı Köşe Sokak Lezzetleri, Seyhan (Döşeme Mah.)</t>
  </si>
  <si>
    <t>Alperen Çam</t>
  </si>
  <si>
    <t>Döşeme mah. Cumhuriyet caddesi no: 87/a seyhan/adana</t>
  </si>
  <si>
    <t>619f37223a1a5fe68760db59</t>
  </si>
  <si>
    <t>Kimyon, Seyhan (Pınar Mah.)</t>
  </si>
  <si>
    <t>pınar mah ismail hazar sk golden towers a blok no 29 a seyhan adana</t>
  </si>
  <si>
    <t>600af06d906cbf2d58b6cc88</t>
  </si>
  <si>
    <t>Koala Sosis , Seyhan (Cemalpaşa Mah.)</t>
  </si>
  <si>
    <t>cemalpaşa mah 63007 sokak no:24b seyhan adana</t>
  </si>
  <si>
    <t>606dfaecf1f29d5cde64928c</t>
  </si>
  <si>
    <t>Kolcuoğlu Kebap (Toros Mah.)</t>
  </si>
  <si>
    <t>mehmet bey</t>
  </si>
  <si>
    <t>toros mah 78192 sok ahmet işlek apt no 2 c çukurova adana</t>
  </si>
  <si>
    <t xml:space="preserve"> biraz işleri varmış ondan sonra gönderecekmiş/maile atacak 5321788221 yusuf bey-elimizde fotograflar var dedi ben bugun almaya gıdıyorum dedi atarım dedi</t>
  </si>
  <si>
    <t>625550d171b48f378438f24e</t>
  </si>
  <si>
    <t>Konak Pasta &amp; Cafe, Seyhan ( Pınar Mah.)</t>
  </si>
  <si>
    <t>İbrahim Aktay</t>
  </si>
  <si>
    <t>pınar mah. nazım hikmet cad. pınar park sitesi no 58 seyhan adana</t>
  </si>
  <si>
    <t>619621d3cea58f4f747fbc33</t>
  </si>
  <si>
    <t>Konukoğlu Baklava, Ceyhan (Burhaniye Mah.)</t>
  </si>
  <si>
    <t>tayyip konuk</t>
  </si>
  <si>
    <t>burhaniye mah inönü blv no 23 ceyhan adana</t>
  </si>
  <si>
    <t>61c1c5e7cd475524fb77f213</t>
  </si>
  <si>
    <t>çilem ılgın akartürk</t>
  </si>
  <si>
    <t>MAHFESIĞMAZ MAH. ŞEHİTLER BLV. NO: 44 A ÇUKUROVA/ ADANA</t>
  </si>
  <si>
    <t>ürünlerim eksik yılbaşından sonra yapalım dedi - birazdan ararım ben sizi dedi /Bu aralar yoğunum istemiyorum dedi</t>
  </si>
  <si>
    <t>ahmet acarlar</t>
  </si>
  <si>
    <t>2 kere gidilmemiş tekrar randevu oluşturuldu/5467229529</t>
  </si>
  <si>
    <t>Bilal yurt</t>
  </si>
  <si>
    <t>burhan kar</t>
  </si>
  <si>
    <t>b</t>
  </si>
  <si>
    <t xml:space="preserve">ulasılamadı - 1 haftaya aranacak </t>
  </si>
  <si>
    <t>6127841be2169b1c590fa7a6</t>
  </si>
  <si>
    <t>Köftehane Etsiz Çiğ Köfte, Seyhan (Sümer Mah. - Karafatma Cad.)</t>
  </si>
  <si>
    <t>salih toramantekin</t>
  </si>
  <si>
    <t>Sümer, Karafatma Cd. 76/a, 01140 Seyhan/Adana</t>
  </si>
  <si>
    <t>numara kullanılmamakta</t>
  </si>
  <si>
    <t>611d04ac51d7d80c2b291cdd</t>
  </si>
  <si>
    <t>ramazan toramantekin</t>
  </si>
  <si>
    <t>602405985d729c27a74ecb9d</t>
  </si>
  <si>
    <t>zahit uludağ</t>
  </si>
  <si>
    <t>biz yine dönüş sağlarız size dedi/ bu konularda merkez ilgileniyormuş.</t>
  </si>
  <si>
    <t>5ffe02a3292a61819db25f49</t>
  </si>
  <si>
    <t>Köse, Çukurova (Huzurevleri Mah.)</t>
  </si>
  <si>
    <t>özkan tanrıverdi</t>
  </si>
  <si>
    <t>huzurevleri mah kurttepe cd no:21 d:17 çukurova adana</t>
  </si>
  <si>
    <t>5ff4d1ed0e63fe4237ccba94</t>
  </si>
  <si>
    <t>Köse, Çukurova (Toros Mah. Hayalpark)</t>
  </si>
  <si>
    <t>burak gedik</t>
  </si>
  <si>
    <t>toros mah kasım ener cad no:6 01170 çukurova adana</t>
  </si>
  <si>
    <t>5ffdfa2e68b49456c58f38b6</t>
  </si>
  <si>
    <t>Köse, Seyhan (Kurtuluş Mah. - Ziyapaşa Blv.)</t>
  </si>
  <si>
    <t>çınarlı mah ziyapaşa bulv başar apt no:61/a seyhan adana</t>
  </si>
  <si>
    <t>5337404344 // ezgi hanıma dönüş sağlayacak aranmasın</t>
  </si>
  <si>
    <t>Alidede</t>
  </si>
  <si>
    <t>alidede mah alptekin işhanı gizerler karşısı no:30 saydam caddesi seyhan adana</t>
  </si>
  <si>
    <t xml:space="preserve">gönderimi sağlanmış- özkan bey cuma gunu gelecek ben haber veririm dedi- önümüzdeki hafta bası aranacak - ben aratırayım dedi kapattı </t>
  </si>
  <si>
    <t>5ff4ce452ccf2549262357e3</t>
  </si>
  <si>
    <t>Köse, Seyhan (Sümer Mah. - Karafatma Cad.)</t>
  </si>
  <si>
    <t>sümer mh karafatma cad no:71 01140 seyhan adana</t>
  </si>
  <si>
    <t>5315788810 fotografları gönderecekmiş</t>
  </si>
  <si>
    <t>5ff4d048eeb85d5507cf504b</t>
  </si>
  <si>
    <t>Köse, Seyhan (Tellidere Mah.)</t>
  </si>
  <si>
    <t>pınar mah mücahitler cad no:303 01160 seyhan adana</t>
  </si>
  <si>
    <t>5315788810 fotografları gönderecekmiş. // panelde fotoları mevcut eksikler için arandı eksikleri ben halleder size tekrar gönderirim dedi</t>
  </si>
  <si>
    <t>ibrahim çoban</t>
  </si>
  <si>
    <t>1 saat sonra 05537310101/FOTOGRAFLAR YUKLENILMIS</t>
  </si>
  <si>
    <t>60b628c9f7e442dbcc3f2236</t>
  </si>
  <si>
    <t>Köşem Lokanta, Ceyhan (Aydemiroğlu Mah.)</t>
  </si>
  <si>
    <t>mehmet büyüktepe</t>
  </si>
  <si>
    <t>Kaltakiye</t>
  </si>
  <si>
    <t>aydemiroğlu mah emin civelek blv no 99 ceyhan adana</t>
  </si>
  <si>
    <t>6203cb0536426d1135890ae7</t>
  </si>
  <si>
    <t>Köy Sofrası, Çukurova (Güzelyalı Mah.)</t>
  </si>
  <si>
    <t>Hasan Çetindağ</t>
  </si>
  <si>
    <t>güzelyalı mah 81161 sok aşiyan apt no 11/a çukurova adana</t>
  </si>
  <si>
    <t>hat meşgul</t>
  </si>
  <si>
    <t>HASAN ÇETİNDAĞ</t>
  </si>
  <si>
    <t xml:space="preserve">Orçun beyden randevu alındı </t>
  </si>
  <si>
    <t>Necmettin Aslan</t>
  </si>
  <si>
    <t>eylül gibi düşünürüz dedi/eylülde çekim istiyor/ tekrar ara-numara mesgul-ekim ayında aranacak -ö.s</t>
  </si>
  <si>
    <t>ekrem karakoyun</t>
  </si>
  <si>
    <t xml:space="preserve">1-2 saat sonra tekrar aranacak. 0546 867 6098 </t>
  </si>
  <si>
    <t>62420df6c596947cf6e6b050</t>
  </si>
  <si>
    <t>Kral Künefe, Seyhan (Pınar Mah.)</t>
  </si>
  <si>
    <t>Büşra Yıldızoğlu</t>
  </si>
  <si>
    <t>pınar mah a bozdoğanoğlu bul hilmi karaörs sit no:421/c seyhan adana</t>
  </si>
  <si>
    <t>ebru aydınlıoğlu kondu</t>
  </si>
  <si>
    <t>60a7fbb042791b26085bf3f1</t>
  </si>
  <si>
    <t>Kupa, Çukurova (Mahfesığmaz Mah.)</t>
  </si>
  <si>
    <t>hüseyin altun</t>
  </si>
  <si>
    <t>Mahfesığmaz 79019. Sokak 4-2 A D:4-2 A, 01170 Çukurova/Adana</t>
  </si>
  <si>
    <t>Ali bey/ 5517188991 şu anda kurye sıkıntıları olduğundan dolayı paket servisleri yok tekradan hizmete başlayınca iletişime geçilecek aranmasına gerek yok.</t>
  </si>
  <si>
    <t>Ömer turan</t>
  </si>
  <si>
    <t>0532 201 4143-randevu olusturuldu</t>
  </si>
  <si>
    <t>622b5869f66ab907edf8a9fa</t>
  </si>
  <si>
    <t>Künefe Dünyası, Seyhan (Pınar Mah.)</t>
  </si>
  <si>
    <t>Seyhan Evren</t>
  </si>
  <si>
    <t>pınar mah. ali bozdoğan bul. hasan sun apt. no 24 a seyhan adana</t>
  </si>
  <si>
    <t>olgu sarı</t>
  </si>
  <si>
    <t xml:space="preserve">yetkili burcu hanımdan randevu alındı </t>
  </si>
  <si>
    <t>Gürselpaşa Mah. 75402 Sk. Elia Apt. No:4 seyhan adana</t>
  </si>
  <si>
    <t>barış yalçındağ</t>
  </si>
  <si>
    <t xml:space="preserve">5332109368 bugun gün içinde gönderecegim dedi-ben mail adresinize atayım eger yuklenmesse cekim icin arkadaslar gelebilir dedi BARIS BEY NO:05332109368- randevu olusturuldu </t>
  </si>
  <si>
    <t>6238cc9330864fe6d10adf4e</t>
  </si>
  <si>
    <t>La Pace, Çukurova (Güzelyalı Mah.)</t>
  </si>
  <si>
    <t>BUKET SAMAN</t>
  </si>
  <si>
    <t>Güzelyalı Mah. Turgut Özal Blv. No: 10 F Çukurova/ADANA</t>
  </si>
  <si>
    <t>5ffde74a757a6c84b6615d15</t>
  </si>
  <si>
    <t>Lale Börekçilik , Seyhan (Sümer Mah. - Barajyolu)</t>
  </si>
  <si>
    <t>adem dayan</t>
  </si>
  <si>
    <t>sümer mah şehit yüzbaşı bülent angın bulv.dostlar apt b blok no:19/a seyhan adana</t>
  </si>
  <si>
    <t>6050cd7c94bb4eb0ce7af7f5</t>
  </si>
  <si>
    <t>Lale Börekçilik (İsmetpaşa Mah.)</t>
  </si>
  <si>
    <t>ömer dayan</t>
  </si>
  <si>
    <t>ismetpaşa mh 51160 sk a blok no 8 iç kapı no 102 seyhan adana</t>
  </si>
  <si>
    <t>602b8114e77af6533f137724</t>
  </si>
  <si>
    <t>Lale Börekçilik (Kurttepe)</t>
  </si>
  <si>
    <t>siracettin dayan</t>
  </si>
  <si>
    <t>yurt mh turgut özal blv no 178 d çukurova adana</t>
  </si>
  <si>
    <t>yt namazda 10 dk gelir dedi</t>
  </si>
  <si>
    <t>ferhat bey</t>
  </si>
  <si>
    <t>nusret bey</t>
  </si>
  <si>
    <t>6026dee946a84342fc6e33f8</t>
  </si>
  <si>
    <t>Lale Börekçilik, (Toros Mah. - Kenan Evren Blv.)</t>
  </si>
  <si>
    <t>muhammed dayan</t>
  </si>
  <si>
    <t>toros mah şehitler bulv harman apt no 101 d çukurova adana</t>
  </si>
  <si>
    <t>601489bfd1201b8ce59557bd</t>
  </si>
  <si>
    <t>Lale Börekçilik, Seyhan (Pınar Mah.)</t>
  </si>
  <si>
    <t>maşallah dayan</t>
  </si>
  <si>
    <t>pınar mah 74064 sok no 1 seyhan adana</t>
  </si>
  <si>
    <t>hayalpark şubeden çekim yapılmış</t>
  </si>
  <si>
    <t>5ffb00ba3cc99f0989cc8a01</t>
  </si>
  <si>
    <t>Lale Börekçilik,(Mavi bulvar, Baraj Lisesi Kavşağı)</t>
  </si>
  <si>
    <t>hasan dayan</t>
  </si>
  <si>
    <t>yeşilyurt mah mavi bulvar sezen 4 apt no:13/1 seyhan adana</t>
  </si>
  <si>
    <t>60155a52d32da67561d1c7f6</t>
  </si>
  <si>
    <t>Lemon Midye, Çukurova (Beyazevler Mah.)</t>
  </si>
  <si>
    <t>tevfik türk</t>
  </si>
  <si>
    <t>beyazevler mah devlet bahçeli bulv ali genç giyen apt no 18 b çukurova adana</t>
  </si>
  <si>
    <t xml:space="preserve">İşletme akşam 6-7 den sonra açıyor fotoğrafçı arkadaşlarınızı da mağdur etmek istemem erken saatlerde açmıyoruz biz der. Kendisine mail iletildi fotoğraf atacak. </t>
  </si>
  <si>
    <t>621b5ad1f6a8ca39e35f2436</t>
  </si>
  <si>
    <t>nazife aral</t>
  </si>
  <si>
    <t>beyazevler mah devlet bahçeli bulv ali gençgiyen apt no 18/b çukurova adana</t>
  </si>
  <si>
    <t>623cc603d463223a24655ab0</t>
  </si>
  <si>
    <t>Lezzet Kebap &amp; Döner, Sarıçam (Osmangazi Mah.)</t>
  </si>
  <si>
    <t>MELEK DÜZGÜN</t>
  </si>
  <si>
    <t>osmangazi mah. 2008 sok. no 3 b sarıçam adana</t>
  </si>
  <si>
    <t>MEHMET SAİT ÖZDEMİR</t>
  </si>
  <si>
    <t>TOROS MAH. ALİ SEPİCİ BLV. NO:5/A
 ÇUKUROVA/ADANA</t>
  </si>
  <si>
    <t xml:space="preserve">Teyit için arandı ulaşılamadı/Eyüp Bey ben size bildiririm dedi </t>
  </si>
  <si>
    <t>6092741170c8286797cb8c04</t>
  </si>
  <si>
    <t>Little Italy Pizzeria (Pınar Mah.)</t>
  </si>
  <si>
    <t>can akca</t>
  </si>
  <si>
    <t>pınar mah ali bozdoğanoğlu blv zeytin sitesi a blok no 52 seyhan adana</t>
  </si>
  <si>
    <t xml:space="preserve">ezgi hanıma dönüş yapıcaklar-istemiyorum dedi gerek duymuyorum dedi- suanlık istemiyorum dedi ben size ulasırım dedi kapattı </t>
  </si>
  <si>
    <t>614da49a0301a15b5360bb63</t>
  </si>
  <si>
    <t>Little Italy Pizzeria, Seyhan (Kurtuluş Mah.)</t>
  </si>
  <si>
    <t>eser korur</t>
  </si>
  <si>
    <t>kurtuluş mahallesi Sular mevki DreamWorks teras, 01110 Seyhan/Adana</t>
  </si>
  <si>
    <t xml:space="preserve">5303231984 eser bey/ yoğunluktan dolayı vaktimiz yok / mail verildi </t>
  </si>
  <si>
    <t>61a0c2023e14ff7ed8c43e22</t>
  </si>
  <si>
    <t>Little Italy Pizzeria, Seyhan (Sümer Mah. - Barajyolu)</t>
  </si>
  <si>
    <t>Sümer Mah., Seyhan, Adana, Türkiye,</t>
  </si>
  <si>
    <t>Seyhan ilçesi ama çukurova da da şubesi var</t>
  </si>
  <si>
    <t>cihad atala</t>
  </si>
  <si>
    <t>MAHFESIĞMAZ MAH. DEVLET BAHÇELİ BLV. ADNAN KAHVECI APT NO: 5 I ÇUKUROVA/ ADANA</t>
  </si>
  <si>
    <t>60748fe4f5113c472ccbf5ee</t>
  </si>
  <si>
    <t>Lokal Cafe Bistro (Kurtuluş Mah.)</t>
  </si>
  <si>
    <t>gaye deveci</t>
  </si>
  <si>
    <t>Kurtuluş mah Mithat Saraçoğlu Cd. lokman apt 1/101 doubletree by hilton altı Seyhan/Adana</t>
  </si>
  <si>
    <t xml:space="preserve">DAHA SONRA DEDİ. - 2 hafta sonra aranacak menüm güncellenecek dedi menüm güncellensin ondan sonra çekim istiyor - 2 hafta sonra arayın dedi daha menüm güncellenmedi o zaman iletişime geçelim dedi menü güncellemesi yapılmamıs </t>
  </si>
  <si>
    <t>60b7dd75b16b65de87b010a4</t>
  </si>
  <si>
    <t>Los Adanas Döner , Çukurova (Beyazevler Mah.)</t>
  </si>
  <si>
    <t>kudbettin bey</t>
  </si>
  <si>
    <t>beyazevler mah 80003 sok mustafa kulak apt a blok no 4 c çukurova adana</t>
  </si>
  <si>
    <t>NUMARA YANLIS BIRDAHA ARANMASIN .numara netten bulundu (0322) 225 30 30 fotograflarına bakcak 10 dakika sonra arancak/arandı varmış gönderecek. kudbettin bey no:05439766967 çekim istemedi bir hafta sonra aranacak</t>
  </si>
  <si>
    <t>60d50bdaed62933eaf3298ab</t>
  </si>
  <si>
    <t>Los Amigos Burger House (Mahfesığmaz Mah.)</t>
  </si>
  <si>
    <t>yakup övet</t>
  </si>
  <si>
    <t>fotoğrafları çekilmiş</t>
  </si>
  <si>
    <t>6194d183ddca383b6929f5d0</t>
  </si>
  <si>
    <t>Löp Löp Tantuni, Yüreğir (Karacaoğlan Mah.)</t>
  </si>
  <si>
    <t>ali han akkız</t>
  </si>
  <si>
    <t>karacaoğlan mah 3783 sk no 33 c yüreğir adana</t>
  </si>
  <si>
    <t>sizlere vakit ayıramam der</t>
  </si>
  <si>
    <t>fatih baykan</t>
  </si>
  <si>
    <t>5364246898 devam çekimi alındı</t>
  </si>
  <si>
    <t>624bf394f8bbfc960c4e0c5e</t>
  </si>
  <si>
    <t>M&amp;F Fırın ve Pasta, Çukurova (Belediye Evleri Mah.)</t>
  </si>
  <si>
    <t>Muhammet Alkan</t>
  </si>
  <si>
    <t>belediye evleri mah. hilmi kürklü bul. no 48/4 eren sitesi B blok Çukurova Adana</t>
  </si>
  <si>
    <t>624bf5b4d080eb3b046358f6</t>
  </si>
  <si>
    <t>M&amp;F Fırın ve Pasta, Çukurova (Huzurevleri Mah.)</t>
  </si>
  <si>
    <t>muhammet alkan</t>
  </si>
  <si>
    <t>huzurevleri mah. alpaslan türkeş bul. safran apt 335 a Çukurova adana</t>
  </si>
  <si>
    <t>Murat emen</t>
  </si>
  <si>
    <t>Mert Bey</t>
  </si>
  <si>
    <t>ali sadi boran</t>
  </si>
  <si>
    <t>Yenibaraj, Macho Waffle, 68046. Sk. no:1 D:E, 01150 Seyhan/Adana</t>
  </si>
  <si>
    <t xml:space="preserve">DAHA SONRA  -ulasılamadı - bır saate aranacak -05436656369 ahmet bey no hatıra APT. NO1/E- randevu olusturuldu </t>
  </si>
  <si>
    <t>kerem cebe</t>
  </si>
  <si>
    <t xml:space="preserve">1 ürün var </t>
  </si>
  <si>
    <t>6245da1d6e0e53ba9c3fb38c</t>
  </si>
  <si>
    <t>Maharetli Papatya Kebap &amp; Lahmacun, Seyhan (Bahçeşehir Mah.)</t>
  </si>
  <si>
    <t>zekeriya çalışkan</t>
  </si>
  <si>
    <t>Bahçeşehir mah fuat dıblan bulvarı no 126/A seyhan/Adana</t>
  </si>
  <si>
    <t>6065c02616b68f42c21b75f1</t>
  </si>
  <si>
    <t>Mahmutoğulları Baklava (Tahsilli Mah.)</t>
  </si>
  <si>
    <t>mahmut pınar</t>
  </si>
  <si>
    <t>tahsilli mah ege bağatur blv no 154 iç kapı no B yüreğir adana</t>
  </si>
  <si>
    <t xml:space="preserve">MAİL ADRESİNE GÖNDERİM SAGLANMIŞ - ögleden sonra aranacak </t>
  </si>
  <si>
    <t>5fee0f22e97c0d68ead18dbe</t>
  </si>
  <si>
    <t>Makkarnacı, Çukurova (Güzelyalı Mah. - Turgut Özal Blv.)</t>
  </si>
  <si>
    <t>Güzelyalı mah. Turgut Özal Bulvarı No: 70/F. Sefa Parlak Gümüş Apt A Blok Çukurova /Adana.</t>
  </si>
  <si>
    <t>başka şubeden çekilmiş o kullanılsın dedi</t>
  </si>
  <si>
    <t>ersoy pazarbaşı</t>
  </si>
  <si>
    <t xml:space="preserve">5332852664 gizem hanım mail atacak - DORT BES GIBI arayın dedi musait oluyorum o zaman dedi- randevu olusturuldu </t>
  </si>
  <si>
    <t>Ahmet Sağlam</t>
  </si>
  <si>
    <t>mehmet bey bayramdan sonra arayıp randevu oluşturabileceğiniz söyledi(05528081189</t>
  </si>
  <si>
    <t>62177650659cd551f4823f5d</t>
  </si>
  <si>
    <t>Mami Etsiz Çiğ Köfte, Seyhan (Dumlupınar Mah.)</t>
  </si>
  <si>
    <t>FATMA DURMUŞ</t>
  </si>
  <si>
    <t>dumlupınar mah 38059 sk no 1 seyhan adana</t>
  </si>
  <si>
    <t>61c1c236623617311d72d065</t>
  </si>
  <si>
    <t>Marifet, Çukurova (Toros Mah.)</t>
  </si>
  <si>
    <t>GÜLCAN ÖZTEPE</t>
  </si>
  <si>
    <t>TOROS MAH. 78077 SK. AKASYA APT NO: 1 İÇ KAPI NO: 01 ÇUKUROVA/ ADANA</t>
  </si>
  <si>
    <t>Yılbaşından Sonra Aranacak</t>
  </si>
  <si>
    <t xml:space="preserve">30 dk ya aranacak - yılbaşından sonra dönüş sağlanacak şuan çok yoğunum dedi - şuan müsait değil dedi çalışanı biz size dönüş sağlarız dedi </t>
  </si>
  <si>
    <t>GERGİN OĞUZ</t>
  </si>
  <si>
    <t>KURTULUŞ MAH M. NUR SABUNCU CAD SUZANOĞLU APT NO 68 SEYHAN ADANA</t>
  </si>
  <si>
    <t>numan akçay</t>
  </si>
  <si>
    <t xml:space="preserve">YARINA ILETISIME GECILCEK USTASIYLA KONUSULCAK- sabah on onbır gıbı arayın dedi misafir var dedi musait degilim dedi kapattı </t>
  </si>
  <si>
    <t>620417763cb42d16b3a377fe</t>
  </si>
  <si>
    <t>Mavisu Et &amp; Balık, Çukurova (Mahfesığmaz Mah.)</t>
  </si>
  <si>
    <t>mehmet üstekin</t>
  </si>
  <si>
    <t>mahfesığmaz mah 79079 sok no 1/1a çukurova adana</t>
  </si>
  <si>
    <t>ben yer değiştiriyorum numaranızı kaydettim sizlere dönüş sağlarım dedi</t>
  </si>
  <si>
    <t>623b6c1db45e38295cca2d91</t>
  </si>
  <si>
    <t>Maxii Döner Cafe, Seyhan (Ova Mah.)</t>
  </si>
  <si>
    <t>Elif Aka</t>
  </si>
  <si>
    <t>Ova</t>
  </si>
  <si>
    <t>Ova Mah. Şakirpaşa Cad. no 157 a seyhan adana</t>
  </si>
  <si>
    <t>61961ef3cea58fbe4c7f1c7a</t>
  </si>
  <si>
    <t>Maxii Döner, Seyhan (Tellidere Mah.)</t>
  </si>
  <si>
    <t>ferhat aka</t>
  </si>
  <si>
    <t>TELLİDERE MAH. 72137 SK. NO: 1 C SEYHAN/ ADANA</t>
  </si>
  <si>
    <t>VEYSİ TURĞUT</t>
  </si>
  <si>
    <t>gülcan korkmaz</t>
  </si>
  <si>
    <t>geri donus saglayacak / mehmet bey randevu oluştururken sonra konuşalım dedi.</t>
  </si>
  <si>
    <t>murat demir</t>
  </si>
  <si>
    <t>Barış Bey</t>
  </si>
  <si>
    <t>NURULLAH ARSLANTAŞ</t>
  </si>
  <si>
    <t>624beea8e6f612850e12f525</t>
  </si>
  <si>
    <t>Melipo Pastanesi, Kozan (Tufanpaşa Mah.)</t>
  </si>
  <si>
    <t>Semih Kökyıldırım</t>
  </si>
  <si>
    <t>tufanpaşa mah.turgut özal bul. no 92 a kozan adana</t>
  </si>
  <si>
    <t>ece güven</t>
  </si>
  <si>
    <t xml:space="preserve">elimde fotograflar var ben sıze hafta içi yollarım dedi- randevu olusturuldu </t>
  </si>
  <si>
    <t>MEHMET SÜREN</t>
  </si>
  <si>
    <t>mehmet bey no : 05413892101</t>
  </si>
  <si>
    <t>can yıldırım</t>
  </si>
  <si>
    <t>teymur beyle görüşüldü randevu oluşturuldu/ teymur beyden devam çekimi alındı.</t>
  </si>
  <si>
    <t>61ebd7e4fa679506ab04c943</t>
  </si>
  <si>
    <t>Mersin Tantuni Rauf Usta, Ceyhan (Burhaniye Mah.)</t>
  </si>
  <si>
    <t>AHMET ÖRS</t>
  </si>
  <si>
    <t>BURHANİYE MAH KIZILAY SK NO 40 CEYHAN ADANA</t>
  </si>
  <si>
    <t>602fc6198653ef79c3d23c2d</t>
  </si>
  <si>
    <t>Meşhur Adıyaman Çiğ Köftecisi Ömer (Kuruköprü Mah.)</t>
  </si>
  <si>
    <t>meryem coşkun</t>
  </si>
  <si>
    <t>kuruköprü mh sefa özler cd küçüksaat iş hanı no 12 seyhan adana</t>
  </si>
  <si>
    <t>60245212fdc8e1ddf78c49f9</t>
  </si>
  <si>
    <t>Meşhur Adıyaman Çiğ Köftecisi Ömer Aybak , (Yeşilyurt Mah.)</t>
  </si>
  <si>
    <t>Bedriye yardimci</t>
  </si>
  <si>
    <t>Yeşilyurt mahallesi Evren sitesi 70001 sokak C/1 blok altı No: 2 seyhan adana</t>
  </si>
  <si>
    <t>602fc98eaa09e0b8342ac604</t>
  </si>
  <si>
    <t>Meşhur Adıyaman Çiğ Köftecisi Ömer Aybak (Bey Mah.)</t>
  </si>
  <si>
    <t>cem perçin</t>
  </si>
  <si>
    <t>Bey</t>
  </si>
  <si>
    <t>bey mh asteğmen kemal yüzgeç blv no 68 seyhan adana</t>
  </si>
  <si>
    <t>602fd11be77af664ab14eae2</t>
  </si>
  <si>
    <t>Meşhur Adıyaman Çiğ Köftecisi Ömer Aybak (Gürselpaşa Mah.)</t>
  </si>
  <si>
    <t>mehmet ali kaygı</t>
  </si>
  <si>
    <t>gürselpaşa mh 7. cd dream town sitesi a blok no 38 c seyhan adana</t>
  </si>
  <si>
    <t>604b51776b54244a7d1af775</t>
  </si>
  <si>
    <t>Meşhur Adıyaman Çiğ Köftecisi Ömer Aybak (M. Akif Ersoy Mah.)</t>
  </si>
  <si>
    <t>zeynep gençoğlan</t>
  </si>
  <si>
    <t>Mehmet akif ersoy mh 223 sk no 24 B sarıçam adana</t>
  </si>
  <si>
    <t>60872e5f94bee0c0bb832369</t>
  </si>
  <si>
    <t>Meşhur Adıyaman Çiğ Köftecisi Ömer Aybak (Türkocağı Mah.)</t>
  </si>
  <si>
    <t>Türkocağı mah Debboy Cd. no10/B, 01120 Seyhan/Adana</t>
  </si>
  <si>
    <t>61b87a23c1195ea2b53975bb</t>
  </si>
  <si>
    <t>Meşhur Adıyaman Çiğ Köftecisi Ömer Aybak, Seyhan (Uçak Mah.)</t>
  </si>
  <si>
    <t>KEMAL KUŞCİ</t>
  </si>
  <si>
    <t>şakirpaşa mah 42067 sk seyhan adana</t>
  </si>
  <si>
    <t>60afa1f65b32f48e2f31b0f4</t>
  </si>
  <si>
    <t>Meşhur Adıyaman Çiğköftecisi Ömer Aybak (Koracaoğlan Mah.)</t>
  </si>
  <si>
    <t>hakan yalçın</t>
  </si>
  <si>
    <t>karacaoğlan mah şehit hüseyin soydan cd 3f kozan adana</t>
  </si>
  <si>
    <t>60882b3c44bd250d81ddc839</t>
  </si>
  <si>
    <t>Meşhur Kaburgacı Cahit Usta (Narlıca Mah.)</t>
  </si>
  <si>
    <t>beratcan tik</t>
  </si>
  <si>
    <t>Narlıca</t>
  </si>
  <si>
    <t>narlıca mah 56046 sk no 1/1 seyhan adana</t>
  </si>
  <si>
    <t>5465712147 numaraya mail gönderildi haftaya fotoğrafları gönderecekler- aranmasın</t>
  </si>
  <si>
    <t>Bünyamin Keleş</t>
  </si>
  <si>
    <t>melek hanım</t>
  </si>
  <si>
    <t>fotoğrafçı gelmemiş tekrardan randevu almak istiyor.</t>
  </si>
  <si>
    <t>selvet çetinkaya</t>
  </si>
  <si>
    <t>ibrahim evrensel</t>
  </si>
  <si>
    <t>60ad56c19dd39136b071030f</t>
  </si>
  <si>
    <t>Mevlana Lahmacun, Kozan (Karacaoğlan Mah.)</t>
  </si>
  <si>
    <t>arif ecevit</t>
  </si>
  <si>
    <t>karacaoğlan mahallesi hasan basri demirci blv 31 1 kozan adana</t>
  </si>
  <si>
    <t>605ccf271d92b2ace1730bc7</t>
  </si>
  <si>
    <t>Mezzevari (Güzelyalı Mah.)</t>
  </si>
  <si>
    <t>yiğit aysel</t>
  </si>
  <si>
    <t>güzelyalı mah 81185 sok gökdemir apt b blok no:3a çukurova adana</t>
  </si>
  <si>
    <t>öğleden sonra gelirmiş yiğit bey/haziranda randevu istiyormuş taşınma olaylarım var dedi// istemiyor-KESİNLİKLE İSTEMİYOR SEBEPTE BELİRTMİYOR ARANMASIN.</t>
  </si>
  <si>
    <t>çağlar sözütek</t>
  </si>
  <si>
    <t>1 aydır getir sistemini kullanmıyorum arayüzü çok yorucu menü değişikliği bile yapılmadı dedi</t>
  </si>
  <si>
    <t>MESUT BEY</t>
  </si>
  <si>
    <t>6221d2b2841e35419263d775</t>
  </si>
  <si>
    <t>Mira Cafe &amp; Restoran, Seyhan (Sümer Mah.)</t>
  </si>
  <si>
    <t>Rojhat Yüzük</t>
  </si>
  <si>
    <t>sümer mah. 69069 sok. no 1 seyhan adana</t>
  </si>
  <si>
    <t xml:space="preserve">gece konseri var yarın müsait olamam diğer hafta tekrardan iletişime geçelim dedi - ben şefime sorup sizlre dönüş yaparım dedi - mail adresi verildi ben yüklemesini sağlarım dedi </t>
  </si>
  <si>
    <t>606463ba2eb43958d6b6c8c4</t>
  </si>
  <si>
    <t>Mis Cafe (Kurtuluş Mah.)</t>
  </si>
  <si>
    <t>sadık orel</t>
  </si>
  <si>
    <t>kurtuluş mah 64010 sk ulular apt altı no 8 iç kapı no B seyhan adana</t>
  </si>
  <si>
    <t xml:space="preserve">mail verildi-sonra goruselim dedi kapattı- mail adresi tekrardan verildi ben gönderim sağlarım dedi </t>
  </si>
  <si>
    <t>ugur bozduman</t>
  </si>
  <si>
    <t>YAŞAR DADAŞ</t>
  </si>
  <si>
    <t>60dc4b1ad48ae47f543252ea</t>
  </si>
  <si>
    <t>Mithat Usta Döner , (Belediye Evleri Mah.)</t>
  </si>
  <si>
    <t>mithat bey</t>
  </si>
  <si>
    <t>belediye evleri mah 84199 sok galen apt a blok no 3-4 a iç kapı no 17 çukurova adana</t>
  </si>
  <si>
    <t xml:space="preserve">fotoğrafları maile atmış- ben sizleri ararım dedi kapattı </t>
  </si>
  <si>
    <t>umut günaydın</t>
  </si>
  <si>
    <t>600b2e887e16da4874ea6175</t>
  </si>
  <si>
    <t>Mr. Çiğ Köfte, Seyhan (Uçak Mah.)</t>
  </si>
  <si>
    <t>Uçak</t>
  </si>
  <si>
    <t>uçak mah şakirpaşa cad no:129/b seyhan adana</t>
  </si>
  <si>
    <t>600b2c37523bc66b263eda26        Mr. Çiğ Köfte, Seyhan (Çınarlı Mah.)  şubesinden alınacak</t>
  </si>
  <si>
    <t>cemil solmaz</t>
  </si>
  <si>
    <t>Gökhan Bey</t>
  </si>
  <si>
    <t>Mahfesığmaz, Enerjisa Karşısı, Turgut Özal Blv. 59/E, 01170 Çukurova/Adana</t>
  </si>
  <si>
    <t>602fa3797491a94e1e069b7e</t>
  </si>
  <si>
    <t>MT Börek Katmer (Turgut Özal)</t>
  </si>
  <si>
    <t>mahfesığmaz mh turgut özal bulv no 63 e baskın apt çukurova adana</t>
  </si>
  <si>
    <t>fotografları göndermiş sec@secbaklava.com</t>
  </si>
  <si>
    <t>5ffec2aa65ba52ba2c2ce1f6</t>
  </si>
  <si>
    <t>MT Börek Katmer, Seyhan (Yeşiloba Mah.)</t>
  </si>
  <si>
    <t>murat eskikırbaç</t>
  </si>
  <si>
    <t>yeşiloba mah turhan cemal beriker bulv adana iş merkezi siteler no:443/f seyhan adana</t>
  </si>
  <si>
    <t>fotografları göndermiş sec@secbaklava.com- ulasılamadı</t>
  </si>
  <si>
    <t>ayhan uzun</t>
  </si>
  <si>
    <t xml:space="preserve">15 dakikaya arancak  </t>
  </si>
  <si>
    <t>615ff03c43b5a3b989ce526c</t>
  </si>
  <si>
    <t>Multipower Cafe , Çukurova (Yurt Mah.)</t>
  </si>
  <si>
    <t>Mehmet Aydoğan</t>
  </si>
  <si>
    <t>Yurt, Kurttepe Cd. 14 C, 01170 Çukurova/Adana</t>
  </si>
  <si>
    <t>ezgiye dönüş sağlayacak - ulaşılamadı - ustam kovit oldu iki hafta sonra arayabilirsiniz işletmem kapalı dedi /</t>
  </si>
  <si>
    <t>60244e75808472adb073e88d</t>
  </si>
  <si>
    <t>Munch World Kitchen, (Cemalpaşa Mah.)</t>
  </si>
  <si>
    <t>İrfan güzel</t>
  </si>
  <si>
    <t>Cemalpaşa mah 63004 sk no 7 a/-seyhan adana</t>
  </si>
  <si>
    <t>ezgi hanımın numarası verildi irfan bey arayacak/şu an meşgulum daha sonra konuşup gün belirleyelim dedi/ suratıma kapattı- irfan bey : 05319354406 numara kullanılmamakta /yetkili irfan bey yok dönüş yapacak / yetkili yok.</t>
  </si>
  <si>
    <t>murat türkmen</t>
  </si>
  <si>
    <t xml:space="preserve">SÖYLEDİKLERİMİ ANLAMADI YOĞUNUZ DEDİ VE DİNLEMEDİ- RANDEVU OLUSTURULDU </t>
  </si>
  <si>
    <t>İbrahim Meşale</t>
  </si>
  <si>
    <t>EMRE BARIŞAN</t>
  </si>
  <si>
    <t>REŞATBEY MAH 62002 SK NO 3/1 İÇ KAPI NO 109 SEYHAN ADANA</t>
  </si>
  <si>
    <t>devam çekimi alınacak</t>
  </si>
  <si>
    <t>611e4c22e0a9b0140e340502</t>
  </si>
  <si>
    <t>Mutlu Döner, Seyhan (Yeşilyurt Mah.)</t>
  </si>
  <si>
    <t>hasan çınar</t>
  </si>
  <si>
    <t>yeşilyurt mah 70518 sk a blok no 8 / 1 iç kapı no 1 seyhan adana</t>
  </si>
  <si>
    <t xml:space="preserve">5418996242 fotograflarım var diye hatırllıyorum ama amin degilim inceleyim varsa mai,l alırım yoksa randevu oluştururuz dedi.-hafta içi aranacak - ezgının numarası verildi yarın ustamla konusup donus saglarım dedi - menü güncellenmesi yapilacak 10 gün sonra aranacak - salı günü görüselim dedi </t>
  </si>
  <si>
    <t>6225e7116f10c15c5671afc4</t>
  </si>
  <si>
    <t>Muzlu Süt Durağı, Seyhan (Sümer Mah.)</t>
  </si>
  <si>
    <t>Seyfettin Özer</t>
  </si>
  <si>
    <t>sümer mah. şehit yüzbaşı bülent angın bul. divan apt. b girişi no 71 seyhan adana</t>
  </si>
  <si>
    <t xml:space="preserve">2 hafta sonra arayın tadilat var </t>
  </si>
  <si>
    <t>602f91c87491a9c60b069441</t>
  </si>
  <si>
    <t>My Pizza (Cemalpaşa Mah.)</t>
  </si>
  <si>
    <t>aytaç kipalev</t>
  </si>
  <si>
    <t>CEMALPAŞA MAH. MUSTAFA GÜMÜŞDAMLA SK. DR EKREM BAYAZIT APT A GİRİŞİ NO: 8 D SEYHAN/ ADANA</t>
  </si>
  <si>
    <t xml:space="preserve">MENÜ DEĞİŞTERMEDEN OLMAZ DEDİ./Henüz değiştirmemişler menüyü çekim istemiyorum der. </t>
  </si>
  <si>
    <t>625012c43048cf664c7e9c11</t>
  </si>
  <si>
    <t>Nadide Et Döner, Seyhan (Yeni Mah.)</t>
  </si>
  <si>
    <t>ASLI YILDIRIM</t>
  </si>
  <si>
    <t>Yeni mah 87071 sok m1 avm no 15: 1k Seyhan Adana</t>
  </si>
  <si>
    <t>turan savcı</t>
  </si>
  <si>
    <t>Yeşilyuva</t>
  </si>
  <si>
    <t xml:space="preserve">salı çarşambaya istiyor/05308640147- istemiyorum dedi aranmasın </t>
  </si>
  <si>
    <t>Fatma Erdoğan</t>
  </si>
  <si>
    <t>mail adresi verildi- hepsi çekilmiş</t>
  </si>
  <si>
    <t>622b4eac7c940ab910619691</t>
  </si>
  <si>
    <t>Nazar Cafe &amp; Pizza, Kozan (Karacaoğlan Mah.)</t>
  </si>
  <si>
    <t>Mustafa Bozkurt</t>
  </si>
  <si>
    <t>karacaoğlan mah. turgut özal bul. göktürk apt. no 119 C Kozan adana</t>
  </si>
  <si>
    <t>609542a8d924290c576d2bd3</t>
  </si>
  <si>
    <t>Nefis Adana Kebap, Ceyhan (Konakoğlu Mah.)</t>
  </si>
  <si>
    <t>fikret yılmaz</t>
  </si>
  <si>
    <t>konakoğlu mah süleyman oğuz cerit bulvarı no 15 ceyhan adana</t>
  </si>
  <si>
    <t xml:space="preserve">müsait değil tekrar aranacak </t>
  </si>
  <si>
    <t>yusuf bakır</t>
  </si>
  <si>
    <t xml:space="preserve">dç için farklı bır sısteme gırceklermıs oyuzden bunları halledınce kendısı bızı arıycak- devam çekimi olusturuldu </t>
  </si>
  <si>
    <t>622f1a440f965c9d4c5612e7</t>
  </si>
  <si>
    <t>Nergiz Büfe, Seyhan (Yenibaraj Mah.)</t>
  </si>
  <si>
    <t>Nurgül nergiz</t>
  </si>
  <si>
    <t>yenibaraj mah. şehit yüzbaşı bülent angın blv. hatıra apt. no 80 c seyhan adana</t>
  </si>
  <si>
    <t>605656adc927999d039e6ed5</t>
  </si>
  <si>
    <t>Neşe Kebap &amp; Lahmacun (Narlıca Mah.)</t>
  </si>
  <si>
    <t>serkan baycur</t>
  </si>
  <si>
    <t>Narlıca mah 56135. Sk. No:39, 01180 Seyhan/Adana</t>
  </si>
  <si>
    <t>fiyatlarla ilgili sıkıntısı var bölge sorumlusu ilgileneceğim demiş ilgilenmemiş o yüzden kullanmadığını söyledi</t>
  </si>
  <si>
    <t>süleyman erdemer</t>
  </si>
  <si>
    <t>607d3037d384d4d2e2d31dcb</t>
  </si>
  <si>
    <t>Nevale Restoran (Güzelyalı Mah.)</t>
  </si>
  <si>
    <t>berk çalışkan</t>
  </si>
  <si>
    <t>GÜZELYALI MAH. UĞUR MUMCU BLV. NO: 18 A ÇUKUROVA/ ADANA</t>
  </si>
  <si>
    <t>teyit için arandı açmadı-numara mesgul</t>
  </si>
  <si>
    <t>hasan aka</t>
  </si>
  <si>
    <t>suratıma kapatılar</t>
  </si>
  <si>
    <t>61b8ccca64d232655d729509</t>
  </si>
  <si>
    <t>Next Republic , Çukurova (Güzelyalı Mah.)</t>
  </si>
  <si>
    <t>Uzak Doğu Mutfağı</t>
  </si>
  <si>
    <t>elçin hanım</t>
  </si>
  <si>
    <t>GÜZELYALI MAH. 81059 SK. NO: 16 A İÇ KAPI NO: 1 ÇUKUROVA/ ADANA</t>
  </si>
  <si>
    <t xml:space="preserve">5-6 gibi arayın şuan müsait değilim dedi </t>
  </si>
  <si>
    <t>61b8d24b7baa104baee440f4</t>
  </si>
  <si>
    <t>Next Republic , Seyhan (Cemalpaşa Mah.)</t>
  </si>
  <si>
    <t>selahattin bey</t>
  </si>
  <si>
    <t>CEMALPAŞA MAH. TOROS CAD. ÇİĞDEM APARTMANI NO: 6 A SEYHAN/ ADANA</t>
  </si>
  <si>
    <t>Kendileri arayacaklarmış ayarlama yapıp</t>
  </si>
  <si>
    <t>623186aa426ed18620d3d5d3</t>
  </si>
  <si>
    <t>Niyazi Lahmacun, Ceyhan (Konakoğlu Mah.)</t>
  </si>
  <si>
    <t>Mehmet Gürol Yaracıer</t>
  </si>
  <si>
    <t>konakoglu mah. hükümet cad. no 65 ceyhan adana</t>
  </si>
  <si>
    <t>60098530c11c76c233ba36f6</t>
  </si>
  <si>
    <t>Nokta Kebap &amp;Lahmacun,(Belediyeevleri Mah.)</t>
  </si>
  <si>
    <t>burak kartopu</t>
  </si>
  <si>
    <t>belediye evleri mah no 84150 sok altıntaş apt altı no:2/a çukurova adana</t>
  </si>
  <si>
    <t xml:space="preserve">DURUMUM YOK OSMAN BEY 05342605019 /kuryede sorun var sonra dönüş yapıcaklar./dönüş yapacaklar // durumu yokmuş şuan düşünmüyor/MAİL ADRESİNE İLETECEK </t>
  </si>
  <si>
    <t>62150c4635ab0af331939ce3</t>
  </si>
  <si>
    <t>Noni Doğal Yaşam, Çukurova (Toros Mah.)</t>
  </si>
  <si>
    <t>ALPER GEGEZİNLİ</t>
  </si>
  <si>
    <t>TOROS MAH. 78170 SK. ÇAĞIN 2 APT NO: 5 A ÇUKUROVA/ ADANA</t>
  </si>
  <si>
    <t xml:space="preserve">mail verildi </t>
  </si>
  <si>
    <t>6149b00b3a2c28526530afd6</t>
  </si>
  <si>
    <t>O' Han Pizza, Seyhan (Pınar Mah.)</t>
  </si>
  <si>
    <t>orhan akyüz</t>
  </si>
  <si>
    <t>Fatih</t>
  </si>
  <si>
    <t>pınar mah 74175 sk no 1 b seyhan adana</t>
  </si>
  <si>
    <t xml:space="preserve">fotografları mevcut 1 hafta sonra teyit amaçlı arancak </t>
  </si>
  <si>
    <t>devam çekimi olabilir ama suan müsait degiliz ileride sizi ararız dedi./ devam çekimi için arandı yetkili yokmuş pazartesi gelirmiş/yt yok 5-10 dk ya arancak</t>
  </si>
  <si>
    <t>60243808429bd8b9787de59a</t>
  </si>
  <si>
    <t>O’Han Pizza , (Belediyeevleri Mah.)</t>
  </si>
  <si>
    <t>belediye evleri mah hilmi kürklü bulv 69 e çukurova adana</t>
  </si>
  <si>
    <t>güzelyalıdaki şubeden çekim istiyor -5309594547</t>
  </si>
  <si>
    <t>alperen çam</t>
  </si>
  <si>
    <t>çekilen fotoğrafları beğenmedim devam çekimi istemiyorum dedi farklı fotoğrafçı arkadaşımız gelecek dedim ben kendim çektireceğim dedi.</t>
  </si>
  <si>
    <t>murat ozansak</t>
  </si>
  <si>
    <t>yoğunluk var boş vakitleri yok.// teşekkürler iyi günler dedi kapattı.</t>
  </si>
  <si>
    <t>621e10e06f89f452bc5fbd90</t>
  </si>
  <si>
    <t>Omnia Story Burger, Seyhan (Kurtuluş Mah.)</t>
  </si>
  <si>
    <t>YILMAZ YELKEN</t>
  </si>
  <si>
    <t>KURTULUŞ MAH. DEMOKRASİ SK. NADIDE APT NO: 24 İÇ KAPI NO: 2 SEYHAN/ ADANA</t>
  </si>
  <si>
    <t xml:space="preserve">mail adresi verildi </t>
  </si>
  <si>
    <t>6037a1e4f539a0feb4059cae</t>
  </si>
  <si>
    <t>One Slice Pizza (Güzelyalı Mah.)</t>
  </si>
  <si>
    <t>semih bayar</t>
  </si>
  <si>
    <t>güzelyalı mh 81151 sk no 4 a çukurova adana</t>
  </si>
  <si>
    <t>Getirin varlığıyla yokluğu bir daha yeni olduğu için faaliyet gösteremiyor heralde diğer firma gibi olmadığını belirtti gerekirse ben ararım siz aramayın dedi.</t>
  </si>
  <si>
    <t>VEYSEL KOÇAKLI</t>
  </si>
  <si>
    <t>2 şubesii var</t>
  </si>
  <si>
    <t>620a1565716b66fa111ea20b</t>
  </si>
  <si>
    <t>Onur Kardeşler Unlu Mamüller, Seyhan (Ziyapaşa Mah.)</t>
  </si>
  <si>
    <t>ziyapaşa mah bağlar karakolu seyhan adana</t>
  </si>
  <si>
    <t>620a12ac4eff269cdaa28b2d        Onur Kardeşler Unlu Mamüller, Seyhan (Sümer Mah.)   şubeden alınacak</t>
  </si>
  <si>
    <t>61efda2c25a5ba3b5fcbb6f9</t>
  </si>
  <si>
    <t>VEDAT EMRE EREN</t>
  </si>
  <si>
    <t>Gürselpaşa mahallesi Şehit Polis Şahin Polat Aydın Bulvarı No:39/A</t>
  </si>
  <si>
    <t xml:space="preserve">ulaşılamadı - şuan müsait değilim dönerim ben size dedi - ortalama saat 5-6 gibi gelir dedi </t>
  </si>
  <si>
    <t>6202300040a212ada652616c</t>
  </si>
  <si>
    <t>Orhan Usta Kebap, Seyhan (Küçükdikili Mah.)</t>
  </si>
  <si>
    <t>ORHAN ÇAKIR</t>
  </si>
  <si>
    <t>küçükdikili mah şehitlik cad seyhan adana</t>
  </si>
  <si>
    <t>606358824f6acb4a3a45e709</t>
  </si>
  <si>
    <t>Oses Çiğ Köfte (Atakent Mah.)</t>
  </si>
  <si>
    <t>mehmet yılmaz</t>
  </si>
  <si>
    <t>atakent mah 2270 sk no 5 iç kapı no 2 yüreğir adana</t>
  </si>
  <si>
    <t>Orkun Ölçekci</t>
  </si>
  <si>
    <t>60620fd7aa4729222daa81de</t>
  </si>
  <si>
    <t>Oses Çiğ Köfte (Bahçeşehir Mah.)</t>
  </si>
  <si>
    <t>cengiz çapraz</t>
  </si>
  <si>
    <t>bahçeşehir mh mehmet fuat diblan blv no 102 seyhan adana</t>
  </si>
  <si>
    <t>6075e478f925b03678f28318</t>
  </si>
  <si>
    <t>Oses Çiğ Köfte (Fevzipaşa Mah.)</t>
  </si>
  <si>
    <t>ali can dağlaraşar</t>
  </si>
  <si>
    <t>fevzipaşa mh 48046 sk no 18b seyhan adana</t>
  </si>
  <si>
    <t>605babac0405e91c5cbaedff</t>
  </si>
  <si>
    <t>Oses Çiğ Köfte (Karasoku Mah.)</t>
  </si>
  <si>
    <t>zekeriyya oğuz</t>
  </si>
  <si>
    <t>karasoku mh ali münif yegenağa cd no 22 A seyhan adana</t>
  </si>
  <si>
    <t>60635adf02bcfe2b61ea460a</t>
  </si>
  <si>
    <t>Oses Çiğ Köfte (Levent Mah.)</t>
  </si>
  <si>
    <t>polat narin</t>
  </si>
  <si>
    <t>levent mah levent caddesi no 67/A yüreğir adana</t>
  </si>
  <si>
    <t>60622e750e468ed398c7b846</t>
  </si>
  <si>
    <t>Oses Çiğ Köfte (Mahfesığmaz Mah. - Turgut Özal Blv.)</t>
  </si>
  <si>
    <t>özlem tanak</t>
  </si>
  <si>
    <t>mahfesıgmaz mah turgut özal bulv akın apt no :99/d çukurova adana</t>
  </si>
  <si>
    <t>60622a1b34f5ffec7857de78</t>
  </si>
  <si>
    <t>Oses Çiğ Köfte (Mahfesığmaz Mah.-Şehitler Blv.)</t>
  </si>
  <si>
    <t>ümit tanak</t>
  </si>
  <si>
    <t>mahfesıgmaz mah sehıtler bulv no:46 c çukurova adana</t>
  </si>
  <si>
    <t>6046294b4e9e974beab4f334</t>
  </si>
  <si>
    <t>Oses Çiğ Köfte (Reşatbey Mah.)</t>
  </si>
  <si>
    <t>ibrahim altunkanat</t>
  </si>
  <si>
    <t>reşatbey mah ordu cad no 34 c seyhan adana</t>
  </si>
  <si>
    <t>6062e67c1a40c43993398e48</t>
  </si>
  <si>
    <t>Oses Çiğ Köfte (Selahattin Eyyubi Mah.)</t>
  </si>
  <si>
    <t>serkan tekin</t>
  </si>
  <si>
    <t>selahattin eyyübi mah şehit j.er mustafa göksal cd no 38 iç kapı no Z01 yüreğir adana</t>
  </si>
  <si>
    <t>607494fe613743c87e6b64dc</t>
  </si>
  <si>
    <t>Oses Çiğ Köfte (Sucuzade Mah.)</t>
  </si>
  <si>
    <t>cuma ali altunkanat</t>
  </si>
  <si>
    <t>sucuzade mah obalar cd no 101 a seyhan adana</t>
  </si>
  <si>
    <t>6061cc3d98aa5b62f621fcbd</t>
  </si>
  <si>
    <t>Oses Çiğ Köfte (Sümer Mah.)</t>
  </si>
  <si>
    <t>ertuğrul çetin</t>
  </si>
  <si>
    <t>sümer mh şehit yüzbaşı bülent angın bulvarı dostlar apartmanı a giriş no 17/C seyhan adana</t>
  </si>
  <si>
    <t>FOTOĞRAFLAR SİSTEMDE VAR</t>
  </si>
  <si>
    <t>6066cec222b6b1906d57f873</t>
  </si>
  <si>
    <t>Oses Çiğ Köfte (Toros Mah.-Mavi Bulvar)</t>
  </si>
  <si>
    <t>selma çetin</t>
  </si>
  <si>
    <t>TOROS MAH. MAVİ BLV. ALİ ŞAHİN APT NO: 46 C ÇUKUROVA/ ADANA</t>
  </si>
  <si>
    <t>sadece çiğköfte var.</t>
  </si>
  <si>
    <t>606211c4e81f5b3f5e869c19</t>
  </si>
  <si>
    <t>Oses Çiğ Köfte (Ulubatlı Hasan Mah.)</t>
  </si>
  <si>
    <t>doğan türk</t>
  </si>
  <si>
    <t>ulubatlı hasan mh kozan cd no 660/A Z01 yüreğir adana</t>
  </si>
  <si>
    <t>6078a073d384d4a209d2768a</t>
  </si>
  <si>
    <t>Oses Çiğ Köfte (Yenibaraj Mah. - Barajyolu)</t>
  </si>
  <si>
    <t>emre dinibütün</t>
  </si>
  <si>
    <t>yenibaraj mah şehit yüzbaşı bülent angın blv no 120 seyhan adana</t>
  </si>
  <si>
    <t>601497f73a747828f96096d5</t>
  </si>
  <si>
    <t>Oses Çiğ Köfte (Yeşilevler mah.)</t>
  </si>
  <si>
    <t>mahmut özdemir</t>
  </si>
  <si>
    <t>Yeşilevler Mah, Mehmet Akif Ersoy Cd. No:87/B, 01180 Seyhan/Adana</t>
  </si>
  <si>
    <t>603e0beebd73dd9c68e65739</t>
  </si>
  <si>
    <t>Oses Çiğ Köfte (Yeşiloba Mah.)</t>
  </si>
  <si>
    <t>yakup çelik</t>
  </si>
  <si>
    <t>Yeşiloba mah.46180 sk.Toki iş merkezi No:19/E seyhan/Adana</t>
  </si>
  <si>
    <t>606227ce4b04755f4c5a0a76</t>
  </si>
  <si>
    <t>Oses Çiğ Köfte, (Huzurevleri Mah.)</t>
  </si>
  <si>
    <t>osman oğuz</t>
  </si>
  <si>
    <t>huzurevleri mah 77162 sok no:20/c parıltı apt a blok çukurova adana</t>
  </si>
  <si>
    <t>60271df0fc9e27da91b6f16e</t>
  </si>
  <si>
    <t>Oses Çiğ Köfte, (Yeşilyurt Mah. - Karaafat Cad.)</t>
  </si>
  <si>
    <t>kerem küçükyenici</t>
  </si>
  <si>
    <t>yeşilyurt mah kaafat cad no 76 seyhan adana</t>
  </si>
  <si>
    <t>603e0c68a69617640157c076</t>
  </si>
  <si>
    <t>Oses Çiğ Köfte, Çukurova (Belediyeevleri Mah.)</t>
  </si>
  <si>
    <t>mustafa omay</t>
  </si>
  <si>
    <t>belediye evleri mah zahit akdağ bulvarı no 41 iç kapı no 1 çukurova adana</t>
  </si>
  <si>
    <t>6064b0d134f5ff2f4c596a65</t>
  </si>
  <si>
    <t>Oses Çiğ Köfte, Çukurova (Kurttepe Mah.)</t>
  </si>
  <si>
    <t>mustafa ışık</t>
  </si>
  <si>
    <t>Kurttepe Mah. Kurttepe Cad. Tümer Plaza Altı No:, 01150 Çukurova/Adana</t>
  </si>
  <si>
    <t>608aa85f42f08a19029ee907</t>
  </si>
  <si>
    <t>Oses Çiğ Köfte, Kozan (Karacaoğlan Mah.)</t>
  </si>
  <si>
    <t>caner kara</t>
  </si>
  <si>
    <t>karacaoğlan mah ova sk mehmet hoca apt a blok no 4 A kozan adana</t>
  </si>
  <si>
    <t>60806ee0df4d78094fed602b</t>
  </si>
  <si>
    <t>Oses Çiğ Köfte, Sarıçam (Gültepe Mah. - Çatalan Cad.)</t>
  </si>
  <si>
    <t>erhan inan</t>
  </si>
  <si>
    <t>gültepe mah çatalan cd no 287/a sarıçam adana</t>
  </si>
  <si>
    <t>607eda4d0cb48e4e1c65081c</t>
  </si>
  <si>
    <t>Oses Çiğ Köfte, Sarıçam (Hürriyet Mah. - İncirlik Hava Üssü)</t>
  </si>
  <si>
    <t>sinan zencirci</t>
  </si>
  <si>
    <t>Cihadiye</t>
  </si>
  <si>
    <t>hürriyet mah atatürk caddesi no 186 hizamiye karşısı incirlik adana</t>
  </si>
  <si>
    <t>60ab725b2d05abcedf8cbc05</t>
  </si>
  <si>
    <t>Oses Çiğ Köfte, Sarıçam (Osmangazi Mah.)</t>
  </si>
  <si>
    <t>tahsin demirdüzen</t>
  </si>
  <si>
    <t>osmangazi mahallesi 2029 sk toki iş merkezi sarıçam adana</t>
  </si>
  <si>
    <t>6093ecff630d1ad37f6eab5b</t>
  </si>
  <si>
    <t>Oses Çiğ Köfte, Yüreğir (Kışla Mah.)</t>
  </si>
  <si>
    <t>esma aydın</t>
  </si>
  <si>
    <t>kışla mah 4470 sk no 24 iç kapı no a yüreğir adana</t>
  </si>
  <si>
    <t>60afa6ddd827795f7f187c5e</t>
  </si>
  <si>
    <t>Oses Çiğ Köfte, Yüreğir (Yavuzlar Mah.)</t>
  </si>
  <si>
    <t>yusuf altıntaş</t>
  </si>
  <si>
    <t>yavuzlar mah orhan kemal blv 226 a yüreğir adana</t>
  </si>
  <si>
    <t>Mehmet Ali Erol</t>
  </si>
  <si>
    <t>emin bey</t>
  </si>
  <si>
    <t>emre bey yetkili</t>
  </si>
  <si>
    <t>61f2bad69b97532a3711788a</t>
  </si>
  <si>
    <t>Öküz Burger Homemade, Çukurova (Güzelyalı Mah.)</t>
  </si>
  <si>
    <t>Hasan Sefa Kazan</t>
  </si>
  <si>
    <t>Güzelyalı mahallesi turgut özal bulvarı dr. İbrahim keskin sitesi b blok no:52/2E Çukurova/ADANA</t>
  </si>
  <si>
    <t>eyyüp öncü</t>
  </si>
  <si>
    <t>toros mah ahmet sapmaz bulvakses apt no 25 a çukurova adana</t>
  </si>
  <si>
    <t>5324870255// 2 tane restoranı var İstanbul pilavcısı var bşrde çekim orda gerçekleşecek</t>
  </si>
  <si>
    <t>hıdır ağırman</t>
  </si>
  <si>
    <t xml:space="preserve">ürün çıkaramam gibi konuştu daha sonra konuşalım bunu dedi/yoğunum daha sonra ara dedi- 5-6 gun sonra aranacak olumlu - dönüs saglayacak - geri donus saglayacak </t>
  </si>
  <si>
    <t>görkem şire</t>
  </si>
  <si>
    <t>3 SAAT SONRA ARA</t>
  </si>
  <si>
    <t>60c75eb47b7383ca1e26126e</t>
  </si>
  <si>
    <t>Öz Adana Börekçilik, Yüreğir (Sinanpaşa Mah.)</t>
  </si>
  <si>
    <t>mehmet şirin kardaş</t>
  </si>
  <si>
    <t>Sinanpaşa, 34/B, Girne Blv., 01220 Yüreğir/Adana</t>
  </si>
  <si>
    <t xml:space="preserve">yarım  SAATE DONUS SAGLANACAK- kendileri çekecekmiş mail adresi verildi  - bizim fotoğrafcı arkadas çekecek dedi haftaya kadar hallolur dedi </t>
  </si>
  <si>
    <t>meltem aşanbuğa</t>
  </si>
  <si>
    <t xml:space="preserve">5324072494 5536149004 - randevu olusturuldu </t>
  </si>
  <si>
    <t>adem özer</t>
  </si>
  <si>
    <t xml:space="preserve">fotoğrafları yüklenmiş </t>
  </si>
  <si>
    <t>damla nur mercan</t>
  </si>
  <si>
    <t>ÇEKIM GERXCEKLESMIS AMA YUKLENMEMIŞ</t>
  </si>
  <si>
    <t>Emrah Korkut</t>
  </si>
  <si>
    <t>62557683b41d6db6cd13e9ab</t>
  </si>
  <si>
    <t>Öz Elmas Balık, Seyhan (Sucuzade Mah.)</t>
  </si>
  <si>
    <t>ALİ ELMAS</t>
  </si>
  <si>
    <t>sucuzade mah. 30001 sok. balıkçılar çarşısı no 3 p seyhan adana</t>
  </si>
  <si>
    <t>nevzat kardaş</t>
  </si>
  <si>
    <t>602458fff4cd3604e78103c2</t>
  </si>
  <si>
    <t>Öz Star Börekçilik, Seyhan (Hanedan Mah.)</t>
  </si>
  <si>
    <t>hanedan mah bakımyurdu cad no 73 seyhan adana</t>
  </si>
  <si>
    <t>cekim yapıldı diyor ama resimlerimi koymadınız diyor ama cekim yapıldı ditye bi kanıt yok</t>
  </si>
  <si>
    <t>NEVZAT KARDAŞ</t>
  </si>
  <si>
    <t>teyit için arandı açtılar ama ses vermediler iletişim sağlanamadı</t>
  </si>
  <si>
    <t>624dabbf9f0b0da6cb381293</t>
  </si>
  <si>
    <t>Öz Şimşek Döner Salonu, Yüreğir ( 19 Mayıs Mah.)</t>
  </si>
  <si>
    <t>HACI RAMAZAN ŞİMŞEK</t>
  </si>
  <si>
    <t>19 mayıs mah. 1062 sok. no 9 iç kapı no a yüreğir adana</t>
  </si>
  <si>
    <t>Barış ÖZDEMİR</t>
  </si>
  <si>
    <t xml:space="preserve">abisi mehmet beyden randevu alındı </t>
  </si>
  <si>
    <t>özlem elinç</t>
  </si>
  <si>
    <t xml:space="preserve">ürünlerinin yarısıı çekilmiş devam çekimi istemiyor </t>
  </si>
  <si>
    <t>60d63b2bdb0d9608af0500cb</t>
  </si>
  <si>
    <t>Özsüt, Seyhan (Kurtuluş Mah.)</t>
  </si>
  <si>
    <t>duran öncü</t>
  </si>
  <si>
    <t>KURTULUŞ MAH MİTHAT SARACOGLU CAD ,ZİYAPAŞA BULVARI ALİŞADİ BEY APARTMANI A BLOK :12 A, Ziyapaşa Blv., 01120 Seyhan/Adana</t>
  </si>
  <si>
    <t>UYGUN GÖRMÜYOR.</t>
  </si>
  <si>
    <t>mehmet salih balyen</t>
  </si>
  <si>
    <t>ahmet cihan dağbakan</t>
  </si>
  <si>
    <t>müsait degilim müşterim var daha sonra dedi// 05453729638 saat 4 de aranmak istiyo/çaldı açmadı/ devam çekimi</t>
  </si>
  <si>
    <t>621509c61579e55e0753ad85</t>
  </si>
  <si>
    <t>Pak Fırın, Seyhan (Cemalpaşa Mah.-Atatürk Cad.)</t>
  </si>
  <si>
    <t>SELDA KAVUKCU</t>
  </si>
  <si>
    <t>CEMALPAŞA MAH. ATATÜRK CAD. ÖĞRETMENLER SİTESİ A BLOK NO: 58 C SEYHAN/ ADANA</t>
  </si>
  <si>
    <t>yetkili yokmuş numaramı bıraktım dönüş sağlayacaklar</t>
  </si>
  <si>
    <t>mert uğurses</t>
  </si>
  <si>
    <t>3223115047/ dönüş yapacak patrona söyleyip.</t>
  </si>
  <si>
    <t>62137068318b2d73605b9f51</t>
  </si>
  <si>
    <t>Pakfırın, Seyhan (Çınarlı Mah. - Atatürk Cad.)</t>
  </si>
  <si>
    <t>MEHMET KAVUKÇU</t>
  </si>
  <si>
    <t>ÇINARLI MAH ATATÜRK CADDESİ PAKYÜREK NO 27 SEYHAN ADANA</t>
  </si>
  <si>
    <t>hatice akyıldız</t>
  </si>
  <si>
    <t>çekim yapılmış ama hala yüklenmemiş/ numara geçici olarak servis dışı.</t>
  </si>
  <si>
    <t>61f900c6dd4c6417707ba781</t>
  </si>
  <si>
    <t>Pakfırın, Seyhan (Sümer Mahallesi)</t>
  </si>
  <si>
    <t>MERT UĞURSES</t>
  </si>
  <si>
    <t>sümer mh bülent angın blv no 105 a seyhan adana</t>
  </si>
  <si>
    <t>61d562c25e55ea91558e407c</t>
  </si>
  <si>
    <t>PakFırın, Yüreğir (Sinanpaşa Mah. - Optimum AVM)</t>
  </si>
  <si>
    <t>Sinanpaşa mah.Hacı Sabancı blv.Optimum AVM No:28/Z26 Yüreğir/ADANA</t>
  </si>
  <si>
    <t>603f7f4bb33aa70b17d5d7ec</t>
  </si>
  <si>
    <t>Palet Kebap (Yeşilyurt Mah. - İbo Osman Cad.)</t>
  </si>
  <si>
    <t>veysi uludağ</t>
  </si>
  <si>
    <t>SÜMER M. İ.OSMAN C. NO: 230 SEYHAN/ ADANA</t>
  </si>
  <si>
    <t>şuan düşünmğyoruz dedi. // gerek duymuyoruz dedi.</t>
  </si>
  <si>
    <t>6004199de9903bb4c9cf6e81</t>
  </si>
  <si>
    <t>Panda Patata,(Cemalpaşa Mah. - Gazipaşa Blv.)</t>
  </si>
  <si>
    <t>melda burcu sınmaz</t>
  </si>
  <si>
    <t>cemalpaşa mah 63002 sok tek apt no:4/c seyhan adana</t>
  </si>
  <si>
    <t xml:space="preserve">mail atacak bıze- yetkili yok ben soylerım dedi çalısanı ezginin numarası verildi donus yaparım dedi </t>
  </si>
  <si>
    <t>5fe0e336879562e2c8cc63dd</t>
  </si>
  <si>
    <t>Papağan Pizza Mahfesığmaz</t>
  </si>
  <si>
    <t>Mehmet Dontaş</t>
  </si>
  <si>
    <t>mahfesığmaz mah 79083 vurankaya apt altı no :8/a çukurova adana</t>
  </si>
  <si>
    <t>5557270438 biz belki 17 sinde açmayız daha sonra aayın görüşelim dendi//haftaya aransın yetkili yok/müsait degil /ARANDI MESGULE VERILDI/şuan işlerim iyi degil dedi ikna edilemedi. askıya alalım dediler // saat 5 6 gibi aransın tekrar.// yarım saat sonra tekrar aranacak.-ulasılamadı</t>
  </si>
  <si>
    <t>berkay aygün</t>
  </si>
  <si>
    <t>teyit amaçlı arandı haftaya aransın dendi- randevu olusturuldu</t>
  </si>
  <si>
    <t>603a931c021990b5db5b7947</t>
  </si>
  <si>
    <t>Papino (Pınar Mah.)</t>
  </si>
  <si>
    <t>ayça aygün</t>
  </si>
  <si>
    <t>Pınar mah Türkmenbaşı Blv., 01360 Seyhan Adana</t>
  </si>
  <si>
    <t xml:space="preserve">merkezde yapılacakmış aranmayacakmış  </t>
  </si>
  <si>
    <t>5ffe18aef73b3373efd152ff</t>
  </si>
  <si>
    <t>Pappa Döner, Seyhan (Gürselpaşa Mah.)</t>
  </si>
  <si>
    <t>emre aycan</t>
  </si>
  <si>
    <t>gürselpaşa mah 75268 sok no:15/1 seyhan adana</t>
  </si>
  <si>
    <t xml:space="preserve">şu an müsait değilim daha sonra arayın dedi 2 şubeli numara kullanılmıyor 5318863178 </t>
  </si>
  <si>
    <t>5ffe1b9a4a4dfa06d7aba5f3</t>
  </si>
  <si>
    <t>Pappa Pizza , Seyhan (Gürselpaşa Mah.)</t>
  </si>
  <si>
    <t xml:space="preserve"> 2 şubeli 5318863178 13.07.2021de arayın dedi- yarım saat sonra ara - ŞEHİR DIŞINDAYMIŞ İSTEMİYOR</t>
  </si>
  <si>
    <t>619e35bc1e642d33d228e9ba</t>
  </si>
  <si>
    <t>Emre bey</t>
  </si>
  <si>
    <t>Güzel yalı mahallesi Turgut Özal bulvarı 81081 sokak doktor İbrahim keskin sitesi altı pasta canavarı no 83 çukurova adana</t>
  </si>
  <si>
    <t>can montana</t>
  </si>
  <si>
    <t>işletme yetkilisi ibrahim beymiş can bey ayrılmış müsait deglildi devam çekimi görüşemedik./ULAŞILMADI</t>
  </si>
  <si>
    <t>6245792977a1ae288c8d9a04</t>
  </si>
  <si>
    <t>Pasta Durağı, Çukurova (Güzelyalı Mah. - Turgut Özal Blv.)</t>
  </si>
  <si>
    <t>FATMA ALTINKAYA</t>
  </si>
  <si>
    <t>Güzelyalı mahallesi turgut Özal bulvarı İnci evler sitesi A1 blok zemin kat pasta duragi adana Çukurova</t>
  </si>
  <si>
    <t>Selçuk Bey</t>
  </si>
  <si>
    <t>60637b9e3730cfcba3539bcf</t>
  </si>
  <si>
    <t>Pasta Garden, Çukurova (Karslılar Mah.)</t>
  </si>
  <si>
    <t>yasin gökoğlu</t>
  </si>
  <si>
    <t xml:space="preserve">maile atacak-numara verildi aranacak- 0506 487 44 75 - ulaşılamadı </t>
  </si>
  <si>
    <t>zehra eda işoğlu</t>
  </si>
  <si>
    <t>Mehmet Delen</t>
  </si>
  <si>
    <t xml:space="preserve">10 dk ya aranacak </t>
  </si>
  <si>
    <t>murat balıktutan</t>
  </si>
  <si>
    <t>Reşatbey, Beş Ocak Cd. No:47, 01120 Seyhan/Adana</t>
  </si>
  <si>
    <t>aydın şık</t>
  </si>
  <si>
    <t>61fd9bcf25a13d7883fae59f</t>
  </si>
  <si>
    <t>Paşabey Burger , Çukurova (Mahfesığmaz Mah. - Turgut Özal Blv.)</t>
  </si>
  <si>
    <t>firdes karaörs</t>
  </si>
  <si>
    <t xml:space="preserve">devam çekimi alındı </t>
  </si>
  <si>
    <t>mahmut sümer</t>
  </si>
  <si>
    <t>Lütfi Bey bizi arayacakmış</t>
  </si>
  <si>
    <t>61ae0203e985131182ff56e7</t>
  </si>
  <si>
    <t>Paşam Kebap, Çukurova (Huzurevleri Mah.)</t>
  </si>
  <si>
    <t>Ahmet Ceylan</t>
  </si>
  <si>
    <t>huzurevleri mah ismet atlı bulv no 22 a çukurova adana</t>
  </si>
  <si>
    <t xml:space="preserve">akşam 7 den sonra gelir yetkili dedi </t>
  </si>
  <si>
    <t>61644bcad2c86b36921365e5</t>
  </si>
  <si>
    <t>Pera Restorant, Kozan (Tufanpaşa Mah.)</t>
  </si>
  <si>
    <t>Hasan Akkoç</t>
  </si>
  <si>
    <t>tufanpaşa mah turgut özal blv no 98 g kozan adana</t>
  </si>
  <si>
    <t>61ebff36b6159580adffab86</t>
  </si>
  <si>
    <t>Pınar Büfe &amp; Kokoreç, Seyhan (Pınar Mah.)</t>
  </si>
  <si>
    <t>MEMDUH ARPA</t>
  </si>
  <si>
    <t>PINAR MAH NAZIM HİKMET CADDESİ NO 99 SEYHAN ADANA</t>
  </si>
  <si>
    <t>sistemde ki numara eski çalışan biriymiş artık orda çalışmıyormuş başka numara da yok bu numara aranmasın der /</t>
  </si>
  <si>
    <t>aylin gövenç</t>
  </si>
  <si>
    <t>reşatbey mah valiyolu cad indigo büfe no 8 seyhan adana</t>
  </si>
  <si>
    <t>Niyazi Bey</t>
  </si>
  <si>
    <t>mehmet ikram taş</t>
  </si>
  <si>
    <t xml:space="preserve">akşama doğru arayın dedi-randevu olusturuldu </t>
  </si>
  <si>
    <t>buse özkarakoyuncu</t>
  </si>
  <si>
    <t>randevu olusturuldu</t>
  </si>
  <si>
    <t>5ff4275f630a76ca6400806f</t>
  </si>
  <si>
    <t>Pizza Brassi,(Güzelyalı Mah. - Turgut Özal Blv.)</t>
  </si>
  <si>
    <t>deniz karasaç</t>
  </si>
  <si>
    <t>güzelyalı mah turgut özal bulvarı no:92/b çukurova adana</t>
  </si>
  <si>
    <t xml:space="preserve">bende fotoğrafcıyım istemiyorum dedi.//eksikleri tamamlayıp göndereyim dedi-iki üç gun sonra aranırsa sevinirim dedi suan musaıt degılım- benbu hafta içi yuklerım dedi - elimde fotoğraflar var dedi ben 1 hafta içi ararım dedi </t>
  </si>
  <si>
    <t>5fde7155cd2760dc329f6255</t>
  </si>
  <si>
    <t>Pizza Delizio Turgut Özal</t>
  </si>
  <si>
    <t>Fatih Şen</t>
  </si>
  <si>
    <t>Toros mah. Turgut özal Blv. no 165/A Çukurova Adana</t>
  </si>
  <si>
    <t xml:space="preserve">bayramdasn sonra menü degişikliği yapıcak ondan sonra 2 hafta sonra ara/SUAN HIC MUSAIT OLMADIGINI 10 GUN SONRA ARANMASINI RICA ETTI/5458210482/cekimi kendileri yaptıracak - yetkili ile görüsüp ben sizlere dönus saglarım dedi - 1 saate aranacak - çekim istemiyor </t>
  </si>
  <si>
    <t>614e4ebed4398261d76ab475</t>
  </si>
  <si>
    <t>Pizza Express, Çukurova (Toros Mah. - Turgut Özal Blv.)</t>
  </si>
  <si>
    <t>çiğdem toy</t>
  </si>
  <si>
    <t>toros mah 78189 sk b blok demet apt no 7-1 iç kapı no çukurova adana</t>
  </si>
  <si>
    <t xml:space="preserve">bilmiyorum suan istemiyoruz dedi ilerde ben size donus saglarım dedi - suan yogunum dedi ezginin numarası verildi ben donus saglarım dedi - müsait değiliz biz sizlere dönüş sağlarız dedi / fotoğraf istemiyorum dedi </t>
  </si>
  <si>
    <t>Mehmet Ziya Akçay</t>
  </si>
  <si>
    <t>23,04,21 de aranıp diğer hafta için randevu alınacak05445203377/Menü değişeceği için Ezgi hanımla irtibata gecicekler</t>
  </si>
  <si>
    <t>6245dcc06e0e53cf2740c127</t>
  </si>
  <si>
    <t>Pizza La Matta, Çukurova (Güzelyalı Mah. - Turgut Özal Blv.)</t>
  </si>
  <si>
    <t>özge gürlek</t>
  </si>
  <si>
    <t>güzelyalı mah. 81076 sok. tayfun apt. no 3 a çukurova adana</t>
  </si>
  <si>
    <t>bilal kahyaoğlu</t>
  </si>
  <si>
    <t>/ randevu alındı</t>
  </si>
  <si>
    <t>620422593bebe344b524fe47</t>
  </si>
  <si>
    <t>Pizza Matik , Çukurova (Yüzüncü Yıl Mah.)</t>
  </si>
  <si>
    <t>Nuri Subaşı</t>
  </si>
  <si>
    <t>Yüzüncüyıl mah. 85054 Sk. No:24 Çukurova Adana</t>
  </si>
  <si>
    <t>telefon sıkıntılı cızırtı geliyor</t>
  </si>
  <si>
    <t>kadir özgan</t>
  </si>
  <si>
    <t xml:space="preserve">haziran 15 te aransın/MAİL PAYLAŞILDI KENDILERI ATACAKLAR-tadilattayım dedi 10 gun sonra aranacak dedi- ulasılamadı - ulasılmadı - ulaşılamadı </t>
  </si>
  <si>
    <t>aynur ünüştü</t>
  </si>
  <si>
    <t xml:space="preserve">6gibi arayın dedi/15 dakka sonra arancak/TATİLDELERMİŞ SONRA ARANSIN/05066000509 aynur hanım numarası açmadı // kendi çekip mail atacak- ben kendım yuklerım dedi mail adresi tekrar verildi </t>
  </si>
  <si>
    <t>5fecd95feeb85d098bcdd7cd</t>
  </si>
  <si>
    <t>Pizza Opera, Seyhan (Gürselpaşa Mah.)</t>
  </si>
  <si>
    <t>engin elçi</t>
  </si>
  <si>
    <t>ezgi hanıma dönüş yapacak merkezle konuşup-engin bey no:05072395122 fotografım var dedi çekim istemiyorum dedi mail adresi tekrar gönderildi</t>
  </si>
  <si>
    <t>6257f8c84e0ef908926a789d</t>
  </si>
  <si>
    <t>sercan ışık</t>
  </si>
  <si>
    <t>610d36bfa2b7fd3aa6b9c85d</t>
  </si>
  <si>
    <t>Pizza Panya, Seyhan (Reşatbey Mah.)</t>
  </si>
  <si>
    <t>vahit ipek</t>
  </si>
  <si>
    <t>REŞATBEY MAH. 62001 SK. NO: 26 A SEYHAN/ ADANA</t>
  </si>
  <si>
    <t xml:space="preserve">ulasılamadı - 30 dk ya aranacak - müsait değiliz dedi biz dönüş sağlarız </t>
  </si>
  <si>
    <t>hasan çingil</t>
  </si>
  <si>
    <t>çukurova mahvesıgmazda cekim yapılmış</t>
  </si>
  <si>
    <t>devam çekimi için arandı sabah saatlerinde arayın öglen yogunuz dediler/tekrar aradık açmadılar05333827462/dç istemez</t>
  </si>
  <si>
    <t>mustafa güzelsabuncu</t>
  </si>
  <si>
    <t>5451161940-</t>
  </si>
  <si>
    <t>600dd584b196915ae93d4c00</t>
  </si>
  <si>
    <t>Pizza Taxi, (Belediyeevleri Mah. - Türkmenbaşı Blv.)</t>
  </si>
  <si>
    <t>emine tuğba onay</t>
  </si>
  <si>
    <t>huzurevleri mah 80. yıl bulv no :6 çukurova adana</t>
  </si>
  <si>
    <t xml:space="preserve">alı bey no 05057103139 patronla konusup donüş saglarım dedi- numara mesgul </t>
  </si>
  <si>
    <t>5fec93aa52fcda3e11cb1d37</t>
  </si>
  <si>
    <t>Pizza Taxi, (Toros Mah. - Kenan Evren Blv.)</t>
  </si>
  <si>
    <t>mehmet börk</t>
  </si>
  <si>
    <t>toros mah 78077 sk no:1/a5 çukurova adana</t>
  </si>
  <si>
    <t xml:space="preserve">5358365235 numara kullanılmamakta -bir saate gelir dedi-30 dk ya donus yapacak </t>
  </si>
  <si>
    <t>6079f853d415f067f1abe160</t>
  </si>
  <si>
    <t>Pizza Taxi, Ceyhan (Namık Kemal Mah.)</t>
  </si>
  <si>
    <t>ibrahim ekmekçi</t>
  </si>
  <si>
    <t>namık kemal mah ziyapaşa sokak no 68 ceyhan adana</t>
  </si>
  <si>
    <t>5feb94b7f0267c71b1130737</t>
  </si>
  <si>
    <t>Pizza Taxi, Çukurova (Kurttepe Mah.)</t>
  </si>
  <si>
    <t>kurttepe mah süleyman demirel bulv no:82/b çukurova adana</t>
  </si>
  <si>
    <t>aytac beyın numararsı 05424184804 ulasılamadı/fotoğrafları mail adresimize paylaşmış zaten franchise bir şubeymiş merkezdende temin edebilirsiniz dedi</t>
  </si>
  <si>
    <t>5fe8eeeba415e97d1f3c1006</t>
  </si>
  <si>
    <t>Pizza Taxi, Çukurova (Yüzüncü Yıl Mah.)</t>
  </si>
  <si>
    <t>gencay mehmet onay</t>
  </si>
  <si>
    <t>yüzüncü yıl mah hacı bektaş veli blv. no:18-3a zemin 25</t>
  </si>
  <si>
    <t>5308749091/ozan bey 05358365735 -  ulasılamadı</t>
  </si>
  <si>
    <t>614483612dc80f03f092151d</t>
  </si>
  <si>
    <t>Pizza Taxi, Sarıçam (Gültepe Mah.)</t>
  </si>
  <si>
    <t>bihter pekcan</t>
  </si>
  <si>
    <t>gültepe mah 909 sk no 10 B sarıçam adana</t>
  </si>
  <si>
    <t>620a329def498e30ae581c06</t>
  </si>
  <si>
    <t>ÖMER KİBAR</t>
  </si>
  <si>
    <t>KURTULUŞ MAH. RAMAZANOĞLU CAD. NO: 23 B SEYHAN/ ADANA</t>
  </si>
  <si>
    <t xml:space="preserve">kendileri ayarlama yapıp dönecek </t>
  </si>
  <si>
    <t>60db121018a0c06375ee2ab9</t>
  </si>
  <si>
    <t>Pizza Taxi, Seyhan (Onur Mah.)</t>
  </si>
  <si>
    <t>hakan özsırkıntı</t>
  </si>
  <si>
    <t>onur mahallesi 45257 sk kiza iş merkezi a5 blok no 2 d seyhan adana</t>
  </si>
  <si>
    <t xml:space="preserve">mesgule attı - merkezin numarası 05358365735 ozan bey ulaşılamadı </t>
  </si>
  <si>
    <t>623483959bd43d82d7e48013</t>
  </si>
  <si>
    <t>Pizza Taxi, Seyhan (Pınar Mah.)</t>
  </si>
  <si>
    <t>ilhan kibar</t>
  </si>
  <si>
    <t>PINAR MAH. 74087 SK. NO: 1 A SEYHAN/ ADANA</t>
  </si>
  <si>
    <t>5fec8d5fdc26c70bafd08e8c</t>
  </si>
  <si>
    <t>Pizza Taxi, Seyhan (Sümer Mah. - Barajyolu)</t>
  </si>
  <si>
    <t>sümer mah iboosman caddesi kemer apt no:188/e seyhan adana</t>
  </si>
  <si>
    <t>melikşah bey görüşüldü merkeze baglıymış. merkezden alır gönderirim dedi.</t>
  </si>
  <si>
    <t>5fe8f24e71e89c163c95f429</t>
  </si>
  <si>
    <t>Pizza Taxi, Yüreğir (Kiremithane mh.)</t>
  </si>
  <si>
    <t>mehmet gencay onay</t>
  </si>
  <si>
    <t>kiremithane mah kazım barışık apt dadaloğlu bulv a blok no 44 yüreğir adana</t>
  </si>
  <si>
    <t>5358365735 ozan bey  mail adresi verildi 12 şube içinde gönderim sağlancak</t>
  </si>
  <si>
    <t>60be21b06eb3ead8ae0db10a</t>
  </si>
  <si>
    <t>Pizza Uno, Seyhan (Cemalpaşa Mah.)</t>
  </si>
  <si>
    <t>anı hanım</t>
  </si>
  <si>
    <t>cemalpaşa mah ethem ekin sokak no 20 iç kapı no 101 seyhan adana</t>
  </si>
  <si>
    <t>5321137173- sıcak bakmıyorum dedi  yemek sepetiyle cekim saglanmıs oradan resimleri alıp atacak boyutlar uymuyır dedim  menü güncellemesinden sonra duruma göre cerkım saglayabılır</t>
  </si>
  <si>
    <t>60146bcbb9e6858bcf5b7a64</t>
  </si>
  <si>
    <t>Pizzahall, Seyhan (Gürselpaşa Mah.)</t>
  </si>
  <si>
    <t>numarada sıkıntı var// numarada hala sıkıntı var</t>
  </si>
  <si>
    <t>60144ddf6c16425f7490d29d</t>
  </si>
  <si>
    <t>Pizzeria Di Mozza, Seyhan (Reşatbey Mah.)</t>
  </si>
  <si>
    <t>Doğuş Yanbuloğlu</t>
  </si>
  <si>
    <t>Reşatbey mh 62031 sk Perdahçı apt no:5/a Seyhan Adana</t>
  </si>
  <si>
    <t>Yarın öğleden sonra aranacak/yt yok3224598444 /yt  yok numara bırakıldı iletecekler.</t>
  </si>
  <si>
    <t>mehmet süer</t>
  </si>
  <si>
    <t>MAİL VERİLDİ. yarım saate aranacak</t>
  </si>
  <si>
    <t>hamza elmas</t>
  </si>
  <si>
    <t>mertcan karaman</t>
  </si>
  <si>
    <t>murat fevzi kaya</t>
  </si>
  <si>
    <t>607c28d8682946a6f31dc22f</t>
  </si>
  <si>
    <t>Pronto Pizza &amp; Döner (Pınar Mah.)</t>
  </si>
  <si>
    <t>ramazan bakçaçı</t>
  </si>
  <si>
    <t>pınar mah ismail hazar sk ismail hazar sitesi b blok zemin kat no 1 seyhan adana</t>
  </si>
  <si>
    <t xml:space="preserve">5469691850 bir ay sonra dedi// meşgule attı./ dönüş sağlayacak- şuan ulaşılamadı </t>
  </si>
  <si>
    <t>abdullah saylan</t>
  </si>
  <si>
    <t>atakent mah efetevleri cad no9 yüreğir adana</t>
  </si>
  <si>
    <t>afetevleri cad.</t>
  </si>
  <si>
    <t>muhammed saylan</t>
  </si>
  <si>
    <t>kışla mah 7525 sok no 4 yüreğir adana</t>
  </si>
  <si>
    <t>4525 sok</t>
  </si>
  <si>
    <t>ayten toraman</t>
  </si>
  <si>
    <t>Zeynel Akbaba/5051654929 devam çekimi randevusu alındı</t>
  </si>
  <si>
    <t>ENES ÇELİK</t>
  </si>
  <si>
    <t>602ebee2f3768366599f7ef4</t>
  </si>
  <si>
    <t>Ramos Döner, Seyhan (Gürselpaşa Mah.)</t>
  </si>
  <si>
    <t>veday emre eren</t>
  </si>
  <si>
    <t>GÜRSELPAŞA MAH. 75268 SK. NO: 55 İÇ KAPI NO: 1 SEYHAN/ ADANA</t>
  </si>
  <si>
    <t xml:space="preserve">5061900900//yt yok gönderildi diye biliniyor çalışan tarafından gnderilmemişse bile bugun gndeririz dedi-pzt salı saat bir- iki olursa daha iyi diyor olumlu bakıyor - yarın aranacak ustasıyla konusacak - çok arıyorsunuz yeter artık çekim istemiyorum dedi mail adresi gonderildi çekim istemiyor ARANMASIN </t>
  </si>
  <si>
    <t>60cf7392d711ac6c1fe65221</t>
  </si>
  <si>
    <t>Rengin Atölye, Çukurova (Belediyeevleri Mah.)</t>
  </si>
  <si>
    <t>sergun bey</t>
  </si>
  <si>
    <t>belediye evleri mah zahit akdağ bulv no 10/1 çukurova adana</t>
  </si>
  <si>
    <t>5326633666 sergun bey cep tel cahit beyden alındı</t>
  </si>
  <si>
    <t>özcan sergun gümüşay</t>
  </si>
  <si>
    <t>5326633666/devam çekimi</t>
  </si>
  <si>
    <t>aytek bey</t>
  </si>
  <si>
    <t>Rıdvan Tanrıverdi</t>
  </si>
  <si>
    <t xml:space="preserve">Yusuf Bey /RANDEVU ISTEDILER/6 gibi aranacak </t>
  </si>
  <si>
    <t>60e5ff0a0ffd7604595d07b6</t>
  </si>
  <si>
    <t>Reşatbeyli Tatlıcı Zeki, Seyhan (Reşatbey Mah.)</t>
  </si>
  <si>
    <t>mukrima altınok</t>
  </si>
  <si>
    <t>Reşatbey, Adalet Cd. 46/B, 01120 Seyhan/Adana</t>
  </si>
  <si>
    <t>60e58d289962131c33b3bed6	Reşatbeyli Tatlıcı Zeki, Çukurova (Güzelyalı Mah.)</t>
  </si>
  <si>
    <t>Şahin Cebe</t>
  </si>
  <si>
    <t>5300296591 kardeşi doğan beyden randevu alındı.</t>
  </si>
  <si>
    <t>mehmet gönültaş</t>
  </si>
  <si>
    <t>0322) 239 70 00 devam cekımı</t>
  </si>
  <si>
    <t>5fde8d7d856302162f54fbec</t>
  </si>
  <si>
    <t>Road Burger, Seyhan (Cemalpaşa Mah.)</t>
  </si>
  <si>
    <t>4 şubesi var baraj yolu şubsi için çekim talep ediyor 5424757623</t>
  </si>
  <si>
    <t>fikret yalçın</t>
  </si>
  <si>
    <t>ASLI BAL</t>
  </si>
  <si>
    <t>hamit bey /ÇEKIM GERCEKLESMIS AMA YUKLENMEMIS</t>
  </si>
  <si>
    <t>616449b04c574a2f8a3d1ac9</t>
  </si>
  <si>
    <t>Salih Usta Kebap, Kozan (Arslanpaşa Mah.)</t>
  </si>
  <si>
    <t>Emirhan Ölmez</t>
  </si>
  <si>
    <t>Hacıuşağı</t>
  </si>
  <si>
    <t>arslanpaşa mah yukarı çarşı cd no 3 F kozan / Adana</t>
  </si>
  <si>
    <t>irfan dayan</t>
  </si>
  <si>
    <t xml:space="preserve">yoğun yarın ara//açmadı// açmadı// mail atıcak - ulasılamadı- devam çekimi </t>
  </si>
  <si>
    <t>adem çatan</t>
  </si>
  <si>
    <t xml:space="preserve">fotograf teyidi için arandı yt yok suan ısletmede degılım dedi pzt gunu aranacak- randevu olusturuldu </t>
  </si>
  <si>
    <t>600b015f65caa79f533e893d</t>
  </si>
  <si>
    <t>Sanat Kahvesi, Seyhan (Reşatbey Mah.)</t>
  </si>
  <si>
    <t>burhan özek</t>
  </si>
  <si>
    <t>Reşatbey mah.62001 sk.özel türkay apt.no.18/a seyhan/adana</t>
  </si>
  <si>
    <t xml:space="preserve">kendi kendine istişare yapıp dönüş yapıcakmış ezginin numarası verildi.-hocam musait değilim dedi kapattı - yogunuz istemiyoruz dedi </t>
  </si>
  <si>
    <t>618af0c1087de33fa0ce98ef</t>
  </si>
  <si>
    <t>Sanat Kumpir , Çukurova (Beyazevler Mah.)</t>
  </si>
  <si>
    <t>ilker bey</t>
  </si>
  <si>
    <t>BEYAZEVLER MAH. ADNAN KAHVECİ BLV. NO: 38 A ÇUKUROVA/ ADANA</t>
  </si>
  <si>
    <t>61447faf09247349f490fb35</t>
  </si>
  <si>
    <t>Sandwich, Seyhan (Pınar Mah.)</t>
  </si>
  <si>
    <t>muhammet ali karcun</t>
  </si>
  <si>
    <t>pınar mah ali bozdoğanoğlu blv no 2 A seyhan adana</t>
  </si>
  <si>
    <t xml:space="preserve">mail atacak 5308412904 şahsi numara bu numaradan aranmak istiyor diğer numara aranmasın lütfen - personel kadrom eksıkti onu tamamladım dedi bir kısmını çektim diger kısmını çeker haftaya gönderirim dedi yeni bir işletme açıyorum hamburger  dedi genel merkezin numarası verildi  </t>
  </si>
  <si>
    <t>5fe90ac4a415e973ad3c103b</t>
  </si>
  <si>
    <t>Sante 01, Çukurova (Güzelyalı Mah.)</t>
  </si>
  <si>
    <t>fürüzan karışlı</t>
  </si>
  <si>
    <t>güzelyalı mah 81204 sk. n o:9/a özcan apt. çukurova adana</t>
  </si>
  <si>
    <t>maile atıcak fotoğrafları- ben yetkili kisiye bildirecem sizlere dönüş yaparım dedi</t>
  </si>
  <si>
    <t>ozan karaköse</t>
  </si>
  <si>
    <t xml:space="preserve">sürekli meşgule düşüyor  </t>
  </si>
  <si>
    <t>6034e67d5036e10c0456201f</t>
  </si>
  <si>
    <t>Saray Pizza (Mithatpaşa Mah.)</t>
  </si>
  <si>
    <t>Furkan Avlar</t>
  </si>
  <si>
    <t>Mithat Paşa, İnönü Blv., 01920 Ceyhan/Adana</t>
  </si>
  <si>
    <t>5538868431 1 saat sonra arancak</t>
  </si>
  <si>
    <t>Saraylım Künefe, Çukurova (Güzelyalı Mah.)</t>
  </si>
  <si>
    <t>gül polat</t>
  </si>
  <si>
    <t>müsait degilim daha sonra dendi//yemek sepetinden almamızı söylüyor/çekim istemiyor neden diye sorduğumda nedeni yok dedi</t>
  </si>
  <si>
    <t>ahmet gül</t>
  </si>
  <si>
    <t>6200c4199b9748de39ac6ce0</t>
  </si>
  <si>
    <t>Sarıçam Çiğ Köfte, Sarıçam (Yeşiltepe Mah.)</t>
  </si>
  <si>
    <t>DURAN ABALI</t>
  </si>
  <si>
    <t>YEŞİLTEPE MAH ÇATALAN CAD NO 2 İÇ KAPI NO B1 SARIÇAM ADANA</t>
  </si>
  <si>
    <t>bayram kiş</t>
  </si>
  <si>
    <t>60246420278955d34f923004</t>
  </si>
  <si>
    <t>Sarma Döner, (Cemalpaşa Mah. - Gazipaşa Blv.)</t>
  </si>
  <si>
    <t>bayram cihan büyükkaya</t>
  </si>
  <si>
    <t>cemalpaşa mah 63006 sok 23 a seyhan adana</t>
  </si>
  <si>
    <t xml:space="preserve">Çekim istemiyordu görüştüm ileride olabilir dedi ona göre konuşulsun./çekim istemediğini belirtti.// istemediğini belirtti.-suan için istemiyorum dedi kapattı / şuan düşünmüyorlarmış </t>
  </si>
  <si>
    <t>60c65c0402d8d6494f9bd780</t>
  </si>
  <si>
    <t>Sarmanlar Kebap , Çukurova (Yurt Mah.)</t>
  </si>
  <si>
    <t>orhan bey</t>
  </si>
  <si>
    <t>yurt mah 71461 sok no 1 a çukurova adana</t>
  </si>
  <si>
    <t>mail verildi gönderecek eğer sistem kabul etmezse randevu oluşturulacak-05510693404-Tekrar çekim yapıp yönlendirecekmiş-ben size ulasırım dedı-sonra arırız yogunuz dedi kapattı - suan tadilat var  dedi istemiyor çekim .Fotoğraflar için arandı bi kaç sorunlarımız var biz dönüş yaparız dedi. / yarın öğle ara</t>
  </si>
  <si>
    <t>5ffebecce348f63e4aa3178c</t>
  </si>
  <si>
    <t>Seç Baklava ( İstiklal Mah.)</t>
  </si>
  <si>
    <t>reyhan kahraman</t>
  </si>
  <si>
    <t>istiklal mah kurtuluş cad no:117 seyhan adana</t>
  </si>
  <si>
    <t xml:space="preserve">mail verildi-yetkili yok ezginin numarası verildi donus saglanacak </t>
  </si>
  <si>
    <t>5435079227// sec@secbaklava.com 19 nisanda göndermiş-RANDEVU OLUSTURULDU</t>
  </si>
  <si>
    <t>5ffebca7c92252e7db3a1d5a</t>
  </si>
  <si>
    <t>Seç Baklava,(Turgut Özal Blv.)</t>
  </si>
  <si>
    <t>güzelyalı mah turgut özal bulv şükran apt altı no 152/a çukurova adana</t>
  </si>
  <si>
    <t>5435079227// sec@secbaklava.com 19 nisanda göndermiş</t>
  </si>
  <si>
    <t>621b647c35cb505301cbd3be</t>
  </si>
  <si>
    <t>Seç Tekin Baklava, Çukurova (Yurt Mah.)</t>
  </si>
  <si>
    <t>HALİL TEKİN</t>
  </si>
  <si>
    <t>YURT MAH KASIM ENER BULV NO 12 ASUDE SİT B BLOK NO 2 ÇUKUROVA ADANA</t>
  </si>
  <si>
    <t>diğer işletme no : 03225020127 bir saate bu işletmeye gelir yetkili dedi /numara verdim kendisi işletmedekilerle görüşüp bizleri arayacakmış</t>
  </si>
  <si>
    <t>6225bcdceb5d69b89c84b692</t>
  </si>
  <si>
    <t>Seç Tekin Baklava, Seyhan (Pınar Mah.)</t>
  </si>
  <si>
    <t>pınar mah ali bozdoğanoğlu blv akdağ apt no 50 seyhan adana</t>
  </si>
  <si>
    <t>numara verdim kendisi işletmedekilerle görüşüp bizleri arayacakmış</t>
  </si>
  <si>
    <t>6225beb7dea08906db733029</t>
  </si>
  <si>
    <t>Seç Tekin Baklava, Seyhan (Ziyapaşa Mah.)</t>
  </si>
  <si>
    <t>ziyapaşa mah 67041 sk no 1 seyhan adana</t>
  </si>
  <si>
    <t>nurseda çokeken</t>
  </si>
  <si>
    <t>FERDA ÇİFTCİLER</t>
  </si>
  <si>
    <t>6034c5873bb3040e942d3c73</t>
  </si>
  <si>
    <t>Selvi Ev Yemekleri (Denizli Mah.)</t>
  </si>
  <si>
    <t>selvi eyican</t>
  </si>
  <si>
    <t>Denizli</t>
  </si>
  <si>
    <t>DENİZLİ MAH. ŞEHİT MEHMET ÖZEL CAD. NO: 122 A SEYHAN/ ADANA</t>
  </si>
  <si>
    <t xml:space="preserve">annesinin sağlık sorunlarıyla ilgilendiği için şu sıralar olmaz dedi/tek başına çalışıyormuş hem çekim hem servise yetişemem dedi -bir saat icerisinde aranacak - çekim istemiyorum dedi </t>
  </si>
  <si>
    <t>BESTAMİ KARAHAN</t>
  </si>
  <si>
    <t>5512336046 8 gibi ara der</t>
  </si>
  <si>
    <t>hasan yanık</t>
  </si>
  <si>
    <t>624bdcdc04e26f5db9be5629</t>
  </si>
  <si>
    <t>Servet Et &amp; Kebap Dünyası, Yüreğir (P.t.t Evleri Mah.)</t>
  </si>
  <si>
    <t>Servet Kaya</t>
  </si>
  <si>
    <t>P.t.t</t>
  </si>
  <si>
    <t>PTT EVLERİ MAH NERGİZ CAD NO 124/ A YÜREĞİR ADANA</t>
  </si>
  <si>
    <t>orhan büyükhan</t>
  </si>
  <si>
    <t>5417877624 devam çekimi</t>
  </si>
  <si>
    <t>esme sevgili</t>
  </si>
  <si>
    <t>62177118dd2d40eeb882d047</t>
  </si>
  <si>
    <t>Sevgili Döner 2, Seyhan (Çınarlı Mah.)</t>
  </si>
  <si>
    <t>Doğan can sevgili</t>
  </si>
  <si>
    <t>ÇINARLI MAH 61007 SK NO 13 SEYHAN ADANA</t>
  </si>
  <si>
    <t xml:space="preserve">işletmeyi kapatıyorum dedi </t>
  </si>
  <si>
    <t>623ef66b6fc03b6d95e42bab</t>
  </si>
  <si>
    <t>Seyhan Pasta &amp; Cafe, Seyhan (Gülbahçesi Mah.)</t>
  </si>
  <si>
    <t>Veysel Arslan</t>
  </si>
  <si>
    <t>Gülbahçesi mahallesi obalar caddesi 497/A SEYHAN / ADANA</t>
  </si>
  <si>
    <t>cengiz güneş</t>
  </si>
  <si>
    <t>randevu olusturuldu0322) 457 28 76 çekım ıstemıyor gerek duymuyor</t>
  </si>
  <si>
    <t>ALİ ALP KILIÇ</t>
  </si>
  <si>
    <t>Bu işletmenin yetkilisi Enis bey dönecek</t>
  </si>
  <si>
    <t>neslihan kalın</t>
  </si>
  <si>
    <t xml:space="preserve">15 - 20 dk ya gelir dedi - yetkili daha gelmedi </t>
  </si>
  <si>
    <t>6078a2bf07047f5d5eb36f2b</t>
  </si>
  <si>
    <t>Simitçi Dünyası (Kışla Mah.)</t>
  </si>
  <si>
    <t>mehmet ali tek</t>
  </si>
  <si>
    <t>kışla mah mithat özhan blv şehir hastanesi yüreğir adana</t>
  </si>
  <si>
    <t>60e5fb19508ede6117088111</t>
  </si>
  <si>
    <t>Single Burger, Seyhan (Kurtuluş Mah.)</t>
  </si>
  <si>
    <t>hüseyin güngör</t>
  </si>
  <si>
    <t>kurtuluş mah 64012 sk no 5 A seyhan adana</t>
  </si>
  <si>
    <t xml:space="preserve">şefi ile görüşüp dönüş sağlıycak/ben böyle iyiyim istersem sizi ararım dedi  - ulasılamadı </t>
  </si>
  <si>
    <t>fatma pınar serbest</t>
  </si>
  <si>
    <t>YTEKİLİ GELİNCE DÖNÜŞ YAPCAK- BIR SAATE ARANACAK / istemiyor.</t>
  </si>
  <si>
    <t>kürşat tezcan</t>
  </si>
  <si>
    <t>ebubekir saylan</t>
  </si>
  <si>
    <t>şehır dısındaymıs ılerde/</t>
  </si>
  <si>
    <t>614d8e5045d84a740050ab87</t>
  </si>
  <si>
    <t>SoBig Burger, Ceyhan (Namık Kemal Mah.)</t>
  </si>
  <si>
    <t>BETÜL KAYHAN</t>
  </si>
  <si>
    <t>namık kemal mah şehitler blv no 34 ceyhan adana</t>
  </si>
  <si>
    <t>5fec7382e97c0d25d0d158e5</t>
  </si>
  <si>
    <t>SoBig Burger, Çukurova (Güzelyalı Mah. - Turgut Özal Blv.)</t>
  </si>
  <si>
    <t>kaner kadıoğlu</t>
  </si>
  <si>
    <t>mahfesığmaz mah lütfü bağdaş apt no:51/c çukurova adana</t>
  </si>
  <si>
    <t>Fotoğrafları yok</t>
  </si>
  <si>
    <t>5fec620087a63bbc3932810f</t>
  </si>
  <si>
    <t>SoBig Burger, Seyhan (Cemalpaşa Mah.)</t>
  </si>
  <si>
    <t>serdar mercankaya</t>
  </si>
  <si>
    <t xml:space="preserve">Fotoğrafları yok // fotoğrafları maile iletip iletmediklerini haber vericekler-serdar beyin numarası 05384425241 ulasılamadı- boyutlarını öğrenilsin arancak - ulaşılamadı </t>
  </si>
  <si>
    <t>5fec7d83630a76bf9dff3049</t>
  </si>
  <si>
    <t>SoBig Burger, Seyhan (Gürselpaşa Mah.)</t>
  </si>
  <si>
    <t>serjan atabay</t>
  </si>
  <si>
    <t>gürselpaşa mah 75048 sk. 45/a 01200 seyhan adana</t>
  </si>
  <si>
    <t>5fec67588365ab46508eb3d5</t>
  </si>
  <si>
    <t>SoBig Burger,(Güzelyalı Mah. - Uğur Mumcu Blv.)</t>
  </si>
  <si>
    <t>serkan atabay</t>
  </si>
  <si>
    <t>Uğur Mumcu Blv. 11 B,Güzelyalı,01170, 01150 Çukurova adana</t>
  </si>
  <si>
    <t>616dc0ad36e8295d1dc02d81</t>
  </si>
  <si>
    <t>Sokumcu , Çukurova (Güzelyalı Mah.)</t>
  </si>
  <si>
    <t>Ali Atış</t>
  </si>
  <si>
    <t>GÜZELYALI MAH. 81056 SK. NO: 11 B ÇUKUROVA/ ADANA</t>
  </si>
  <si>
    <t xml:space="preserve">motor üzerindeyim 10-15 dk ya aranacak - bütün ürünlerin fotoğrafları var biz kendi reklamcımıza çektirdik dedi  </t>
  </si>
  <si>
    <t>604535fce26cdb0df61e82f5</t>
  </si>
  <si>
    <t>Soulmate Coffee (Kurtuluş Mah.)</t>
  </si>
  <si>
    <t>berk katlav</t>
  </si>
  <si>
    <t>kurtuluş mah. mithat saraçoğlu cd. no 2/a seyhan adana</t>
  </si>
  <si>
    <t>623ad0a17289cc58f03456c5</t>
  </si>
  <si>
    <t>Söğüşçü Arabın Yeri, Çukurova (Güzelyalı Mah. -Turgut Özal Blv.)</t>
  </si>
  <si>
    <t>YELDA BİRBİRİ</t>
  </si>
  <si>
    <t>GÜZELYALI MAH. TURGUT ÖZAL BLV. NO: 86 A ÇUKUROVA/ ADANA</t>
  </si>
  <si>
    <t>5ff6162277f9874a5e7993f8</t>
  </si>
  <si>
    <t>Space Sandwich &amp; Breakfast (Beyazevler Mah.)</t>
  </si>
  <si>
    <t>ekrem gönüleğlendiren</t>
  </si>
  <si>
    <t>beyazevler mah 80003 sokak gökyar apt altı no:12d iç kapı no :d çukurova adana</t>
  </si>
  <si>
    <t>getiryemek sistemi aktif değilmiş</t>
  </si>
  <si>
    <t>sevgi ünaldı</t>
  </si>
  <si>
    <t>devam çekimi alındı/murat bey</t>
  </si>
  <si>
    <t>yaşar say</t>
  </si>
  <si>
    <t>cahit kardaş</t>
  </si>
  <si>
    <t>yüksel kardaş</t>
  </si>
  <si>
    <t xml:space="preserve">çekim sağlanmış  </t>
  </si>
  <si>
    <t>YÜKSEL KARDAŞ</t>
  </si>
  <si>
    <t>6194d4681370eb68b638abdf</t>
  </si>
  <si>
    <t>Street Burger, Seyhan (Yeşilyurt Mah. - İbo Osman Cad.)</t>
  </si>
  <si>
    <t>ali karcun</t>
  </si>
  <si>
    <t>Yeşilyurt mh 70001 sk no 55A Seyhan adana</t>
  </si>
  <si>
    <t xml:space="preserve">ulaşılmadı  - numara kullanılmamakta </t>
  </si>
  <si>
    <t>gökhan yıldızhan</t>
  </si>
  <si>
    <t>ahmet ograş</t>
  </si>
  <si>
    <t>ortağı ile konuşacak 1 saat sonra aranacak/suan degıl cok ılerde aranck-randevıu olusturuldu</t>
  </si>
  <si>
    <t>Oğur keskin</t>
  </si>
  <si>
    <t>5394197909/istemiyor cekim- ulasılamadı/ istemiyorum sebebi yok dedi.</t>
  </si>
  <si>
    <t>sultan teker</t>
  </si>
  <si>
    <t xml:space="preserve">dönecek  </t>
  </si>
  <si>
    <t>bedi uğur havare</t>
  </si>
  <si>
    <t>5354269698- yarın aranacak şehir dışına çıkıyormuş</t>
  </si>
  <si>
    <t>ali eftekin</t>
  </si>
  <si>
    <t>5441523852 deniz bey/ 1 saat</t>
  </si>
  <si>
    <t>engin deliduman</t>
  </si>
  <si>
    <t>yarın aransın/ saat 4 ten sonra istiyor kesin aransın 0538 820 6360</t>
  </si>
  <si>
    <t>60847fb92d44eb38b0896c67</t>
  </si>
  <si>
    <t>Şahin Döner, Ceyhan (Hürriyet Mah.)</t>
  </si>
  <si>
    <t>musa donuk</t>
  </si>
  <si>
    <t>Şahin Özbilen</t>
  </si>
  <si>
    <t>hürriyet mah inönü bulvarı no 148 ceyhan adana</t>
  </si>
  <si>
    <t>6.30 musait olurlarmış</t>
  </si>
  <si>
    <t>mehmet caymaz</t>
  </si>
  <si>
    <t>dç için şu an degıl daha sonra</t>
  </si>
  <si>
    <t>serap dur</t>
  </si>
  <si>
    <t>mehmet korkmaz</t>
  </si>
  <si>
    <t xml:space="preserve">mail atacak-5 gibi aranacak-randevu olusturuldu </t>
  </si>
  <si>
    <t>ali eyriparmak</t>
  </si>
  <si>
    <t>Bir ay sonra görüşme sağlayalım duruma göre kara verelim denildi."/mesgul // eylülde aransın istiyor -randevu olusturuldu</t>
  </si>
  <si>
    <t>yunus emre kılıç</t>
  </si>
  <si>
    <t xml:space="preserve">babası fotoğrafların olduğunu söyledi yunus bey yarım saate gelir arayıp teyit edelim- haftaya aranacak o zamana kadar atarım dedi- RANDEVU OLUSTURULDU </t>
  </si>
  <si>
    <t>ABDULLAH AY</t>
  </si>
  <si>
    <t>salih zaif</t>
  </si>
  <si>
    <t>yetkiliye numaramı iletecek bana dönüş sağlayacaklar/Can Bey / 5335641749</t>
  </si>
  <si>
    <t>fahri şık</t>
  </si>
  <si>
    <t>mail atacak - randevu olusturuldu</t>
  </si>
  <si>
    <t>61d2e48c5e55eaabb3189d64</t>
  </si>
  <si>
    <t>Şenler Döner, Yüreğir (Kiremithane Mah.)</t>
  </si>
  <si>
    <t>ERAMAZAN AŞSIZ</t>
  </si>
  <si>
    <t>kiremithane mah ecz.haşim dalgıç caddesi no 202 yüreğir adana</t>
  </si>
  <si>
    <t>61a937df0f9d75093d70a4c8</t>
  </si>
  <si>
    <t>Şırdancı Ahmet, Yüreğir (Ulubatlı Hasan Mah.)</t>
  </si>
  <si>
    <t>Ahmed Batur</t>
  </si>
  <si>
    <t>ulubatlı hasan mahallesi kozan cd no 568 iç kapı no b yüreğir adana</t>
  </si>
  <si>
    <t>kemal karahanlı</t>
  </si>
  <si>
    <t>daha sonra aranıcak/müsait değilim dedi.</t>
  </si>
  <si>
    <t>rifat can bilgin</t>
  </si>
  <si>
    <t>ulasılamadı - ulasılamadı</t>
  </si>
  <si>
    <t>61139a4af7e0d76c2a5d05e5</t>
  </si>
  <si>
    <t>mahmut özdaş</t>
  </si>
  <si>
    <t>idris esen</t>
  </si>
  <si>
    <t>devam çekim randevusu alındı</t>
  </si>
  <si>
    <t>tekin batur</t>
  </si>
  <si>
    <t>açmıyor- ulasılamadı 5309547387</t>
  </si>
  <si>
    <t>cuma cem yetişgen</t>
  </si>
  <si>
    <t>ali bozkuş</t>
  </si>
  <si>
    <t>mehmet gökhan bozkuş</t>
  </si>
  <si>
    <t>recep bozkuş</t>
  </si>
  <si>
    <t>güncel adres takvimde</t>
  </si>
  <si>
    <t>605cc7c24f6acb4af9445995</t>
  </si>
  <si>
    <t>Şişkom Döner (Pınar Mah.)</t>
  </si>
  <si>
    <t>volkan acar</t>
  </si>
  <si>
    <t>pınar mh 74067 sk no 2/a seyhan adana</t>
  </si>
  <si>
    <t xml:space="preserve">çekim istemiyor çünkü gerek duymuyor işletme küçük diyor ikna edilemedi- suan tek calısıyorum dedi haftaya olabılır dedi - istemiyorum dedi </t>
  </si>
  <si>
    <t>6238bc96ecc8f7c5858d358c</t>
  </si>
  <si>
    <t>Şükran Kebap Lahmacun &amp; Etli Pide, Yüreğir (Kışla Mah.)</t>
  </si>
  <si>
    <t>AMED BARAN</t>
  </si>
  <si>
    <t>Kışla mah. 4470 sok. no 8 iç kapı no b yüreğir adana</t>
  </si>
  <si>
    <t>halil ibrahim anucur</t>
  </si>
  <si>
    <t xml:space="preserve">fotoğrafları kendi fotoğrafçısından alıp gönderecek- numara mesgul </t>
  </si>
  <si>
    <t>ihsan erdal</t>
  </si>
  <si>
    <t>yarım saat sonra aranacak google kokoreç yazıp çıkan fotoprafları koysanız olmyor mu dedi gerçek fotoğraflar kullanıyoruz deyince bi düşündü/çaldı açmadı//4te ara//6 da aransın dedi işi varmış</t>
  </si>
  <si>
    <t>6200c5cd125ced48d1b1b80c</t>
  </si>
  <si>
    <t>Tan Döner, Yüreğir (Kazım Karabekir Mah.)</t>
  </si>
  <si>
    <t>KASIM TAN</t>
  </si>
  <si>
    <t>KAZIM KARABEKİR MAH MUSTAFA KEMAL PAŞA BLV NO 40 YÜREĞİR ADANA</t>
  </si>
  <si>
    <t>622b32d40394d2e4e9bd6a17</t>
  </si>
  <si>
    <t>Tan Fırın, Çukurova (Yüzüncü Yıl Mah.)</t>
  </si>
  <si>
    <t>Burhan Büyükbaş</t>
  </si>
  <si>
    <t>Yüzüncüyıl, Hacı Bektaş Veli Blv 51 A, 01170 Çukurova/Adana</t>
  </si>
  <si>
    <t>adem uysun</t>
  </si>
  <si>
    <t>552 284 40 01/meşgule atıyor</t>
  </si>
  <si>
    <t>cemil burkaş</t>
  </si>
  <si>
    <t>yüzüncü yıl mah 85078 sokak no 25 çukurova adana</t>
  </si>
  <si>
    <t>randevu olusturuldu adres yanlış doğrusu: 100.yıl mah.çukurova ilçe emniyet müdürlüğü karşısı 100.yıl cami önü</t>
  </si>
  <si>
    <t>6050eaf94642ff406974e8bc</t>
  </si>
  <si>
    <t>Tantunizm (Sinanpaşa Mah. - Optimum AVM)</t>
  </si>
  <si>
    <t>berkay gergin</t>
  </si>
  <si>
    <t xml:space="preserve">mail yönlendirilmiş stüdyo çekimi yapılacakmış gönderecek- numara mesgul  - mail adresi tekrardan verildi ben yüklerim dedi  </t>
  </si>
  <si>
    <t>60a40432341cac2c6a455396</t>
  </si>
  <si>
    <t>Tarihi Antep Çiğ Köfte, Çukurova (Huzurevleri Mah.)</t>
  </si>
  <si>
    <t>ertan kuruçay</t>
  </si>
  <si>
    <t>huzurevleri mah 77235 sok a. nacar sitesi a blok zemin kat çukurova adana</t>
  </si>
  <si>
    <t>yurt mahallesi şubede çekim yapılmış</t>
  </si>
  <si>
    <t>61728fd14526371692708570</t>
  </si>
  <si>
    <t>Tarihi Kuruköprü Paça, Ceyhan (Namık Kemal Mah.)</t>
  </si>
  <si>
    <t>ufuk elaslan</t>
  </si>
  <si>
    <t>namık kemal mah 83 sk no 2 ceyhan adana</t>
  </si>
  <si>
    <t>623a257ca0874355d6a250ce</t>
  </si>
  <si>
    <t>Tat Börek, Çukurova (Belediyeevleri Mah.)</t>
  </si>
  <si>
    <t>MEHMET ERBİL</t>
  </si>
  <si>
    <t>Belediye Evleri Mah. 84029 Sk. No:1 C Çukurova/ADANA</t>
  </si>
  <si>
    <t>kadir bey</t>
  </si>
  <si>
    <t>Abdulhenan</t>
  </si>
  <si>
    <t>çekim sağlanmış ama hala yüklenmemiş. İletildi.</t>
  </si>
  <si>
    <t>doğan türkmen</t>
  </si>
  <si>
    <t>Tatlıcı İhsan, Seyhan (Yeşilyurt Mah.)</t>
  </si>
  <si>
    <t>Ramazan Saltıkalp</t>
  </si>
  <si>
    <t>Yeşilyurt Mah 70082 sk no 61 a seyhan adana</t>
  </si>
  <si>
    <t xml:space="preserve">fotografları çekilmiş getir tarafından  sisteme hiçbirsey girilmemiş </t>
  </si>
  <si>
    <t>613f27a190f9b8a2e7f5925d</t>
  </si>
  <si>
    <t>Tatlıcı Zeki Altınok, Seyhan (Denizli Mah.)</t>
  </si>
  <si>
    <t>Uğur Ceran</t>
  </si>
  <si>
    <t>Denizli mah şehit mehmet özel cd no 12/a seyhan adana</t>
  </si>
  <si>
    <t xml:space="preserve">babaoğul tuafiye yanı - randevu oluşturuldu </t>
  </si>
  <si>
    <t>hasan altınok</t>
  </si>
  <si>
    <t>Reşatbey, Ordu Cd. no55, 01120 Seyhan/Adana</t>
  </si>
  <si>
    <t>60e451917144115331655f3a</t>
  </si>
  <si>
    <t xml:space="preserve">5325840138// yetkili yok </t>
  </si>
  <si>
    <t>sadık aşkaroğlu</t>
  </si>
  <si>
    <t>KURTULUŞ MAHALLESİ 64015 SOKAK seyhan adana</t>
  </si>
  <si>
    <t xml:space="preserve">5383004818 64016 sokak musa ballı apt. zemin kat kızılay kan merkezi yanı  </t>
  </si>
  <si>
    <t>62155f91e244e7167170bb8f</t>
  </si>
  <si>
    <t>Tavuk Deryası, Çukurova (Belediye Evleri Mah.)</t>
  </si>
  <si>
    <t>PINAR TEKİN</t>
  </si>
  <si>
    <t>belediyeevleri mah 81172 sok no 4 b iç kapı no 1 çukurova adana</t>
  </si>
  <si>
    <t xml:space="preserve">eşi arif bey elektirk sıkıntısı var 1 hafta sonra tekrardan iletişime geçelim dedi </t>
  </si>
  <si>
    <t>SONER BAYIRLI</t>
  </si>
  <si>
    <t>tuba akkuş</t>
  </si>
  <si>
    <t>yusuf tekin</t>
  </si>
  <si>
    <t xml:space="preserve">ben müsait vaktimiz öğreneyim dönüş saglarım dedi - müsait değilim bu aralar ben sizlere dönüş sağlarım dedi </t>
  </si>
  <si>
    <t>623045f317e1e00a473953d2</t>
  </si>
  <si>
    <t>Tellidere Paçacısı, Seyhan (Tellidere Mah.)</t>
  </si>
  <si>
    <t>Murat Sakin</t>
  </si>
  <si>
    <t>tellidere mah. mücahitler cad. b blok no 246 b seyhan adana</t>
  </si>
  <si>
    <t xml:space="preserve">kardeşi muhammet bey abim gelsin geri dönüş sağlarım ben size dedi </t>
  </si>
  <si>
    <t>6151db92d7f7bf856a977273</t>
  </si>
  <si>
    <t>Tepebağ Kebap Evi , Seyhan (Reşatbey Mah.)</t>
  </si>
  <si>
    <t>bekir yar</t>
  </si>
  <si>
    <t>fettah bey apt adalet cad no 16 seyhan adana</t>
  </si>
  <si>
    <t xml:space="preserve">Yetkili rahatsız olduğu için gelmiyor işletmeye no iletildi gelince dönüş sağlatacaklar/10 GÜN SONRA - suan musaıt degılım dedi bı takım sıkıntılarım var dedi ileri bir tarihte ara dedi - yetkili kişilerle konuşayım sizlere dönüş sağlarım dedi gün içerisinde / yetkili hasta </t>
  </si>
  <si>
    <t>62331695af291d330b653651</t>
  </si>
  <si>
    <t>The Boss Burger, Çukurova (Mahfesığmaz Mah.)</t>
  </si>
  <si>
    <t>Firdes Karaörs</t>
  </si>
  <si>
    <t>606b577b12cde66c3dd0984d</t>
  </si>
  <si>
    <t>The Bull Burger &amp; Coffee, Seyhan (Cemalpaşa Mah.)</t>
  </si>
  <si>
    <t>emrah turgut</t>
  </si>
  <si>
    <t>Cemalpaşa mh.toros cad. Ziya apt no 30/1 Kazım büfe karşısı, 01040 Seyhan/Adana</t>
  </si>
  <si>
    <t>mail verildi</t>
  </si>
  <si>
    <t>Emrah turgut</t>
  </si>
  <si>
    <t>62421f69b561fa997ffa49d1</t>
  </si>
  <si>
    <t>The Hub, Seyhan (Döşeme Mah.)</t>
  </si>
  <si>
    <t>SAVAŞ YÜKSELYALÇIN</t>
  </si>
  <si>
    <t>Döşeme mah. 60075 sok. no 6 iç kapı no 77 Seyhan Adana</t>
  </si>
  <si>
    <t>608da0120e33f3598ffaa950</t>
  </si>
  <si>
    <t>The Sopranos, Seyhan (Cemalpaşa Mah.)</t>
  </si>
  <si>
    <t>emre demirdelen</t>
  </si>
  <si>
    <t>cemalpaşa mah ethem ekin sokak vizon apt no 2 b seyhan adana</t>
  </si>
  <si>
    <t xml:space="preserve">ezgi hanıma dönüş yapacak/322 458 00 10 internetten bu numara bulundu/numara yanlış - 1 SAATE ARANACAK - istemiyorum dedi </t>
  </si>
  <si>
    <t>FATMA YILMAZ</t>
  </si>
  <si>
    <t xml:space="preserve">yetkili ergin beyden randevu alındı </t>
  </si>
  <si>
    <t>haydar erenler</t>
  </si>
  <si>
    <t>ŞEHİR DIŞINDAYMIŞ 10 GUN SONRA ARANACAK OLUMLU - ULASILAMADI/ covit olmuş 10 gün sonra arar mısınız dedi- çekim istemiyor - 2 hafta sonra aranacak- yetkili yok önümüzdeki hafta tekrardan iletişime geçelim</t>
  </si>
  <si>
    <t>60e5f8a0fba0e17f209142b4</t>
  </si>
  <si>
    <t>Toki Döner Ve Kebap Salonu, Seyhan (İsmetpaşa Mah.)</t>
  </si>
  <si>
    <t>şükrü mak</t>
  </si>
  <si>
    <t>ismetpaşa mah kıyıkent toki iş merkezi dk.19 seyhan adana</t>
  </si>
  <si>
    <t xml:space="preserve">genel merkezle görüşüp döncekler randevu alınabilir- istemiyorum dedi </t>
  </si>
  <si>
    <t>MERAL ÖZDEMIR</t>
  </si>
  <si>
    <t>Mehmet Bey/5535359402/teyit için arandı açmadı- yarım saate aranacak-haftaya arıyacak - ulasılamadı - çrş günü aranacak mail adersini atacak olmazsa randevu olustururuz dedi - kendi fotografları varmıs reklamcısında bu hafta içi yollarım dedi 1 hafta sonra aranaacak - göndermiş//Göndermişler.</t>
  </si>
  <si>
    <t>adnan çermik</t>
  </si>
  <si>
    <t>Yaşar Bey</t>
  </si>
  <si>
    <t>salih sola</t>
  </si>
  <si>
    <t>mehmet karataş</t>
  </si>
  <si>
    <t xml:space="preserve">devam çekimi istemedi  </t>
  </si>
  <si>
    <t>61f2bd1c8cd01ce41b81259f</t>
  </si>
  <si>
    <t>Tombiş Döner , Çukurova (Huzurevleri Mah.)</t>
  </si>
  <si>
    <t>Salih Sola</t>
  </si>
  <si>
    <t>Huzurevleri mahallesi 77211 sokak pembekösk apt zemin no:4 cukurova adana</t>
  </si>
  <si>
    <t>601495de61fea777591f147c	Tombiş Cafe, Çukurova (Toros Mah.)</t>
  </si>
  <si>
    <t>ali ilgan</t>
  </si>
  <si>
    <t>5feb8643dc26c71899d07016</t>
  </si>
  <si>
    <t>Torku Ziyafet Döner, Seyhan (Kuruköprü Mah.)</t>
  </si>
  <si>
    <t>Burak Çağatay Çerçioğlu</t>
  </si>
  <si>
    <t>kuruköprü mah inönü cad 89/a seyhan adana</t>
  </si>
  <si>
    <t>numara yanlış</t>
  </si>
  <si>
    <t>Zafer Gür</t>
  </si>
  <si>
    <t>614c39d59d31c8ae9e3e8c55</t>
  </si>
  <si>
    <t>Tost Evi 01 (Mahfesığmaz Mah.)</t>
  </si>
  <si>
    <t>hepsi  çekildi dedi/çekimler sağlandı diyor ısrarla getirden geldiler dedi.</t>
  </si>
  <si>
    <t>61d4757bab405412e4c976f0</t>
  </si>
  <si>
    <t>Tostbusters, Seyhan (Cemalpaşa Mah.)</t>
  </si>
  <si>
    <t>Önder Özel</t>
  </si>
  <si>
    <t>cemalpaşa mah 63007 sok ali keskin apt altı seyhan adana</t>
  </si>
  <si>
    <t xml:space="preserve">daha önce görüştük ben fotoğraf falan istemiyorum dedi </t>
  </si>
  <si>
    <t>TOSTÇU MAHMUT GIDA SANAYİ VE TİCARET LİMİTED ŞİRKETİ</t>
  </si>
  <si>
    <t>Yenibaraj, Bülent Angın Blv. No:92/C, 01150 Çukurova/Adana</t>
  </si>
  <si>
    <t>Bünyamin bey</t>
  </si>
  <si>
    <t>Murat Çekmen</t>
  </si>
  <si>
    <t>AKAY KERKÜT</t>
  </si>
  <si>
    <t>sümer mah necip fazıl kısakürek blv no 10 b seyhan adana</t>
  </si>
  <si>
    <t>6009aec80a0197ecc6f349e5</t>
  </si>
  <si>
    <t>Tuffy's Road House, Seyhan (Reşatbey Mah.)</t>
  </si>
  <si>
    <t>AZİZ ERTEM</t>
  </si>
  <si>
    <t>reşatbey mah.türkkuşu cad.bilgen apt altı no :32/B büyükşehir belediyesi cam bina yanı seyhan /ADANA</t>
  </si>
  <si>
    <t xml:space="preserve">5368307280- kendim yuklerım dedi bir hafta sonra arnacak - ulasılamadı </t>
  </si>
  <si>
    <t>6243f9c185a38ffc0f7b623b</t>
  </si>
  <si>
    <t>Tuğra Kebap &amp; Döner, Sarıçam (Gültepe Mah.)</t>
  </si>
  <si>
    <t>mustafa kaya</t>
  </si>
  <si>
    <t>Gültepe Mah. Çatalan Cad. No:285, Sarıçam/Adana</t>
  </si>
  <si>
    <t>oğuzhan çalımlı</t>
  </si>
  <si>
    <t xml:space="preserve">açmadı5079342078/ fotoğrafları yanlış yüklenmiş istemiyor </t>
  </si>
  <si>
    <t>601469f415c659653ba31e3f</t>
  </si>
  <si>
    <t>Tutku Tantuni 2,(Yeşilyurt Mah. - İbo Osman Cad.)</t>
  </si>
  <si>
    <t>fatma er</t>
  </si>
  <si>
    <t>YEŞİLYURT MAH. İBO OSMAN CAD. NO: 177 B SEYHAN/ ADANA</t>
  </si>
  <si>
    <t xml:space="preserve">merkezle görüşülmesi gerekiyor 5395995442 Olcay Bey veya Şerife Hanım ulaşılamadı - merkezde çekim sağlandı dedi yetkililere ulaşılamadı </t>
  </si>
  <si>
    <t>Şerife Er</t>
  </si>
  <si>
    <t xml:space="preserve">dermencan turk merkezi arası bbol </t>
  </si>
  <si>
    <t>MEHMET OĞURTAY</t>
  </si>
  <si>
    <t>623459158d4bcdd46faafba5</t>
  </si>
  <si>
    <t>Tüm Doğal Kasap Ocakbaşı, Yüreğir (Atakent Mah.)</t>
  </si>
  <si>
    <t>Mustafa Teke</t>
  </si>
  <si>
    <t>atakent mah. şehit polis serdar kazar sok. no 35 1af yüreğir adana</t>
  </si>
  <si>
    <t>5ff4512ca415e9dcb83dbec0</t>
  </si>
  <si>
    <t>Türkan Kebap&amp;Meze Ziyapaşa,(Kurtuluş Mah.)</t>
  </si>
  <si>
    <t>mert ümit karaçay</t>
  </si>
  <si>
    <t>kurtuluş mah şinasi efendi cad ayşem apt no :32/a seyhan adana</t>
  </si>
  <si>
    <t xml:space="preserve">yt yok- MERT BEY AYRILMIS MAİL ADRESİ VERİLDİ ATINCA ARIYACAK - numara kullanılmamaktadır </t>
  </si>
  <si>
    <t>nihal çetin</t>
  </si>
  <si>
    <t>HAFTAYA</t>
  </si>
  <si>
    <t>murat balkış</t>
  </si>
  <si>
    <t>gürselpaşa mah ali bozdoğanoğlu blv seyhan adana</t>
  </si>
  <si>
    <t>çekimler sağlanmış bir problem yok dedi</t>
  </si>
  <si>
    <t>beytullah genç</t>
  </si>
  <si>
    <t>Gürselpaşa, 75646 sokak no:91/c, 01200 Seyhan/Adana</t>
  </si>
  <si>
    <t>yunus ulu</t>
  </si>
  <si>
    <t>özlem</t>
  </si>
  <si>
    <t>4-5 ürünü için devam çekimi istiyor</t>
  </si>
  <si>
    <t>süleyman ürek</t>
  </si>
  <si>
    <t>15 dakika sonra aranacak/numara kullanılmıyor/işletmede yakalayabilmek zor cunkü pakete de çıkıyormuş. tekrar aransın devam çekimi için görüşülsün</t>
  </si>
  <si>
    <t>6239e34130864f01b72dbd6b</t>
  </si>
  <si>
    <t>Usta Çiğköfte Dünyası, Yüreğir (P.t.t Mah.)</t>
  </si>
  <si>
    <t>p.t.t evleri mah. 3613 sok. No 48 adana yüreğir</t>
  </si>
  <si>
    <t>ibrahim sayan</t>
  </si>
  <si>
    <t>fotograflar var ben maile yarın atarım dedi- randevusu olusturuldu</t>
  </si>
  <si>
    <t>erman er</t>
  </si>
  <si>
    <t xml:space="preserve">fotoğrafçı gitmemiş randevu istemiyorlar/çaldı acmadi// açmadı- ulasılamadı </t>
  </si>
  <si>
    <t>624217a385d9c248aba8f117</t>
  </si>
  <si>
    <t>Ümit Bey Et Döner, Seyhan (Cemalpaşa Mah. - Gazipaşa Blv.)</t>
  </si>
  <si>
    <t>İbrahim Ünsal</t>
  </si>
  <si>
    <t>cemalpaşa mah. gazipaşa bul. no 21 a seyhan adana</t>
  </si>
  <si>
    <t>6203da7701d93ee0e730593a</t>
  </si>
  <si>
    <t>Ütü Tost, Çukurova (Yüzüncü Yıl Mah.)</t>
  </si>
  <si>
    <t>SERCAN DAĞLI</t>
  </si>
  <si>
    <t>YÜZÜNCÜYIL MAH. 85381 SK. NO: 63 A ÇUKUROVA/ ADANA</t>
  </si>
  <si>
    <t>mail verildi kendisinde fotograflar var</t>
  </si>
  <si>
    <t>6149a62a5c47fc8dd8161ccb</t>
  </si>
  <si>
    <t>Ütü Tost, Seyhan (Kocavezir Mah.)</t>
  </si>
  <si>
    <t>emirhan şimşekyılmaz</t>
  </si>
  <si>
    <t>kendisi şehir dışındaymış düşünmüyor,biraderinin şubesinde çekim yapılacakmış onları yükleyeceklermiş./ meşgule attı.fotoğraflar için arandı yetkili yok ,yetkili kendi no açmadı.</t>
  </si>
  <si>
    <t>serhan şimşekyılmaz</t>
  </si>
  <si>
    <t>ÇEKİM GERCEKLESMIS</t>
  </si>
  <si>
    <t>abdullah toprak</t>
  </si>
  <si>
    <t>Personel Eksik</t>
  </si>
  <si>
    <t xml:space="preserve">Şu anda günü zor geçiriyoruz personelde eksik ancak 2 aya toparlayabilirim der/ilerleyen zamanda belki olur /2 ay sonra </t>
  </si>
  <si>
    <t>605a4c90889b9bd6983c2c1b</t>
  </si>
  <si>
    <t>Veli Şef Kebap &amp; Döner (Gültepe Mah.)</t>
  </si>
  <si>
    <t>ali menevşe</t>
  </si>
  <si>
    <t>gültepe mah 915 sk no 5 aksu 1 apt iç lapı no 1 sarıçam adana</t>
  </si>
  <si>
    <t>mail verildi- ali bey no 05355777136 ulasılamadı /cuma günü adanaya gecip ilgileniyim dediler.</t>
  </si>
  <si>
    <t>hakan koşmaz</t>
  </si>
  <si>
    <t>fotografları 1 2 ay önce göndermişler ..-05384379507 emin-fotoğrafları gönderdiler yazılmış teyit amaçlı aradım fakat emin beyin ilgilendiğini söylediler emin bey yarın dönüş yapacağını belirtti.-ulasılamadı- yetkili yok dedi aksam 5-6 gibi gelir dedi -</t>
  </si>
  <si>
    <t>62319e23adae29d6e9c15a2f</t>
  </si>
  <si>
    <t>Venüs Cafe, Seyhan (Kurtuluş Mah.)</t>
  </si>
  <si>
    <t>Ceylan Gündeş</t>
  </si>
  <si>
    <t>kurtuluş mah. demokrasi sok. gülbahçesi sitesi c blok no 27 seyhan adana</t>
  </si>
  <si>
    <t xml:space="preserve">kardeşime sorup 10 dk ya dönerim dedi - gerek yok dedi </t>
  </si>
  <si>
    <t>mehmet gözütok</t>
  </si>
  <si>
    <t>gece geliyormuş işletmeye.</t>
  </si>
  <si>
    <t>Selçuk Televi</t>
  </si>
  <si>
    <t>623b5c5f7c006674b6676403</t>
  </si>
  <si>
    <t>VEDAT CAN</t>
  </si>
  <si>
    <t>çekim yapıldı deniyor ama takvimde yok/yetkili yok/çaldı açamdı // ben getiryemekte göremiyorum ama çekim gerçekleşmiş- randevu olusturuldu /bu panbelı aktıf kullanmıyorlarmıs</t>
  </si>
  <si>
    <t>60c7bfbae94523fc8d26bf54</t>
  </si>
  <si>
    <t>Vita Mia Gelato , Seyhan (Cemalpaşa Mah. - Atatürk Cad.)</t>
  </si>
  <si>
    <t>mehmet kavukçu</t>
  </si>
  <si>
    <t>mehmet bey sürekli beni arıyorsunuz ben merkez ne derse onu yaparım dedi mehmet bey bu konuyla alakalı uzun bir süre aranmasın/Mehmet bey 13-13.30 gibi gelirmiş/müsait değilmiş sonradan dönüş yapıcak ezginin numarası verildi.</t>
  </si>
  <si>
    <t>mert bey</t>
  </si>
  <si>
    <t>6061b8fb53493f4308d3d584</t>
  </si>
  <si>
    <t>Vizyon Kebap</t>
  </si>
  <si>
    <t>Ahmet kaplan</t>
  </si>
  <si>
    <t>Serinevler mah 3879 sokak no 1</t>
  </si>
  <si>
    <t>müsait değilmiş ezginin numarası mesaj atıldı/5375401435/bayramdan sonra- numara mesgul - ulasılamadı /istemıyor</t>
  </si>
  <si>
    <t>60718c3e26fd832f0e4baefe</t>
  </si>
  <si>
    <t>Volkan Büfe Hamburgerci Memet (Reşatbey Mah.)</t>
  </si>
  <si>
    <t>hakan fırat tuncil</t>
  </si>
  <si>
    <t>reşatbey mah 62031 sk onur apt no 11 B seyhan adana</t>
  </si>
  <si>
    <t>0532 171 0609 15 DK SONRA ARANACAK CEPTEN MİSAFİRİ VARMIŞ/15 dk ya gelecek/1 saat arayın// açmadı - ULASILAMADI - 30 DK YA ARANACAK / sabah 11 gibi arayın der- 2-3 gibi aranacak müsait oldugum vakit dedi /20 dk sonra aranacak</t>
  </si>
  <si>
    <t>bahadır polat</t>
  </si>
  <si>
    <t>6241bcdd30157a2f08fdef69</t>
  </si>
  <si>
    <t>Waffle Craft, Çukurova (Mahfesığmaz Mah.)</t>
  </si>
  <si>
    <t>MEHMET KAAN ÖZSOY</t>
  </si>
  <si>
    <t>Mahfesığmaz Mah. Turgut Özal Bul. Nuran Karlıdağ Apt. No:23/H Çukurova/Adana</t>
  </si>
  <si>
    <t>ABDULKADİR ÇELEBİ</t>
  </si>
  <si>
    <t>61e7d17a87f3ea80e189e339</t>
  </si>
  <si>
    <t>Waffle Mania, Yüreğir (Ptt Evleri Mah.)</t>
  </si>
  <si>
    <t>ZEKİ BATUHAN ÇOŞAR</t>
  </si>
  <si>
    <t>PTT EVLERİ MAH 3585 SK ŞELALE APT NO 7 YÜREĞİR ADANA</t>
  </si>
  <si>
    <t>6257df6570d10b2efb0cfac5</t>
  </si>
  <si>
    <t>Waffle Party, Çukurova (Güzelyalı Mah. - Turgut Özal Blv.)</t>
  </si>
  <si>
    <t>Uğur Akın Kavak</t>
  </si>
  <si>
    <t>61fd9686996e871135c2468f</t>
  </si>
  <si>
    <t>Waffy &amp; Coffee , Seyhan (Cemalpaşa Mah.)</t>
  </si>
  <si>
    <t>HACI ÇİÇEK</t>
  </si>
  <si>
    <t>CEMALPAŞA MAH. ETHEM EKİN SK. ALTIN APT. B GİRİŞİ NO: 15 A SEYHAN/ ADANA</t>
  </si>
  <si>
    <t xml:space="preserve">Fotoğrafları yollamamışlar  // reklam ajansıyla anlaşmışlar onlar çekim yapacakmış  - mail adresi tekrardan verildi çekim istemiyor </t>
  </si>
  <si>
    <t>Burak Özalp</t>
  </si>
  <si>
    <t>Fotoğrafları yollamamışlar // Fotoğrafları kendi çekmişler bize mailden gönderecekler,onun haricinde sorunları var bu konu hakkında da şikayet tablosuna eklendi.5533552233</t>
  </si>
  <si>
    <t>61634ea377653a49b4d58cfa</t>
  </si>
  <si>
    <t>Waflin, Seyhan (Gürselpaşa Mah.)</t>
  </si>
  <si>
    <t>Hasan Özkan</t>
  </si>
  <si>
    <t xml:space="preserve">Fotoğrafları yollamamışlar // ulaşılamadı </t>
  </si>
  <si>
    <t>618a3dd1050d8372fdd9d7c0</t>
  </si>
  <si>
    <t>Walk In Wok &amp; Sushi Bar, Seyhan (Kurtuluş Mah.)</t>
  </si>
  <si>
    <t>Uzak Doğu</t>
  </si>
  <si>
    <t>niyazi yüceakın</t>
  </si>
  <si>
    <t>Kurtuluş Mahallesi Mithat Saraçoğlu Caddesi Lokman Apt, 01130 Seyhan</t>
  </si>
  <si>
    <t>618cc9cace71dfe8873189fa</t>
  </si>
  <si>
    <t>Wooden Cafe &amp; Bistro, Kozan (Karacaoğlan Mah.)</t>
  </si>
  <si>
    <t>ali koç</t>
  </si>
  <si>
    <t>karacaoğlan mah goncagül sk bozkurt apt no 7 kozan adana</t>
  </si>
  <si>
    <t>61fd9345ad48367c14788c39</t>
  </si>
  <si>
    <t>Mert Tömek</t>
  </si>
  <si>
    <t>Salata</t>
  </si>
  <si>
    <t>AKIN DİLKİ</t>
  </si>
  <si>
    <t>mail atmış kabul edilmemiş randevu talep etti</t>
  </si>
  <si>
    <t>behçet bey</t>
  </si>
  <si>
    <t xml:space="preserve">randevu olusturuldu </t>
  </si>
  <si>
    <t>yağız bey</t>
  </si>
  <si>
    <t>maile atacak-Tekrar görüşüldü mail adresimize yönlendirilicek.- randevu olusturuldu/dç istemez</t>
  </si>
  <si>
    <t>EMRAH AKALİ</t>
  </si>
  <si>
    <t>62507204b1c55f38796aac70</t>
  </si>
  <si>
    <t>Yanar Döner, Seyhan (Koza Mah.)</t>
  </si>
  <si>
    <t>Burhan Kılaguz</t>
  </si>
  <si>
    <t>Koza Mah. Şehitlik Cad. No 108 a Seyhan Adana</t>
  </si>
  <si>
    <t>603e22c8c667c61ac874566a</t>
  </si>
  <si>
    <t>Yaprak Döner (Cemalpaşa Mah. - Gazipaşa Blv.)</t>
  </si>
  <si>
    <t>ilker kapukaya</t>
  </si>
  <si>
    <t>cemalpaşa mah gazipaşa blv yılmaz apt no 26/e seyhan adana</t>
  </si>
  <si>
    <t>mail atacak - katologlar gelsin gonderirim dedi fiyat belirlenecek</t>
  </si>
  <si>
    <t>603e259b7c87b461f0b0c4f9</t>
  </si>
  <si>
    <t>Yaprak Döner (Güzelyalı Mah. - Turgut Özal Blv.)</t>
  </si>
  <si>
    <t>Güzelyalı, 81152. Sk. 2 A, 01170 Çukurova/Adana</t>
  </si>
  <si>
    <t>yarın ara 3224576602// 05544188146 açmadı-Tekrar Mail yönlendirildi.- getir kafasına gore ındırım yapıyor magduruz ıkı gundur merkezın numarası verıldı sorun cozulsun aranacak</t>
  </si>
  <si>
    <t>FARUK NAMLI</t>
  </si>
  <si>
    <t>625173551912334d775dfcc6</t>
  </si>
  <si>
    <t>Yaren Döner, Seyhan (Gülbahçesi Mah.)</t>
  </si>
  <si>
    <t>Muhammet Ayaş</t>
  </si>
  <si>
    <t>Gülbahçesi mah. Obalar cad. 440 B seyhan adana</t>
  </si>
  <si>
    <t>ibrahim beytekin</t>
  </si>
  <si>
    <t>Beşocak</t>
  </si>
  <si>
    <t>ŞEMSİ ATASOY</t>
  </si>
  <si>
    <t>ahmet gök</t>
  </si>
  <si>
    <t>5306912377 ahmet bey/çekım saglanılmıs</t>
  </si>
  <si>
    <t>ahmet karaçalı</t>
  </si>
  <si>
    <t>isa kaya</t>
  </si>
  <si>
    <t>5316697202 çaldıaçmadı//5gibi ara/5 DAKKAYA DONUS SAGLANILACAKTIR/MUSAIT DEGILIM DEDI YARIN ARAYINIZ DEDI/müsait degilim servis saati dedi</t>
  </si>
  <si>
    <t>62592a19c0cadf01360ee9b5</t>
  </si>
  <si>
    <t>Yeşil Cafe, Ceyhan (Burhaniye Mah.)</t>
  </si>
  <si>
    <t>PELİN GEZER</t>
  </si>
  <si>
    <t>burhaniye mah. inönü bul. sarılar apt. no 16 ceyhan adana</t>
  </si>
  <si>
    <t>ABDULLAH SÜMER</t>
  </si>
  <si>
    <t>62348a89674d1065a5dfaead</t>
  </si>
  <si>
    <t>Yeşil Konak Pasta &amp; Fırın, Yüreğir ( P.t.t Evleri Mah.)</t>
  </si>
  <si>
    <t>Muhammet Sarıtemur</t>
  </si>
  <si>
    <t>ptt mahallesi mimoza caddesi no 32 iç kapı no a yüreğir adana</t>
  </si>
  <si>
    <t>610d3ae93f99ced88540c06e</t>
  </si>
  <si>
    <t>Yeşilevler Közde Döner, Seyhan (Bahçelievler Mah.)</t>
  </si>
  <si>
    <t>MEHMET ARİF ORAL</t>
  </si>
  <si>
    <t>bahçelievler mah mehmet akif ersoy cd no 66 A seyhan adana</t>
  </si>
  <si>
    <t xml:space="preserve">5078262923 biz istemiyoruz sağ olun dedi- yetkili askere gitmis istemiyoruz dedii </t>
  </si>
  <si>
    <t>621b512c2fd571238f8c3c28</t>
  </si>
  <si>
    <t>Yet Döner &amp; İskender, Seyhan (Cemalpaşa Mah.)</t>
  </si>
  <si>
    <t>selen kutlu</t>
  </si>
  <si>
    <t>CEMALPAŞA MAH. ORDU CAD. BARIŞ APT. B BLOK NO: 90 A SEYHAN/ ADANA</t>
  </si>
  <si>
    <t>5ff5e3efe2d9e0635b02074b</t>
  </si>
  <si>
    <t>Yet Döner &amp; İskender, Seyhan (Gürselpaşa Mah.)</t>
  </si>
  <si>
    <t>hasine beşirikli</t>
  </si>
  <si>
    <t>gürselpaşa aliya izzet begoviç bulv özdeş apt no:91/f seyhan adana</t>
  </si>
  <si>
    <t xml:space="preserve">hasine hanım ilgileniyomus kendisi yoktu çalışana ilettim o ilgilenecek mail verildi atacak- ben bu hafta sızlerin mail adresine dönüş yaparım dedi- reklamcısıyla konusup geri donus yapacakmış- BİR SAATE ARANACAK </t>
  </si>
  <si>
    <t>603d4e7d3bc2906a332ce243</t>
  </si>
  <si>
    <t>Yetişoğlu Baklava (Yenidoğan Mah.)</t>
  </si>
  <si>
    <t>seyfi üzer</t>
  </si>
  <si>
    <t>Yenidoğan</t>
  </si>
  <si>
    <t>Yenidoğan Mah. şehit emre mücahit topal cd no 62 yüreğir adana</t>
  </si>
  <si>
    <t>ulaşılamadı - yok istemiyorum dedi - aksam arayın dedi 7-8 gibi /yuzume kapattı</t>
  </si>
  <si>
    <t>6202346d19e71ed87caf3664</t>
  </si>
  <si>
    <t>Yetişoğlu Baklava, Sarıçam (Osmangazi Mah.)</t>
  </si>
  <si>
    <t>CANAN BAYIR</t>
  </si>
  <si>
    <t>OSMANGAZİ MAH 20209 SK AY OTO YIKAMAN NO 6 SARIÇAM ADANA</t>
  </si>
  <si>
    <t>6204de27e2ace44033c91736</t>
  </si>
  <si>
    <t>Yıldız Balık, Ceyhan (Mithat Paşa Mah.)</t>
  </si>
  <si>
    <t>ABDURRAHMAN YILDIZ</t>
  </si>
  <si>
    <t>MİTHAT PAŞA MAH İNÖNÜ BLV NO 42 CEYHAN ADANA</t>
  </si>
  <si>
    <t>ABDURRAHİM GÜNEL</t>
  </si>
  <si>
    <t>6062d3a71d92b24282746d02</t>
  </si>
  <si>
    <t>Yıldızoğlu Kebap &amp; Lahmacun (Yeşilevler Mah.)</t>
  </si>
  <si>
    <t>mehmet ercan eralp</t>
  </si>
  <si>
    <t>5053395313.PERŞMEB GÜNÜ İSTİYOR.</t>
  </si>
  <si>
    <t>rifat yıldızoğlu</t>
  </si>
  <si>
    <t>zekeriya yıldızoğlu</t>
  </si>
  <si>
    <t>5326339785 turgut özal bulvarı 59 g randevuya gidilmiş ama 2 aydır yüklenmemiş./devam için aradık fotografı olmayanları kaldıracagım cogunu dediler. beninceleyim eger istersem sizi ararım dediler.</t>
  </si>
  <si>
    <t>61b334352d61b78b47b6d2b8</t>
  </si>
  <si>
    <t>Yuki Sushi, Seyhan (Gürselpaşa Mah.)</t>
  </si>
  <si>
    <t>5052293441 öğleden sonra aranacak - yeni yetkili emir can bey 506 473 19 41 - kendi fotoğrafım var dedi  mail adrwsi verildi</t>
  </si>
  <si>
    <t>6061b66369de6c75234baa79</t>
  </si>
  <si>
    <t>Yunus Emre Kebap (Kuruköprü Mah.)</t>
  </si>
  <si>
    <t>Yunus Emre Kaya</t>
  </si>
  <si>
    <t>Adana Seyhan Kuruköprü 33010 sokak emir royal otel arası</t>
  </si>
  <si>
    <t xml:space="preserve">1-2 saate aranıcak yoğunluğum var dedi/sipariş telefonu bu acil söyle dedi dinlemeden kapattı// yarın tekrar aranacak.getir yemek dedim yüzüme kapattı </t>
  </si>
  <si>
    <t>mehmet yücel</t>
  </si>
  <si>
    <t>606c92b7fbec05dde417e052</t>
  </si>
  <si>
    <t>Zeki Usta Kebap (Belediyeevleri Mah. - Türkmenbaşı Blv.)</t>
  </si>
  <si>
    <t>mehmet ali öztaş</t>
  </si>
  <si>
    <t>Huzurevleri Mahallesi, Türkmenbaşı Bulvarı Hadi Hansoylu Apart. D:Altı No :10, 01330 Çukurova/Adana</t>
  </si>
  <si>
    <t xml:space="preserve">5331624243-Tekrar görüşüldü fotoğrafları yönlendiricek.- mail adresi tekrardan verildi </t>
  </si>
  <si>
    <t>606c8b2a3df6106ff1f2a677</t>
  </si>
  <si>
    <t>Zeki Usta Kebap (Toros Mah. - Kenan Evren Blv.)</t>
  </si>
  <si>
    <t>Mahfesığmaz mah Esencan Sitesi Altı, Şehitler Blv, 01170 Çukurova</t>
  </si>
  <si>
    <t>2393040 yt yok/ yakın tarihte göndereyim dedi</t>
  </si>
  <si>
    <t>Mehmet Salih Zengin</t>
  </si>
  <si>
    <t>602fbd266f409c8074d0d81d</t>
  </si>
  <si>
    <t>Ziyapaşa Börekçilik (Gazipaşa Mah.)</t>
  </si>
  <si>
    <t>kaan kalmış</t>
  </si>
  <si>
    <t>ziyapaşa mh kemalpaşa blv no 20 iç kapı no a seyhan adana</t>
  </si>
  <si>
    <t xml:space="preserve">ulaşılamadı.- suanda mesgul - ulaşılamadı </t>
  </si>
  <si>
    <t>adil can</t>
  </si>
  <si>
    <t>bir iki saate arayın dedi suan musait degilim dedi / ben kendim çekip gönderirim  dedi.</t>
  </si>
  <si>
    <t>61afaaff7d9cb1812b77bd7d</t>
  </si>
  <si>
    <t>Zöhre Restaurant &amp; Bistro, Seyhan (Reşatbey Mah.)</t>
  </si>
  <si>
    <t>remzi zühre</t>
  </si>
  <si>
    <t>reşatbey mah 62031 sk yıldız has apt no 4 b seyhan adana</t>
  </si>
  <si>
    <t>3 ten sonra aranacak</t>
  </si>
  <si>
    <t>x</t>
  </si>
  <si>
    <t>IsActive</t>
  </si>
  <si>
    <t>SON 2 HAFTA</t>
  </si>
  <si>
    <t>Eklendi mi</t>
  </si>
  <si>
    <t>5fe4aac44669ba5a62461443</t>
  </si>
  <si>
    <t>KFC, Seyhan (Yeni Mah.)</t>
  </si>
  <si>
    <t>DOĞRU</t>
  </si>
  <si>
    <t>Tamer Yılmaz</t>
  </si>
  <si>
    <t>M1 Merkez AVM, Yeni Mahalle, No 15/70-A</t>
  </si>
  <si>
    <t>Key</t>
  </si>
  <si>
    <t>5feb3bc13458671b6a461b86</t>
  </si>
  <si>
    <t>McDonald's, Çukurova (Güzelyalı Mah. Turgut Özal Blv.)</t>
  </si>
  <si>
    <t>Ömer Tarık Güney</t>
  </si>
  <si>
    <t>Turgut Özal Bulvarı, Güzelyalı Mah. Sefa Parlak Gümüş Apt Altı No:7-8 Çukurova / Adana</t>
  </si>
  <si>
    <t>5feba37b12a8508e73bbe362</t>
  </si>
  <si>
    <t>McDonald's, Seyhan (Cemalpaşa Mah. Galleria)</t>
  </si>
  <si>
    <t>Fuzuli Cad. Galeria İş Mrk. Yanı No:16 Seyhan-Adana 01120</t>
  </si>
  <si>
    <t>5feba9182ccf257497219882</t>
  </si>
  <si>
    <t>McDonald's, Seyhan (Pınar Mah.)</t>
  </si>
  <si>
    <t>Pınar mah. Ali Bozdoğanoğlu Bulvarı No: 54/A Seyhan/Adana</t>
  </si>
  <si>
    <t>Adana Tombiş Döner, Çukurova (Huzurevleri Mah.)</t>
  </si>
  <si>
    <t>Pizza Taxi, Yüreğir (Kiremithane Mah.)</t>
  </si>
  <si>
    <t>Papağan Pizza , Çukurova ( Mahfesığmaz Mah.)</t>
  </si>
  <si>
    <t>5fec4a07ee0f7234aba7b3ce</t>
  </si>
  <si>
    <t>Komagene Etsiz Çiğ Köfte, Seyhan (Cemalpaşa Mah.)</t>
  </si>
  <si>
    <t>Esra Gonca Parlar</t>
  </si>
  <si>
    <t>CEMAL PAŞA MAH.TOROS CAD.ÇINAR APT.NO:31\C</t>
  </si>
  <si>
    <t>Enfes Fırın, Çukurova (Güzelyalı Mah.)</t>
  </si>
  <si>
    <t>5fec6b52dc26c76572d089c9</t>
  </si>
  <si>
    <t>Komagene Etsiz Çiğ Köfte, Ceyhan (Namık Kemal Mah.)</t>
  </si>
  <si>
    <t>NAMIK KEMAL MH. S. AHMET ARVASİ BLV. AYGEN AP. NO:42</t>
  </si>
  <si>
    <t>Kasr-ı Kervan Kebap, (Güzelyalı Mah. - Turgut Özal Blv.)</t>
  </si>
  <si>
    <t>5fec715eeeb85d338acdb4e9</t>
  </si>
  <si>
    <t>Komagene Etsiz Çiğ Köfte, Çukurova (Huzurevleri Mah.)</t>
  </si>
  <si>
    <t>HUZUREVLERİ MH. ALPARSLAN TÜRKEŞ BLV. NO:16\1</t>
  </si>
  <si>
    <t>Antakyam Döner, Çukurova (Mahfesığmaz Mah.- Turgut Özal Blv.)</t>
  </si>
  <si>
    <t>60019a0e97e0d62e97cbaed4</t>
  </si>
  <si>
    <t>Komagene Etsiz Çiğ Köfte, Yüreğir (Kazım Karabekir Mah.)</t>
  </si>
  <si>
    <t>YANLIŞ</t>
  </si>
  <si>
    <t>KAZIM KARABEKİR MH. 4199 SK. NO:1</t>
  </si>
  <si>
    <t>6001a23676b10d52aaca55f9</t>
  </si>
  <si>
    <t>Komagene Etsiz Çiğ Köfte, Seyhan (Yeşiloba Mah.)</t>
  </si>
  <si>
    <t>YEŞİLOBA MH. 46200 SK. NO:17</t>
  </si>
  <si>
    <t>6001a4a10e7109c6729aab27</t>
  </si>
  <si>
    <t>Komagene Etsiz Çiğ Köfte, Seyhan (Yeşilevler Mah.)</t>
  </si>
  <si>
    <t>Bahçelievler</t>
  </si>
  <si>
    <t>BAHÇELİEVLER MH. MEHMET AKİF ERSOY CD. NO:96/B</t>
  </si>
  <si>
    <t>6001b021675cf55af66d347f</t>
  </si>
  <si>
    <t>Komagene Etsiz Çiğ Köfte, Çukurova (Yüzüncü Yıl Mah.)</t>
  </si>
  <si>
    <t>YÜZÜNCÜ YIL MH. 85054 SK. NO:24/C</t>
  </si>
  <si>
    <t>7/C Ocakbaşı Gazipaşa , Seyhan (Cemalpaşa Mah.)</t>
  </si>
  <si>
    <t>6001aa02d0f3bab2a710138b</t>
  </si>
  <si>
    <t>Komagene Etsiz Çiğ Köfte, Çukurova (Mahfesığmaz Mah.)</t>
  </si>
  <si>
    <t>MAHFESIĞMAZ MH. ŞEHİTLER BUL. GÜNEY GELİŞİM SİT. ALTI B BLOK APT NO:78/B</t>
  </si>
  <si>
    <t>6001b4447349b8cf2ec2140e</t>
  </si>
  <si>
    <t>Komagene Etsiz Çiğ Köfte, Yüreğir (Selahattin Eyyubi Mah.)</t>
  </si>
  <si>
    <t>SELAHATTİN EYYUBİ MH.MUSTAFA KEMAL PAŞA BLV NO:123/B</t>
  </si>
  <si>
    <t>6001b7c75c726d3674f9a0ff</t>
  </si>
  <si>
    <t>Komagene Etsiz Çiğ Köfte, Seyhan (İbo Osman Cad.)</t>
  </si>
  <si>
    <t>SÜMER MH. İBO OSMAN CD. NO:210D</t>
  </si>
  <si>
    <t>6001d8ea57c431f7200349d1</t>
  </si>
  <si>
    <t>Komagene Etsiz Çiğ Köfte, Çukurova (Barış Manço Blv.)</t>
  </si>
  <si>
    <t>TOROS MH.78190 SK=9. MERCAN KEBAP KARŞISI BARIŞ MANÇO BLV. NO/28 D/1</t>
  </si>
  <si>
    <t>6001dccea35105c54ef78134</t>
  </si>
  <si>
    <t>Komagene Etsiz Çiğ Köfte, Çukurova (Belediye Evleri Mah.)</t>
  </si>
  <si>
    <t>BELEDİYE EVLERİ MAH.TURGUT ÖZAL BLV.NO:223 B</t>
  </si>
  <si>
    <t>Alaçatı Muhallebicisi , Çukurova (Mahfesığmaz Mah.)</t>
  </si>
  <si>
    <t>mahfesığmaz mah turgut özal bulv no 79 b çukurova adana</t>
  </si>
  <si>
    <t>Kayabey Gaziantep Sofrası, Çukurova (Mahfesığmaz Mah.)</t>
  </si>
  <si>
    <t>Fırat Cafe Pandora , Çukurova (Yurt Mah. - Turgut Özal Blv.)</t>
  </si>
  <si>
    <t>5feb3148333ef5d059af22fa</t>
  </si>
  <si>
    <t>McDonald's, Çukurova (Yurt Mah.)</t>
  </si>
  <si>
    <t>Yurt Mahallesi, 71431 Sokak No:4/2 A.Blok (Barış Manço Bulv. Yanı)Çukurova –Adana</t>
  </si>
  <si>
    <t>gürselpaşa mah 75048 sk. 45/a 01200 remzi özveş apt. 6 no 106d seyhan adana</t>
  </si>
  <si>
    <t>Makkarnacı, Çukurova (Beyazevler Mah.)</t>
  </si>
  <si>
    <t>6001abeafba3644408358c8b</t>
  </si>
  <si>
    <t>Komagene Etsiz Çiğ Köfte, Sarıçam (Mehmet Akif Ersoy Mah.)</t>
  </si>
  <si>
    <t>Mehmet Akif Ersoy 2. Bölge</t>
  </si>
  <si>
    <t>MEHMET AKİF ERSOY MH. 139 SK. NO:31</t>
  </si>
  <si>
    <t>6001ba20de59106264538620</t>
  </si>
  <si>
    <t>Komagene Etsiz Çiğ Köfte, Çukurova (Bülent Angın Blv.)</t>
  </si>
  <si>
    <t>BEYAZEVLER MH. BÜLENT ANGIN BLV.İLLER BANKASI KAVŞAĞI A BLOK NO:134 B</t>
  </si>
  <si>
    <t>6001cda80d6f59199a9bd92d</t>
  </si>
  <si>
    <t>Komagene Etsiz Çiğ Köfte, Çukurova (Güzel Yalı Mah.)</t>
  </si>
  <si>
    <t>GÜZEL YALI MH.81103SK.RIZA BEY PLAZA C BLOK NO:4</t>
  </si>
  <si>
    <t>6001d34ae6346c6e3337c8b2</t>
  </si>
  <si>
    <t>Komagene Etsiz Çiğ Köfte, Sarıçam (Yavuz Sultan Selim Mah.)</t>
  </si>
  <si>
    <t>YAVUZ SULTAN SELİM MH. KOZAN YOLU ÜZERİ PTT ŞUBESİ YANI</t>
  </si>
  <si>
    <t>6001d6271cdc716931bd784f</t>
  </si>
  <si>
    <t>Komagene Etsiz Çiğ Köfte, Yüreğir (Süleyman Vahit Cad.)</t>
  </si>
  <si>
    <t>CUMHURİYET MH.SÜLEYMAN VAHİT CD.NO:178</t>
  </si>
  <si>
    <t>Aristone Cafe, Seyhan (Kurtuluş Mah. - Atatürk Cad.)</t>
  </si>
  <si>
    <t>6019664db920a75e72a9bb07</t>
  </si>
  <si>
    <t>Komagene Etsiz Çiğ Köfte, Yüreğir (Yenidoğan Mah.)</t>
  </si>
  <si>
    <t>YENİDOĞAN MAH.YAŞAR DOĞU CAD.NO:235 İÇKAPI NO:Z01</t>
  </si>
  <si>
    <t>Keyif Gültekin, Yüreğir (Kışla Mah.)</t>
  </si>
  <si>
    <t>Horoz Döner Merkez, Seyhan (Şehitduran Mah.)</t>
  </si>
  <si>
    <t>6001a7325e72a1ed19be3a21</t>
  </si>
  <si>
    <t>Komagene Etsiz Çiğ Köfte (Aliya İzzet Begoviç Blv.)</t>
  </si>
  <si>
    <t>ADANA SEYHAN ALİYA İZZET BEGOVİÇ BUL.</t>
  </si>
  <si>
    <t>6001b5e7eac242ec72e77347</t>
  </si>
  <si>
    <t>Komagene Etsiz Çiğ Köfte, Seyhan (Atatürk Cad.)</t>
  </si>
  <si>
    <t>KURTULUŞ MH. GÜLBAHÇESİ SİTESİ D BLOK NO:25N</t>
  </si>
  <si>
    <t>6001bc3e8a3b84527d575069</t>
  </si>
  <si>
    <t>Komagene Etsiz Çiğ Köfte, Seyhan (Tellidere Mah.)</t>
  </si>
  <si>
    <t>TELLİDERE MH.MÜCAHİTLER CD.174/B</t>
  </si>
  <si>
    <t>Best Burger, Çukurova (Güzelyalı Mah. - Turgut Özal Blv.)</t>
  </si>
  <si>
    <t>Adana Alparslan Türkeş Bilim Ve Teknoloji Üniversitesi</t>
  </si>
  <si>
    <t>Battalbey Çiğ Köftecisi, Çukurova (Toros Mah.)</t>
  </si>
  <si>
    <t>Ziyapaşa Börekçilik (Ziyapaşa Mah.)</t>
  </si>
  <si>
    <t>Saray Pizza, Ceyhan (Mithatpaşa Mah.)</t>
  </si>
  <si>
    <t>Papino, Seyhan (Pınar Mah.)</t>
  </si>
  <si>
    <t>Beş Kardeşler Kebap Ve Izgara Çeşitleri (Gültepe Mah.)</t>
  </si>
  <si>
    <t>Cafe Kırmızı, Seyhan (Sümer Mah.)</t>
  </si>
  <si>
    <t>604087d4407f70ef4366fb95</t>
  </si>
  <si>
    <t>Starbucks®, Seyhan (Dr.Sadık Ahmet Blv.)</t>
  </si>
  <si>
    <t>Sertaç Yontan</t>
  </si>
  <si>
    <t>Zencirlibaglar Mevkii, Dr.Sadik Ahmet Bulvari, M1 Merkez Adana Alisveris Merkezi, No:90 01360 Seyhan / Adana</t>
  </si>
  <si>
    <t>Tutku Tantuni 2, Seyhan (Yeşilyurt Mah. - İbo Osman Cad.)</t>
  </si>
  <si>
    <t>Tombiş Cafe , Çukurova (Toros Mah.)</t>
  </si>
  <si>
    <t>60153c9e3a74785f5160ae1e</t>
  </si>
  <si>
    <t>Terra Pizza - Pizza Pizza, Seyhan (Kurtuluş Mah.)</t>
  </si>
  <si>
    <t>Muhammed Tozlu</t>
  </si>
  <si>
    <t>Kurtuluş Mh. Ziyapaşa Bulvarı Havuz Apt. Altı No:46/A</t>
  </si>
  <si>
    <t>Nokta Kebap &amp;Lahmacun, Çukurova (Belediyeevleri Mah.)</t>
  </si>
  <si>
    <t>O'Han Pizza , Çukurova (Belediyeevleri Mah.)</t>
  </si>
  <si>
    <t>O'Han Pizza , Çukurova (Güzelyalı Mah. - Turgut Özal Blv.)</t>
  </si>
  <si>
    <t>İmparator İbo Lahmacun &amp; Pide &amp; Pizza (Sümer Mah.)</t>
  </si>
  <si>
    <t>Halil İbrahim Kebap , Çukurova (Mahfesığmaz Mah.)</t>
  </si>
  <si>
    <t>603740a8f4f386596f82f4ea</t>
  </si>
  <si>
    <t>Starbucks®, Seyhan (Yeni Mah.)</t>
  </si>
  <si>
    <t>Adana M1 Outdoor: Yeni Mahalle Öğretmenler Blv. 87071 Sk. No:5 (K-01 nolu mağaza) Seyhan/ADANA</t>
  </si>
  <si>
    <t>603726a6976fb2757d48cec9</t>
  </si>
  <si>
    <t>Starbucks®, Yüreğir (Sinanpaşa Mah.)</t>
  </si>
  <si>
    <t>Hacı Sabancı Bulvarı No:28 Zemin Kat ZM04A Nolu DükkanYüreğir / Adana</t>
  </si>
  <si>
    <t>Çağ Tatlı, Seyhan (Yeşilyurt Mah. - İbo Osman Cad.)</t>
  </si>
  <si>
    <t>60587e40b78274e5e30f95ed</t>
  </si>
  <si>
    <t>Burger King, Çukurova (Beyazevler Mah.)</t>
  </si>
  <si>
    <t>Emre May</t>
  </si>
  <si>
    <t>Mahfesığmaz, 79011. Sk. No: 11 D:C, 01170 Çukurova/Adana</t>
  </si>
  <si>
    <t>605b94067a54067fe5a61660</t>
  </si>
  <si>
    <t>Komagene Etsiz Çiğ Köfte, Seyhan (Gazipaşa Mah.)</t>
  </si>
  <si>
    <t>GAZİPAŞA MAH.AHMET REMZİ YÜREĞİR CAD.NO:18\D</t>
  </si>
  <si>
    <t>Lale Börekçilik, Çukurova (Yurt Mah. - Turgut Özal Blv.)</t>
  </si>
  <si>
    <t>Lale Börekçilik Çukurova , ( Toros Mah. - Hayal Park)</t>
  </si>
  <si>
    <t>Denizaltı Balık, Seyhan (Gürselpaşa Mah.)</t>
  </si>
  <si>
    <t>Bestem Döner &amp; 22 Çeşit Tost, Seyhan (Pınar Mah.)</t>
  </si>
  <si>
    <t>Pınar mah 74175 sk no 4 Seyhan adana</t>
  </si>
  <si>
    <t>7/ C Ocakbaşı, Çukurova (Mahfesığmaz Mah.)</t>
  </si>
  <si>
    <t>Füme Gurme, Seyhan (Cemalpaşa Mah.)</t>
  </si>
  <si>
    <t>60372de1680e6824744c3ec2</t>
  </si>
  <si>
    <t>Starbucks®, Çukurova (Güzelyalı Mah.)</t>
  </si>
  <si>
    <t>Güzel Yalı Mah. Turgut Özal Bulvarı No:98/A Yeşilköy Apt. Ablok altı Bağımsız Bölüm no:32 Çukurova / Adana</t>
  </si>
  <si>
    <t>Selvi Ev Yemekleri, Seyhan (Denizli Mah.)</t>
  </si>
  <si>
    <t>güzelyalı mah turgut özal bulv no 14 çukurova adana</t>
  </si>
  <si>
    <t>Adıyörem Çiğ Köfte, Kozan (Karacaoğlan Mah.)</t>
  </si>
  <si>
    <t>603f92ffe6d1875d7470f91d</t>
  </si>
  <si>
    <t>Komagene Etsiz Çiğ Köfte, Seyhan (2000 Evler Mah.)</t>
  </si>
  <si>
    <t>2000 EVLER MAH.BÜLENT ECEVİT BLV.24 B</t>
  </si>
  <si>
    <t>Polen Döner, Çukurova (Toros Mah.)</t>
  </si>
  <si>
    <t>Seç Baklava, Çukurova (Güzelyalı Mah. - Turgut Özal Blv.)</t>
  </si>
  <si>
    <t>600180f03c3b6eba3262f71f</t>
  </si>
  <si>
    <t>Komagene Etsiz Çiğ Köfte, Çukurova (Toros Mah.)</t>
  </si>
  <si>
    <t>TOROS MH. HAYAL PARK CİVARI NO:70/C</t>
  </si>
  <si>
    <t>Horoz Döner, Seyhan (Gülpınar Mah.)</t>
  </si>
  <si>
    <t>605c624aec3b9c65677d7a0d</t>
  </si>
  <si>
    <t>Burger King, Seyhan (Sümer Mah. - Barajyolu)</t>
  </si>
  <si>
    <t>SÜMER MAH.BÜLENT ANGIN BULVARI H.HATUN APT.B BLOKN</t>
  </si>
  <si>
    <t>Antakya Express Döner , Çukurova (Belediyeevleri Mah.)</t>
  </si>
  <si>
    <t>Ali Şef Tavuk Restaurant, Sarıçam (Gültepe Mah.)</t>
  </si>
  <si>
    <t>604097784366fc1fa6c918cd</t>
  </si>
  <si>
    <t>Starbucks®, Çukurova (Turgut Özal Blv.)</t>
  </si>
  <si>
    <t>Turgut Ozal 70: Guzelyali Mah. Turgut ozal Bulvari No: 70/S Sea Parlak Gümüş Apartmanı A Blok Zemin Kat Bağımsız Bölüm NO: 37 Çukurova Adana</t>
  </si>
  <si>
    <t>604b68cf6b542479e61af956</t>
  </si>
  <si>
    <t>Simit Sarayı, Seyhan (Yeni Mah.)</t>
  </si>
  <si>
    <t>Adem Demircioğlu</t>
  </si>
  <si>
    <t>YENİ MAHALLE ÖĞRETMENLER BLV YENİ MH M1 AVM</t>
  </si>
  <si>
    <t>Şendoğan Kebap, Seyhan (Yeşilyurt Mah.)</t>
  </si>
  <si>
    <t>güzelyalı mah 81076 sok şengel apt no:1/b çukurova adana</t>
  </si>
  <si>
    <t>Fırat Cafe, Seyhan (Sümer Mah. - Barajyolu)</t>
  </si>
  <si>
    <t>Hataylım Döner &amp; Tantuni , Çukurova (Yüzüncü Yıl Mah.)</t>
  </si>
  <si>
    <t>Pizza Delizio ( Toros Mah. - Turgut Özal Blv.)</t>
  </si>
  <si>
    <t>604b54ae93656d72d6b69235</t>
  </si>
  <si>
    <t>Starbucks®, Seyhan (Ethem Ekin Sk.)</t>
  </si>
  <si>
    <t>Cemalpaşa Mah. Ethem Ekin Sk. İzzigüllü Apt. A Blok No: 22 Seyhan / Adana</t>
  </si>
  <si>
    <t>Kılınç Tatlı Pasta, Seyhan (Tellidere Mah.)</t>
  </si>
  <si>
    <t>Lale Börekçilik, Seyhan (İsmetpaşa Mah.)</t>
  </si>
  <si>
    <t>605df3b953493f4a13d335f1</t>
  </si>
  <si>
    <t>Kahve Dünyası, Seyhan (Kurtuluş Mah.)</t>
  </si>
  <si>
    <t>Burak Bezgin</t>
  </si>
  <si>
    <t>Kurtuluş Mahallesi Ramazanoğlu Caddesi Kurtuluş Mah. No :17 /A-B Teyfikbey Apartman Altı</t>
  </si>
  <si>
    <t>605df5cc2eb43914dcb4f7ef</t>
  </si>
  <si>
    <t>Kahve Dünyası, Yüreğir (Sinanpaşa Mah.)</t>
  </si>
  <si>
    <t>Sinan Paşa Mah. H. Sabancı Bulvarı No:28-Z62 YÜREĞİR/ADANA</t>
  </si>
  <si>
    <t>605c5561fc9b1a576f157369</t>
  </si>
  <si>
    <t>Burger King, Yüreğir (Serinevler Mah. )</t>
  </si>
  <si>
    <t>SERİNEVLER MAH MUSTAFA KEMAL PAŞA BLV</t>
  </si>
  <si>
    <t>605c6faededd78c5526c83a4</t>
  </si>
  <si>
    <t>Burger King, Seyhan (Ziyapaşa Mah.)</t>
  </si>
  <si>
    <t>Kurtuluş Mahallesi, 64002 Sokak, No:2</t>
  </si>
  <si>
    <t>605c7d8c0e468e963bc69eea</t>
  </si>
  <si>
    <t>Burger King, Ceyhan (Mithatpaşa Mah.)</t>
  </si>
  <si>
    <t>MİTHATPAŞA MAHALLESİ İNÖNÜ BULVARI NO:40</t>
  </si>
  <si>
    <t>6065994e32726817d316a5a1</t>
  </si>
  <si>
    <t>Domino's Pizza, Çukurova (Güzelyalı Mah.)</t>
  </si>
  <si>
    <t>Zeliha Nalbant</t>
  </si>
  <si>
    <t>Guzelyalı Mah.Turgut Özal Bulv. Rıza Bey Plaza B Blok No:51 A Çukurova Adana</t>
  </si>
  <si>
    <t>Bereket Sofrası Kebap &amp; Lahmacun , Çukurova (Güzelyalı Mah.)</t>
  </si>
  <si>
    <t>605df5294222b598b29ce520</t>
  </si>
  <si>
    <t>Kahve Dünyası, Çukurova (Güzelyalı Mah.)</t>
  </si>
  <si>
    <t>GÜZELYALI MAHALLESİ TURGUT ÖZAL BULV. NO:2 ÇUKUROVA/ADANA</t>
  </si>
  <si>
    <t>605c5e065d3a671e45c811ce</t>
  </si>
  <si>
    <t>Burger King, T. Özal (Kenan Evren Kvş. Güneyi)</t>
  </si>
  <si>
    <t>MAHFESIZMAZ MAH.KENAN EVREN BULVARI NO:30 /A ÇUKUR</t>
  </si>
  <si>
    <t>605c5fc4c18a3c59e48ec10b</t>
  </si>
  <si>
    <t>Popeyes, Yüreğir (Sinanpaşa Mah.)</t>
  </si>
  <si>
    <t>Sinanpaşa, Hacı Sabancı Blv. No:28, 01220 Yüreğir/Adana</t>
  </si>
  <si>
    <t>605c92351d92b232107308f5</t>
  </si>
  <si>
    <t>Burger King, Yüreğir (Kışla Mah.)</t>
  </si>
  <si>
    <t>KIŞLA MH.MİTHAT ÖZSAN BLV.ADANA ESK YAŞAM</t>
  </si>
  <si>
    <t>605c893165ce687a20aa6579</t>
  </si>
  <si>
    <t>Burger King, Seyhan (Sakarya Mah.)</t>
  </si>
  <si>
    <t>Sakarya</t>
  </si>
  <si>
    <t>SAKARYA MAH. 55016 SOK . NO:8/329 ADANA/SEYHAN</t>
  </si>
  <si>
    <t>605c9382f0248bc115db730e</t>
  </si>
  <si>
    <t>Burger King, Alibozdoğanoğlu Blv. (Pınar Mah.)</t>
  </si>
  <si>
    <t>Pınar mah. Alibozdoğan oğlu bul.133 cad</t>
  </si>
  <si>
    <t>605cbc5998aa5bd70520e879</t>
  </si>
  <si>
    <t>Popeyes, Çukurova (Mahfesığmaz Mah.)</t>
  </si>
  <si>
    <t>Mahfesigmaz Mah.Turgut Özal Bul.no:11/B Meridien Çukurova ADANA</t>
  </si>
  <si>
    <t>Fix Döner, Seyhan (Barış Mah.)</t>
  </si>
  <si>
    <t>6064328e8b08d1f6e0fc11db</t>
  </si>
  <si>
    <t>Komagene Etsiz Çiğ Köfte, Seyhan (Gürselpaşa Mah.)</t>
  </si>
  <si>
    <t>GÜRSELPAŞA MAH. ŞEHİT POLİS ŞAHİN POLAT AYDIN CAD. 39 A</t>
  </si>
  <si>
    <t>606433104f6acb541d460ff7</t>
  </si>
  <si>
    <t>Komagene Etsiz Çiğ Köfte, Sarıçam (Çarkıpare Mah.)</t>
  </si>
  <si>
    <t>ÇARKIPARE MAH. 1247 SOK. NO: 7 D</t>
  </si>
  <si>
    <t>605c71c26803b50aa68587f5</t>
  </si>
  <si>
    <t>Usta Dönerci, Yüreğir (Sinanpaşa Mah.)</t>
  </si>
  <si>
    <t>Sinanpaşa, Hacı Sabancı Blv. No:28</t>
  </si>
  <si>
    <t>Çiğ Köfte Dünyası , Çukurova (Yurt Mah. - Turgut Özal Blv.)</t>
  </si>
  <si>
    <t>606593f716b68f94771a42ab</t>
  </si>
  <si>
    <t>Domino's Pizza, Çukurova (Esentepe Mah.)</t>
  </si>
  <si>
    <t>Huzurevleri Mah.Türkmenbaşı Blv. No:65 C Akgül Sitesi A Blok No:29 Çukurova</t>
  </si>
  <si>
    <t>Ev Yemekleri Kafe's (Pınar mah.)</t>
  </si>
  <si>
    <t>belediye evleri mah turgut özal bulv no 279/a çukurova adana</t>
  </si>
  <si>
    <t>6065a32ce623c583c8a65f73</t>
  </si>
  <si>
    <t>Domino's Pizza, Seyhan (Pınar Mah.)</t>
  </si>
  <si>
    <t>Pınar Mah. 74004 Sk. Serapark Sit. No:50 L Adana</t>
  </si>
  <si>
    <t>607048abb78d7078073574de</t>
  </si>
  <si>
    <t>McDonald's, Çukurova (Beyazevler Mah.)</t>
  </si>
  <si>
    <t>Beyazevler Mah. Bülent Angın Bulv. Turan Çekiç Apt. No:126 Çukurova - Adana</t>
  </si>
  <si>
    <t>Asmaaltı Kebap, Seyhan (Gürselpaşa Mah.)</t>
  </si>
  <si>
    <t>Adana Erbey Döner, Seyhan (Tellidere Mah.)</t>
  </si>
  <si>
    <t>Çiğ Köftem 02, Seyhan (Dumlupınar Mah.)</t>
  </si>
  <si>
    <t>6065af2d8f432c0eeed26f66</t>
  </si>
  <si>
    <t>Domino's Pizza, Sarıçam (Çarkıpare Mah.)</t>
  </si>
  <si>
    <t>Çarkıpare Mah. Çatalan Cad. No:214 G Sarıçam Adana</t>
  </si>
  <si>
    <t>60659c5180679248548adf9d</t>
  </si>
  <si>
    <t>Domino's Pizza, Çukurova (Toros Mah.)</t>
  </si>
  <si>
    <t>Toros Mah. Ahmet Sapmaz Bulv. Akgün Apt. No: 51 A Adana</t>
  </si>
  <si>
    <t>6065a5614cb73cde1369bb98</t>
  </si>
  <si>
    <t>Domino's Pizza, Seyhan (Cemalpaşa Mah. - Sular Mevkii)</t>
  </si>
  <si>
    <t>Cevdet Yurdakul Cad. Noyan Apt.(Otobüs Rest. Yanı)Seyhan Adana</t>
  </si>
  <si>
    <t>Metin Usta Künefe, Seyhan (İsmetpaşa Mah.)</t>
  </si>
  <si>
    <t>Elibol Döner, Yüreğir (Atakent Mah.)</t>
  </si>
  <si>
    <t>Yunus Emre Kebap, Seyhan (Kuruköprü Mah.)</t>
  </si>
  <si>
    <t>Altın Cafe, Seyhan (Cemalpaşa Mah.)</t>
  </si>
  <si>
    <t>Sev Al Cafe &amp; Döner, Sarıçam (Esentepe Mah.)</t>
  </si>
  <si>
    <t>Ceyhan Balkaymak Dondurma, Ceyhan (Mithatpaşa Mah.)</t>
  </si>
  <si>
    <t>Sultan Keskin</t>
  </si>
  <si>
    <t>605c86422eb4398e58b4d641</t>
  </si>
  <si>
    <t>Sbarro Pizza, Seyhan (Yeni Mah.)</t>
  </si>
  <si>
    <t>ZİNCİRLİ BAĞLAR MAH.ÖĞRETMEN BULVARI M1 AVM İÇİ</t>
  </si>
  <si>
    <t>5febb0a687a63b44e7327620</t>
  </si>
  <si>
    <t>Little Caesars, Seyhan (Gürselpaşa Mah.)</t>
  </si>
  <si>
    <t>Aykut Kızılay</t>
  </si>
  <si>
    <t>GÜRSELPAŞA MH. ALIYA İZZET BEGOVIÇ BULVARI NO:93 33 NUMARALI BAĞIMSIZ BÖLÜM ADANA / SEYHAN</t>
  </si>
  <si>
    <t>5fe4a5424aa219995a967ff3</t>
  </si>
  <si>
    <t>KFC, Çukurova (Mahfesığmaz Mah.)</t>
  </si>
  <si>
    <t>Mahfesığmaz, Öz Kayabey Apt, Bülent Angın Blv. D:No:139/B, 01170 Çukurova/Adana</t>
  </si>
  <si>
    <t>Tatlı Durağı &amp; Tatlı Köşem, Seyhan (Reşatbey Mah.)</t>
  </si>
  <si>
    <t>Doğal Fırın, Yüreğir (Kışla Mah.)</t>
  </si>
  <si>
    <t>Vizyon Kebap (Serinevler Mah.)</t>
  </si>
  <si>
    <t>Aydoruk Döner, Seyhan (Pınar Mah.)</t>
  </si>
  <si>
    <t>6064809fb71fbc6d981ab648</t>
  </si>
  <si>
    <t>Pizza Locale (Kurtuluş Mah.)</t>
  </si>
  <si>
    <t>aziz can anlar</t>
  </si>
  <si>
    <t>kurtuluş mah şinasi efendi cd no 8 seyhan adana</t>
  </si>
  <si>
    <t>Dönergah, Seyhan (Yeşilevler Mah.)</t>
  </si>
  <si>
    <t>Tatlı Ötesi, Çukurova (Mahfesığmaz Mah.)</t>
  </si>
  <si>
    <t>Riva Değirmen, Çukurova (Huzurevleri Mah.)</t>
  </si>
  <si>
    <t>Çoban Katık Döner, Seyhan (Cemalpaşa Mah.)</t>
  </si>
  <si>
    <t>Adana Döner Cafe, Seyhan (İkibinevler Mah.)</t>
  </si>
  <si>
    <t>Los Amigos Cafe , Çukurova (Mahfesığmaz Mah.)</t>
  </si>
  <si>
    <t>6001e0bf507e76bb48288981</t>
  </si>
  <si>
    <t>Komagene Etsiz Çiğ Köfte, Seyhan (Ziyapaşa Mah.)</t>
  </si>
  <si>
    <t>ZİYAPAŞA MAH. NO:94 \B</t>
  </si>
  <si>
    <t>Lale Börekçilik Seyhan (Mavi Bulvar- Baraj Lisesi Kavşağı)</t>
  </si>
  <si>
    <t>Speat Kitchen &amp; Snacks (Güzelyalı Mah.)</t>
  </si>
  <si>
    <t>Güzelyalı mah. 81161 sk. no:3/A Çukurova/Adana</t>
  </si>
  <si>
    <t>Mudurnu Döner, Seyhan (Yenibaraj Mah.)</t>
  </si>
  <si>
    <t>60894ab44589d3087799c995</t>
  </si>
  <si>
    <t>Kahve Dünyası, Seyhan (Yeni Mah.)</t>
  </si>
  <si>
    <t>Yeni Mahalle Öğretmenler Bul. 87071 Sok. No:5</t>
  </si>
  <si>
    <t>6037f2d59ae2e81a5d32c428</t>
  </si>
  <si>
    <t>Levent Börek, Çukurova (Güzelyalı Mah.)</t>
  </si>
  <si>
    <t>Kemal Tamtürk</t>
  </si>
  <si>
    <t>Güzelyalı mah. Turgut Özal Bulv. No:76A</t>
  </si>
  <si>
    <t>Onur Mahallesi Turhan Cemal Beriker Bulvarı Kiza İş Merkezi A-5/12 No:437</t>
  </si>
  <si>
    <t>Güzelyalı, 81077. Sk. No:2, 01170 Çukurova/Adana</t>
  </si>
  <si>
    <t>605c94204222b5f5249cb638</t>
  </si>
  <si>
    <t>Sbarro Pizza, Yüreğir (Sinanpaşa Mah.)</t>
  </si>
  <si>
    <t>HACI ÖMER SABANCI BULV.NO 28 OPTIMUM AVM İÇİ YÜREĞ</t>
  </si>
  <si>
    <t>Pizza Smile , Çukurova (Beyazevler Mah.)</t>
  </si>
  <si>
    <t>Erkan Güvenç</t>
  </si>
  <si>
    <t>Ali Bey, Çukurova (Mahfesığmaz Mah. - Turgut Özal Blv.)</t>
  </si>
  <si>
    <t>60bb361aa04d177f3b0f5391</t>
  </si>
  <si>
    <t>Sbarro Pizza, Seyhan (Ahmet Remzi Yüreğir Mah.)</t>
  </si>
  <si>
    <t>Ahmet Remzi Yüreğir</t>
  </si>
  <si>
    <t>AHMET REMZİ YÜREĞİR MAH. ERDAL ACET CAD. NO: 1 / 313 SEYHAN / ADANA</t>
  </si>
  <si>
    <t>6027ae2260687b18402f42f4</t>
  </si>
  <si>
    <t>Bereket Döner, Seyhan (Kurtuluş Mah.)</t>
  </si>
  <si>
    <t>LEVENT ÇEVİK</t>
  </si>
  <si>
    <t>kurtuluş mah ziyapaşa blv toros apt 44/A</t>
  </si>
  <si>
    <t>Pakfırın Seyhan, (Cemalpaşa Mah.)</t>
  </si>
  <si>
    <t>Meşhur Adıyaman Çiğ Köftecisi Ömer Aybak (Kuruköprü Mah.)</t>
  </si>
  <si>
    <t>Hünkar Döner, Yüreğir (Tahsilli Mah.)</t>
  </si>
  <si>
    <t>Sular Kebap, Seyhan (Cemalpaşa Mah. - Sular Mevki)</t>
  </si>
  <si>
    <t>Pizza Matik, Seyhan (Sümer Mah.)</t>
  </si>
  <si>
    <t>Hayata Döner, Yüreğir (Kışla Mah.)</t>
  </si>
  <si>
    <t>6089c56894bee08e9083709e</t>
  </si>
  <si>
    <t>Oses Çiğ Köfte (Ptt Evleri Mah.)</t>
  </si>
  <si>
    <t>kenan coşkun</t>
  </si>
  <si>
    <t>karacaoğlan mah 3783 sk no 75/d yüreğir adana</t>
  </si>
  <si>
    <t>FİLİZ TEKİN</t>
  </si>
  <si>
    <t>Barajyolu Döner, Seyhan (Sümer Mah.)</t>
  </si>
  <si>
    <t>Tat 27 Cafe, Çukurova (Yurt Mah.)</t>
  </si>
  <si>
    <t>Zübeyde Ekmekçi Türk</t>
  </si>
  <si>
    <t>Gaudi Waffle &amp; Dondurma, Çukurova (Mahfesığmaz Mah.)</t>
  </si>
  <si>
    <t>cemalpaşa mah 63007 sokak no :27/A</t>
  </si>
  <si>
    <t>60c204702c829426eb871102</t>
  </si>
  <si>
    <t>Komagene Etsiz Çiğ Köfte, Ceyhan (Çamlıyol)</t>
  </si>
  <si>
    <t>MEHMET PAŞA MAH. İNÖNÜ BLV. ÇAMLIYOL APT NO:68\C</t>
  </si>
  <si>
    <t>İstanbul Çiğ Köfte, Sarıçam (Şahintepe Mah.)</t>
  </si>
  <si>
    <t>Mis Cafe, Seyhan (Kurtuluş Mah.)</t>
  </si>
  <si>
    <t>610684e88f93d60d225429b9</t>
  </si>
  <si>
    <t>Burger King, Seyhan (Gürselpaşa Mah.)</t>
  </si>
  <si>
    <t>Gürselpaşa, Aliya İzzet Begoviç Blv, Seyhan/Adana</t>
  </si>
  <si>
    <t>Köse, Çukurova ( Yüzüncü Yıl Mah.)</t>
  </si>
  <si>
    <t>6106877c23408163f80c2794</t>
  </si>
  <si>
    <t>Popeyes, Seyhan (Gürselpaşa Mah.)</t>
  </si>
  <si>
    <t>60f15e70d91d953c8935cac4</t>
  </si>
  <si>
    <t>Papa John's Pizza, Çukurova (Güzelyalı Mah. - Turgut Özal Blv.)</t>
  </si>
  <si>
    <t>Gökhan Karakuş</t>
  </si>
  <si>
    <t>GÜZELYALI Mah. TURGUT ÖZAL sok. No: 68 B ÇUKUROVA - ADANA Bina Kodu: 719850554</t>
  </si>
  <si>
    <t>605c584f9c6108e8e1916584</t>
  </si>
  <si>
    <t>Popeyes, Seyhan (Ahmet Remzi Yüreğir Mah.)</t>
  </si>
  <si>
    <t>Ahmet Remzi Yüreğir Mahallesi Erdal Acet Caddesi No: 1/308</t>
  </si>
  <si>
    <t>60d1e8a1b59e0ab1008d5807</t>
  </si>
  <si>
    <t>KFC, Çukurova (Toros Mah.)</t>
  </si>
  <si>
    <t>Toros Mahallesi Turgut Özal Bulvarı Eren Apartmanı No:159/A/1 Çukurova / Adana</t>
  </si>
  <si>
    <t>605c9e0b69de6cc5d54aca71</t>
  </si>
  <si>
    <t>Popeyes (Yeni Mah.)</t>
  </si>
  <si>
    <t>ZİNCİRLİ BAĞLAR MAH.ÖĞRETMEN BULVARI M1 AVM İÇİ S</t>
  </si>
  <si>
    <t>Sarıhuğlar</t>
  </si>
  <si>
    <t>6143b9543f116e51fb903543</t>
  </si>
  <si>
    <t>E.Ş. Döner , Çukurova (Huzurevleri Mah.)</t>
  </si>
  <si>
    <t>anıl berkant algın</t>
  </si>
  <si>
    <t>huzurevleri mah 80. yıl bulv no 8 a çukurova adana</t>
  </si>
  <si>
    <t>6143bb7b7d03386588cf6a7a</t>
  </si>
  <si>
    <t>Tombişim Döner , Çukurova (Güzelyalı Mah.)</t>
  </si>
  <si>
    <t>irem nur anlaş</t>
  </si>
  <si>
    <t>güzelyalı mah turgut özal bulv no 50 b çukurova adana</t>
  </si>
  <si>
    <t>Çiğ Köfte Durağı, Sarıçam (Gültepe Mah.)</t>
  </si>
  <si>
    <t>Tost Evi 01 , Çukurova (Mahfesığmaz Mah.)</t>
  </si>
  <si>
    <t>Fırat Kebap, Çukurova (Toros Mah. - Turgut Özal Blv.)</t>
  </si>
  <si>
    <t>Kebapçı Gökhan, Seyhan (Bahçeşehir Mah.)</t>
  </si>
  <si>
    <t>60aba0ebfc9d63e9d7032481</t>
  </si>
  <si>
    <t>Oses Çiğ Köfte, Sarıçam (Mehmet Akif Ersoy Mah.)</t>
  </si>
  <si>
    <t>bilal akbulut</t>
  </si>
  <si>
    <t>mehmet akif ersoy mah 198 sk a101 yanı sarıçam adana</t>
  </si>
  <si>
    <t>Usta Çiğköfte Dünyası, Yüreğir (Akıncılar Mah.)</t>
  </si>
  <si>
    <t>Adana Börekçilik, Yüreğir (Selahattin Eyyubi Mah.)</t>
  </si>
  <si>
    <t>61692dc390a1b02b5517b8be</t>
  </si>
  <si>
    <t>Komagene Etsiz Çiğ Köfte, Kozan (Şevkiye Mah.)</t>
  </si>
  <si>
    <t>ŞEVKİYE MAH. ÇANAKLI YOLU CAD.25\B</t>
  </si>
  <si>
    <t>61728c5ce83a00826ee8b230</t>
  </si>
  <si>
    <t>Öz Antep Altın Baklava, Seyhan (Sümer Mah. - İbo Osman Cad.)</t>
  </si>
  <si>
    <t>ozan alpay</t>
  </si>
  <si>
    <t>sümer mah ibo osman cd metin apt no 152 b seyhan adana</t>
  </si>
  <si>
    <t>60658ee855a7001d1aaa1b5f</t>
  </si>
  <si>
    <t>Domino's Pizza, Ceyhan (Namık Kemal Mah.)</t>
  </si>
  <si>
    <t>Namık Kemal Mah. Seyit Ahmet Arvası Bulv. No:54 A Ceyhan Adana</t>
  </si>
  <si>
    <t>Çiğ Köfte Konağı, Yüreğir (Atakent Mah.)</t>
  </si>
  <si>
    <t>6138fa132bc0b4382aa15654</t>
  </si>
  <si>
    <t>Komagene Etsiz Çiğ Köfte, Seyhan (Pınar Mah.)</t>
  </si>
  <si>
    <t>PINAR MAH. NAZIM HİKMET CAD. NO 39/B</t>
  </si>
  <si>
    <t>611fc4cb43b1584754fb661c</t>
  </si>
  <si>
    <t>Oses Çiğ Köfte, Seyhan (Mithatpaşa Mah.)</t>
  </si>
  <si>
    <t>Şahin Baysal</t>
  </si>
  <si>
    <t>Denizli Mah CDefne cad no 129 seyhan adana</t>
  </si>
  <si>
    <t>Karıncı Eyup, Seyhan (Hürriyet Mah.)</t>
  </si>
  <si>
    <t>Tantunici Adem, Sarıçam (Çarkıpare Mah.)</t>
  </si>
  <si>
    <t>Gıyasbey Döner, Çukurova (Belediyeevleri Mah.)</t>
  </si>
  <si>
    <t>615d86a1f291c87c21547bc2</t>
  </si>
  <si>
    <t>Komagene Etsiz Çiğ Köfte, Seyhan (Koza Mah.)</t>
  </si>
  <si>
    <t>KOZA MAH.SEHİTLİK CAD.16A</t>
  </si>
  <si>
    <t>Pakfırın (Mahfesığmaz Mah.)</t>
  </si>
  <si>
    <t>Hanımeli Kebap, Kozan (Karacaoğlan Mah.)</t>
  </si>
  <si>
    <t>60659ebd55059d2139c9e2f0</t>
  </si>
  <si>
    <t>Domino's Pizza, Kozan (Karacaoğlan Mah.)</t>
  </si>
  <si>
    <t>Karacaoğlan Mah. Şehit Hüseyin Soydan Cad. No:33 A Kozan Adana</t>
  </si>
  <si>
    <t>61386934792be229fc9ef69b</t>
  </si>
  <si>
    <t>Little Caesars Pizza, Sarıçam (Çarkıpare Mah.)</t>
  </si>
  <si>
    <t>Çarkıpare Mah. Çatalan cad. Emir Güney Plaza No: 241/B SARIÇAM/ADANA</t>
  </si>
  <si>
    <t>O'Han Pizza, Seyhan (Pınar Mah.)</t>
  </si>
  <si>
    <t>Tombiş Pizza &amp; Lahmacun &amp; Pide, Seyhan (Gülbahçesi Mah.)</t>
  </si>
  <si>
    <t>Kurtuluş, 64019. Sk. Ful Apartmanı no:44 D:A Blok No: 44 / D /C</t>
  </si>
  <si>
    <t>Şansım Kebap, Çukurova (Güzelyalı Mah.)</t>
  </si>
  <si>
    <t>Gül Pide Salonu, Çukurova (Güzelyalı Mah.)</t>
  </si>
  <si>
    <t>Köz Döner, Seyhan (Meydan Mah.)</t>
  </si>
  <si>
    <t>Emek</t>
  </si>
  <si>
    <t>Bin Esved Kebap &amp; Lahmacun, Seyhan (Gürselpaşa Mah.)</t>
  </si>
  <si>
    <t>6172b7a5ea59b00b757eae5d</t>
  </si>
  <si>
    <t>Chef's Burger House , Çukurova (Yüzüncü Yıl Mah.)</t>
  </si>
  <si>
    <t>volkan erol</t>
  </si>
  <si>
    <t>yüzüncü yıl mah fazlı meto bulv no 91 f çukurova adana</t>
  </si>
  <si>
    <t>6179372aa839b6b78bd3f28b</t>
  </si>
  <si>
    <t>Starbucks®, Seyhan (Ahmet Remzi Yüreğir Mah.)</t>
  </si>
  <si>
    <t>01 Burda: Ahmet Remzi Yüreğir Mah. Erdal Acet Cad. No:1 Seyhan Adana</t>
  </si>
  <si>
    <t>Sularım Murat Börekçisi, Seyhan (Namık Kemal Mah.)</t>
  </si>
  <si>
    <t>Furkan Gökçe</t>
  </si>
  <si>
    <t>616feb826c258159d44a413e</t>
  </si>
  <si>
    <t>01 Bay Şef Döner, Seyhan (Sümer Mah.)</t>
  </si>
  <si>
    <t>Sümer mahallesi 69018 sokak no 56 seyhan adana.</t>
  </si>
  <si>
    <t>6184effd9e2f0c1f92fca733</t>
  </si>
  <si>
    <t>Komagene Etsiz Çiğ Köfte, Seyhan (Vefa Cad.)</t>
  </si>
  <si>
    <t>AYDINLAR MAH.VEFA CAD.NO:230</t>
  </si>
  <si>
    <t>DNA Burger House , Çukurova (Mahfesığmaz Mah.)</t>
  </si>
  <si>
    <t>61af498c77539c50702fda14</t>
  </si>
  <si>
    <t>Oses Çiğ Köfte, Seyhan (Tellidere Mah.)</t>
  </si>
  <si>
    <t>MAHMUT KOCA</t>
  </si>
  <si>
    <t>Tellidere Mah. Mücahitler Cad. 206/A</t>
  </si>
  <si>
    <t>Meşhur Adıyaman Çiğköftecisi Ömer Aybak (Karacaoğlan Mah.)</t>
  </si>
  <si>
    <t>61af765e3ca37b25e8463158</t>
  </si>
  <si>
    <t>Oses Çiğ Köfte, Seyhan (Hadırlı Mah.)</t>
  </si>
  <si>
    <t>Sefer Üçgül</t>
  </si>
  <si>
    <t>Hadırlı</t>
  </si>
  <si>
    <t>Hadırlı Mah Hadırlı Cad No 56/7 Seyhan Adana</t>
  </si>
  <si>
    <t>Çiğköftem, Çukurova (Toros Mah. - Kenan Evren Blv.)</t>
  </si>
  <si>
    <t>61c93617773d77775cad057d</t>
  </si>
  <si>
    <t>SÜMEYYE DEMİR</t>
  </si>
  <si>
    <t>01 Yanar Döner &amp; Fast Food, Yüreğir (Kazım Karabekir Mah.)</t>
  </si>
  <si>
    <t>619643e2fa98f63511319973</t>
  </si>
  <si>
    <t>Caribou Coffee, Yüreğir (Sinanpaşa Mah.)</t>
  </si>
  <si>
    <t>Güray Kallek</t>
  </si>
  <si>
    <t>HACI SABANCI BLV.NO:28 OPTİMUM AVM</t>
  </si>
  <si>
    <t>Premium</t>
  </si>
  <si>
    <t>Ziyapaşa Döner, Seyhan (Kurtuluş Mah.)</t>
  </si>
  <si>
    <t>61d873aad8c4ac5ccabe4083</t>
  </si>
  <si>
    <t>Muhammet Sefa Neidik</t>
  </si>
  <si>
    <t>Spicy Sucuk, Çukurova (Toros Mah.)</t>
  </si>
  <si>
    <t>61e7bd964c09666df4dd16e9</t>
  </si>
  <si>
    <t>Çiğköftem, Çukurova (Belediye Evleri Mah.)</t>
  </si>
  <si>
    <t>HAYRETTİN ORUÇ</t>
  </si>
  <si>
    <t>BELEDİYE EVLERİ MAH.HİLMİ KÜRKLÜ BUL.NO 48/3F</t>
  </si>
  <si>
    <t>60d1e2e07761e55d7a0656dc</t>
  </si>
  <si>
    <t>KFC, Seyhan (Kurtuluş Mah.)</t>
  </si>
  <si>
    <t>Kurtuluş Mahallesi Ziyapaşa Bulvarı No:13/A-B, 01130 Seyhan /Adana</t>
  </si>
  <si>
    <t>Oses Çiğ Köfte (Sümer Mah. - Barajyolu)</t>
  </si>
  <si>
    <t>Dörtyol Çelik Döner, Seyhan (Tepebağ Mah. - Çakmak Cad.)</t>
  </si>
  <si>
    <t>61e7bfb691a25ccfb7dc0d04</t>
  </si>
  <si>
    <t>Komagene Etsiz Çiğ Köfte, Çukurova (Huzurevleri Mah.-80.Yıl Blv)</t>
  </si>
  <si>
    <t>HUZUREVLERİ MAH. 80.YIL BLV. NO:11/B Çukurova, Adana</t>
  </si>
  <si>
    <t>6203ce9b20c5b73778c166cb</t>
  </si>
  <si>
    <t>ÇD Döner, Seyhan (Cemalpaşa Mah.)</t>
  </si>
  <si>
    <t>NAZAN ÖZDEMİR</t>
  </si>
  <si>
    <t>62041d17d673a4424864c0fa</t>
  </si>
  <si>
    <t>Queen Döner, Çukurova (Mahfesığmaz Mah.)</t>
  </si>
  <si>
    <t>Recep Mızraklı</t>
  </si>
  <si>
    <t>61e9dd1501bf3ecd0a6cef90</t>
  </si>
  <si>
    <t>Sun Pastanesi, Çukurova (Toros Mah.)</t>
  </si>
  <si>
    <t>Engin Bey</t>
  </si>
  <si>
    <t>toros mah ahmet sapmaz bulvarı çiğdem apt no 79 a çukurova adana</t>
  </si>
  <si>
    <t>61efbe338c225721dc3346dc</t>
  </si>
  <si>
    <t>Komagene Etsiz Çiğ Köfte, Çukurova (Hilmi Kürklü Blv.)</t>
  </si>
  <si>
    <t>BELEDİYE EVLERİ MAH. HİLMİ KÜRKLÜ BLV. NO:67/F</t>
  </si>
  <si>
    <t>61e93fbb0dd67f8432166471</t>
  </si>
  <si>
    <t>Doğan Kaymaklı, Seyhan (Yeşilyuva Mah. - Bakımyurdu Cad.)</t>
  </si>
  <si>
    <t>YUNUS ADAMAK</t>
  </si>
  <si>
    <t>Bakımyurdu Cad. (Doğum Evi civarı) No: 105/A Seyhan / ADANA</t>
  </si>
  <si>
    <t>61d47923340115b48cda6a42</t>
  </si>
  <si>
    <t>Çiğ Köfte Deryası, (Güzelyalı Mah. - Süleyman Demirel Blv.)</t>
  </si>
  <si>
    <t>TARIK DOĞAN</t>
  </si>
  <si>
    <t>619644d023d8b602f7ce560c</t>
  </si>
  <si>
    <t>Caribou Coffee (Yeni Mah.)</t>
  </si>
  <si>
    <t>ÖĞRETMENLER BLV.87071 SK. NO:5\164 M1 ADANA AVM</t>
  </si>
  <si>
    <t>6194d634b9bdd04c237a7a8a</t>
  </si>
  <si>
    <t>Caribou Coffee, Çukurova (Güzelyalı Mah.)</t>
  </si>
  <si>
    <t>GÜZELYALI MAHALLESİ TURGUT ÖZAL BULVARI</t>
  </si>
  <si>
    <t>Karacaoğlan mahallesi Şehit hüseyin soydan caddesi no:37 Nehir apartmanı Kozan /Adana</t>
  </si>
  <si>
    <t>An-takya Döner , Seyhan (Cemalpaşa Mah.)</t>
  </si>
  <si>
    <t>Cenk Sağlar</t>
  </si>
  <si>
    <t>600e9020a50179f11acc5ebc</t>
  </si>
  <si>
    <t>Subway, Çukurova (Güzelyalı Mah. - Turgut Özal Blv.)</t>
  </si>
  <si>
    <t>Alper Gök</t>
  </si>
  <si>
    <t>Mahfesığmaz Mah. Levent sit. G/1 Blok NO D-4 Çukurova Adana</t>
  </si>
  <si>
    <t>Aydın Gökçeli, Seyhan (Sümer Mah. - Barajyolu)</t>
  </si>
  <si>
    <t>61e9472987f3eacf3ddfaf1b</t>
  </si>
  <si>
    <t>Gaziantep Çıtır Lahmacun &amp; Kebap, Çukurova (Huzurevleri Mah.)</t>
  </si>
  <si>
    <t>SEVGİ BİRSEN KUZUOĞLU</t>
  </si>
  <si>
    <t>61a4e23de4cef64b6874de1a</t>
  </si>
  <si>
    <t>Hüseyin Dike</t>
  </si>
  <si>
    <t>61cb08fb0bc14834f07ab58c</t>
  </si>
  <si>
    <t>Komagene Etsiz Çiğ Köfte, Yüreğir (Başak Mah.)</t>
  </si>
  <si>
    <t>BAŞAK MAH. ÇUKUROVA CAD. 213</t>
  </si>
  <si>
    <t>61c66c6be2ed2f492cb5f55b</t>
  </si>
  <si>
    <t>Şırdancı Kemal , Çukurova (Toros Mah.)</t>
  </si>
  <si>
    <t>toros mah 78195 sok adana lezzetler çarşısı no 14 çukurova adana</t>
  </si>
  <si>
    <t>selahattin kaya</t>
  </si>
  <si>
    <t>61dfd9daae46cfac9429a54c</t>
  </si>
  <si>
    <t>Oses Çiğ Köfte, Sarıçam (Şahintepe Mah.)</t>
  </si>
  <si>
    <t>Emrah Işık</t>
  </si>
  <si>
    <t>Şahintepe Mah., Kozan Blv., No:90, Sarıçam, Adana, Türkiye,</t>
  </si>
  <si>
    <t>6231c26f39f3d947e71bd7b5</t>
  </si>
  <si>
    <t>Faruk Güllüoğlu, Çukurova (Mahfesığmaz Mah.)</t>
  </si>
  <si>
    <t>Sabit Ali Aydın</t>
  </si>
  <si>
    <t>Hahfesığmaz mah.Turgut Özal Bulvarı No:31 b</t>
  </si>
  <si>
    <t>6231ed038cfe1e2ec9861708</t>
  </si>
  <si>
    <t>Komagene Etsiz Çiğ Köfte, Seyhan (Kayalıbağ Mah.)</t>
  </si>
  <si>
    <t>KAYALIBAĞ MAH. ATATÜRK CAD. KALOĞLU İŞHANI NO: 6 C</t>
  </si>
  <si>
    <t>61f7ba81180f2a7bb1f13cf2</t>
  </si>
  <si>
    <t>AHMET ÇELİK</t>
  </si>
  <si>
    <t>61e9527f73ab23154e415815</t>
  </si>
  <si>
    <t>Doğan Kaymaklı, Seyhan (Kurtuluş Mah.)</t>
  </si>
  <si>
    <t>Kurtuluş Mah. MAS Taksi karşısı No: 60/A Seyhan / ADANA</t>
  </si>
  <si>
    <t>Tombiş Cafe, Çukurova (Huzurevleri Mah.)</t>
  </si>
  <si>
    <t>İstanbul Çiğ Köfte (Yeşilyurt Mah. - Necip Fazıl Kısakürek Blv.)</t>
  </si>
  <si>
    <t>61b2a00fd1b54991f2f337bd</t>
  </si>
  <si>
    <t>Oses Çiğ Köfte, Seyhan (Kurtuluş Mah.)</t>
  </si>
  <si>
    <t>Efe Eskişenkaya</t>
  </si>
  <si>
    <t>Kurtuluş Mah Ramazanoğlu Cad No 20 D Seyhan Adana</t>
  </si>
  <si>
    <t>Paçacım, Seyhan (Gürselpaşa Mah.)</t>
  </si>
  <si>
    <t>61d7f7f85a5a1deb306c9ffd</t>
  </si>
  <si>
    <t>Hünkar Çiğ Köfte, Seyhan (Sümer Mah.)</t>
  </si>
  <si>
    <t>YUNUS AŞIK</t>
  </si>
  <si>
    <t>SÜMER MAH MAVİ BLV MUHTARLAR SİTESİ PASAJI NO 1 SEYHAN ADANA</t>
  </si>
  <si>
    <t>61e14335dae9ede205ad27a3</t>
  </si>
  <si>
    <t>Gökçeli Cafe, Seyhan (Çınarlı mah.)</t>
  </si>
  <si>
    <t>SONER AKYILDIZ</t>
  </si>
  <si>
    <t>623b511e6d5ecc44c3917d60</t>
  </si>
  <si>
    <t>Tad Al Döner, Çukurova (Huzurevleri Mah.)</t>
  </si>
  <si>
    <t>NUH ESEN</t>
  </si>
  <si>
    <t>Huzurevleri Mah. Alparslan Türkeş Blv. No:361 C Çukurova/ADANA</t>
  </si>
  <si>
    <t>624388709cc8512d6bbaa12f</t>
  </si>
  <si>
    <t>Doyuyo, Seyhan (Yeni Mah.)</t>
  </si>
  <si>
    <t>Yeni Mah 87071 Sok M! Avm No 512 Seyhan Adana</t>
  </si>
  <si>
    <t>6245e92e3ce98b8639ee001e</t>
  </si>
  <si>
    <t>Dönerci İbo, Seyhan (Meydan Mah.)</t>
  </si>
  <si>
    <t>İBRAHİM ÇÖNE</t>
  </si>
  <si>
    <t>meydan mah. bakımyurdu cad. no 211 a seyhan adana</t>
  </si>
  <si>
    <t>624c31ae418aa717a3194c85</t>
  </si>
  <si>
    <t>Komagene Etsiz Çiğ Köfte, Çukurova (Hacı Bektaş Veli Blv.)</t>
  </si>
  <si>
    <t>YÜZÜNCÜ YIL MAH. HACI BEKTAŞ VELİ BULVARI NO:69/A</t>
  </si>
  <si>
    <t>624d75a36d60d5bd7a6b0c7f</t>
  </si>
  <si>
    <t>Eymen Kebap, Seyhan (Sümer Mah. - İbo Osman Cad.)</t>
  </si>
  <si>
    <t>Erdoğan Öte</t>
  </si>
  <si>
    <t>61d869c403ec511bd8eee33d</t>
  </si>
  <si>
    <t>Pakfırın, Seyhan (Cemalpaşa Mah.)</t>
  </si>
  <si>
    <t>Mert Uğurses</t>
  </si>
  <si>
    <t>61e7d577b5d5547548a64890</t>
  </si>
  <si>
    <t>Ustam Ev Yemekleri, Seyhan (İkibinevler Mah.)</t>
  </si>
  <si>
    <t>Ayşe Aşçıbaşı</t>
  </si>
  <si>
    <t>2000 EVLER MAH TÜRKMENBAŞI TIP MERKEZİ SEYHAN ADANA</t>
  </si>
  <si>
    <t>620a5d0309b432317bb9ca50</t>
  </si>
  <si>
    <t>By Ada Döner, Sarıçam (Esentepe Mah.)</t>
  </si>
  <si>
    <t>BÜNYAMİN ARIK</t>
  </si>
  <si>
    <t>esentepe mah kozan cad no 97 sarıçam adana</t>
  </si>
  <si>
    <t>61e940c44364669515e565c1</t>
  </si>
  <si>
    <t>Doğan Kaymaklı, Çukurova (Güzelyalı Mah.)</t>
  </si>
  <si>
    <t>EMRE ADAMAK</t>
  </si>
  <si>
    <t>güzelyalı mahallesi turgut özal bulvarı no 76 d: c çukurova adana</t>
  </si>
  <si>
    <t>6200c1c8cc9b2bbc5593e267</t>
  </si>
  <si>
    <t>Çoban Katık Döner, Seyhan (Yenibaraj Mah.)</t>
  </si>
  <si>
    <t>ALİ BERK ÇOBAN</t>
  </si>
  <si>
    <t>61b26863bef8329f9c108349</t>
  </si>
  <si>
    <t>Le Monde Du Tacos , Çukurova (Güzelyalı Mah.)</t>
  </si>
  <si>
    <t>ertan deniz tatlı</t>
  </si>
  <si>
    <t>güzelyalı mah turgut özal bulvarı kenanoğlu apt no 2/a çukurova adana</t>
  </si>
  <si>
    <t>Usta Kokoreç , Çukurova ( Huzurevleri Mah.)</t>
  </si>
  <si>
    <t>6200e3df2f885b1419202a0c</t>
  </si>
  <si>
    <t>Komagene Etsiz Çiğ Köfte, Seyhan (Sucuzade Mah.-Saydam Cad.)</t>
  </si>
  <si>
    <t>SUCUZADE MAH. SAYDAM CAD. NO: 100 C</t>
  </si>
  <si>
    <t>6200ec85918ff11286abf107</t>
  </si>
  <si>
    <t>ABDULLAH KILIÇ</t>
  </si>
  <si>
    <t>6257d8701e1d384e36c035b2</t>
  </si>
  <si>
    <t>Kahve Dünyası, Çukurova (Mahfesığmaz Mah.)</t>
  </si>
  <si>
    <t>MAHFESIĞMAZ MAHALLESİ TURGUT ÖZAL BULVARI NO63B BASKIN APT A BLOK ÇUKUROVA ADANA</t>
  </si>
  <si>
    <t>6037206c976fb2b0ed48cec8</t>
  </si>
  <si>
    <t>Starbucks®, Seyhan (Kurtuluş Mah.)</t>
  </si>
  <si>
    <t>Kurtulus Mah Ziyapasa Bulvarı Ali Sadi Apt. Zemin Kat No:15 Seyhan/Adana</t>
  </si>
  <si>
    <t>6037311ceaf22348b469afc0</t>
  </si>
  <si>
    <t>Starbucks®, Seyhan (Cemalpaşa Mah.)</t>
  </si>
  <si>
    <t>Cemalpasa mah. Toros Cad. Gultekin Apt. NO: 35/B Seyhan Adana</t>
  </si>
  <si>
    <t>60409b6920d33e986e83a693</t>
  </si>
  <si>
    <t>Starbucks®, Seyhan (Aliya İzzet Begoviç Blv.)</t>
  </si>
  <si>
    <t>Aliya Izzetbegovic: GÜRSELPAŞA MAHALLESİ ALİYA İZZET BEGOVİÇ BLV. A BLOK Apt. NO: 3 /1B SEYHAN/ADANA</t>
  </si>
  <si>
    <t>604b70ab82cb087b95b22abc</t>
  </si>
  <si>
    <t>Starbucks®, Çukurova (Kurttepe Mah.)</t>
  </si>
  <si>
    <t>Kurttepe: Güzelyalı Mah. Turgut Özal Bulvarı No: 152 D Çukurova / Adana</t>
  </si>
  <si>
    <t>605c57eea2ff9f0aac7a92c7</t>
  </si>
  <si>
    <t>Arby's, Seyhan (Ahmet Remzi Yüreğir Mah.)</t>
  </si>
  <si>
    <t>AHMET REMZİ YÜREĞİR MAH., ERDAL ACET CAD., Seyan, Adana</t>
  </si>
  <si>
    <t>605cc281aa472975e8a93a36</t>
  </si>
  <si>
    <t>Usta Pideci, Yüreğir (Sinanpaşa Mah.)</t>
  </si>
  <si>
    <t>621cbe17fcd94b1702c0c160</t>
  </si>
  <si>
    <t>Baydöner İskender, Seyhan (Yeni Mahalle)</t>
  </si>
  <si>
    <t>Baydöner</t>
  </si>
  <si>
    <t>YENİ MAHALLE ÖĞRETMENLER BULVARI M1 AVM BAYDÖNER</t>
  </si>
  <si>
    <t>62220d14625136b4ed624d0e</t>
  </si>
  <si>
    <t>Helvacı Ali, Seyhan (Yenibaraj Mah.)</t>
  </si>
  <si>
    <t>Duygu Kütük</t>
  </si>
  <si>
    <t>Yenibaraj, 68046. Sk. No:6, 01140 Seyhan/Adana</t>
  </si>
  <si>
    <t>Pideci Arif, Kozan (Karacaoğlan Mah.)</t>
  </si>
  <si>
    <t>622b3c11fd9df57160f9b3a3</t>
  </si>
  <si>
    <t>Kurttepe Piknik Kebap &amp; Pirzola, Çukurova (Kurttepe Mah.)</t>
  </si>
  <si>
    <t>Adem Can</t>
  </si>
  <si>
    <t>Mercan Şaşlık Paça, Seyhan (Tellidere Mah.)</t>
  </si>
  <si>
    <t>623a2c69b42bfb24ff51c37a</t>
  </si>
  <si>
    <t>İkram, Çukurova (Toros Mah.)</t>
  </si>
  <si>
    <t>BİROL ÖZER</t>
  </si>
  <si>
    <t>Toros Mah. Ahmet Sapmaz Blv. 15 A Çukurova/ADANA</t>
  </si>
  <si>
    <t>622b39a498e4e49bc8985645</t>
  </si>
  <si>
    <t>Oses Çiğ Köfte, Adana (Levent Mah.)</t>
  </si>
  <si>
    <t>POLAT NARİN</t>
  </si>
  <si>
    <t>Levent Mah. Levent Cad. 67/A Yüreğir/Adana</t>
  </si>
  <si>
    <t>6065897e80679227428ade33</t>
  </si>
  <si>
    <t>Domino's Pizza, Seyhan (Sümer Mah. - Barajyolu)</t>
  </si>
  <si>
    <t>Sümer Mah. 69047 Sok. Buğra Apt. No:11 Zemin Kat Seyhan</t>
  </si>
  <si>
    <t>Çukurova Börek Tatlı, Çukurova (Güzelyalı Mah.)</t>
  </si>
  <si>
    <t>623ae7be8cfe1e6c65f15a03</t>
  </si>
  <si>
    <t>Mado, Çukurova (Güzelyalı Mah.)</t>
  </si>
  <si>
    <t>EMRE ONUR NARGİLE</t>
  </si>
  <si>
    <t>GÜZELYALI MAHALLESİ TURGUT ÖZAL BULV NO:32/A ÇUKUROVA ADANA</t>
  </si>
  <si>
    <t>618d0a62cdedebef96d2d087</t>
  </si>
  <si>
    <t>Pasaport Pizza, Çukurova (Belediyeevleri Mah.)</t>
  </si>
  <si>
    <t>Tezcan Bayraktar</t>
  </si>
  <si>
    <t>Belediye Evleri Mahallesi Türkmenbaşı Bulvarı No:77/A Çukurova ADANA</t>
  </si>
  <si>
    <t>6240a289ae5b719a8957884c</t>
  </si>
  <si>
    <t>Çiğ Köfteci Ömer Usta, Seyhan (Dumlupınar Mah.)</t>
  </si>
  <si>
    <t>Erdal Önen</t>
  </si>
  <si>
    <t>dumlupınar mah. obalar cad. no 336 C seyhan adana</t>
  </si>
  <si>
    <t>6065a7fd8f432c262ed208e9</t>
  </si>
  <si>
    <t>Domino's Pizza, Yüreğir (Selahattin Eyyubi Mah.)</t>
  </si>
  <si>
    <t>Selahattin Eyyubi Mah. Mustafa Kemal Pasa Bulv. No:125 C Yüreğir</t>
  </si>
  <si>
    <t>DOĞAN CAN SEVGİLİ</t>
  </si>
  <si>
    <t>621b5748fbab212c1aa4c147</t>
  </si>
  <si>
    <t>Class Döner Cafe, Çukurova (Toros Mah.)</t>
  </si>
  <si>
    <t>YÜKSEL YILMAZ</t>
  </si>
  <si>
    <t>TOROS MAH. 78082 SK. NO: 10 B ÇUKUROVA/ ADANA</t>
  </si>
  <si>
    <t>6065a0dfb83fa8991eddc5d1</t>
  </si>
  <si>
    <t>Domino's Pizza, Çukurova (Kurttepe Mah.)</t>
  </si>
  <si>
    <t>Yurt Mah. Süleyman Demirel Blv. No:75 Çukurova</t>
  </si>
  <si>
    <t>Pasta Canavarı , Çukurova (Güzelyalı Mah.-Uğur Mumcu Blv.)</t>
  </si>
  <si>
    <t>6241f2d8c8bed64e7bde1a1c</t>
  </si>
  <si>
    <t>Roi Sucuk, Çukurova (Mahfesığmaz Mah.)</t>
  </si>
  <si>
    <t>mahfesığmaz mah 79121 sok no 12 b çukurova adana</t>
  </si>
  <si>
    <t>6245a25773980c5f2ec131df</t>
  </si>
  <si>
    <t>Fuat Usta Kebap &amp; Lahmacun (Yeşilyurt Mah. - İbo Osman Cad.)</t>
  </si>
  <si>
    <t>Fuat Tilkat</t>
  </si>
  <si>
    <t>iboosman caddesi, 70082. Sk. no 10, 01150 Seyhan/Adana</t>
  </si>
  <si>
    <t>607846231b062738873d3906</t>
  </si>
  <si>
    <t>Bereket Döner, Ceyhan (Mithatpaşa Mah.)</t>
  </si>
  <si>
    <t>Nuri Uçaral</t>
  </si>
  <si>
    <t>Yarsuat</t>
  </si>
  <si>
    <t>Mithat Paşa Mah. İnönü Bulv. No: 94/A Ceyhan/Adana</t>
  </si>
  <si>
    <t>6013c226bb98bbb340377f8c</t>
  </si>
  <si>
    <t>Tavuk Dünyası, Çukurova (Mahfesığmaz Mah.)</t>
  </si>
  <si>
    <t>SUDE KILIÇ</t>
  </si>
  <si>
    <t>MAHFESIĞMAZ MAH. TURGUT ÖZAL BLV. KURDAK APT. NO: 49 A ÇUKUROVA/ ADANA</t>
  </si>
  <si>
    <t>6013bf893a74781cad606e15</t>
  </si>
  <si>
    <t>Tavuk Dünyası, Seyhan (Çınarlı Mah.)</t>
  </si>
  <si>
    <t>HAKAN ÖZDİLEK</t>
  </si>
  <si>
    <t>ÇINARLI MAH. ATATÜRK CAD. KEMAL ÖZÜLKÜ İŞ MERKEZİ 29/ A SEYHAN ADANA</t>
  </si>
  <si>
    <t>Volkan Ersu</t>
  </si>
  <si>
    <t>615b0eae7c2f5900a8a4fdae</t>
  </si>
  <si>
    <t>NumNum (Ahmet Remzi Yüreğir Mah.)</t>
  </si>
  <si>
    <t>ONUR OĞUL</t>
  </si>
  <si>
    <t>Ahmet Remzi Yüreğir Mahallesi Erdal Aced Cad. No:1 İç kapı No:1B26</t>
  </si>
  <si>
    <t>6013a7fe6c16427e6090adef</t>
  </si>
  <si>
    <t>Tavuk Dünyası, Çukurova (Güzelyalı Mah.)</t>
  </si>
  <si>
    <t>GÜZELYALI MAH.TURGUT ÖZAL BULVARI HIBA APARTMANI FIŞ KAPI NO: 94/B ÇUKUROVA/ADANA</t>
  </si>
  <si>
    <t>619534a44c33d55a927e331b</t>
  </si>
  <si>
    <t>Tavuk Dünyası, Yüreğir (Sinanpaşa Mah.)</t>
  </si>
  <si>
    <t>Didem Hamarat</t>
  </si>
  <si>
    <t>Hacı Sabancı Blv. Sinanpaşa Mah. Optimum avm. Kat: 2 no:2M28 Yüreğir /ADANA</t>
  </si>
  <si>
    <t>6256d29277674f3e135f0a5f</t>
  </si>
  <si>
    <t>Mr. Kütük Döner, Seyhan (Gülbahçesi Mah.)</t>
  </si>
  <si>
    <t>DOĞAN SOLMAZ</t>
  </si>
  <si>
    <t>gülbahçesi mah. obalar cad. no 531 a seyhan adana</t>
  </si>
  <si>
    <t>62595811a7b30e20c32b08bb</t>
  </si>
  <si>
    <t>Oses Çiğ Köfte, Seyhan (Şakirpaşa Mah.)</t>
  </si>
  <si>
    <t>Burhan Tekin</t>
  </si>
  <si>
    <t>Şakirpaşa mah şakirpaşa cad no 197 Seyhan Adana</t>
  </si>
  <si>
    <t>6049f9146c9d2727412d1307</t>
  </si>
  <si>
    <t>Starbucks®, Çukurova (Karalar Bucağı Mah.)</t>
  </si>
  <si>
    <t>Karalar Bucağı Mah. Turgut Özal Bulvarı No: 44 Seyhan / Adana</t>
  </si>
  <si>
    <t>624be4c4b8419205c13aaafa</t>
  </si>
  <si>
    <t>Gülsüm Aylık</t>
  </si>
  <si>
    <t>6013ad31d32da61e49d16269</t>
  </si>
  <si>
    <t>Tavuk Dünyası, Seyhan (Pınar Mah.)</t>
  </si>
  <si>
    <t>AHMET BİLGEN</t>
  </si>
  <si>
    <t>PINAR MAH. ALİBOZDOĞANOĞLU BULV. NO:48-F SEYHAN / ADANA</t>
  </si>
  <si>
    <t>Fırat Cafe , Çukurova (Mahfesığmaz Mah.)</t>
  </si>
  <si>
    <t>01 Bay Şef Döner, Seyhan (Sucuzade Mah.)</t>
  </si>
  <si>
    <t>605c7f774b04756a7a589754</t>
  </si>
  <si>
    <t>Burger King, Seyhan (Cemalpaşa Mah.)</t>
  </si>
  <si>
    <t>Cemalpaşa Mah Fuzuli cad Galeria iş merkezi</t>
  </si>
  <si>
    <t>60bb3bead20a5d55cef3e606</t>
  </si>
  <si>
    <t>Usta Dönerci, Seyhan (Ahmet Remzi Yüreğir Mah.)</t>
  </si>
  <si>
    <t>Tatlıcı Gönül Kardeşler, Çukurova (Yurt Mah.-Anadolu Lisesi Cd.)</t>
  </si>
  <si>
    <t>605c8c8524e239e1341271b0</t>
  </si>
  <si>
    <t>Usta Pideci, Seyhan (Yeni Mah.)</t>
  </si>
  <si>
    <t>Yeni Köşem Döner &amp; Tantuni, Yüreğir (Sarıçam Mah.)</t>
  </si>
  <si>
    <t>5febbdd158f3ac7c66e5820e</t>
  </si>
  <si>
    <t>Pizza Hut, Yüreğir (Hacı Sabancı Blv. Optimum Mall)</t>
  </si>
  <si>
    <t>Hacı SabancI Bulvarı No:28 Optimum AVM Kat2 Pizza Hut 2m05a Yüreğir / ADANA</t>
  </si>
  <si>
    <t>6256858ef4c53bfb07e047b3</t>
  </si>
  <si>
    <t>Pidem, Seyhan (Ahmet Remzi Yüreğir Mah.)</t>
  </si>
  <si>
    <t>Bahadır Zereylioğlu</t>
  </si>
  <si>
    <t>AHMET REMZİ YÜREĞİR MAH. ERDAL ACET CAD. NO:1 SEYHAN - ADANA</t>
  </si>
  <si>
    <t>625686c7acf4159262fc7ae4</t>
  </si>
  <si>
    <t>Pidem, Seyhan (Yeni Mah.)</t>
  </si>
  <si>
    <t>M1 ADANA AVM YENİ MAHALLE ÖĞRETMENLER BULVARI NO:5/71-B SEYHAN - ADANA</t>
  </si>
  <si>
    <t>61fb057964ed28ae90005e41</t>
  </si>
  <si>
    <t>Burgerhome , Çukurova (Güzelyalı Mah.-Uğur Mumcu Bulv.)</t>
  </si>
  <si>
    <t>erman mustafa mutlu</t>
  </si>
  <si>
    <t>Güzelyalı mah. Uğur mumcu Blv. Özbay Sitesi A blok no 2/1 Çukurova /Adana</t>
  </si>
  <si>
    <t>6253ee001502a84c981a4e54</t>
  </si>
  <si>
    <t>Mado, Seyhan (Çınarlı Mah.)</t>
  </si>
  <si>
    <t>SELCAN POLAT</t>
  </si>
  <si>
    <t>çınarlı mah. Ziyapaşa blv. Bulvar iş mrk 51/A</t>
  </si>
  <si>
    <t>6257e18ba2205a57f4adba81</t>
  </si>
  <si>
    <t>Çiğ Köfte Konağı, Çukurova (Huzurevleri Mah.)</t>
  </si>
  <si>
    <t>yusuf doğan özcan</t>
  </si>
  <si>
    <t>huzurevleri mah ismet atlı bulv no 10 b çukurova adana</t>
  </si>
  <si>
    <t>Pasta Canavarı, Seyhan (Pınar Mah)</t>
  </si>
  <si>
    <t>60372b2a680e681b634c3ec0</t>
  </si>
  <si>
    <t>Starbucks®, Seyhan (Gürselpaşa Mah.)</t>
  </si>
  <si>
    <t>Gurselpasa mah. aliya izzet Begovic Bulvari No:27 seyhan</t>
  </si>
  <si>
    <t>605c6a98043463e03da4a22b</t>
  </si>
  <si>
    <t>Arby's, Yüreğir (Sinanpaşa Mah.)</t>
  </si>
  <si>
    <t>Optimum Outlet Adana,</t>
  </si>
  <si>
    <t>605c59d9889b9b80d53c7885</t>
  </si>
  <si>
    <t>Burger King, Çukurova (Güzelyalı Mah.)</t>
  </si>
  <si>
    <t>TURGUT ÖZAL BULVARI GÜZELYALI MAH.NO:154/A ÇUKUROVA</t>
  </si>
  <si>
    <t>605c6356f5a13c538e1603ac</t>
  </si>
  <si>
    <t>Burger King, Seyhan (Yeni Mah.)</t>
  </si>
  <si>
    <t>M 1 TEPE ALIŞVERİŞ MERKEZİ ÖĞRETMENLER BULVARI ZE</t>
  </si>
  <si>
    <t>605c64c3862a5508a2f1c571</t>
  </si>
  <si>
    <t>Burger King, Çukurova (Güzelyalı Mah. - Uğur Mumcu Blv.)</t>
  </si>
  <si>
    <t>GÜZEL YALI MAH.102.SOKAK ,uğur mumcu bulvarı</t>
  </si>
  <si>
    <t>605c90c82f111e66eb8bacb2</t>
  </si>
  <si>
    <t>Usta Dönerci, Seyhan (Yeni Mah.)</t>
  </si>
  <si>
    <t>Zincirlibağlar mevkii Yeni Mah. Öğretmenler Blv.</t>
  </si>
  <si>
    <t>60bdc2df50b70fe4a436eba6</t>
  </si>
  <si>
    <t>Usta Pideci, Seyhan (Ahmet Remzi Yüreğir Mah.)</t>
  </si>
  <si>
    <t>huzurevleri mah 77105 sok altıneller apt no 8 iç kapı no 1 çukurova adana</t>
  </si>
  <si>
    <t>Sos Döner Ve Kebap Salonu, Seyhan (İsmetpaşa Mah.)</t>
  </si>
  <si>
    <t>Vittoria Coffee and Chocolate, Çukurova (Uğur Mumcu Blv.)</t>
  </si>
  <si>
    <t>Burgerhome , Çukurova (Güzelyalı Mah. - Turgut Özal Blv.)</t>
  </si>
  <si>
    <t>Shark Cafe, Seyhan (Cemalpaşa Mah.)</t>
  </si>
  <si>
    <t>6245781485a38f6a46b99b39</t>
  </si>
  <si>
    <t>Chicken Valley, Seyhan (Yenibaraj Mah. - Barajyolu)</t>
  </si>
  <si>
    <t>Yenibaraj Mah., 68046 Sokak, No:9, Seyhan, Adana, Türkiye,</t>
  </si>
  <si>
    <t>61e958ff484eb9c21918e3c1</t>
  </si>
  <si>
    <t>Bek Islak Hamburger, Çukurova (Mahfesığmaz Mah.)</t>
  </si>
  <si>
    <t>SENA MÜYESSER BEKTAŞ</t>
  </si>
  <si>
    <t>mahfesıgmaz mah turgut ozal bulv no:35/e çukurova adana</t>
  </si>
  <si>
    <t>Space Sandwich &amp; Breakfast, Çukurova (Beyazevler Mah.)</t>
  </si>
  <si>
    <t>6096de73d0dd49915baa09fb</t>
  </si>
  <si>
    <t>Soulmate Coffee (Güzelyalı mah.-Turgut Özal Blv.)</t>
  </si>
  <si>
    <t>güzelyalı mah turgut özal bulv osman bey apt 30/b çukurova adana</t>
  </si>
  <si>
    <t>6231e300bde5b0302c5a0b96</t>
  </si>
  <si>
    <t>Oses Çiğ Köfte, Çukurova (100. Yıl Mah.)</t>
  </si>
  <si>
    <t>Dilek Kıran</t>
  </si>
  <si>
    <t>100. yıl Mah Hacı Bektaş veli Blv 18-3C Çukurova Adana</t>
  </si>
  <si>
    <t>61d867565020660da89d8337</t>
  </si>
  <si>
    <t>Pakfırın , Çukurova (Hayalpark)</t>
  </si>
  <si>
    <t>toros mah.kasım ener blv.no:36/1-B Çukurova/ADANA</t>
  </si>
  <si>
    <t>62388e4cecc8f724d57edbb8</t>
  </si>
  <si>
    <t>Oses Çiğ Köfte, Seyhan (Pınar Mah.)</t>
  </si>
  <si>
    <t>Ahmet Asaf Serter</t>
  </si>
  <si>
    <t>Pınar Mah Nazım Hikmet Cad No 77 B Seyhan Adana</t>
  </si>
  <si>
    <t>619c1de123d8b605579cbb26</t>
  </si>
  <si>
    <t>Tavuk Dünyası, Seyhan (Ahmet Remzi Yüreğir Mah.)</t>
  </si>
  <si>
    <t>Züleyha TOYTEKİN</t>
  </si>
  <si>
    <t>Ahmet Remzi Yüreğir Mah. Erdal Acet Cad No:1 Kapı No:315 Seyhan/ADANA</t>
  </si>
  <si>
    <t>Mezzevari Meze Evi, Çukurova (Güzelyalı Mah.)</t>
  </si>
  <si>
    <t>620fb0fa0cee8c612ee17895</t>
  </si>
  <si>
    <t>Çiğ Köfte Dünyası, Çukurova (Huzurevleri Mah.)</t>
  </si>
  <si>
    <t>AŞKIN YILDIZ</t>
  </si>
  <si>
    <t>huzurevleri mah 77162 sok no 33 b çukurova adana</t>
  </si>
  <si>
    <t>61a74b004c94d43907e36480</t>
  </si>
  <si>
    <t>BAHTİYAR BOZKURT</t>
  </si>
  <si>
    <t>6245e6b3d4061c172cef47ae</t>
  </si>
  <si>
    <t>Altınoluk Kebap &amp; Lahmacun, Çukurova (Güzelyalı Mah.)</t>
  </si>
  <si>
    <t>isa çimen</t>
  </si>
  <si>
    <t>güzelyalı mah. 81056 sok. 19 a çukurova adana</t>
  </si>
  <si>
    <t>624bf83064eda954cd101d8c</t>
  </si>
  <si>
    <t>Mehmet Gemicioğlu</t>
  </si>
  <si>
    <t>Yüzüncüyıl mahallesi Fazlı meto bulv. Çukurova/adana</t>
  </si>
  <si>
    <t>621cba6423b054e94040284f</t>
  </si>
  <si>
    <t>Baydöner İskender, Yüreğir (Sinanpaşa Mah.)</t>
  </si>
  <si>
    <t>SİNANPAŞA MAH HACI ÖMER SAB. BUL .NO:28 K:2 OPTİMUM AVM</t>
  </si>
  <si>
    <t>yeşilyurt mah karaafat caddesi buberen apt no 139/1b seyhan adana</t>
  </si>
  <si>
    <t>Huzur evleri mahallesi şehit jandarma sefa iz budak sokak NO:28 A blok ÇUKUROVA/ADANA</t>
  </si>
  <si>
    <t>yüzüncü yıl mah 85229 sok ilçe emniyet müdürlüğü karşısı çukurova adana</t>
  </si>
  <si>
    <t>Gaziantep Sena Baklava, Seyhan (Kurtuluş Mah.)</t>
  </si>
  <si>
    <t>61fd990fa854ee56a6492192</t>
  </si>
  <si>
    <t>Yerli Mutfak, Seyhan (Cemalpaşa Mah.)</t>
  </si>
  <si>
    <t>Mantı</t>
  </si>
  <si>
    <t>Ali uğurcan Tuncil</t>
  </si>
  <si>
    <t>cemalpaşa mah 63005 sok yasemen apt no20 iç kapı no 5 seyhan adana</t>
  </si>
  <si>
    <t>Enes</t>
  </si>
  <si>
    <t>Emre Dalgıç</t>
  </si>
  <si>
    <t>Haziran'da Aranacak</t>
  </si>
  <si>
    <t>Ayfer Altın</t>
  </si>
  <si>
    <t>Damla Kılcı</t>
  </si>
  <si>
    <t>Kadriye Polat</t>
  </si>
  <si>
    <t>Şükriye Demir</t>
  </si>
  <si>
    <t>Ece Bayındır</t>
  </si>
  <si>
    <t>Senanur Çınar</t>
  </si>
  <si>
    <t>Şura Özcan</t>
  </si>
  <si>
    <t>Funda Ünlü</t>
  </si>
  <si>
    <t>Sıla Göksunaz Esen</t>
  </si>
  <si>
    <t>Enes Günal</t>
  </si>
  <si>
    <t>Ecem Ersöz</t>
  </si>
  <si>
    <t>Livanur Elibol</t>
  </si>
  <si>
    <t>Randevu Alınabilir</t>
  </si>
  <si>
    <t>Meryem Yalabık</t>
  </si>
  <si>
    <t>Serenay Yalabık</t>
  </si>
  <si>
    <t>Fotoğrafları Yok - Randevu Alınabilir</t>
  </si>
  <si>
    <t>Fotoğrafları Gönderecek</t>
  </si>
  <si>
    <t>COUNTA / Restaurant ID</t>
  </si>
  <si>
    <t>Genel Toplam</t>
  </si>
  <si>
    <t>Tarih</t>
  </si>
  <si>
    <t>Başarılı Randevu</t>
  </si>
  <si>
    <t>İptal Randevu</t>
  </si>
  <si>
    <t>Top. Rest</t>
  </si>
  <si>
    <t>Fotoğraflandırılan Top. Ürün</t>
  </si>
  <si>
    <t>Fotoğraflandırılan Ort. Ürün</t>
  </si>
  <si>
    <t>toplam rest</t>
  </si>
  <si>
    <t>Fotoğraflı</t>
  </si>
  <si>
    <t>fotoğraflı</t>
  </si>
  <si>
    <t>%</t>
  </si>
  <si>
    <t>Ürün Adet</t>
  </si>
  <si>
    <t>0-25</t>
  </si>
  <si>
    <t>25+</t>
  </si>
  <si>
    <t>İptal Oranı</t>
  </si>
  <si>
    <t>0-20%</t>
  </si>
  <si>
    <t>21-50%</t>
  </si>
  <si>
    <t>51-80%</t>
  </si>
  <si>
    <t>&gt;80%</t>
  </si>
  <si>
    <t>COUNTA / İLÇE</t>
  </si>
  <si>
    <t>Ramazandan Sonra Randevu Istiyor</t>
  </si>
  <si>
    <t>Fotoğrafı Var</t>
  </si>
  <si>
    <t>TOPLAM</t>
  </si>
  <si>
    <t>Randevu Başarı %</t>
  </si>
  <si>
    <t>6089ca89e7384948b7600fbe</t>
  </si>
  <si>
    <t>602fb031a6bb73e2114e9f59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</si>
</sst>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&quot;/&quot;mm&quot;/&quot;yyyy"/>
    <numFmt numFmtId="165" formatCode="dd.mm.yyyy"/>
    <numFmt numFmtId="166" formatCode="hh:mm"/>
    <numFmt numFmtId="167" formatCode="dd.mm"/>
    <numFmt numFmtId="168" formatCode="dd.MM.yyyy"/>
    <numFmt numFmtId="169" formatCode="dd/mm/yyyy"/>
    <numFmt numFmtId="170" formatCode="d mmmm"/>
    <numFmt numFmtId="171" formatCode="d&quot;/&quot;m&quot;/&quot;yy"/>
    <numFmt numFmtId="172" formatCode="d.m.yy"/>
  </numFmts>
  <fonts count="61">
    <font>
      <sz val="10.0"/>
      <color rgb="FF000000"/>
      <name val="Arial"/>
      <scheme val="minor"/>
    </font>
    <font>
      <b/>
      <sz val="10.0"/>
      <color rgb="FFFFFFFF"/>
      <name val="Arial"/>
    </font>
    <font>
      <sz val="10.0"/>
      <color rgb="FFFFFFFF"/>
      <name val="Arial"/>
      <scheme val="minor"/>
    </font>
    <font>
      <color rgb="FFFFFFFF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/>
    <font>
      <color rgb="FF000000"/>
      <name val="Arial"/>
      <scheme val="minor"/>
    </font>
    <font>
      <sz val="10.0"/>
      <color theme="1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color rgb="FF000000"/>
      <name val="Arial"/>
    </font>
    <font>
      <sz val="10.0"/>
      <color rgb="FF000000"/>
      <name val="Roboto"/>
    </font>
    <font>
      <sz val="18.0"/>
      <color rgb="FF000000"/>
      <name val="Arial"/>
      <scheme val="minor"/>
    </font>
    <font>
      <sz val="10.0"/>
      <color rgb="FF980000"/>
      <name val="Arial"/>
    </font>
    <font>
      <sz val="10.0"/>
      <color rgb="FFFFFFFF"/>
      <name val="Arial"/>
    </font>
    <font>
      <b/>
      <sz val="10.0"/>
      <color theme="1"/>
      <name val="Arial"/>
    </font>
    <font>
      <color theme="1"/>
      <name val="Arial"/>
    </font>
    <font>
      <i/>
      <sz val="10.0"/>
      <color rgb="FF3C4043"/>
      <name val="Roboto"/>
    </font>
    <font>
      <sz val="9.0"/>
      <color rgb="FF000000"/>
      <name val="Arial"/>
    </font>
    <font>
      <i/>
      <sz val="11.0"/>
      <color rgb="FF3C4043"/>
      <name val="Roboto"/>
    </font>
    <font>
      <b/>
      <color theme="1"/>
      <name val="Arial"/>
    </font>
    <font>
      <b/>
      <color rgb="FF000000"/>
      <name val="Arial"/>
    </font>
    <font>
      <color rgb="FF000000"/>
      <name val="Roboto"/>
    </font>
    <font>
      <b/>
      <strike/>
      <sz val="10.0"/>
      <color rgb="FF000000"/>
      <name val="Arial"/>
    </font>
    <font>
      <sz val="9.0"/>
      <color rgb="FF666666"/>
      <name val="Arial"/>
    </font>
    <font>
      <sz val="9.0"/>
      <color theme="1"/>
      <name val="Arial"/>
    </font>
    <font>
      <u/>
      <color rgb="FF0000FF"/>
      <name val="Arial"/>
    </font>
    <font>
      <sz val="24.0"/>
      <color rgb="FFFFFFFF"/>
      <name val="Arial"/>
    </font>
    <font>
      <b/>
      <color theme="1"/>
      <name val="Arial"/>
      <scheme val="minor"/>
    </font>
    <font>
      <sz val="18.0"/>
      <color theme="1"/>
      <name val="Arial"/>
    </font>
    <font>
      <sz val="11.0"/>
      <color rgb="FF000000"/>
      <name val="Arial"/>
      <scheme val="minor"/>
    </font>
    <font>
      <sz val="11.0"/>
      <color rgb="FF000000"/>
      <name val="Inconsolata"/>
    </font>
    <font>
      <sz val="18.0"/>
      <color rgb="FF000000"/>
      <name val="Caveat"/>
    </font>
    <font>
      <sz val="11.0"/>
      <color theme="1"/>
      <name val="Arial"/>
    </font>
    <font>
      <b/>
      <sz val="10.0"/>
      <color rgb="FF000000"/>
      <name val="Arial"/>
      <scheme val="minor"/>
    </font>
    <font>
      <sz val="11.0"/>
      <color rgb="FF000000"/>
      <name val="Calibri"/>
    </font>
    <font>
      <sz val="11.0"/>
      <color rgb="FF1A0DAB"/>
      <name val="Arial"/>
    </font>
    <font>
      <sz val="9.0"/>
      <color rgb="FF000000"/>
      <name val="Ubuntu"/>
    </font>
    <font>
      <u/>
      <sz val="11.0"/>
      <color rgb="FF1A0DAB"/>
      <name val="Arial"/>
    </font>
    <font>
      <b/>
      <sz val="11.0"/>
      <color rgb="FF000000"/>
      <name val="Calibri"/>
    </font>
    <font>
      <b/>
      <color rgb="FF5D3EBE"/>
      <name val="Slack-Lato"/>
    </font>
    <font>
      <b/>
      <color rgb="FF5D3EBE"/>
      <name val="Arial"/>
    </font>
    <font>
      <b/>
      <sz val="11.0"/>
      <color rgb="FF5D3EBE"/>
      <name val="Arial"/>
    </font>
    <font>
      <b/>
      <sz val="11.0"/>
      <color rgb="FF5D3EBE"/>
      <name val="Slack-Lato"/>
    </font>
    <font>
      <b/>
      <sz val="11.0"/>
      <color rgb="FFFFD10D"/>
      <name val="&quot;Calibri Light&quot;"/>
    </font>
    <font>
      <color rgb="FFFFD20B"/>
      <name val="&quot;Avenir Book&quot;"/>
    </font>
    <font>
      <b/>
      <color theme="1"/>
      <name val="&quot;Avenir Book&quot;"/>
    </font>
    <font>
      <b/>
      <sz val="11.0"/>
      <color rgb="FFFFD10D"/>
      <name val="Arial"/>
    </font>
    <font>
      <color rgb="FF5D3EBE"/>
      <name val="Arial"/>
    </font>
    <font>
      <b/>
      <color rgb="FF5C3DBD"/>
      <name val="&quot;Avenir Book&quot;"/>
    </font>
    <font>
      <color rgb="FF5D3EBE"/>
      <name val="Arial"/>
      <scheme val="minor"/>
    </font>
    <font>
      <b/>
      <color rgb="FFFFD20B"/>
      <name val="&quot;Avenir Book&quot;"/>
    </font>
    <font>
      <b/>
      <color rgb="FF5D3EBC"/>
      <name val="Arial"/>
      <scheme val="minor"/>
    </font>
    <font>
      <color rgb="FF5C3DBD"/>
      <name val="&quot;Avenir Book&quot;"/>
    </font>
    <font>
      <color theme="1"/>
      <name val="&quot;Avenir Book&quot;"/>
    </font>
    <font>
      <color rgb="FFFFD10D"/>
      <name val="Arial"/>
      <scheme val="minor"/>
    </font>
    <font>
      <sz val="9.0"/>
      <color rgb="FF5C3DBD"/>
      <name val="&quot;Avenir Book&quot;"/>
    </font>
    <font>
      <b/>
      <color rgb="FF5D3EBE"/>
      <name val="Arial"/>
      <scheme val="minor"/>
    </font>
    <font>
      <b/>
      <color rgb="FF5D3EBC"/>
      <name val="Arial"/>
    </font>
    <font>
      <color rgb="FFFFD10D"/>
      <name val="Arial"/>
    </font>
  </fonts>
  <fills count="32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A2C4C9"/>
        <bgColor rgb="FFA2C4C9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theme="5"/>
        <bgColor theme="5"/>
      </patternFill>
    </fill>
    <fill>
      <patternFill patternType="solid">
        <fgColor rgb="FFCCCCCC"/>
        <bgColor rgb="FFCCCCCC"/>
      </patternFill>
    </fill>
    <fill>
      <patternFill patternType="solid">
        <fgColor rgb="FF980000"/>
        <bgColor rgb="FF980000"/>
      </patternFill>
    </fill>
    <fill>
      <patternFill patternType="solid">
        <fgColor rgb="FFF3F3F3"/>
        <bgColor rgb="FFF3F3F3"/>
      </patternFill>
    </fill>
    <fill>
      <patternFill patternType="solid">
        <fgColor rgb="FFC27BA0"/>
        <bgColor rgb="FFC27BA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B7E1CD"/>
        <bgColor rgb="FFB7E1CD"/>
      </patternFill>
    </fill>
    <fill>
      <patternFill patternType="solid">
        <fgColor rgb="FFFFD10C"/>
        <bgColor rgb="FFFFD10C"/>
      </patternFill>
    </fill>
    <fill>
      <patternFill patternType="solid">
        <fgColor rgb="FF5D3EBC"/>
        <bgColor rgb="FF5D3EBC"/>
      </patternFill>
    </fill>
    <fill>
      <patternFill patternType="solid">
        <fgColor rgb="FF5C3DBD"/>
        <bgColor rgb="FF5C3DBD"/>
      </patternFill>
    </fill>
    <fill>
      <patternFill patternType="solid">
        <fgColor rgb="FFFFF5AB"/>
        <bgColor rgb="FFFFF5AB"/>
      </patternFill>
    </fill>
    <fill>
      <patternFill patternType="solid">
        <fgColor rgb="FFEFEFEF"/>
        <bgColor rgb="FFEFEFEF"/>
      </patternFill>
    </fill>
    <fill>
      <patternFill patternType="solid">
        <fgColor rgb="FFFFD10D"/>
        <bgColor rgb="FFFFD10D"/>
      </patternFill>
    </fill>
    <fill>
      <patternFill patternType="solid">
        <fgColor rgb="FFFFD20B"/>
        <bgColor rgb="FFFFD20B"/>
      </patternFill>
    </fill>
    <fill>
      <patternFill patternType="solid">
        <fgColor rgb="FFFDE9D9"/>
        <bgColor rgb="FFFDE9D9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2" fontId="1" numFmtId="164" xfId="0" applyAlignment="1" applyBorder="1" applyFont="1" applyNumberFormat="1">
      <alignment horizontal="center" vertical="bottom"/>
    </xf>
    <xf borderId="1" fillId="2" fontId="1" numFmtId="0" xfId="0" applyAlignment="1" applyBorder="1" applyFont="1">
      <alignment horizontal="left" readingOrder="0" vertical="bottom"/>
    </xf>
    <xf borderId="1" fillId="2" fontId="1" numFmtId="0" xfId="0" applyAlignment="1" applyBorder="1" applyFont="1">
      <alignment horizontal="center" vertical="bottom"/>
    </xf>
    <xf borderId="1" fillId="2" fontId="1" numFmtId="49" xfId="0" applyAlignment="1" applyBorder="1" applyFont="1" applyNumberFormat="1">
      <alignment horizontal="center" vertical="bottom"/>
    </xf>
    <xf borderId="1" fillId="2" fontId="1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readingOrder="0"/>
    </xf>
    <xf borderId="0" fillId="0" fontId="3" numFmtId="0" xfId="0" applyFont="1"/>
    <xf borderId="1" fillId="3" fontId="4" numFmtId="165" xfId="0" applyAlignment="1" applyBorder="1" applyFill="1" applyFont="1" applyNumberFormat="1">
      <alignment horizontal="center" readingOrder="0" shrinkToFit="0" vertical="bottom" wrapText="1"/>
    </xf>
    <xf borderId="1" fillId="0" fontId="5" numFmtId="0" xfId="0" applyAlignment="1" applyBorder="1" applyFont="1">
      <alignment horizontal="left" vertical="bottom"/>
    </xf>
    <xf borderId="2" fillId="0" fontId="5" numFmtId="0" xfId="0" applyAlignment="1" applyBorder="1" applyFont="1">
      <alignment vertical="bottom"/>
    </xf>
    <xf borderId="3" fillId="0" fontId="6" numFmtId="0" xfId="0" applyBorder="1" applyFont="1"/>
    <xf borderId="4" fillId="0" fontId="6" numFmtId="0" xfId="0" applyBorder="1" applyFont="1"/>
    <xf borderId="1" fillId="0" fontId="0" numFmtId="0" xfId="0" applyBorder="1" applyFont="1"/>
    <xf borderId="0" fillId="0" fontId="7" numFmtId="0" xfId="0" applyFont="1"/>
    <xf borderId="1" fillId="4" fontId="4" numFmtId="0" xfId="0" applyAlignment="1" applyBorder="1" applyFill="1" applyFont="1">
      <alignment horizontal="center" readingOrder="0" vertical="center"/>
    </xf>
    <xf borderId="5" fillId="4" fontId="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left" readingOrder="0" vertical="bottom"/>
    </xf>
    <xf borderId="1" fillId="0" fontId="8" numFmtId="0" xfId="0" applyBorder="1" applyFont="1"/>
    <xf borderId="1" fillId="0" fontId="8" numFmtId="0" xfId="0" applyAlignment="1" applyBorder="1" applyFont="1">
      <alignment horizontal="center"/>
    </xf>
    <xf borderId="1" fillId="0" fontId="5" numFmtId="0" xfId="0" applyAlignment="1" applyBorder="1" applyFont="1">
      <alignment vertical="bottom"/>
    </xf>
    <xf borderId="1" fillId="0" fontId="4" numFmtId="0" xfId="0" applyAlignment="1" applyBorder="1" applyFont="1">
      <alignment horizontal="center" readingOrder="0" vertical="center"/>
    </xf>
    <xf borderId="6" fillId="0" fontId="6" numFmtId="0" xfId="0" applyBorder="1" applyFont="1"/>
    <xf borderId="1" fillId="0" fontId="9" numFmtId="0" xfId="0" applyAlignment="1" applyBorder="1" applyFont="1">
      <alignment horizontal="center" vertical="bottom"/>
    </xf>
    <xf borderId="1" fillId="5" fontId="5" numFmtId="0" xfId="0" applyAlignment="1" applyBorder="1" applyFill="1" applyFont="1">
      <alignment horizontal="left" readingOrder="0" vertical="bottom"/>
    </xf>
    <xf borderId="1" fillId="5" fontId="5" numFmtId="0" xfId="0" applyAlignment="1" applyBorder="1" applyFont="1">
      <alignment horizontal="left" readingOrder="0" shrinkToFit="0" vertical="top" wrapText="0"/>
    </xf>
    <xf borderId="1" fillId="5" fontId="8" numFmtId="166" xfId="0" applyAlignment="1" applyBorder="1" applyFont="1" applyNumberFormat="1">
      <alignment horizontal="center" readingOrder="0"/>
    </xf>
    <xf borderId="1" fillId="5" fontId="8" numFmtId="0" xfId="0" applyAlignment="1" applyBorder="1" applyFont="1">
      <alignment readingOrder="0"/>
    </xf>
    <xf borderId="1" fillId="5" fontId="5" numFmtId="0" xfId="0" applyAlignment="1" applyBorder="1" applyFont="1">
      <alignment readingOrder="0" vertical="bottom"/>
    </xf>
    <xf borderId="1" fillId="0" fontId="5" numFmtId="0" xfId="0" applyAlignment="1" applyBorder="1" applyFont="1">
      <alignment horizontal="left" readingOrder="0" shrinkToFit="0" vertical="top" wrapText="0"/>
    </xf>
    <xf borderId="1" fillId="0" fontId="8" numFmtId="166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readingOrder="0" vertical="bottom"/>
    </xf>
    <xf borderId="1" fillId="0" fontId="5" numFmtId="0" xfId="0" applyAlignment="1" applyBorder="1" applyFont="1">
      <alignment horizontal="left" readingOrder="0" shrinkToFit="0" vertical="top" wrapText="0"/>
    </xf>
    <xf borderId="1" fillId="0" fontId="0" numFmtId="0" xfId="0" applyAlignment="1" applyBorder="1" applyFont="1">
      <alignment readingOrder="0"/>
    </xf>
    <xf borderId="1" fillId="0" fontId="5" numFmtId="49" xfId="0" applyAlignment="1" applyBorder="1" applyFont="1" applyNumberFormat="1">
      <alignment horizontal="center" readingOrder="0" vertical="bottom"/>
    </xf>
    <xf borderId="1" fillId="6" fontId="5" numFmtId="0" xfId="0" applyAlignment="1" applyBorder="1" applyFill="1" applyFont="1">
      <alignment horizontal="left" readingOrder="0" vertical="bottom"/>
    </xf>
    <xf borderId="7" fillId="0" fontId="6" numFmtId="0" xfId="0" applyBorder="1" applyFont="1"/>
    <xf borderId="1" fillId="0" fontId="8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readingOrder="0"/>
    </xf>
    <xf borderId="1" fillId="0" fontId="10" numFmtId="0" xfId="0" applyBorder="1" applyFont="1"/>
    <xf borderId="1" fillId="5" fontId="5" numFmtId="49" xfId="0" applyAlignment="1" applyBorder="1" applyFont="1" applyNumberFormat="1">
      <alignment horizontal="center" readingOrder="0" vertical="bottom"/>
    </xf>
    <xf borderId="1" fillId="6" fontId="5" numFmtId="0" xfId="0" applyAlignment="1" applyBorder="1" applyFont="1">
      <alignment horizontal="left" readingOrder="0" shrinkToFit="0" vertical="top" wrapText="0"/>
    </xf>
    <xf borderId="1" fillId="6" fontId="8" numFmtId="166" xfId="0" applyAlignment="1" applyBorder="1" applyFont="1" applyNumberFormat="1">
      <alignment horizontal="center" readingOrder="0"/>
    </xf>
    <xf borderId="1" fillId="6" fontId="5" numFmtId="0" xfId="0" applyAlignment="1" applyBorder="1" applyFont="1">
      <alignment readingOrder="0" vertical="bottom"/>
    </xf>
    <xf borderId="1" fillId="6" fontId="8" numFmtId="0" xfId="0" applyAlignment="1" applyBorder="1" applyFont="1">
      <alignment readingOrder="0"/>
    </xf>
    <xf borderId="1" fillId="6" fontId="5" numFmtId="0" xfId="0" applyAlignment="1" applyBorder="1" applyFont="1">
      <alignment vertical="bottom"/>
    </xf>
    <xf borderId="1" fillId="6" fontId="11" numFmtId="0" xfId="0" applyAlignment="1" applyBorder="1" applyFont="1">
      <alignment horizontal="left" readingOrder="0"/>
    </xf>
    <xf borderId="1" fillId="5" fontId="12" numFmtId="0" xfId="0" applyAlignment="1" applyBorder="1" applyFont="1">
      <alignment readingOrder="0"/>
    </xf>
    <xf borderId="1" fillId="5" fontId="5" numFmtId="0" xfId="0" applyAlignment="1" applyBorder="1" applyFont="1">
      <alignment horizontal="left" readingOrder="0" shrinkToFit="0" vertical="top" wrapText="0"/>
    </xf>
    <xf borderId="1" fillId="5" fontId="5" numFmtId="0" xfId="0" applyAlignment="1" applyBorder="1" applyFont="1">
      <alignment vertical="bottom"/>
    </xf>
    <xf borderId="8" fillId="5" fontId="13" numFmtId="0" xfId="0" applyAlignment="1" applyBorder="1" applyFont="1">
      <alignment horizontal="center" readingOrder="0"/>
    </xf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1" fillId="0" fontId="14" numFmtId="0" xfId="0" applyAlignment="1" applyBorder="1" applyFont="1">
      <alignment readingOrder="0" vertical="bottom"/>
    </xf>
    <xf borderId="12" fillId="0" fontId="6" numFmtId="0" xfId="0" applyBorder="1" applyFont="1"/>
    <xf borderId="13" fillId="0" fontId="6" numFmtId="0" xfId="0" applyBorder="1" applyFont="1"/>
    <xf borderId="1" fillId="6" fontId="5" numFmtId="0" xfId="0" applyAlignment="1" applyBorder="1" applyFont="1">
      <alignment horizontal="left" readingOrder="0"/>
    </xf>
    <xf borderId="1" fillId="5" fontId="15" numFmtId="0" xfId="0" applyAlignment="1" applyBorder="1" applyFont="1">
      <alignment readingOrder="0" vertical="bottom"/>
    </xf>
    <xf borderId="1" fillId="5" fontId="14" numFmtId="0" xfId="0" applyAlignment="1" applyBorder="1" applyFont="1">
      <alignment readingOrder="0" vertical="bottom"/>
    </xf>
    <xf borderId="1" fillId="0" fontId="8" numFmtId="0" xfId="0" applyAlignment="1" applyBorder="1" applyFont="1">
      <alignment horizontal="left"/>
    </xf>
    <xf borderId="1" fillId="7" fontId="5" numFmtId="0" xfId="0" applyAlignment="1" applyBorder="1" applyFill="1" applyFont="1">
      <alignment readingOrder="0" vertical="bottom"/>
    </xf>
    <xf borderId="1" fillId="5" fontId="0" numFmtId="0" xfId="0" applyBorder="1" applyFont="1"/>
    <xf borderId="1" fillId="5" fontId="8" numFmtId="0" xfId="0" applyAlignment="1" applyBorder="1" applyFont="1">
      <alignment horizontal="center" readingOrder="0"/>
    </xf>
    <xf borderId="1" fillId="5" fontId="5" numFmtId="0" xfId="0" applyAlignment="1" applyBorder="1" applyFont="1">
      <alignment horizontal="left" readingOrder="0"/>
    </xf>
    <xf borderId="1" fillId="6" fontId="12" numFmtId="0" xfId="0" applyAlignment="1" applyBorder="1" applyFont="1">
      <alignment readingOrder="0"/>
    </xf>
    <xf borderId="1" fillId="5" fontId="8" numFmtId="0" xfId="0" applyBorder="1" applyFont="1"/>
    <xf borderId="1" fillId="0" fontId="9" numFmtId="0" xfId="0" applyAlignment="1" applyBorder="1" applyFont="1">
      <alignment horizontal="center" vertical="bottom"/>
    </xf>
    <xf borderId="1" fillId="0" fontId="5" numFmtId="0" xfId="0" applyAlignment="1" applyBorder="1" applyFont="1">
      <alignment vertical="top"/>
    </xf>
    <xf borderId="1" fillId="0" fontId="9" numFmtId="166" xfId="0" applyAlignment="1" applyBorder="1" applyFont="1" applyNumberFormat="1">
      <alignment vertical="bottom"/>
    </xf>
    <xf borderId="1" fillId="0" fontId="5" numFmtId="0" xfId="0" applyAlignment="1" applyBorder="1" applyFont="1">
      <alignment shrinkToFit="0" vertical="top" wrapText="0"/>
    </xf>
    <xf borderId="1" fillId="5" fontId="8" numFmtId="0" xfId="0" applyAlignment="1" applyBorder="1" applyFont="1">
      <alignment horizontal="left" readingOrder="0"/>
    </xf>
    <xf borderId="1" fillId="0" fontId="8" numFmtId="0" xfId="0" applyAlignment="1" applyBorder="1" applyFont="1">
      <alignment horizontal="left" readingOrder="0"/>
    </xf>
    <xf borderId="1" fillId="4" fontId="5" numFmtId="0" xfId="0" applyAlignment="1" applyBorder="1" applyFont="1">
      <alignment horizontal="center" vertical="bottom"/>
    </xf>
    <xf borderId="1" fillId="4" fontId="16" numFmtId="0" xfId="0" applyAlignment="1" applyBorder="1" applyFont="1">
      <alignment horizontal="center" readingOrder="0" vertical="bottom"/>
    </xf>
    <xf borderId="1" fillId="4" fontId="4" numFmtId="0" xfId="0" applyAlignment="1" applyBorder="1" applyFont="1">
      <alignment horizontal="center" vertical="bottom"/>
    </xf>
    <xf borderId="1" fillId="4" fontId="16" numFmtId="0" xfId="0" applyAlignment="1" applyBorder="1" applyFont="1">
      <alignment horizontal="center" vertical="bottom"/>
    </xf>
    <xf borderId="1" fillId="0" fontId="10" numFmtId="0" xfId="0" applyAlignment="1" applyBorder="1" applyFont="1">
      <alignment horizontal="center"/>
    </xf>
    <xf borderId="1" fillId="6" fontId="4" numFmtId="0" xfId="0" applyAlignment="1" applyBorder="1" applyFont="1">
      <alignment horizontal="center" vertical="bottom"/>
    </xf>
    <xf borderId="1" fillId="8" fontId="8" numFmtId="0" xfId="0" applyAlignment="1" applyBorder="1" applyFill="1" applyFont="1">
      <alignment readingOrder="0"/>
    </xf>
    <xf borderId="1" fillId="0" fontId="4" numFmtId="0" xfId="0" applyAlignment="1" applyBorder="1" applyFont="1">
      <alignment horizontal="center" readingOrder="0" shrinkToFit="0" vertical="center" wrapText="0"/>
    </xf>
    <xf borderId="1" fillId="9" fontId="4" numFmtId="0" xfId="0" applyAlignment="1" applyBorder="1" applyFill="1" applyFont="1">
      <alignment horizontal="center" vertical="bottom"/>
    </xf>
    <xf borderId="1" fillId="0" fontId="9" numFmtId="0" xfId="0" applyBorder="1" applyFont="1"/>
    <xf borderId="4" fillId="3" fontId="9" numFmtId="165" xfId="0" applyAlignment="1" applyBorder="1" applyFont="1" applyNumberFormat="1">
      <alignment vertical="bottom"/>
    </xf>
    <xf borderId="1" fillId="3" fontId="16" numFmtId="165" xfId="0" applyAlignment="1" applyBorder="1" applyFont="1" applyNumberFormat="1">
      <alignment horizontal="center" readingOrder="0" vertical="bottom"/>
    </xf>
    <xf borderId="1" fillId="0" fontId="9" numFmtId="0" xfId="0" applyAlignment="1" applyBorder="1" applyFont="1">
      <alignment horizontal="left" vertical="bottom"/>
    </xf>
    <xf borderId="2" fillId="0" fontId="8" numFmtId="0" xfId="0" applyBorder="1" applyFont="1"/>
    <xf borderId="1" fillId="0" fontId="9" numFmtId="0" xfId="0" applyAlignment="1" applyBorder="1" applyFont="1">
      <alignment vertical="bottom"/>
    </xf>
    <xf borderId="0" fillId="0" fontId="17" numFmtId="0" xfId="0" applyAlignment="1" applyFont="1">
      <alignment vertical="bottom"/>
    </xf>
    <xf borderId="11" fillId="4" fontId="4" numFmtId="0" xfId="0" applyAlignment="1" applyBorder="1" applyFont="1">
      <alignment horizontal="center"/>
    </xf>
    <xf borderId="1" fillId="0" fontId="9" numFmtId="166" xfId="0" applyAlignment="1" applyBorder="1" applyFont="1" applyNumberFormat="1">
      <alignment horizontal="center" vertical="bottom"/>
    </xf>
    <xf borderId="1" fillId="0" fontId="9" numFmtId="0" xfId="0" applyAlignment="1" applyBorder="1" applyFont="1">
      <alignment vertical="top"/>
    </xf>
    <xf borderId="1" fillId="0" fontId="9" numFmtId="0" xfId="0" applyBorder="1" applyFont="1"/>
    <xf borderId="1" fillId="0" fontId="9" numFmtId="0" xfId="0" applyAlignment="1" applyBorder="1" applyFont="1">
      <alignment horizontal="left" readingOrder="0" vertical="bottom"/>
    </xf>
    <xf borderId="1" fillId="0" fontId="9" numFmtId="0" xfId="0" applyAlignment="1" applyBorder="1" applyFont="1">
      <alignment readingOrder="0" vertical="bottom"/>
    </xf>
    <xf borderId="1" fillId="0" fontId="9" numFmtId="166" xfId="0" applyAlignment="1" applyBorder="1" applyFont="1" applyNumberFormat="1">
      <alignment horizontal="center" readingOrder="0" vertical="bottom"/>
    </xf>
    <xf borderId="1" fillId="10" fontId="9" numFmtId="0" xfId="0" applyAlignment="1" applyBorder="1" applyFill="1" applyFont="1">
      <alignment readingOrder="0" vertical="bottom"/>
    </xf>
    <xf borderId="1" fillId="10" fontId="9" numFmtId="0" xfId="0" applyAlignment="1" applyBorder="1" applyFont="1">
      <alignment vertical="bottom"/>
    </xf>
    <xf borderId="1" fillId="6" fontId="9" numFmtId="0" xfId="0" applyAlignment="1" applyBorder="1" applyFont="1">
      <alignment horizontal="left" readingOrder="0" vertical="bottom"/>
    </xf>
    <xf borderId="1" fillId="4" fontId="9" numFmtId="0" xfId="0" applyAlignment="1" applyBorder="1" applyFont="1">
      <alignment horizontal="center" vertical="bottom"/>
    </xf>
    <xf borderId="2" fillId="0" fontId="9" numFmtId="0" xfId="0" applyAlignment="1" applyBorder="1" applyFont="1">
      <alignment vertical="bottom"/>
    </xf>
    <xf borderId="1" fillId="0" fontId="9" numFmtId="0" xfId="0" applyAlignment="1" applyBorder="1" applyFont="1">
      <alignment readingOrder="0" vertical="top"/>
    </xf>
    <xf borderId="11" fillId="4" fontId="4" numFmtId="0" xfId="0" applyAlignment="1" applyBorder="1" applyFont="1">
      <alignment horizontal="center" readingOrder="0"/>
    </xf>
    <xf borderId="1" fillId="5" fontId="9" numFmtId="0" xfId="0" applyAlignment="1" applyBorder="1" applyFont="1">
      <alignment horizontal="left" readingOrder="0" vertical="bottom"/>
    </xf>
    <xf borderId="1" fillId="5" fontId="9" numFmtId="166" xfId="0" applyAlignment="1" applyBorder="1" applyFont="1" applyNumberFormat="1">
      <alignment horizontal="center" readingOrder="0" vertical="bottom"/>
    </xf>
    <xf borderId="1" fillId="5" fontId="9" numFmtId="0" xfId="0" applyAlignment="1" applyBorder="1" applyFont="1">
      <alignment readingOrder="0" vertical="bottom"/>
    </xf>
    <xf borderId="1" fillId="5" fontId="9" numFmtId="0" xfId="0" applyAlignment="1" applyBorder="1" applyFont="1">
      <alignment readingOrder="0" vertical="top"/>
    </xf>
    <xf borderId="1" fillId="5" fontId="9" numFmtId="0" xfId="0" applyAlignment="1" applyBorder="1" applyFont="1">
      <alignment vertical="bottom"/>
    </xf>
    <xf borderId="1" fillId="5" fontId="9" numFmtId="0" xfId="0" applyAlignment="1" applyBorder="1" applyFont="1">
      <alignment horizontal="center" readingOrder="0" vertical="bottom"/>
    </xf>
    <xf borderId="1" fillId="4" fontId="5" numFmtId="0" xfId="0" applyAlignment="1" applyBorder="1" applyFont="1">
      <alignment horizontal="center" readingOrder="0" vertical="bottom"/>
    </xf>
    <xf borderId="1" fillId="5" fontId="9" numFmtId="166" xfId="0" applyAlignment="1" applyBorder="1" applyFont="1" applyNumberFormat="1">
      <alignment horizontal="center" vertical="bottom"/>
    </xf>
    <xf borderId="1" fillId="5" fontId="0" numFmtId="0" xfId="0" applyAlignment="1" applyBorder="1" applyFont="1">
      <alignment readingOrder="0"/>
    </xf>
    <xf borderId="1" fillId="5" fontId="9" numFmtId="0" xfId="0" applyAlignment="1" applyBorder="1" applyFont="1">
      <alignment horizontal="left" vertical="bottom"/>
    </xf>
    <xf borderId="1" fillId="5" fontId="5" numFmtId="0" xfId="0" applyAlignment="1" applyBorder="1" applyFont="1">
      <alignment vertical="top"/>
    </xf>
    <xf borderId="1" fillId="0" fontId="9" numFmtId="0" xfId="0" applyAlignment="1" applyBorder="1" applyFont="1">
      <alignment shrinkToFit="0" vertical="bottom" wrapText="0"/>
    </xf>
    <xf borderId="1" fillId="11" fontId="9" numFmtId="0" xfId="0" applyAlignment="1" applyBorder="1" applyFill="1" applyFont="1">
      <alignment readingOrder="0" vertical="bottom"/>
    </xf>
    <xf borderId="3" fillId="4" fontId="4" numFmtId="0" xfId="0" applyAlignment="1" applyBorder="1" applyFont="1">
      <alignment horizontal="center" readingOrder="0" vertical="center"/>
    </xf>
    <xf borderId="1" fillId="4" fontId="4" numFmtId="0" xfId="0" applyAlignment="1" applyBorder="1" applyFont="1">
      <alignment horizontal="center" readingOrder="0" vertical="bottom"/>
    </xf>
    <xf borderId="1" fillId="4" fontId="16" numFmtId="0" xfId="0" applyAlignment="1" applyBorder="1" applyFont="1">
      <alignment horizontal="center" vertical="bottom"/>
    </xf>
    <xf borderId="9" fillId="4" fontId="4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vertical="bottom"/>
    </xf>
    <xf borderId="1" fillId="5" fontId="9" numFmtId="0" xfId="0" applyAlignment="1" applyBorder="1" applyFont="1">
      <alignment readingOrder="0" shrinkToFit="0" vertical="bottom" wrapText="0"/>
    </xf>
    <xf borderId="1" fillId="5" fontId="5" numFmtId="0" xfId="0" applyAlignment="1" applyBorder="1" applyFont="1">
      <alignment readingOrder="0" vertical="top"/>
    </xf>
    <xf borderId="1" fillId="5" fontId="5" numFmtId="0" xfId="0" applyAlignment="1" applyBorder="1" applyFont="1">
      <alignment readingOrder="0" shrinkToFit="0" vertical="top" wrapText="0"/>
    </xf>
    <xf borderId="1" fillId="4" fontId="9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readingOrder="0" vertical="top"/>
    </xf>
    <xf borderId="1" fillId="0" fontId="9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readingOrder="0" shrinkToFit="0" vertical="top" wrapText="0"/>
    </xf>
    <xf borderId="4" fillId="4" fontId="4" numFmtId="0" xfId="0" applyAlignment="1" applyBorder="1" applyFont="1">
      <alignment horizontal="center" readingOrder="0" vertical="center"/>
    </xf>
    <xf borderId="1" fillId="12" fontId="9" numFmtId="0" xfId="0" applyAlignment="1" applyBorder="1" applyFill="1" applyFont="1">
      <alignment horizontal="left" readingOrder="0" vertical="bottom"/>
    </xf>
    <xf borderId="1" fillId="12" fontId="5" numFmtId="0" xfId="0" applyAlignment="1" applyBorder="1" applyFont="1">
      <alignment horizontal="left" readingOrder="0" shrinkToFit="0" vertical="top" wrapText="0"/>
    </xf>
    <xf borderId="1" fillId="12" fontId="9" numFmtId="0" xfId="0" applyAlignment="1" applyBorder="1" applyFont="1">
      <alignment horizontal="center" readingOrder="0" vertical="bottom"/>
    </xf>
    <xf borderId="1" fillId="12" fontId="9" numFmtId="0" xfId="0" applyAlignment="1" applyBorder="1" applyFont="1">
      <alignment readingOrder="0" vertical="bottom"/>
    </xf>
    <xf borderId="1" fillId="12" fontId="9" numFmtId="0" xfId="0" applyAlignment="1" applyBorder="1" applyFont="1">
      <alignment vertical="bottom"/>
    </xf>
    <xf borderId="1" fillId="13" fontId="9" numFmtId="0" xfId="0" applyAlignment="1" applyBorder="1" applyFill="1" applyFont="1">
      <alignment horizontal="left" readingOrder="0" vertical="bottom"/>
    </xf>
    <xf borderId="1" fillId="13" fontId="5" numFmtId="0" xfId="0" applyAlignment="1" applyBorder="1" applyFont="1">
      <alignment readingOrder="0" vertical="top"/>
    </xf>
    <xf borderId="1" fillId="13" fontId="9" numFmtId="166" xfId="0" applyAlignment="1" applyBorder="1" applyFont="1" applyNumberFormat="1">
      <alignment horizontal="center" readingOrder="0" vertical="bottom"/>
    </xf>
    <xf borderId="1" fillId="13" fontId="9" numFmtId="0" xfId="0" applyAlignment="1" applyBorder="1" applyFont="1">
      <alignment readingOrder="0" vertical="bottom"/>
    </xf>
    <xf borderId="1" fillId="13" fontId="9" numFmtId="0" xfId="0" applyAlignment="1" applyBorder="1" applyFont="1">
      <alignment readingOrder="0" shrinkToFit="0" vertical="bottom" wrapText="0"/>
    </xf>
    <xf borderId="1" fillId="13" fontId="9" numFmtId="0" xfId="0" applyAlignment="1" applyBorder="1" applyFont="1">
      <alignment vertical="bottom"/>
    </xf>
    <xf borderId="1" fillId="13" fontId="5" numFmtId="0" xfId="0" applyAlignment="1" applyBorder="1" applyFont="1">
      <alignment readingOrder="0" shrinkToFit="0" vertical="top" wrapText="0"/>
    </xf>
    <xf borderId="1" fillId="5" fontId="16" numFmtId="0" xfId="0" applyAlignment="1" applyBorder="1" applyFont="1">
      <alignment horizontal="center" vertical="bottom"/>
    </xf>
    <xf borderId="1" fillId="13" fontId="5" numFmtId="0" xfId="0" applyAlignment="1" applyBorder="1" applyFont="1">
      <alignment horizontal="left" readingOrder="0" shrinkToFit="0" vertical="top" wrapText="0"/>
    </xf>
    <xf borderId="1" fillId="8" fontId="9" numFmtId="0" xfId="0" applyAlignment="1" applyBorder="1" applyFont="1">
      <alignment vertical="bottom"/>
    </xf>
    <xf borderId="1" fillId="8" fontId="9" numFmtId="0" xfId="0" applyAlignment="1" applyBorder="1" applyFont="1">
      <alignment readingOrder="0" vertical="bottom"/>
    </xf>
    <xf borderId="1" fillId="14" fontId="9" numFmtId="0" xfId="0" applyAlignment="1" applyBorder="1" applyFill="1" applyFont="1">
      <alignment readingOrder="0" vertical="bottom"/>
    </xf>
    <xf borderId="1" fillId="14" fontId="9" numFmtId="166" xfId="0" applyAlignment="1" applyBorder="1" applyFont="1" applyNumberFormat="1">
      <alignment horizontal="center" readingOrder="0" vertical="bottom"/>
    </xf>
    <xf borderId="1" fillId="15" fontId="9" numFmtId="0" xfId="0" applyAlignment="1" applyBorder="1" applyFill="1" applyFont="1">
      <alignment readingOrder="0" vertical="bottom"/>
    </xf>
    <xf borderId="1" fillId="6" fontId="8" numFmtId="0" xfId="0" applyAlignment="1" applyBorder="1" applyFont="1">
      <alignment horizontal="left" readingOrder="0"/>
    </xf>
    <xf borderId="1" fillId="5" fontId="5" numFmtId="0" xfId="0" applyAlignment="1" applyBorder="1" applyFont="1">
      <alignment vertical="top"/>
    </xf>
    <xf borderId="1" fillId="5" fontId="9" numFmtId="0" xfId="0" applyAlignment="1" applyBorder="1" applyFont="1">
      <alignment vertical="bottom"/>
    </xf>
    <xf borderId="1" fillId="5" fontId="5" numFmtId="0" xfId="0" applyAlignment="1" applyBorder="1" applyFont="1">
      <alignment shrinkToFit="0" vertical="top" wrapText="0"/>
    </xf>
    <xf borderId="1" fillId="0" fontId="0" numFmtId="0" xfId="0" applyAlignment="1" applyBorder="1" applyFont="1">
      <alignment horizontal="left" readingOrder="0"/>
    </xf>
    <xf borderId="1" fillId="16" fontId="9" numFmtId="0" xfId="0" applyAlignment="1" applyBorder="1" applyFill="1" applyFont="1">
      <alignment readingOrder="0" vertical="bottom"/>
    </xf>
    <xf borderId="1" fillId="17" fontId="9" numFmtId="0" xfId="0" applyAlignment="1" applyBorder="1" applyFill="1" applyFont="1">
      <alignment horizontal="left" readingOrder="0" vertical="bottom"/>
    </xf>
    <xf borderId="1" fillId="17" fontId="5" numFmtId="0" xfId="0" applyAlignment="1" applyBorder="1" applyFont="1">
      <alignment horizontal="left" readingOrder="0" shrinkToFit="0" vertical="top" wrapText="0"/>
    </xf>
    <xf borderId="1" fillId="17" fontId="9" numFmtId="166" xfId="0" applyAlignment="1" applyBorder="1" applyFont="1" applyNumberFormat="1">
      <alignment horizontal="center" readingOrder="0" vertical="bottom"/>
    </xf>
    <xf borderId="1" fillId="17" fontId="9" numFmtId="0" xfId="0" applyAlignment="1" applyBorder="1" applyFont="1">
      <alignment readingOrder="0" vertical="bottom"/>
    </xf>
    <xf borderId="1" fillId="8" fontId="9" numFmtId="0" xfId="0" applyAlignment="1" applyBorder="1" applyFont="1">
      <alignment horizontal="center" readingOrder="0" vertical="bottom"/>
    </xf>
    <xf borderId="1" fillId="8" fontId="8" numFmtId="0" xfId="0" applyBorder="1" applyFont="1"/>
    <xf borderId="1" fillId="6" fontId="9" numFmtId="0" xfId="0" applyAlignment="1" applyBorder="1" applyFont="1">
      <alignment readingOrder="0" vertical="bottom"/>
    </xf>
    <xf borderId="1" fillId="3" fontId="9" numFmtId="165" xfId="0" applyAlignment="1" applyBorder="1" applyFont="1" applyNumberFormat="1">
      <alignment vertical="bottom"/>
    </xf>
    <xf borderId="1" fillId="0" fontId="16" numFmtId="166" xfId="0" applyAlignment="1" applyBorder="1" applyFont="1" applyNumberFormat="1">
      <alignment horizontal="center" readingOrder="0" vertical="bottom"/>
    </xf>
    <xf borderId="4" fillId="4" fontId="9" numFmtId="0" xfId="0" applyAlignment="1" applyBorder="1" applyFont="1">
      <alignment horizontal="center" vertical="bottom"/>
    </xf>
    <xf borderId="1" fillId="0" fontId="9" numFmtId="0" xfId="0" applyAlignment="1" applyBorder="1" applyFont="1">
      <alignment vertical="top"/>
    </xf>
    <xf borderId="13" fillId="4" fontId="16" numFmtId="0" xfId="0" applyAlignment="1" applyBorder="1" applyFont="1">
      <alignment horizontal="center" vertical="bottom"/>
    </xf>
    <xf borderId="1" fillId="0" fontId="16" numFmtId="0" xfId="0" applyAlignment="1" applyBorder="1" applyFont="1">
      <alignment horizontal="center" readingOrder="0" vertical="bottom"/>
    </xf>
    <xf borderId="13" fillId="4" fontId="9" numFmtId="0" xfId="0" applyAlignment="1" applyBorder="1" applyFont="1">
      <alignment horizontal="center" vertical="bottom"/>
    </xf>
    <xf borderId="1" fillId="0" fontId="17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1" fillId="0" fontId="9" numFmtId="0" xfId="0" applyAlignment="1" applyBorder="1" applyFont="1">
      <alignment shrinkToFit="0" vertical="top" wrapText="0"/>
    </xf>
    <xf borderId="1" fillId="0" fontId="17" numFmtId="0" xfId="0" applyAlignment="1" applyBorder="1" applyFont="1">
      <alignment horizontal="left" vertical="bottom"/>
    </xf>
    <xf borderId="1" fillId="0" fontId="11" numFmtId="0" xfId="0" applyAlignment="1" applyBorder="1" applyFont="1">
      <alignment vertical="top"/>
    </xf>
    <xf borderId="1" fillId="0" fontId="17" numFmtId="166" xfId="0" applyAlignment="1" applyBorder="1" applyFont="1" applyNumberFormat="1">
      <alignment horizontal="center" readingOrder="0" vertical="bottom"/>
    </xf>
    <xf borderId="1" fillId="0" fontId="17" numFmtId="0" xfId="0" applyAlignment="1" applyBorder="1" applyFont="1">
      <alignment vertical="bottom"/>
    </xf>
    <xf borderId="1" fillId="0" fontId="11" numFmtId="0" xfId="0" applyAlignment="1" applyBorder="1" applyFont="1">
      <alignment shrinkToFit="0" vertical="top" wrapText="0"/>
    </xf>
    <xf borderId="1" fillId="0" fontId="10" numFmtId="0" xfId="0" applyAlignment="1" applyBorder="1" applyFont="1">
      <alignment horizontal="left"/>
    </xf>
    <xf borderId="1" fillId="6" fontId="18" numFmtId="0" xfId="0" applyAlignment="1" applyBorder="1" applyFont="1">
      <alignment readingOrder="0"/>
    </xf>
    <xf borderId="1" fillId="0" fontId="19" numFmtId="0" xfId="0" applyAlignment="1" applyBorder="1" applyFont="1">
      <alignment horizontal="left" readingOrder="0" shrinkToFit="0" vertical="top" wrapText="0"/>
    </xf>
    <xf borderId="1" fillId="5" fontId="19" numFmtId="0" xfId="0" applyAlignment="1" applyBorder="1" applyFont="1">
      <alignment horizontal="left" readingOrder="0" shrinkToFit="0" vertical="top" wrapText="0"/>
    </xf>
    <xf borderId="0" fillId="0" fontId="8" numFmtId="0" xfId="0" applyFont="1"/>
    <xf borderId="1" fillId="0" fontId="19" numFmtId="0" xfId="0" applyAlignment="1" applyBorder="1" applyFont="1">
      <alignment horizontal="left" readingOrder="0" shrinkToFit="0" vertical="top" wrapText="0"/>
    </xf>
    <xf borderId="1" fillId="0" fontId="10" numFmtId="0" xfId="0" applyAlignment="1" applyBorder="1" applyFont="1">
      <alignment horizontal="left" readingOrder="0"/>
    </xf>
    <xf borderId="1" fillId="0" fontId="10" numFmtId="166" xfId="0" applyAlignment="1" applyBorder="1" applyFont="1" applyNumberFormat="1">
      <alignment horizontal="center" readingOrder="0"/>
    </xf>
    <xf borderId="1" fillId="0" fontId="10" numFmtId="0" xfId="0" applyAlignment="1" applyBorder="1" applyFont="1">
      <alignment readingOrder="0"/>
    </xf>
    <xf borderId="1" fillId="5" fontId="10" numFmtId="0" xfId="0" applyAlignment="1" applyBorder="1" applyFont="1">
      <alignment horizontal="left" readingOrder="0"/>
    </xf>
    <xf borderId="1" fillId="5" fontId="10" numFmtId="0" xfId="0" applyAlignment="1" applyBorder="1" applyFont="1">
      <alignment readingOrder="0"/>
    </xf>
    <xf borderId="1" fillId="5" fontId="10" numFmtId="166" xfId="0" applyAlignment="1" applyBorder="1" applyFont="1" applyNumberFormat="1">
      <alignment horizontal="center" readingOrder="0"/>
    </xf>
    <xf borderId="1" fillId="0" fontId="11" numFmtId="0" xfId="0" applyAlignment="1" applyBorder="1" applyFont="1">
      <alignment vertical="bottom"/>
    </xf>
    <xf borderId="13" fillId="4" fontId="16" numFmtId="0" xfId="0" applyAlignment="1" applyBorder="1" applyFont="1">
      <alignment horizontal="center" readingOrder="0" vertical="bottom"/>
    </xf>
    <xf borderId="1" fillId="5" fontId="20" numFmtId="0" xfId="0" applyAlignment="1" applyBorder="1" applyFont="1">
      <alignment readingOrder="0"/>
    </xf>
    <xf borderId="1" fillId="5" fontId="20" numFmtId="166" xfId="0" applyAlignment="1" applyBorder="1" applyFont="1" applyNumberFormat="1">
      <alignment horizontal="center" readingOrder="0"/>
    </xf>
    <xf borderId="1" fillId="3" fontId="17" numFmtId="165" xfId="0" applyAlignment="1" applyBorder="1" applyFont="1" applyNumberFormat="1">
      <alignment vertical="bottom"/>
    </xf>
    <xf borderId="4" fillId="3" fontId="21" numFmtId="165" xfId="0" applyAlignment="1" applyBorder="1" applyFont="1" applyNumberFormat="1">
      <alignment horizontal="center" readingOrder="0" vertical="bottom"/>
    </xf>
    <xf borderId="6" fillId="4" fontId="22" numFmtId="0" xfId="0" applyAlignment="1" applyBorder="1" applyFont="1">
      <alignment horizontal="center"/>
    </xf>
    <xf borderId="13" fillId="4" fontId="17" numFmtId="0" xfId="0" applyAlignment="1" applyBorder="1" applyFont="1">
      <alignment horizontal="center" vertical="bottom"/>
    </xf>
    <xf borderId="13" fillId="4" fontId="21" numFmtId="0" xfId="0" applyAlignment="1" applyBorder="1" applyFont="1">
      <alignment horizontal="center" vertical="bottom"/>
    </xf>
    <xf borderId="1" fillId="5" fontId="10" numFmtId="0" xfId="0" applyAlignment="1" applyBorder="1" applyFont="1">
      <alignment horizontal="center"/>
    </xf>
    <xf borderId="1" fillId="6" fontId="23" numFmtId="0" xfId="0" applyAlignment="1" applyBorder="1" applyFont="1">
      <alignment readingOrder="0"/>
    </xf>
    <xf borderId="1" fillId="10" fontId="9" numFmtId="0" xfId="0" applyAlignment="1" applyBorder="1" applyFont="1">
      <alignment horizontal="left" readingOrder="0" vertical="bottom"/>
    </xf>
    <xf borderId="1" fillId="10" fontId="19" numFmtId="0" xfId="0" applyAlignment="1" applyBorder="1" applyFont="1">
      <alignment horizontal="left" readingOrder="0" shrinkToFit="0" vertical="top" wrapText="0"/>
    </xf>
    <xf borderId="1" fillId="10" fontId="9" numFmtId="166" xfId="0" applyAlignment="1" applyBorder="1" applyFont="1" applyNumberFormat="1">
      <alignment horizontal="center" readingOrder="0" vertical="bottom"/>
    </xf>
    <xf borderId="1" fillId="10" fontId="9" numFmtId="167" xfId="0" applyAlignment="1" applyBorder="1" applyFont="1" applyNumberFormat="1">
      <alignment readingOrder="0" vertical="bottom"/>
    </xf>
    <xf borderId="1" fillId="10" fontId="9" numFmtId="0" xfId="0" applyAlignment="1" applyBorder="1" applyFont="1">
      <alignment horizontal="center" readingOrder="0" vertical="bottom"/>
    </xf>
    <xf borderId="1" fillId="10" fontId="10" numFmtId="0" xfId="0" applyBorder="1" applyFont="1"/>
    <xf borderId="1" fillId="10" fontId="10" numFmtId="0" xfId="0" applyAlignment="1" applyBorder="1" applyFont="1">
      <alignment horizontal="center"/>
    </xf>
    <xf borderId="1" fillId="5" fontId="23" numFmtId="0" xfId="0" applyAlignment="1" applyBorder="1" applyFont="1">
      <alignment readingOrder="0"/>
    </xf>
    <xf borderId="5" fillId="4" fontId="24" numFmtId="0" xfId="0" applyAlignment="1" applyBorder="1" applyFont="1">
      <alignment horizontal="center" readingOrder="0" vertical="center"/>
    </xf>
    <xf borderId="1" fillId="6" fontId="19" numFmtId="0" xfId="0" applyAlignment="1" applyBorder="1" applyFont="1">
      <alignment horizontal="left" readingOrder="0"/>
    </xf>
    <xf borderId="1" fillId="0" fontId="17" numFmtId="0" xfId="0" applyAlignment="1" applyBorder="1" applyFont="1">
      <alignment shrinkToFit="0" vertical="top" wrapText="0"/>
    </xf>
    <xf borderId="1" fillId="5" fontId="19" numFmtId="0" xfId="0" applyAlignment="1" applyBorder="1" applyFont="1">
      <alignment horizontal="left" readingOrder="0"/>
    </xf>
    <xf borderId="1" fillId="5" fontId="17" numFmtId="0" xfId="0" applyAlignment="1" applyBorder="1" applyFont="1">
      <alignment shrinkToFit="0" vertical="top" wrapText="0"/>
    </xf>
    <xf borderId="1" fillId="0" fontId="9" numFmtId="0" xfId="0" applyAlignment="1" applyBorder="1" applyFont="1">
      <alignment readingOrder="0"/>
    </xf>
    <xf borderId="1" fillId="0" fontId="10" numFmtId="0" xfId="0" applyAlignment="1" applyBorder="1" applyFont="1">
      <alignment horizontal="center" readingOrder="0"/>
    </xf>
    <xf borderId="1" fillId="5" fontId="10" numFmtId="0" xfId="0" applyBorder="1" applyFont="1"/>
    <xf borderId="1" fillId="0" fontId="17" numFmtId="0" xfId="0" applyAlignment="1" applyBorder="1" applyFont="1">
      <alignment readingOrder="0"/>
    </xf>
    <xf borderId="6" fillId="4" fontId="4" numFmtId="0" xfId="0" applyAlignment="1" applyBorder="1" applyFont="1">
      <alignment horizontal="center" readingOrder="0" vertical="center"/>
    </xf>
    <xf borderId="7" fillId="4" fontId="4" numFmtId="0" xfId="0" applyAlignment="1" applyBorder="1" applyFont="1">
      <alignment horizontal="center" readingOrder="0" vertical="center"/>
    </xf>
    <xf borderId="1" fillId="5" fontId="10" numFmtId="0" xfId="0" applyAlignment="1" applyBorder="1" applyFont="1">
      <alignment horizontal="center" readingOrder="0"/>
    </xf>
    <xf borderId="1" fillId="0" fontId="19" numFmtId="0" xfId="0" applyAlignment="1" applyBorder="1" applyFont="1">
      <alignment vertical="top"/>
    </xf>
    <xf borderId="1" fillId="15" fontId="9" numFmtId="0" xfId="0" applyAlignment="1" applyBorder="1" applyFont="1">
      <alignment horizontal="left" readingOrder="0" vertical="bottom"/>
    </xf>
    <xf borderId="1" fillId="5" fontId="0" numFmtId="0" xfId="0" applyAlignment="1" applyBorder="1" applyFont="1">
      <alignment horizontal="left" readingOrder="0"/>
    </xf>
    <xf borderId="1" fillId="5" fontId="19" numFmtId="0" xfId="0" applyAlignment="1" applyBorder="1" applyFont="1">
      <alignment horizontal="left" readingOrder="0" shrinkToFit="0" vertical="top" wrapText="0"/>
    </xf>
    <xf borderId="1" fillId="6" fontId="19" numFmtId="0" xfId="0" applyAlignment="1" applyBorder="1" applyFont="1">
      <alignment horizontal="left" readingOrder="0" shrinkToFit="0" vertical="top" wrapText="0"/>
    </xf>
    <xf borderId="1" fillId="6" fontId="9" numFmtId="0" xfId="0" applyAlignment="1" applyBorder="1" applyFont="1">
      <alignment horizontal="center" readingOrder="0" vertical="bottom"/>
    </xf>
    <xf borderId="1" fillId="6" fontId="9" numFmtId="166" xfId="0" applyAlignment="1" applyBorder="1" applyFont="1" applyNumberFormat="1">
      <alignment horizontal="center" readingOrder="0" vertical="bottom"/>
    </xf>
    <xf borderId="1" fillId="6" fontId="9" numFmtId="0" xfId="0" applyAlignment="1" applyBorder="1" applyFont="1">
      <alignment vertical="bottom"/>
    </xf>
    <xf borderId="1" fillId="0" fontId="19" numFmtId="0" xfId="0" applyAlignment="1" applyBorder="1" applyFont="1">
      <alignment horizontal="center" readingOrder="0" shrinkToFit="0" vertical="top" wrapText="0"/>
    </xf>
    <xf borderId="1" fillId="0" fontId="25" numFmtId="0" xfId="0" applyAlignment="1" applyBorder="1" applyFont="1">
      <alignment horizontal="left" readingOrder="0" shrinkToFit="0" vertical="top" wrapText="0"/>
    </xf>
    <xf borderId="1" fillId="4" fontId="16" numFmtId="165" xfId="0" applyAlignment="1" applyBorder="1" applyFont="1" applyNumberFormat="1">
      <alignment horizontal="center" readingOrder="0" vertical="bottom"/>
    </xf>
    <xf borderId="1" fillId="0" fontId="19" numFmtId="0" xfId="0" applyAlignment="1" applyBorder="1" applyFont="1">
      <alignment readingOrder="0" vertical="top"/>
    </xf>
    <xf borderId="1" fillId="0" fontId="19" numFmtId="0" xfId="0" applyAlignment="1" applyBorder="1" applyFont="1">
      <alignment vertical="top"/>
    </xf>
    <xf borderId="1" fillId="0" fontId="17" numFmtId="166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horizontal="left" readingOrder="0" vertical="center"/>
    </xf>
    <xf borderId="1" fillId="0" fontId="16" numFmtId="0" xfId="0" applyAlignment="1" applyBorder="1" applyFont="1">
      <alignment vertical="bottom"/>
    </xf>
    <xf borderId="1" fillId="5" fontId="17" numFmtId="166" xfId="0" applyAlignment="1" applyBorder="1" applyFont="1" applyNumberFormat="1">
      <alignment horizontal="center" readingOrder="0" vertical="bottom"/>
    </xf>
    <xf borderId="1" fillId="5" fontId="17" numFmtId="0" xfId="0" applyAlignment="1" applyBorder="1" applyFont="1">
      <alignment readingOrder="0" vertical="bottom"/>
    </xf>
    <xf borderId="1" fillId="0" fontId="17" numFmtId="0" xfId="0" applyAlignment="1" applyBorder="1" applyFont="1">
      <alignment readingOrder="0" vertical="bottom"/>
    </xf>
    <xf borderId="1" fillId="8" fontId="19" numFmtId="0" xfId="0" applyAlignment="1" applyBorder="1" applyFont="1">
      <alignment horizontal="left" readingOrder="0" shrinkToFit="0" vertical="top" wrapText="0"/>
    </xf>
    <xf borderId="1" fillId="0" fontId="17" numFmtId="0" xfId="0" applyAlignment="1" applyBorder="1" applyFont="1">
      <alignment horizontal="center" readingOrder="0" vertical="bottom"/>
    </xf>
    <xf borderId="1" fillId="5" fontId="17" numFmtId="0" xfId="0" applyAlignment="1" applyBorder="1" applyFont="1">
      <alignment horizontal="center" readingOrder="0" vertical="bottom"/>
    </xf>
    <xf borderId="1" fillId="18" fontId="19" numFmtId="0" xfId="0" applyAlignment="1" applyBorder="1" applyFill="1" applyFont="1">
      <alignment horizontal="left" readingOrder="0" shrinkToFit="0" vertical="top" wrapText="0"/>
    </xf>
    <xf borderId="1" fillId="18" fontId="9" numFmtId="166" xfId="0" applyAlignment="1" applyBorder="1" applyFont="1" applyNumberFormat="1">
      <alignment horizontal="center" readingOrder="0" vertical="bottom"/>
    </xf>
    <xf borderId="1" fillId="18" fontId="9" numFmtId="0" xfId="0" applyAlignment="1" applyBorder="1" applyFont="1">
      <alignment readingOrder="0" vertical="bottom"/>
    </xf>
    <xf borderId="1" fillId="0" fontId="17" numFmtId="166" xfId="0" applyAlignment="1" applyBorder="1" applyFont="1" applyNumberFormat="1">
      <alignment readingOrder="0" vertical="bottom"/>
    </xf>
    <xf borderId="1" fillId="0" fontId="21" numFmtId="0" xfId="0" applyAlignment="1" applyBorder="1" applyFont="1">
      <alignment readingOrder="0" vertical="bottom"/>
    </xf>
    <xf borderId="1" fillId="0" fontId="26" numFmtId="0" xfId="0" applyAlignment="1" applyBorder="1" applyFont="1">
      <alignment vertical="top"/>
    </xf>
    <xf borderId="1" fillId="0" fontId="17" numFmtId="0" xfId="0" applyAlignment="1" applyBorder="1" applyFont="1">
      <alignment horizontal="left" readingOrder="0" vertical="bottom"/>
    </xf>
    <xf borderId="1" fillId="5" fontId="17" numFmtId="0" xfId="0" applyAlignment="1" applyBorder="1" applyFont="1">
      <alignment horizontal="left" readingOrder="0" vertical="bottom"/>
    </xf>
    <xf borderId="1" fillId="0" fontId="10" numFmtId="166" xfId="0" applyAlignment="1" applyBorder="1" applyFont="1" applyNumberFormat="1">
      <alignment readingOrder="0"/>
    </xf>
    <xf borderId="1" fillId="0" fontId="27" numFmtId="0" xfId="0" applyAlignment="1" applyBorder="1" applyFont="1">
      <alignment readingOrder="0" vertical="bottom"/>
    </xf>
    <xf borderId="8" fillId="5" fontId="28" numFmtId="0" xfId="0" applyAlignment="1" applyBorder="1" applyFont="1">
      <alignment readingOrder="0" vertical="bottom"/>
    </xf>
    <xf borderId="0" fillId="0" fontId="19" numFmtId="0" xfId="0" applyAlignment="1" applyFont="1">
      <alignment horizontal="left" readingOrder="0" shrinkToFit="0" vertical="top" wrapText="0"/>
    </xf>
    <xf borderId="1" fillId="0" fontId="29" numFmtId="0" xfId="0" applyAlignment="1" applyBorder="1" applyFont="1">
      <alignment readingOrder="0"/>
    </xf>
    <xf borderId="1" fillId="0" fontId="30" numFmtId="0" xfId="0" applyAlignment="1" applyBorder="1" applyFont="1">
      <alignment readingOrder="0" vertical="bottom"/>
    </xf>
    <xf borderId="1" fillId="5" fontId="30" numFmtId="0" xfId="0" applyAlignment="1" applyBorder="1" applyFont="1">
      <alignment readingOrder="0" vertical="bottom"/>
    </xf>
    <xf borderId="0" fillId="12" fontId="19" numFmtId="0" xfId="0" applyAlignment="1" applyFont="1">
      <alignment horizontal="left" readingOrder="0" shrinkToFit="0" vertical="top" wrapText="0"/>
    </xf>
    <xf borderId="0" fillId="0" fontId="9" numFmtId="0" xfId="0" applyFont="1"/>
    <xf borderId="0" fillId="5" fontId="19" numFmtId="0" xfId="0" applyAlignment="1" applyFont="1">
      <alignment horizontal="left" readingOrder="0" shrinkToFit="0" vertical="top" wrapText="0"/>
    </xf>
    <xf borderId="1" fillId="9" fontId="9" numFmtId="0" xfId="0" applyAlignment="1" applyBorder="1" applyFont="1">
      <alignment readingOrder="0" vertical="bottom"/>
    </xf>
    <xf borderId="1" fillId="9" fontId="9" numFmtId="0" xfId="0" applyAlignment="1" applyBorder="1" applyFont="1">
      <alignment vertical="bottom"/>
    </xf>
    <xf borderId="0" fillId="0" fontId="19" numFmtId="0" xfId="0" applyAlignment="1" applyFont="1">
      <alignment horizontal="left" readingOrder="0" shrinkToFit="0" vertical="top" wrapText="0"/>
    </xf>
    <xf borderId="0" fillId="0" fontId="10" numFmtId="0" xfId="0" applyAlignment="1" applyFont="1">
      <alignment readingOrder="0"/>
    </xf>
    <xf borderId="0" fillId="0" fontId="10" numFmtId="0" xfId="0" applyAlignment="1" applyFont="1">
      <alignment horizontal="left"/>
    </xf>
    <xf borderId="0" fillId="17" fontId="19" numFmtId="0" xfId="0" applyAlignment="1" applyFont="1">
      <alignment horizontal="left" readingOrder="0" shrinkToFit="0" vertical="top" wrapText="0"/>
    </xf>
    <xf borderId="1" fillId="17" fontId="9" numFmtId="0" xfId="0" applyAlignment="1" applyBorder="1" applyFont="1">
      <alignment horizontal="center" readingOrder="0" vertical="bottom"/>
    </xf>
    <xf borderId="1" fillId="17" fontId="9" numFmtId="0" xfId="0" applyAlignment="1" applyBorder="1" applyFont="1">
      <alignment vertical="bottom"/>
    </xf>
    <xf borderId="0" fillId="0" fontId="10" numFmtId="166" xfId="0" applyAlignment="1" applyFont="1" applyNumberFormat="1">
      <alignment horizontal="center" readingOrder="0"/>
    </xf>
    <xf borderId="1" fillId="17" fontId="19" numFmtId="0" xfId="0" applyAlignment="1" applyBorder="1" applyFont="1">
      <alignment horizontal="left" readingOrder="0" shrinkToFit="0" vertical="top" wrapText="0"/>
    </xf>
    <xf borderId="1" fillId="17" fontId="19" numFmtId="0" xfId="0" applyAlignment="1" applyBorder="1" applyFont="1">
      <alignment horizontal="left" readingOrder="0" shrinkToFit="0" vertical="top" wrapText="0"/>
    </xf>
    <xf borderId="1" fillId="0" fontId="8" numFmtId="0" xfId="0" applyAlignment="1" applyBorder="1" applyFont="1">
      <alignment readingOrder="0" vertical="bottom"/>
    </xf>
    <xf borderId="1" fillId="6" fontId="7" numFmtId="0" xfId="0" applyAlignment="1" applyBorder="1" applyFont="1">
      <alignment readingOrder="0"/>
    </xf>
    <xf borderId="1" fillId="6" fontId="31" numFmtId="0" xfId="0" applyAlignment="1" applyBorder="1" applyFont="1">
      <alignment readingOrder="0"/>
    </xf>
    <xf borderId="0" fillId="6" fontId="11" numFmtId="0" xfId="0" applyAlignment="1" applyFont="1">
      <alignment horizontal="left" readingOrder="0"/>
    </xf>
    <xf borderId="0" fillId="6" fontId="32" numFmtId="0" xfId="0" applyAlignment="1" applyFont="1">
      <alignment readingOrder="0"/>
    </xf>
    <xf borderId="1" fillId="5" fontId="11" numFmtId="0" xfId="0" applyAlignment="1" applyBorder="1" applyFont="1">
      <alignment horizontal="left" readingOrder="0"/>
    </xf>
    <xf borderId="1" fillId="5" fontId="7" numFmtId="0" xfId="0" applyAlignment="1" applyBorder="1" applyFont="1">
      <alignment readingOrder="0"/>
    </xf>
    <xf borderId="1" fillId="17" fontId="0" numFmtId="0" xfId="0" applyAlignment="1" applyBorder="1" applyFont="1">
      <alignment horizontal="left" readingOrder="0"/>
    </xf>
    <xf borderId="1" fillId="17" fontId="11" numFmtId="0" xfId="0" applyAlignment="1" applyBorder="1" applyFont="1">
      <alignment horizontal="left" readingOrder="0"/>
    </xf>
    <xf borderId="0" fillId="17" fontId="23" numFmtId="0" xfId="0" applyAlignment="1" applyFont="1">
      <alignment readingOrder="0"/>
    </xf>
    <xf borderId="14" fillId="0" fontId="26" numFmtId="0" xfId="0" applyAlignment="1" applyBorder="1" applyFont="1">
      <alignment vertical="top"/>
    </xf>
    <xf borderId="9" fillId="0" fontId="26" numFmtId="0" xfId="0" applyAlignment="1" applyBorder="1" applyFont="1">
      <alignment vertical="top"/>
    </xf>
    <xf borderId="4" fillId="0" fontId="17" numFmtId="166" xfId="0" applyAlignment="1" applyBorder="1" applyFont="1" applyNumberFormat="1">
      <alignment horizontal="center" vertical="bottom"/>
    </xf>
    <xf borderId="4" fillId="0" fontId="17" numFmtId="0" xfId="0" applyAlignment="1" applyBorder="1" applyFont="1">
      <alignment vertical="bottom"/>
    </xf>
    <xf borderId="4" fillId="0" fontId="17" numFmtId="0" xfId="0" applyAlignment="1" applyBorder="1" applyFont="1">
      <alignment vertical="bottom"/>
    </xf>
    <xf borderId="7" fillId="0" fontId="17" numFmtId="0" xfId="0" applyAlignment="1" applyBorder="1" applyFont="1">
      <alignment horizontal="left" vertical="bottom"/>
    </xf>
    <xf borderId="0" fillId="0" fontId="26" numFmtId="0" xfId="0" applyAlignment="1" applyFont="1">
      <alignment vertical="top"/>
    </xf>
    <xf borderId="11" fillId="0" fontId="26" numFmtId="0" xfId="0" applyAlignment="1" applyBorder="1" applyFont="1">
      <alignment vertical="top"/>
    </xf>
    <xf borderId="13" fillId="0" fontId="17" numFmtId="166" xfId="0" applyAlignment="1" applyBorder="1" applyFont="1" applyNumberFormat="1">
      <alignment horizontal="center" vertical="bottom"/>
    </xf>
    <xf borderId="13" fillId="0" fontId="17" numFmtId="0" xfId="0" applyAlignment="1" applyBorder="1" applyFont="1">
      <alignment vertical="bottom"/>
    </xf>
    <xf borderId="13" fillId="0" fontId="17" numFmtId="0" xfId="0" applyAlignment="1" applyBorder="1" applyFont="1">
      <alignment vertical="bottom"/>
    </xf>
    <xf borderId="15" fillId="0" fontId="26" numFmtId="0" xfId="0" applyAlignment="1" applyBorder="1" applyFont="1">
      <alignment vertical="top"/>
    </xf>
    <xf borderId="13" fillId="0" fontId="26" numFmtId="0" xfId="0" applyAlignment="1" applyBorder="1" applyFont="1">
      <alignment vertical="top"/>
    </xf>
    <xf borderId="5" fillId="8" fontId="9" numFmtId="0" xfId="0" applyAlignment="1" applyBorder="1" applyFont="1">
      <alignment readingOrder="0" vertical="bottom"/>
    </xf>
    <xf borderId="0" fillId="6" fontId="23" numFmtId="0" xfId="0" applyAlignment="1" applyFont="1">
      <alignment readingOrder="0"/>
    </xf>
    <xf borderId="0" fillId="17" fontId="0" numFmtId="0" xfId="0" applyAlignment="1" applyFont="1">
      <alignment readingOrder="0"/>
    </xf>
    <xf borderId="0" fillId="0" fontId="0" numFmtId="0" xfId="0" applyAlignment="1" applyFont="1">
      <alignment readingOrder="0"/>
    </xf>
    <xf borderId="0" fillId="5" fontId="0" numFmtId="0" xfId="0" applyAlignment="1" applyFont="1">
      <alignment readingOrder="0"/>
    </xf>
    <xf borderId="0" fillId="17" fontId="10" numFmtId="0" xfId="0" applyAlignment="1" applyFont="1">
      <alignment readingOrder="0"/>
    </xf>
    <xf borderId="0" fillId="5" fontId="10" numFmtId="0" xfId="0" applyAlignment="1" applyFont="1">
      <alignment readingOrder="0"/>
    </xf>
    <xf borderId="0" fillId="5" fontId="10" numFmtId="166" xfId="0" applyAlignment="1" applyFont="1" applyNumberFormat="1">
      <alignment readingOrder="0"/>
    </xf>
    <xf borderId="1" fillId="18" fontId="33" numFmtId="0" xfId="0" applyAlignment="1" applyBorder="1" applyFont="1">
      <alignment horizontal="center" readingOrder="0" shrinkToFit="0" vertical="center" wrapText="0"/>
    </xf>
    <xf borderId="1" fillId="8" fontId="33" numFmtId="0" xfId="0" applyAlignment="1" applyBorder="1" applyFont="1">
      <alignment horizontal="center" readingOrder="0" shrinkToFit="0" vertical="center" wrapText="0"/>
    </xf>
    <xf borderId="1" fillId="6" fontId="33" numFmtId="0" xfId="0" applyAlignment="1" applyBorder="1" applyFont="1">
      <alignment horizontal="center" readingOrder="0" shrinkToFit="0" vertical="center" wrapText="0"/>
    </xf>
    <xf borderId="1" fillId="19" fontId="9" numFmtId="0" xfId="0" applyAlignment="1" applyBorder="1" applyFill="1" applyFont="1">
      <alignment readingOrder="0" vertical="bottom"/>
    </xf>
    <xf borderId="0" fillId="5" fontId="23" numFmtId="0" xfId="0" applyAlignment="1" applyFont="1">
      <alignment readingOrder="0"/>
    </xf>
    <xf borderId="2" fillId="0" fontId="9" numFmtId="0" xfId="0" applyAlignment="1" applyBorder="1" applyFont="1">
      <alignment readingOrder="0" vertical="bottom"/>
    </xf>
    <xf borderId="0" fillId="12" fontId="0" numFmtId="0" xfId="0" applyAlignment="1" applyFont="1">
      <alignment readingOrder="0"/>
    </xf>
    <xf borderId="1" fillId="12" fontId="19" numFmtId="0" xfId="0" applyAlignment="1" applyBorder="1" applyFont="1">
      <alignment horizontal="left" readingOrder="0" shrinkToFit="0" vertical="top" wrapText="0"/>
    </xf>
    <xf borderId="1" fillId="12" fontId="9" numFmtId="166" xfId="0" applyAlignment="1" applyBorder="1" applyFont="1" applyNumberFormat="1">
      <alignment horizontal="center" readingOrder="0" vertical="bottom"/>
    </xf>
    <xf borderId="2" fillId="8" fontId="9" numFmtId="0" xfId="0" applyAlignment="1" applyBorder="1" applyFont="1">
      <alignment readingOrder="0" vertical="bottom"/>
    </xf>
    <xf borderId="2" fillId="6" fontId="9" numFmtId="0" xfId="0" applyAlignment="1" applyBorder="1" applyFont="1">
      <alignment readingOrder="0" vertical="bottom"/>
    </xf>
    <xf borderId="0" fillId="6" fontId="19" numFmtId="0" xfId="0" applyAlignment="1" applyFont="1">
      <alignment horizontal="left" readingOrder="0" shrinkToFit="0" vertical="top" wrapText="0"/>
    </xf>
    <xf borderId="2" fillId="20" fontId="9" numFmtId="0" xfId="0" applyAlignment="1" applyBorder="1" applyFill="1" applyFont="1">
      <alignment readingOrder="0" vertical="bottom"/>
    </xf>
    <xf borderId="1" fillId="17" fontId="0" numFmtId="0" xfId="0" applyAlignment="1" applyBorder="1" applyFont="1">
      <alignment readingOrder="0"/>
    </xf>
    <xf borderId="11" fillId="0" fontId="17" numFmtId="0" xfId="0" applyAlignment="1" applyBorder="1" applyFont="1">
      <alignment vertical="bottom"/>
    </xf>
    <xf borderId="4" fillId="17" fontId="17" numFmtId="0" xfId="0" applyAlignment="1" applyBorder="1" applyFont="1">
      <alignment readingOrder="0" vertical="bottom"/>
    </xf>
    <xf borderId="1" fillId="17" fontId="17" numFmtId="166" xfId="0" applyAlignment="1" applyBorder="1" applyFont="1" applyNumberFormat="1">
      <alignment horizontal="center" readingOrder="0" vertical="bottom"/>
    </xf>
    <xf borderId="1" fillId="17" fontId="17" numFmtId="0" xfId="0" applyAlignment="1" applyBorder="1" applyFont="1">
      <alignment readingOrder="0" vertical="bottom"/>
    </xf>
    <xf borderId="4" fillId="0" fontId="17" numFmtId="0" xfId="0" applyAlignment="1" applyBorder="1" applyFont="1">
      <alignment readingOrder="0" vertical="bottom"/>
    </xf>
    <xf borderId="4" fillId="0" fontId="17" numFmtId="0" xfId="0" applyBorder="1" applyFont="1"/>
    <xf borderId="13" fillId="0" fontId="17" numFmtId="0" xfId="0" applyBorder="1" applyFont="1"/>
    <xf borderId="13" fillId="6" fontId="17" numFmtId="0" xfId="0" applyAlignment="1" applyBorder="1" applyFont="1">
      <alignment vertical="top"/>
    </xf>
    <xf borderId="13" fillId="6" fontId="17" numFmtId="166" xfId="0" applyAlignment="1" applyBorder="1" applyFont="1" applyNumberFormat="1">
      <alignment vertical="bottom"/>
    </xf>
    <xf borderId="13" fillId="6" fontId="17" numFmtId="0" xfId="0" applyAlignment="1" applyBorder="1" applyFont="1">
      <alignment vertical="bottom"/>
    </xf>
    <xf borderId="2" fillId="21" fontId="19" numFmtId="0" xfId="0" applyAlignment="1" applyBorder="1" applyFill="1" applyFont="1">
      <alignment horizontal="left" readingOrder="0" shrinkToFit="0" vertical="top" wrapText="0"/>
    </xf>
    <xf borderId="1" fillId="17" fontId="10" numFmtId="166" xfId="0" applyAlignment="1" applyBorder="1" applyFont="1" applyNumberFormat="1">
      <alignment horizontal="center" readingOrder="0"/>
    </xf>
    <xf borderId="1" fillId="17" fontId="10" numFmtId="0" xfId="0" applyAlignment="1" applyBorder="1" applyFont="1">
      <alignment readingOrder="0"/>
    </xf>
    <xf borderId="4" fillId="17" fontId="9" numFmtId="0" xfId="0" applyAlignment="1" applyBorder="1" applyFont="1">
      <alignment horizontal="left" readingOrder="0" vertical="bottom"/>
    </xf>
    <xf borderId="4" fillId="0" fontId="9" numFmtId="0" xfId="0" applyAlignment="1" applyBorder="1" applyFont="1">
      <alignment vertical="bottom"/>
    </xf>
    <xf borderId="4" fillId="0" fontId="9" numFmtId="0" xfId="0" applyBorder="1" applyFont="1"/>
    <xf borderId="13" fillId="5" fontId="17" numFmtId="0" xfId="0" applyAlignment="1" applyBorder="1" applyFont="1">
      <alignment readingOrder="0" vertical="bottom"/>
    </xf>
    <xf borderId="13" fillId="0" fontId="17" numFmtId="0" xfId="0" applyAlignment="1" applyBorder="1" applyFont="1">
      <alignment readingOrder="0" vertical="bottom"/>
    </xf>
    <xf borderId="13" fillId="17" fontId="17" numFmtId="0" xfId="0" applyAlignment="1" applyBorder="1" applyFont="1">
      <alignment readingOrder="0" vertical="bottom"/>
    </xf>
    <xf borderId="0" fillId="0" fontId="17" numFmtId="0" xfId="0" applyAlignment="1" applyFont="1">
      <alignment vertical="bottom"/>
    </xf>
    <xf borderId="13" fillId="6" fontId="17" numFmtId="166" xfId="0" applyAlignment="1" applyBorder="1" applyFont="1" applyNumberFormat="1">
      <alignment horizontal="center" readingOrder="0" vertical="bottom"/>
    </xf>
    <xf borderId="13" fillId="6" fontId="17" numFmtId="0" xfId="0" applyAlignment="1" applyBorder="1" applyFont="1">
      <alignment readingOrder="0" vertical="bottom"/>
    </xf>
    <xf borderId="13" fillId="0" fontId="17" numFmtId="166" xfId="0" applyAlignment="1" applyBorder="1" applyFont="1" applyNumberFormat="1">
      <alignment horizontal="center" readingOrder="0" vertical="bottom"/>
    </xf>
    <xf borderId="1" fillId="6" fontId="17" numFmtId="0" xfId="0" applyAlignment="1" applyBorder="1" applyFont="1">
      <alignment vertical="top"/>
    </xf>
    <xf borderId="6" fillId="4" fontId="21" numFmtId="0" xfId="0" applyAlignment="1" applyBorder="1" applyFont="1">
      <alignment horizontal="center"/>
    </xf>
    <xf borderId="13" fillId="4" fontId="17" numFmtId="0" xfId="0" applyAlignment="1" applyBorder="1" applyFont="1">
      <alignment vertical="bottom"/>
    </xf>
    <xf borderId="3" fillId="20" fontId="9" numFmtId="0" xfId="0" applyAlignment="1" applyBorder="1" applyFont="1">
      <alignment readingOrder="0" vertical="bottom"/>
    </xf>
    <xf borderId="4" fillId="20" fontId="9" numFmtId="0" xfId="0" applyAlignment="1" applyBorder="1" applyFont="1">
      <alignment readingOrder="0" vertical="bottom"/>
    </xf>
    <xf borderId="4" fillId="6" fontId="9" numFmtId="0" xfId="0" applyAlignment="1" applyBorder="1" applyFont="1">
      <alignment horizontal="center" readingOrder="0" vertical="bottom"/>
    </xf>
    <xf borderId="0" fillId="17" fontId="10" numFmtId="166" xfId="0" applyAlignment="1" applyFont="1" applyNumberFormat="1">
      <alignment horizontal="center" readingOrder="0"/>
    </xf>
    <xf borderId="6" fillId="4" fontId="21" numFmtId="0" xfId="0" applyAlignment="1" applyBorder="1" applyFont="1">
      <alignment horizontal="center" readingOrder="0"/>
    </xf>
    <xf borderId="8" fillId="8" fontId="34" numFmtId="0" xfId="0" applyAlignment="1" applyBorder="1" applyFont="1">
      <alignment horizontal="center" readingOrder="0" vertical="center"/>
    </xf>
    <xf borderId="14" fillId="0" fontId="6" numFmtId="0" xfId="0" applyBorder="1" applyFont="1"/>
    <xf borderId="15" fillId="0" fontId="6" numFmtId="0" xfId="0" applyBorder="1" applyFont="1"/>
    <xf borderId="0" fillId="4" fontId="4" numFmtId="0" xfId="0" applyAlignment="1" applyFont="1">
      <alignment horizontal="center" readingOrder="0" vertical="center"/>
    </xf>
    <xf borderId="0" fillId="4" fontId="16" numFmtId="0" xfId="0" applyAlignment="1" applyFont="1">
      <alignment horizontal="center" vertical="bottom"/>
    </xf>
    <xf borderId="0" fillId="13" fontId="35" numFmtId="0" xfId="0" applyAlignment="1" applyFont="1">
      <alignment horizontal="center" vertical="center"/>
    </xf>
    <xf borderId="0" fillId="13" fontId="35" numFmtId="0" xfId="0" applyAlignment="1" applyFont="1">
      <alignment horizontal="center" readingOrder="0" vertical="center"/>
    </xf>
    <xf borderId="0" fillId="13" fontId="35" numFmtId="3" xfId="0" applyAlignment="1" applyFont="1" applyNumberFormat="1">
      <alignment horizontal="center" vertical="center"/>
    </xf>
    <xf borderId="0" fillId="13" fontId="35" numFmtId="9" xfId="0" applyAlignment="1" applyFont="1" applyNumberFormat="1">
      <alignment horizontal="center" vertical="center"/>
    </xf>
    <xf borderId="0" fillId="5" fontId="35" numFmtId="0" xfId="0" applyAlignment="1" applyFont="1">
      <alignment horizontal="center" readingOrder="0" vertical="center"/>
    </xf>
    <xf borderId="0" fillId="22" fontId="35" numFmtId="0" xfId="0" applyAlignment="1" applyFill="1" applyFont="1">
      <alignment horizontal="center" readingOrder="0" vertical="center"/>
    </xf>
    <xf borderId="0" fillId="22" fontId="35" numFmtId="0" xfId="0" applyAlignment="1" applyFont="1">
      <alignment horizontal="center" vertical="center"/>
    </xf>
    <xf borderId="0" fillId="22" fontId="35" numFmtId="168" xfId="0" applyAlignment="1" applyFont="1" applyNumberFormat="1">
      <alignment horizontal="center" vertical="center"/>
    </xf>
    <xf borderId="0" fillId="22" fontId="21" numFmtId="0" xfId="0" applyAlignment="1" applyFont="1">
      <alignment horizontal="center"/>
    </xf>
    <xf borderId="0" fillId="0" fontId="21" numFmtId="0" xfId="0" applyAlignment="1" applyFont="1">
      <alignment horizontal="center" vertical="bottom"/>
    </xf>
    <xf borderId="0" fillId="0" fontId="21" numFmtId="0" xfId="0" applyAlignment="1" applyFont="1">
      <alignment horizontal="center"/>
    </xf>
    <xf borderId="0" fillId="0" fontId="21" numFmtId="0" xfId="0" applyAlignment="1" applyFont="1">
      <alignment horizontal="center" readingOrder="0" vertical="bottom"/>
    </xf>
    <xf borderId="0" fillId="22" fontId="21" numFmtId="0" xfId="0" applyAlignment="1" applyFont="1">
      <alignment horizontal="center" readingOrder="0" vertical="bottom"/>
    </xf>
    <xf borderId="0" fillId="0" fontId="19" numFmtId="9" xfId="0" applyAlignment="1" applyFont="1" applyNumberFormat="1">
      <alignment horizontal="left" readingOrder="0" shrinkToFit="0" vertical="top" wrapText="0"/>
    </xf>
    <xf borderId="0" fillId="0" fontId="7" numFmtId="0" xfId="0" applyAlignment="1" applyFont="1">
      <alignment readingOrder="0"/>
    </xf>
    <xf borderId="0" fillId="0" fontId="0" numFmtId="168" xfId="0" applyAlignment="1" applyFont="1" applyNumberFormat="1">
      <alignment readingOrder="0"/>
    </xf>
    <xf borderId="0" fillId="0" fontId="0" numFmtId="164" xfId="0" applyFont="1" applyNumberFormat="1"/>
    <xf borderId="0" fillId="0" fontId="17" numFmtId="0" xfId="0" applyAlignment="1" applyFont="1">
      <alignment readingOrder="0" vertical="bottom"/>
    </xf>
    <xf borderId="0" fillId="0" fontId="17" numFmtId="168" xfId="0" applyAlignment="1" applyFont="1" applyNumberFormat="1">
      <alignment readingOrder="0" vertical="bottom"/>
    </xf>
    <xf borderId="0" fillId="0" fontId="17" numFmtId="168" xfId="0" applyAlignment="1" applyFont="1" applyNumberFormat="1">
      <alignment vertical="bottom"/>
    </xf>
    <xf borderId="0" fillId="0" fontId="36" numFmtId="0" xfId="0" applyAlignment="1" applyFont="1">
      <alignment readingOrder="0" shrinkToFit="0" vertical="bottom" wrapText="0"/>
    </xf>
    <xf borderId="0" fillId="0" fontId="0" numFmtId="164" xfId="0" applyAlignment="1" applyFont="1" applyNumberFormat="1">
      <alignment readingOrder="0"/>
    </xf>
    <xf borderId="0" fillId="6" fontId="16" numFmtId="0" xfId="0" applyAlignment="1" applyFont="1">
      <alignment horizontal="center" readingOrder="0" vertical="bottom"/>
    </xf>
    <xf borderId="0" fillId="0" fontId="0" numFmtId="0" xfId="0" applyFont="1"/>
    <xf borderId="13" fillId="0" fontId="0" numFmtId="0" xfId="0" applyAlignment="1" applyBorder="1" applyFont="1">
      <alignment readingOrder="0"/>
    </xf>
    <xf borderId="0" fillId="0" fontId="0" numFmtId="168" xfId="0" applyFont="1" applyNumberFormat="1"/>
    <xf borderId="1" fillId="0" fontId="17" numFmtId="168" xfId="0" applyAlignment="1" applyBorder="1" applyFont="1" applyNumberFormat="1">
      <alignment vertical="bottom"/>
    </xf>
    <xf borderId="1" fillId="0" fontId="17" numFmtId="168" xfId="0" applyAlignment="1" applyBorder="1" applyFont="1" applyNumberFormat="1">
      <alignment readingOrder="0" vertical="bottom"/>
    </xf>
    <xf borderId="13" fillId="0" fontId="0" numFmtId="0" xfId="0" applyBorder="1" applyFont="1"/>
    <xf borderId="0" fillId="6" fontId="9" numFmtId="0" xfId="0" applyAlignment="1" applyFont="1">
      <alignment vertical="bottom"/>
    </xf>
    <xf borderId="0" fillId="23" fontId="17" numFmtId="0" xfId="0" applyAlignment="1" applyFill="1" applyFont="1">
      <alignment vertical="bottom"/>
    </xf>
    <xf borderId="0" fillId="4" fontId="16" numFmtId="0" xfId="0" applyAlignment="1" applyFont="1">
      <alignment horizontal="center" readingOrder="0" vertical="bottom"/>
    </xf>
    <xf borderId="0" fillId="6" fontId="23" numFmtId="0" xfId="0" applyAlignment="1" applyFont="1">
      <alignment readingOrder="0" shrinkToFit="0" wrapText="0"/>
    </xf>
    <xf borderId="0" fillId="0" fontId="0" numFmtId="0" xfId="0" applyAlignment="1" applyFont="1">
      <alignment readingOrder="0" vertical="bottom"/>
    </xf>
    <xf borderId="0" fillId="0" fontId="0" numFmtId="168" xfId="0" applyAlignment="1" applyFont="1" applyNumberFormat="1">
      <alignment readingOrder="0" vertical="bottom"/>
    </xf>
    <xf borderId="0" fillId="0" fontId="0" numFmtId="164" xfId="0" applyAlignment="1" applyFont="1" applyNumberFormat="1">
      <alignment readingOrder="0" vertical="bottom"/>
    </xf>
    <xf borderId="0" fillId="6" fontId="23" numFmtId="0" xfId="0" applyAlignment="1" applyFont="1">
      <alignment readingOrder="0" shrinkToFit="0" wrapText="1"/>
    </xf>
    <xf borderId="0" fillId="0" fontId="0" numFmtId="169" xfId="0" applyAlignment="1" applyFont="1" applyNumberFormat="1">
      <alignment readingOrder="0" vertical="bottom"/>
    </xf>
    <xf borderId="0" fillId="6" fontId="17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17" numFmtId="169" xfId="0" applyAlignment="1" applyFont="1" applyNumberFormat="1">
      <alignment readingOrder="0" vertical="bottom"/>
    </xf>
    <xf borderId="0" fillId="0" fontId="17" numFmtId="169" xfId="0" applyAlignment="1" applyFont="1" applyNumberFormat="1">
      <alignment vertical="bottom"/>
    </xf>
    <xf borderId="0" fillId="0" fontId="0" numFmtId="0" xfId="0" applyAlignment="1" applyFont="1">
      <alignment vertical="bottom"/>
    </xf>
    <xf borderId="0" fillId="0" fontId="0" numFmtId="164" xfId="0" applyAlignment="1" applyFont="1" applyNumberFormat="1">
      <alignment vertical="bottom"/>
    </xf>
    <xf borderId="13" fillId="6" fontId="17" numFmtId="0" xfId="0" applyAlignment="1" applyBorder="1" applyFont="1">
      <alignment vertical="bottom"/>
    </xf>
    <xf borderId="0" fillId="22" fontId="0" numFmtId="0" xfId="0" applyAlignment="1" applyFont="1">
      <alignment readingOrder="0" vertical="bottom"/>
    </xf>
    <xf borderId="0" fillId="18" fontId="9" numFmtId="0" xfId="0" applyAlignment="1" applyFont="1">
      <alignment horizontal="center" readingOrder="0" vertical="bottom"/>
    </xf>
    <xf borderId="0" fillId="18" fontId="16" numFmtId="0" xfId="0" applyAlignment="1" applyFont="1">
      <alignment horizontal="center" vertical="bottom"/>
    </xf>
    <xf borderId="0" fillId="6" fontId="37" numFmtId="0" xfId="0" applyAlignment="1" applyFont="1">
      <alignment horizontal="left" readingOrder="0"/>
    </xf>
    <xf borderId="0" fillId="0" fontId="0" numFmtId="168" xfId="0" applyAlignment="1" applyFont="1" applyNumberFormat="1">
      <alignment vertical="bottom"/>
    </xf>
    <xf borderId="0" fillId="0" fontId="19" numFmtId="3" xfId="0" applyAlignment="1" applyFont="1" applyNumberFormat="1">
      <alignment horizontal="left" readingOrder="0" shrinkToFit="0" vertical="top" wrapText="0"/>
    </xf>
    <xf borderId="0" fillId="0" fontId="0" numFmtId="166" xfId="0" applyAlignment="1" applyFont="1" applyNumberFormat="1">
      <alignment readingOrder="0"/>
    </xf>
    <xf borderId="0" fillId="0" fontId="10" numFmtId="0" xfId="0" applyFont="1"/>
    <xf borderId="1" fillId="6" fontId="17" numFmtId="0" xfId="0" applyAlignment="1" applyBorder="1" applyFont="1">
      <alignment vertical="bottom"/>
    </xf>
    <xf borderId="0" fillId="18" fontId="17" numFmtId="0" xfId="0" applyAlignment="1" applyFont="1">
      <alignment vertical="bottom"/>
    </xf>
    <xf borderId="0" fillId="6" fontId="38" numFmtId="0" xfId="0" applyAlignment="1" applyFont="1">
      <alignment horizontal="center" readingOrder="0"/>
    </xf>
    <xf borderId="0" fillId="0" fontId="36" numFmtId="170" xfId="0" applyAlignment="1" applyFont="1" applyNumberFormat="1">
      <alignment readingOrder="0" shrinkToFit="0" vertical="bottom" wrapText="0"/>
    </xf>
    <xf borderId="0" fillId="0" fontId="10" numFmtId="165" xfId="0" applyAlignment="1" applyFont="1" applyNumberFormat="1">
      <alignment readingOrder="0"/>
    </xf>
    <xf borderId="0" fillId="0" fontId="0" numFmtId="165" xfId="0" applyAlignment="1" applyFont="1" applyNumberFormat="1">
      <alignment readingOrder="0"/>
    </xf>
    <xf borderId="0" fillId="4" fontId="16" numFmtId="0" xfId="0" applyAlignment="1" applyFont="1">
      <alignment readingOrder="0" vertical="bottom"/>
    </xf>
    <xf borderId="0" fillId="23" fontId="0" numFmtId="0" xfId="0" applyAlignment="1" applyFont="1">
      <alignment readingOrder="0"/>
    </xf>
    <xf borderId="0" fillId="0" fontId="35" numFmtId="168" xfId="0" applyAlignment="1" applyFont="1" applyNumberFormat="1">
      <alignment readingOrder="0"/>
    </xf>
    <xf borderId="0" fillId="6" fontId="39" numFmtId="0" xfId="0" applyAlignment="1" applyFont="1">
      <alignment horizontal="left" readingOrder="0"/>
    </xf>
    <xf borderId="0" fillId="6" fontId="20" numFmtId="0" xfId="0" applyAlignment="1" applyFont="1">
      <alignment readingOrder="0"/>
    </xf>
    <xf borderId="0" fillId="15" fontId="16" numFmtId="0" xfId="0" applyAlignment="1" applyFont="1">
      <alignment horizontal="center" readingOrder="0" vertical="bottom"/>
    </xf>
    <xf borderId="0" fillId="18" fontId="0" numFmtId="0" xfId="0" applyAlignment="1" applyFont="1">
      <alignment readingOrder="0"/>
    </xf>
    <xf borderId="0" fillId="0" fontId="19" numFmtId="170" xfId="0" applyAlignment="1" applyFont="1" applyNumberFormat="1">
      <alignment horizontal="left" readingOrder="0" shrinkToFit="0" vertical="top" wrapText="0"/>
    </xf>
    <xf borderId="0" fillId="13" fontId="40" numFmtId="0" xfId="0" applyAlignment="1" applyFont="1">
      <alignment horizontal="center" readingOrder="0" vertical="center"/>
    </xf>
    <xf borderId="0" fillId="13" fontId="40" numFmtId="0" xfId="0" applyAlignment="1" applyFont="1">
      <alignment horizontal="center" vertical="center"/>
    </xf>
    <xf borderId="0" fillId="13" fontId="40" numFmtId="3" xfId="0" applyAlignment="1" applyFont="1" applyNumberFormat="1">
      <alignment horizontal="center" vertical="center"/>
    </xf>
    <xf borderId="0" fillId="13" fontId="40" numFmtId="10" xfId="0" applyAlignment="1" applyFont="1" applyNumberFormat="1">
      <alignment horizontal="center" vertical="center"/>
    </xf>
    <xf borderId="0" fillId="22" fontId="22" numFmtId="0" xfId="0" applyAlignment="1" applyFont="1">
      <alignment horizontal="center" readingOrder="0" vertical="center"/>
    </xf>
    <xf borderId="0" fillId="0" fontId="36" numFmtId="0" xfId="0" applyAlignment="1" applyFont="1">
      <alignment horizontal="center" readingOrder="0" shrinkToFit="0" vertical="bottom" wrapText="0"/>
    </xf>
    <xf borderId="0" fillId="0" fontId="36" numFmtId="0" xfId="0" applyAlignment="1" applyFont="1">
      <alignment horizontal="right" readingOrder="0" shrinkToFit="0" vertical="bottom" wrapText="0"/>
    </xf>
    <xf borderId="0" fillId="0" fontId="36" numFmtId="9" xfId="0" applyAlignment="1" applyFont="1" applyNumberFormat="1">
      <alignment horizontal="right" readingOrder="0" shrinkToFit="0" vertical="bottom" wrapText="0"/>
    </xf>
    <xf borderId="0" fillId="0" fontId="36" numFmtId="0" xfId="0" applyAlignment="1" applyFont="1">
      <alignment shrinkToFit="0" vertical="bottom" wrapText="0"/>
    </xf>
    <xf borderId="0" fillId="0" fontId="36" numFmtId="3" xfId="0" applyAlignment="1" applyFont="1" applyNumberFormat="1">
      <alignment horizontal="right" readingOrder="0" shrinkToFit="0" vertical="bottom" wrapText="0"/>
    </xf>
    <xf borderId="0" fillId="0" fontId="36" numFmtId="10" xfId="0" applyAlignment="1" applyFont="1" applyNumberFormat="1">
      <alignment horizontal="right" readingOrder="0" shrinkToFit="0" vertical="bottom" wrapText="0"/>
    </xf>
    <xf borderId="0" fillId="0" fontId="36" numFmtId="3" xfId="0" applyAlignment="1" applyFont="1" applyNumberFormat="1">
      <alignment readingOrder="0" shrinkToFit="0" vertical="bottom" wrapText="0"/>
    </xf>
    <xf borderId="1" fillId="0" fontId="17" numFmtId="0" xfId="0" applyAlignment="1" applyBorder="1" applyFont="1">
      <alignment shrinkToFit="0" vertical="bottom" wrapText="0"/>
    </xf>
    <xf borderId="0" fillId="0" fontId="17" numFmtId="168" xfId="0" applyAlignment="1" applyFont="1" applyNumberFormat="1">
      <alignment horizontal="right" vertical="bottom"/>
    </xf>
    <xf borderId="0" fillId="24" fontId="41" numFmtId="0" xfId="0" applyAlignment="1" applyFill="1" applyFont="1">
      <alignment vertical="bottom"/>
    </xf>
    <xf borderId="1" fillId="24" fontId="41" numFmtId="0" xfId="0" applyAlignment="1" applyBorder="1" applyFont="1">
      <alignment shrinkToFit="0" vertical="bottom" wrapText="0"/>
    </xf>
    <xf borderId="0" fillId="24" fontId="41" numFmtId="0" xfId="0" applyAlignment="1" applyFont="1">
      <alignment vertical="bottom"/>
    </xf>
    <xf borderId="1" fillId="0" fontId="17" numFmtId="0" xfId="0" applyAlignment="1" applyBorder="1" applyFont="1">
      <alignment readingOrder="0" shrinkToFit="0" vertical="bottom" wrapText="0"/>
    </xf>
    <xf borderId="1" fillId="24" fontId="42" numFmtId="0" xfId="0" applyAlignment="1" applyBorder="1" applyFont="1">
      <alignment readingOrder="0" shrinkToFit="0" vertical="bottom" wrapText="0"/>
    </xf>
    <xf borderId="1" fillId="24" fontId="17" numFmtId="0" xfId="0" applyAlignment="1" applyBorder="1" applyFont="1">
      <alignment vertical="bottom"/>
    </xf>
    <xf borderId="1" fillId="24" fontId="43" numFmtId="0" xfId="0" applyAlignment="1" applyBorder="1" applyFont="1">
      <alignment vertical="bottom"/>
    </xf>
    <xf borderId="1" fillId="24" fontId="43" numFmtId="0" xfId="0" applyAlignment="1" applyBorder="1" applyFont="1">
      <alignment shrinkToFit="0" vertical="bottom" wrapText="0"/>
    </xf>
    <xf borderId="0" fillId="24" fontId="44" numFmtId="0" xfId="0" applyAlignment="1" applyFont="1">
      <alignment vertical="bottom"/>
    </xf>
    <xf borderId="1" fillId="24" fontId="44" numFmtId="0" xfId="0" applyAlignment="1" applyBorder="1" applyFont="1">
      <alignment vertical="bottom"/>
    </xf>
    <xf borderId="1" fillId="24" fontId="44" numFmtId="0" xfId="0" applyAlignment="1" applyBorder="1" applyFont="1">
      <alignment shrinkToFit="0" vertical="bottom" wrapText="0"/>
    </xf>
    <xf borderId="0" fillId="0" fontId="10" numFmtId="168" xfId="0" applyFont="1" applyNumberFormat="1"/>
    <xf borderId="0" fillId="25" fontId="45" numFmtId="0" xfId="0" applyAlignment="1" applyFill="1" applyFont="1">
      <alignment horizontal="center" shrinkToFit="0" wrapText="1"/>
    </xf>
    <xf borderId="0" fillId="26" fontId="46" numFmtId="0" xfId="0" applyAlignment="1" applyFill="1" applyFont="1">
      <alignment vertical="bottom"/>
    </xf>
    <xf borderId="0" fillId="27" fontId="47" numFmtId="0" xfId="0" applyAlignment="1" applyFill="1" applyFont="1">
      <alignment horizontal="center" vertical="bottom"/>
    </xf>
    <xf borderId="0" fillId="25" fontId="45" numFmtId="0" xfId="0" applyAlignment="1" applyFont="1">
      <alignment horizontal="center" shrinkToFit="0" vertical="center" wrapText="1"/>
    </xf>
    <xf borderId="0" fillId="25" fontId="48" numFmtId="0" xfId="0" applyAlignment="1" applyFont="1">
      <alignment horizontal="center" shrinkToFit="0" vertical="center" wrapText="1"/>
    </xf>
    <xf borderId="0" fillId="24" fontId="49" numFmtId="0" xfId="0" applyAlignment="1" applyFont="1">
      <alignment vertical="bottom"/>
    </xf>
    <xf borderId="0" fillId="0" fontId="17" numFmtId="0" xfId="0" applyAlignment="1" applyFont="1">
      <alignment horizontal="right" vertical="bottom"/>
    </xf>
    <xf borderId="0" fillId="0" fontId="17" numFmtId="171" xfId="0" applyAlignment="1" applyFont="1" applyNumberFormat="1">
      <alignment horizontal="right" readingOrder="0" vertical="bottom"/>
    </xf>
    <xf borderId="0" fillId="6" fontId="47" numFmtId="0" xfId="0" applyAlignment="1" applyFont="1">
      <alignment horizontal="center" vertical="bottom"/>
    </xf>
    <xf borderId="0" fillId="6" fontId="50" numFmtId="9" xfId="0" applyAlignment="1" applyFont="1" applyNumberFormat="1">
      <alignment horizontal="center" vertical="bottom"/>
    </xf>
    <xf borderId="0" fillId="28" fontId="51" numFmtId="0" xfId="0" applyAlignment="1" applyFill="1" applyFont="1">
      <alignment horizontal="center" readingOrder="0"/>
    </xf>
    <xf borderId="0" fillId="28" fontId="51" numFmtId="1" xfId="0" applyAlignment="1" applyFont="1" applyNumberFormat="1">
      <alignment horizontal="center"/>
    </xf>
    <xf borderId="0" fillId="0" fontId="17" numFmtId="1" xfId="0" applyAlignment="1" applyFont="1" applyNumberFormat="1">
      <alignment vertical="bottom"/>
    </xf>
    <xf borderId="0" fillId="0" fontId="17" numFmtId="171" xfId="0" applyAlignment="1" applyFont="1" applyNumberFormat="1">
      <alignment vertical="bottom"/>
    </xf>
    <xf borderId="0" fillId="0" fontId="10" numFmtId="10" xfId="0" applyFont="1" applyNumberFormat="1"/>
    <xf borderId="0" fillId="26" fontId="52" numFmtId="0" xfId="0" applyAlignment="1" applyFont="1">
      <alignment horizontal="center" vertical="bottom"/>
    </xf>
    <xf borderId="0" fillId="26" fontId="52" numFmtId="0" xfId="0" applyAlignment="1" applyFont="1">
      <alignment horizontal="center" vertical="bottom"/>
    </xf>
    <xf borderId="0" fillId="29" fontId="53" numFmtId="0" xfId="0" applyAlignment="1" applyFill="1" applyFont="1">
      <alignment horizontal="center" readingOrder="0"/>
    </xf>
    <xf borderId="0" fillId="0" fontId="10" numFmtId="172" xfId="0" applyAlignment="1" applyFont="1" applyNumberFormat="1">
      <alignment readingOrder="0"/>
    </xf>
    <xf borderId="0" fillId="30" fontId="54" numFmtId="0" xfId="0" applyAlignment="1" applyFill="1" applyFont="1">
      <alignment vertical="bottom"/>
    </xf>
    <xf borderId="0" fillId="6" fontId="55" numFmtId="1" xfId="0" applyAlignment="1" applyFont="1" applyNumberFormat="1">
      <alignment horizontal="center" vertical="bottom"/>
    </xf>
    <xf borderId="0" fillId="25" fontId="56" numFmtId="10" xfId="0" applyAlignment="1" applyFont="1" applyNumberFormat="1">
      <alignment horizontal="center"/>
    </xf>
    <xf borderId="0" fillId="27" fontId="55" numFmtId="1" xfId="0" applyAlignment="1" applyFont="1" applyNumberFormat="1">
      <alignment horizontal="center" vertical="bottom"/>
    </xf>
    <xf borderId="0" fillId="27" fontId="57" numFmtId="9" xfId="0" applyAlignment="1" applyFont="1" applyNumberFormat="1">
      <alignment horizontal="center" vertical="bottom"/>
    </xf>
    <xf borderId="0" fillId="6" fontId="57" numFmtId="9" xfId="0" applyAlignment="1" applyFont="1" applyNumberFormat="1">
      <alignment horizontal="center" vertical="bottom"/>
    </xf>
    <xf borderId="0" fillId="0" fontId="10" numFmtId="1" xfId="0" applyFont="1" applyNumberFormat="1"/>
    <xf borderId="0" fillId="29" fontId="58" numFmtId="0" xfId="0" applyAlignment="1" applyFont="1">
      <alignment horizontal="center"/>
    </xf>
    <xf borderId="0" fillId="29" fontId="58" numFmtId="1" xfId="0" applyAlignment="1" applyFont="1" applyNumberFormat="1">
      <alignment horizontal="center"/>
    </xf>
    <xf borderId="0" fillId="24" fontId="49" numFmtId="10" xfId="0" applyAlignment="1" applyFont="1" applyNumberFormat="1">
      <alignment vertical="bottom"/>
    </xf>
    <xf borderId="0" fillId="13" fontId="42" numFmtId="0" xfId="0" applyAlignment="1" applyFont="1">
      <alignment vertical="bottom"/>
    </xf>
    <xf borderId="0" fillId="29" fontId="59" numFmtId="0" xfId="0" applyAlignment="1" applyFont="1">
      <alignment horizontal="center" vertical="bottom"/>
    </xf>
    <xf borderId="0" fillId="25" fontId="60" numFmtId="10" xfId="0" applyAlignment="1" applyFont="1" applyNumberFormat="1">
      <alignment horizontal="center" vertical="bottom"/>
    </xf>
    <xf borderId="0" fillId="6" fontId="32" numFmtId="168" xfId="0" applyFont="1" applyNumberFormat="1"/>
    <xf borderId="0" fillId="6" fontId="32" numFmtId="0" xfId="0" applyFont="1"/>
    <xf borderId="0" fillId="31" fontId="36" numFmtId="0" xfId="0" applyAlignment="1" applyFill="1" applyFont="1">
      <alignment readingOrder="0" shrinkToFit="0" vertical="bottom" wrapText="0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E67C73"/>
          <bgColor rgb="FFE67C7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A1022" sheet="hedef liste"/>
  </cacheSource>
  <cacheFields>
    <cacheField name="Restaurant ID" numFmtId="0">
      <sharedItems>
        <s v="6149d88f74c1c5c5db026e6a"/>
        <s v="60043086a35105b0f4f7cb6d"/>
        <s v="617ff3821ff4003da8c6218c"/>
        <s v="6076f807d4c52441976104b8"/>
        <s v="624ac7875406c23fc4b9667e"/>
        <s v="6204dfe3bc188a960e30cf59"/>
        <s v="62409c93f48420a955ad2cea"/>
        <s v="60cf803e7761e5799d054248"/>
        <s v="603e3464303c95afe93092dc"/>
        <s v="6070c6c9dc91044886734ac4"/>
        <s v="602ba8e05eff103e230ddcf1"/>
        <s v="5ffe23ee4a4dfa3a5caba607"/>
        <s v="61b264592be549f3bda5fe7f"/>
        <s v="60153c905fe8231f17cfb78f"/>
        <s v="602721f33a2e4e6b65d17d17"/>
        <s v="6061ee4b4c11b057fb3b6f6c"/>
        <s v="5fff32b068b4946f548f8458"/>
        <s v="604d30a2cc98d70511a66c8a"/>
        <s v="60492e300392aa19f82322d8"/>
        <s v="615de1ae16054412f42dae92"/>
        <s v="60774818a562d4e7c2efd287"/>
        <s v="61b32fd96311be259b7c4149"/>
        <s v="6255318a77674f597b22477b"/>
        <s v="61138ceadf23a498ae6d3d8b"/>
        <s v="605cd2d0e81f5bc7fe859127"/>
        <s v="60ad6669ab98d3666726872a"/>
        <s v="6229d63c31a6056df37ed1a7"/>
        <s v="6034fc52a26855195d29cf96"/>
        <s v="5fde3e1ec0e54f3447874015"/>
        <s v="621340f818fb79fc0432e4ea"/>
        <s v="600c3c27104d8bc181f29e17"/>
        <s v="60af971c521633e1bffc15bb"/>
        <s v="6038ebc8a69617f99256f27c"/>
        <s v="614d972035a05d0b209f023a"/>
        <s v="606258b0b48e8457df440076"/>
        <s v="60376534f4f38611c483385e"/>
        <s v="62598b5ab1244c6188cf9899"/>
        <s v="6063065cb71fbc0cc919823f"/>
        <s v="61a762f9e3548a519246b129"/>
        <s v="5ffaf75b292a615149b1de90"/>
        <s v="60094522c5f8331c25904198"/>
        <s v="6105b8b4bddc0d546d0f7a8c"/>
        <s v="61a4d66ac591d5d347f9cc4b"/>
        <s v="61b706bfc6a890313b6f4ea7"/>
        <s v="614d934902b749456bd4306b"/>
        <s v="607f3a80974e08ee3f0c8902"/>
        <s v="6015485bf8fb0b3741fa2924"/>
        <s v="5fe8f60d12a85080b9bb58d3"/>
        <s v="600987dbf9bae4ba4c5387c2"/>
        <s v="604d370e2acc7942c3b93b2d"/>
        <s v="6003132149bc3dbfaac9dbc8"/>
        <s v="6257e3c6d3c44133a05ae743"/>
        <s v="618a8cfd4e902f20d782f769"/>
        <s v="603f9a63b2bbe6e9e5cca52c"/>
        <s v="603f638ca64e33a1414dba4d"/>
        <s v="61c58e03fda64dd67a7cd832"/>
        <s v="60d98563e294220c6aa59ced"/>
        <s v="6234808b521ea478b63abbe8"/>
        <s v="6049e837118621c82ec3ca1e"/>
        <s v="60648f619c5540707fb4fcd9"/>
        <s v="5fde89ec0654ee84b2e89aa1"/>
        <s v="6149dbb69e06e02e6c17587f"/>
        <s v="615cb7e7196a5d33f485a9f1"/>
        <s v="619970893a1a5fcadaa9dbcc"/>
        <s v="603a1b3f717836115614220d"/>
        <s v="6172c37d61c94c2111e59cd4"/>
        <s v="60cb124c381b50eecfc77fd4"/>
        <s v="5ff39882ee0f72652ca8f3a6"/>
        <s v="61f7b559194c9137b5cae742"/>
        <s v="60ff0f7e07177f730c879dd8"/>
        <s v="5fe0ca7523ff89b4c3a74ee2"/>
        <s v="5fe5bf7af0267cf286124773"/>
        <s v="61e6b9fe899a317d4e161888"/>
        <s v="6096e39e0c17441e2b2361f8"/>
        <s v="617fccf8cf18a71f697db78c"/>
        <s v="60ba2b0599f04867ce41e82c"/>
        <s v="620a0dcefb198bca1bdbbf01"/>
        <s v="6092b6779f1f74ad09cae4ff"/>
        <s v="622600ea55ab1968f84804ef"/>
        <s v="60041dc97b25a2ab7eecfaa7"/>
        <s v="61d44bea0719be3052c93449"/>
        <s v="61b33263b02a4fbfb9bec033"/>
        <s v="6240a5098b92a15592879afd"/>
        <s v="623ac62a91f997eb4f073789"/>
        <s v="6203dd790523e61c3ac2acfd"/>
        <s v="6126169fec3d2640184bed4b"/>
        <s v="6245e4019ea99671f389fd52"/>
        <s v="606c30380c5b642062d7159b"/>
        <s v="60847c88f372e1811924aa9a"/>
        <s v="60093cc8e13dbd0db25c79f9"/>
        <s v="60624841b71fbc364e195433"/>
        <s v="6040c342407f704bb6671af5"/>
        <s v="622b4b8fa6d59cd622d9134c"/>
        <s v="5fe5c2c9333ef55a95ae6d4c"/>
        <s v="6026d6e0ff60ad067ac077be"/>
        <s v="5ff337f371e89c939297d5dd"/>
        <s v="625918c0bfa31557f51c6a0c"/>
        <s v="60fe95392d651c0883ce8598"/>
        <s v="6064688602bcfe3020eaa65e"/>
        <s v="60be2d07f6cacd5f0925b459"/>
        <s v="60647c612eb4390bf5b6cbc5"/>
        <s v="611d01c6e45a069385033360"/>
        <s v="60678527d418361809d37eda"/>
        <s v="604f37c1838ffe9013418ffb"/>
        <s v="5fe5c56d345867129a457093"/>
        <s v="603511e5238d2c28b460f15d"/>
        <s v="618cd21700737db4ef4f1711"/>
        <s v="601546715bc3490bc9ca9351"/>
        <s v="621b5ec19278810640709c09"/>
        <s v="620fa3a00cee8c04efdf9f1e"/>
        <s v="620f8abdf34a7067172b2825"/>
        <s v="603767a9dee19b0b16f04a8d"/>
        <s v="625075d1741679cf40007840"/>
        <s v="600b05d8fb76e369d92e04c9"/>
        <s v="60154feb5778c45408c0eefa"/>
        <s v="6220cc5908e3e6280d8e0f3b"/>
        <s v="61b9bc7aed2948f41942992d"/>
        <s v="607c2563d415f0d575ac5514"/>
        <s v="6105c090f1137eb7064ce4dc"/>
        <s v="60813171d4c52417dd627a35"/>
        <s v="6257e6a5c6c1038db4893a43"/>
        <s v="62342e7b30864f83a63e9000"/>
        <s v="6063553f8a29facc3e2e79b0"/>
        <s v="60d98b0d240a9705be5cacf7"/>
        <s v="622f98628a8d3d64f2684725"/>
        <s v="61fa5a84a2dfe885bbd96202"/>
        <s v="602f98437491a90237069689"/>
        <s v="602fc306a9d2c13e0f002991"/>
        <s v="6149a8017534bc1d54bc4a50"/>
        <s v="617954ddc8ea1e2322ff69a2"/>
        <s v="6025913c5e0d8c3d0d2945ef"/>
        <s v="60806d4dc36c8796c5f0106a"/>
        <s v="60f556ab98080286cfacd9dd"/>
        <s v="6143b2ce5482b078a709ea71"/>
        <s v="605cd8bff10f9f112ae6c549"/>
        <s v="605b30ea3abb06369d34124b"/>
        <s v="60636229b71fbc8b50198ca9"/>
        <s v="600456bc3368d68b8aeb1782"/>
        <s v="6245753f432e7a8f49833a79"/>
        <s v="60246602f8d6e94fd6ba6a04"/>
        <s v="6145d7824a202336169dbfe1"/>
        <s v="60b149a27b00bc886706c32f"/>
        <s v="6026fa10fc9e270564b6ece5"/>
        <s v="6026fbbbc8290966763d20fc"/>
        <s v="6026fd748474c46bfc38ba88"/>
        <s v="6026f82d55fa616434fd0f4d"/>
        <s v="5ff302a74f55ab6f4e9ea62f"/>
        <s v="6025988eff60ad2be0c04684"/>
        <s v="61afadb0223fe6711b34515c"/>
        <s v="600b11d2d6c5917e6edf728b"/>
        <s v="600b0ecad6c5913726df7245"/>
        <s v="621897517f1e6117625b3ece"/>
        <s v="60ab81c83ab7422e5bae6904"/>
        <s v="60d59bb5cec4f7d0434144ef"/>
        <s v="6225f14276aaff4fbf55cd41"/>
        <s v="605cc5ad8b08d16a7efa6dbe"/>
        <s v="61d871a19acef378f9cc2ce1"/>
        <s v="60045df306055859114efba8"/>
        <s v="61b272523fc88ebf5a9a9514"/>
        <s v="618aabbe9e474e44fbb51dc0"/>
        <s v="61b104dfee597b22022eadcb"/>
        <s v="602fb60d5f9272680d86955b"/>
        <s v="602fb8b35eff1057160ea7ac"/>
        <s v="615cb438545f9b352246833f"/>
        <s v="61e7c79d934c002c21adca84"/>
        <s v="61d9de30f1bdc49dc2ae890c"/>
        <s v="605ccbd14b0475de36589b4c"/>
        <s v="61634ca8ab37a8396ea577d2"/>
        <s v="5ff42270e97c0d836dd2a6a9"/>
        <s v="60674fa712cde60489ce5b0b"/>
        <s v="601490c1e3c69cb0618311b6"/>
        <s v="6092acc170951485d71198fe"/>
        <s v="620428feb12d5b86a18f5ff3"/>
        <s v="621b5cf0e60e2f45e93eff3b"/>
        <s v="61997402f5385196d6a9f12b"/>
        <s v="60887edf42f08ae31e9e9b4e"/>
        <s v="60887cac74b647012d741f35"/>
        <s v="60cb58335bba507995d47b5f"/>
        <s v="5fe5c9f35118f199a98c4c14"/>
        <s v="612613a0afcbdf1fa3a1e71d"/>
        <s v="5ff8263158e9c14900d771c4"/>
        <s v="6014715a1b5f9b31bd20a7eb"/>
        <s v="6014b2703a7478379f609715"/>
        <s v="60152799d9ee3cc853043f46"/>
        <s v="61dbd9032bd6b49786186b18"/>
        <s v="620f86855171b105060dbebb"/>
        <s v="60887a780bbb7e386e3f2beb"/>
        <s v="6093fa815931358cea172ec5"/>
        <s v="60259b3f59222d5625d33967"/>
        <s v="623cacfd17a61bb3625c997b"/>
        <s v="5fe5d2ed87a63b1f653166d1"/>
        <s v="625ab75c2ca88a9b808bfbef"/>
        <s v="60c132e26da71b341ecb6358"/>
        <s v="6064a3337692c7aa4dfd5017"/>
        <s v="603f7a57430b9299f4620332"/>
        <s v="60c7a9c42af36124594ca3c4"/>
        <s v="60afacb1ed69072ecfa1121d"/>
        <s v="60623e3bb71fbc6c67195412"/>
        <s v="5fe5d8d0e4a5e22c1d78ac23"/>
        <s v="5fe5dd21f0267c6313124b8d"/>
        <s v="60d627d311c71a88dcd72550"/>
        <s v="602fdf62c85ce46efc858a10"/>
        <s v="605a504ededd7880ef6c4815"/>
        <s v="624579ed9cd685b34c447d19"/>
        <s v="62436b7c00f867b061138a8b"/>
        <s v="620424f33e9fdb7714909250"/>
        <s v="60a62f04dbf0a15520058cf8"/>
        <s v="61122d2eb13ec64f27b57862"/>
        <s v="6155b39b0f840c286862f8f5"/>
        <s v="60ba2cd2fa657e68b28f43ce"/>
        <s v="60c764adf4e3fb7c12958b9f"/>
        <s v="5fecf46712b7159782a4b380"/>
        <s v="60245011e42a4a6f0dc37c41"/>
        <s v="615f580a662651167ba18c65"/>
        <s v="6049d47a60f6a29184b43b5f"/>
        <s v="6079f670c9d16181a2142365"/>
        <s v="61150b1c0e75661ede5f3005"/>
        <s v="61f13e62aec4bb7e239792ba"/>
        <s v="6063581c2eb4390ceeb65d94"/>
        <s v="6149b2cf1ba9b54496dfbdd4"/>
        <s v="618aa8352dcfbf75db2203e3"/>
        <s v="60ad6df75dea45a0c772d6e3"/>
        <s v="61c6685b1bf9f84ebf92a089"/>
        <s v="606d9eea2e2345217d64cfdc"/>
        <s v="609005f3cad48674408d53b6"/>
        <s v="60c752cf7b738398bf2610e1"/>
        <s v="607ed7af974e0832e20c4c09"/>
        <s v="600478050d6f591a059c2f51"/>
        <s v="6253df47d6e147890d70761d"/>
        <s v="61dc28a42bd6b4f8bc28854d"/>
        <s v="5fe0c327d108fca7a22c00ee"/>
        <s v="6257e414d39abc4541cb22df"/>
        <s v="6244a91e6919dbaf410576e5"/>
        <s v="5fece9efcf337695c7b4a7da"/>
        <s v="606313838843fe369a7c78b7"/>
        <s v="5fe5df6dcf3376d115b348ca"/>
        <s v="6143b4bb1009ac85c5a73ad0"/>
        <s v="6037a001c4115aec2dee49ff"/>
        <s v="60d39c7b3b18f919c326952a"/>
        <s v="6214fda933f4f107258bb107"/>
        <s v="5ff6022cccad8fb64e3a9d57"/>
        <s v="61d450c324d8b47814e3aaaa"/>
        <s v="61d2ea2ce9b4792c4eb38dac"/>
        <s v="60550a3fc6a1186e0a8a5102"/>
        <s v="614e4c31fddab77234305ce6"/>
        <s v="6034c6623bb304184a2d3c7b"/>
        <s v="603f8cdbfc13be0e9c5bd81c"/>
        <s v="606242b065ce68b0a2abbd0a"/>
        <s v="60637e9ae81f5b091986bc8f"/>
        <s v="620a2fcab24b4a24c7fedefb"/>
        <s v="618bed251a3fa4a9b2a135f2"/>
        <s v="602c16e1537f205b3cf3c9e0"/>
        <s v="6014b4853a747816b6609716"/>
        <s v="60a26973fe6fd8ecb12c28c3"/>
        <s v="6026e434ab6bbf20692dc2df"/>
        <s v="5fe62a0087a63b2f16316e07"/>
        <s v="60e57f090e590f11c935246b"/>
        <s v="60241280808472635e73d3ee"/>
        <s v="6241bec7f36a6033803b30cf"/>
        <s v="6024101f49682f7f27a0cc29"/>
        <s v="6024151665de17a98adba932"/>
        <s v="603bfed7d6d0ad5caf91433d"/>
        <s v="60630880f4083eb0e687b74f"/>
        <s v="6014512d998c13d1848730ef"/>
        <s v="60ad5e44cae636af5ef326af"/>
        <s v="61e7cbc17c6afc836a7c4514"/>
        <s v="60246d361bfca3a4a5e68f69"/>
        <s v="601465a6d22e224af9b5b0cc"/>
        <s v="60550c493c09376a40eb34c8"/>
        <s v="6096d8b5da616284e7bd406f"/>
        <s v="6047e164902bc62878df3dc9"/>
        <s v="604d2e728c32344fca1d5201"/>
        <s v="608aaeefafd96de5f9f7d1e6"/>
        <s v="610073a9f9c507bacb0c9ce5"/>
        <s v="607ed4dd191de08434a256da"/>
        <s v="614d94f8ab17adc200f820ff"/>
        <s v="61d4600ea9a9b1813dd48c21"/>
        <s v="60245facfdc8e11eea8c5833"/>
        <s v="6221c9de3d343f620fd3f770"/>
        <s v="6079ff3f117f7c13f20e0daf"/>
        <s v="622b19274652b9a748add630"/>
        <s v="602fbb2ff2a4ca7151c3afa7"/>
        <s v="60950a2402644c32578396a6"/>
        <s v="6005f7a7c795bd791541d984"/>
        <s v="62346d32af291d41349e80f3"/>
        <s v="6253e8f0b1c55fb67addf194"/>
        <s v="600b2677cf43c1340fbbf84e"/>
        <s v="6070c1c629574a72d853af9d"/>
        <s v="60c0affe6da71b74c9cb5dc7"/>
        <s v="60d98e5c8b7ca9ddf5de2173"/>
        <s v="603a8e61021990211d5b7914"/>
        <s v="6245820755b5dbd1df315adc"/>
        <s v="60b760396dda9e614ad2ae17"/>
        <s v="6045f429ee8c4a7f82a0b8f1"/>
        <s v="6037884c97e55125e31aad03"/>
        <s v="622b46cd1e182bd479ec9ea6"/>
        <s v="62421d17bc50d19a3233e5ae"/>
        <s v="6014b889998c1360f1873cc1"/>
        <s v="62454d23c596943541587d1d"/>
        <s v="602fa0cf6f409c5478d0d139"/>
        <s v="602f9c62aa09e00e872abbaf"/>
        <s v="6242090523bd1479792b26ed"/>
        <s v="60d0e85f70593e6c18852e60"/>
        <s v="60d0ec3e3b18f9ad6125eea2"/>
        <s v="60b774086dda9ef02cd2c25c"/>
        <s v="612157961b3481a47c60e7e8"/>
        <s v="60d0f33870291c8654424539"/>
        <s v="603f8a23430b925220620627"/>
        <s v="61c1b1e9dda99d6669a37a36"/>
        <s v="606180192eb4394778b59516"/>
        <s v="61b9c0f0388e9f4eed05361a"/>
        <s v="61e13d22fdedf347dd5cdc0a"/>
        <s v="60635df0b48e84d2bf443d9e"/>
        <s v="61b107e6c2a99942130da531"/>
        <s v="623b6d40551309ed3fbc3d81"/>
        <s v="62333251d5e74bc2d9413961"/>
        <s v="60b9ff93c01be0581d3cdff4"/>
        <s v="60ad5f311d89cd5c726cb194"/>
        <s v="61996c0bae699a6ca83ecfed"/>
        <s v="61d7f0eae8597f25a4a97aa4"/>
        <s v="6065c1a93bf9ca073feb1140"/>
        <s v="60cc9706f364a069e1a15826"/>
        <s v="624d2e093f13ad3009b15679"/>
        <s v="6026e63de70cee5859b95a1f"/>
        <s v="623adb56ecc8f77b8cd59df0"/>
        <s v="60be200989353644be0ba0fb"/>
        <s v="600482dab73db5795f990b8f"/>
        <s v="6014af9f6c1642019c90d947"/>
        <s v="6064f790f2765ebdcc9a11d2"/>
        <s v="60cf7df0d9f5754b4c382a14"/>
        <s v="608ff214f237b258a20cc74a"/>
        <s v="5fee09a82ccf25e5c42217d6"/>
        <s v="619977784cb7b369f7d2d751"/>
        <s v="61a4dd5ab50ef86686da4afd"/>
        <s v="600af6a3b19c485e84c27af8"/>
        <s v="60a7f9e99dde1084fd560e30"/>
        <s v="60893b511949c7198d258983"/>
        <s v="60f2930e3a193d9ac44fad6d"/>
        <s v="6149a9dc8bf47f5530ec0e06"/>
        <s v="6214ee228e6acf382a3464e0"/>
        <s v="6070cfc5c8d2652f172bef3f"/>
        <s v="6050e810808b162fddc1a26b"/>
        <s v="618cb6cf0d6e2e36beeae3d7"/>
        <s v="6026d50649e2e425a3f32424"/>
        <s v="61f2c4a0b91196ca9a36a4fc"/>
        <s v="6120e72e2641796ddf6f8657"/>
        <s v="61c1ac40ec3faf3e700e6656"/>
        <s v="61f7c1d8686ff66c9250c81a"/>
        <s v="602461b82789553436923002"/>
        <s v="602fb313a6bb73bd184e9fe5"/>
        <s v="5fea5e5e34586716d1460977"/>
        <s v="61d7ef450363bf471e3d213b"/>
        <s v="60099d43c795bd680d42a691"/>
        <s v="6144823c4897b03060839278"/>
        <s v="601478d34e3bdf5eed67385c"/>
        <s v="60af9c49acb5f582b2a41808"/>
        <s v="60047f2044f1b4f8beba62fd"/>
        <s v="617fc7f33870d0e000633d3e"/>
        <s v="6038eefb845e74543fb2b5e1"/>
        <s v="619f484b991db096365e35c1"/>
        <s v="5fde740739426c8e146236e4"/>
        <s v="5fde4e15e8c62402471ef69d"/>
        <s v="61daeae138902f173fadd1c9"/>
        <s v="60155dca998c13f968875764"/>
        <s v="6199726f11e446c3169a4093"/>
        <s v="5fe67a6e345867dc4a4584e9"/>
        <s v="617ffedb6fcd035e79b38435"/>
        <s v="6151d8d72745ff35d518dd9a"/>
        <s v="601580c4f55f40704fc9e352"/>
        <s v="5fe60d9e4f55ab5cfe9c707c"/>
        <s v="600607a335cc59bdcefd45d5"/>
        <s v="61406978d3f10dc578d490a7"/>
        <s v="60060a09056c7946b4bff3e4"/>
        <s v="600605867441fc14ff7f7c0a"/>
        <s v="60f371348ae949f18bb16e38"/>
        <s v="6229d9412dc7c91deb53547a"/>
        <s v="61138a86f7e0d79b5759f482"/>
        <s v="60149285d22e22bcc6b5b2b6"/>
        <s v="5fe5fabf58f3acdc83e4c316"/>
        <s v="61afb0465fb24bb08f7a5008"/>
        <s v="6051b74db45d10d4d871b55d"/>
        <s v="60b62b8b971eff2b3ce56d52"/>
        <s v="601454f76c1642d7e590d3a2"/>
        <s v="60c35a875e8c6967f46e0f5e"/>
        <s v="6049dce1dbe4c4826bda33d3"/>
        <s v="601453a594d17a8a5aa787bb"/>
        <s v="6149cf7872bade7cc1a46baa"/>
        <s v="60e4b52d20baee651a7f4e85"/>
        <s v="5fea5ab3cf33761e52b46203"/>
        <s v="60d63e04f2d80c0928254778"/>
        <s v="6229d5e850af6e81bfd83a1a"/>
        <s v="6079fbbec9d16189cf14238f"/>
        <s v="623ccecae589c00037eb1de8"/>
        <s v="606c70886fb1811cd1ce451a"/>
        <s v="617ff80602bc2814575dfbd0"/>
        <s v="618c1c3eeb4f889fd2b807a5"/>
        <s v="6080641c4520f4c3639a3927"/>
        <s v="6040e881fc13be184a5c8925"/>
        <s v="601554f1f8fb0bde31fa2b19"/>
        <s v="61f138959893d31f6bc54601"/>
        <s v="6081ca7c95eb323e73a35255"/>
        <s v="6105bddf008be6512d26dc09"/>
        <s v="5fde78c5d4987aa5cbfb3aaf"/>
        <s v="618c1e46bc7e8654795929d1"/>
        <s v="6215065333f4f13ff58d2bb9"/>
        <s v="6014841467e56206ac85768a"/>
        <s v="6238d6b3ba92b9bcf1936230"/>
        <s v="615fe93d74a19e9efc9a25a5"/>
        <s v="60b771740ff8dd6cf4181ac5"/>
        <s v="61d55fa53401155f10f2ed0e"/>
        <s v="5ff4758a333ef5e271b08d32"/>
        <s v="619ff7473e14ff016ab63fe1"/>
        <s v="605100bee81006d7e64d005f"/>
        <s v="6225deb8eb4d3663fa52e8f4"/>
        <s v="6143b699f3fd0b8582acc05c"/>
        <s v="60b4b3f9a4a3c5e7422a9ec5"/>
        <s v="603a18b58ed50857ba14bf25"/>
        <s v="6245a74f3931811aa2797c80"/>
        <s v="618d0735cdedeb828bd23364"/>
        <s v="6239e661cf63c254e6ee90b4"/>
        <s v="620b4d2531d0235c78c95051"/>
        <s v="6033aa53965500178b0fc1d4"/>
        <s v="61d9d94cd325755825183f38"/>
        <s v="6143b0422e8af89fccdc1907"/>
        <s v="5fede8d6333ef51377af6acb"/>
        <s v="5fece285e5886a237d949e21"/>
        <s v="60881fbb1cc6187e78e528cf"/>
        <s v="60881af977de8ae34a03cf26"/>
        <s v="60880af342f08ad66c9e96b3"/>
        <s v="60880dd5d72f804f4f721660"/>
        <s v="6088226c0b0fe74f08bd7737"/>
        <s v="60881e8527e1d1077d574bea"/>
        <s v="6088100738142a742b90ca4a"/>
        <s v="6088131650f08fb7dfefbd5f"/>
        <s v="608818aa889c7ef0c0e6f210"/>
        <s v="60880f169fce60ace6f60fd0"/>
        <s v="60880905176e4e101cd01a17"/>
        <s v="6088067b545297b2650b914e"/>
        <s v="608823828a6396933e039a56"/>
        <s v="60882497ed7a3e719b73c158"/>
        <s v="608825948d56df19d67f9972"/>
        <s v="62307c45323c421e763d0013"/>
        <s v="60ab7c6f1d747dbaaa187bdf"/>
        <s v="602fed31fbe5050d64aa0df2"/>
        <s v="61d88167f2e640040ef41e45"/>
        <s v="61e94c13d6747787a8176f45"/>
        <s v="6225d6b7ea4c47cca55dad94"/>
        <s v="6225d15d9b4ffb285d5885d2"/>
        <s v="6225cd1fe034d3e9eba235d8"/>
        <s v="6225d529988274193b53e822"/>
        <s v="6225c8fe377f746e87700475"/>
        <s v="6225ce620115bd9471965d4f"/>
        <s v="6225d3787c345c6bc2129f6a"/>
        <s v="6225df4f3145e86a089d33a5"/>
        <s v="5fde4bacd8b47d0362d4a45c"/>
        <s v="5fde4869fdea331ba6decc01"/>
        <s v="5ffafb791f40a31be7910a52"/>
        <s v="61a88ba9873489eb832e9838"/>
        <s v="604538b0075e9b5c86b52986"/>
        <s v="6155afd45dbf64156e92e394"/>
        <s v="60245ad7db16c8f6e6f0b96b"/>
        <s v="6050e41ab45d100ad5719d8c"/>
        <s v="5fe8e78af0267c8b9e1285a4"/>
        <s v="61c18c9949a6995559cdc796"/>
        <s v="6051c9ab808b16793ac1b7ba"/>
        <s v="6047e05c24a3ce2ee870410d"/>
        <s v="60270ee021f17679833a3f37"/>
        <s v="6005ea7de13dbd60c85bce0f"/>
        <s v="6037b3c2f717328f374384be"/>
        <s v="6245e0f94627774aaa5843ff"/>
        <s v="619ce8e250f7403699bab2b2"/>
        <s v="61d5f597f3b939d1989016fb"/>
        <s v="60351b31e12f9d6afb52a6f0"/>
        <s v="601561ceaa213a5e4ae355eb"/>
        <s v="62449c6b3c86866799e2eec5"/>
        <s v="6037978df539a0e556059aff"/>
        <s v="601567e26c1642627391136c"/>
        <s v="60243de0ecc773e7cc5acdf3"/>
        <s v="6064959e2b03718c6adda220"/>
        <s v="6245ab85f484200a487a1a79"/>
        <s v="615cbd28d71fba71990f7e47"/>
        <s v="61bc5529edd604705686de90"/>
        <s v="616dcbde58034ffade9200d8"/>
        <s v="60807081d0f212bd34fc1265"/>
        <s v="618ccc7e77a79e0dce38b4fd"/>
        <s v="61716649d83a93e7505c367f"/>
        <s v="60677ef50c5b6443a0d505e9"/>
        <s v="607d4620c36c878fc5ef443b"/>
        <s v="6064b83a4f6acb09da462f46"/>
        <s v="6009a357c669c201439d3516"/>
        <s v="60b4bd2c8d4a68c8738311e1"/>
        <s v="60b4b897288ff7240fb91d5f"/>
        <s v="60b4be756727d1130fa48e3c"/>
        <s v="62456ef5b1ef45628161fe27"/>
        <s v="60584a71ad0bbd04625a16a1"/>
        <s v="60fc07dd1e304a3044fca2d0"/>
        <s v="6014a90294d17a8136a790f6"/>
        <s v="603bfd0f69811f55d7944069"/>
        <s v="61bc53b0ed294846e8bb1a95"/>
        <s v="621b548c2fd57185fb8cf881"/>
        <s v="61bc815ad5c2fdbbac989dc1"/>
        <s v="622f2ed716f8e8786fa6c123"/>
        <s v="5fe624e487a63b2b5b316d45"/>
        <s v="5fe6219e345867474e458182"/>
        <s v="5fe623525118f1fa4f8c555a"/>
        <s v="60156a844337de4c2e2c6cc4"/>
        <s v="610403b8f9c50763207677ba"/>
        <s v="5fde53622ef1233c6d201c4b"/>
        <s v="6200bc3b964d39e28f5fd769"/>
        <s v="5ffe08d135e580009d4528bb"/>
        <s v="606253966c2d4797a350106a"/>
        <s v="60f295e59aeb4eea1bf71a4c"/>
        <s v="61d7f2fc28d089103ae52c07"/>
        <s v="622fa16c4ed45e5874ad5ff5"/>
        <s v="622f3a8eadae29d62e62e44b"/>
        <s v="61d2e086333eba85aba50379"/>
        <s v="61b8bd0a3b26a2e15be9fc8d"/>
        <s v="5fece5494f55ab22929d5bf9"/>
        <s v="60b15485dbae064b5a9085c4"/>
        <s v="6141c4c68226549b37c9eadb"/>
        <s v="5fea0ac12ccf25531a215ecc"/>
        <s v="6092a4dd17f8af5350d4251f"/>
        <s v="6070c8cb9e322f4b68b85b2a"/>
        <s v="605a570c0405e9f2b5bad7a7"/>
        <s v="614d910167d735492bbf4eda"/>
        <s v="621cbd106c2201ab11825547"/>
        <s v="607f3bac10bf22c587b700d9"/>
        <s v="615b050383a76638bb84bd5c"/>
        <s v="61cb1b1c057f1f60c773989c"/>
        <s v="62456ff40925f996edfe1310"/>
        <s v="61b8c1267baa101cbdde3b24"/>
        <s v="5fde7e21856302888054fbd8"/>
        <s v="609a8fe96154b37bbe2f0093"/>
        <s v="601560320a16ee646fe17e35"/>
        <s v="60492bf756d500324b854850"/>
        <s v="620e362c26bf9c27032df44e"/>
        <s v="619f37223a1a5fe68760db59"/>
        <s v="600af06d906cbf2d58b6cc88"/>
        <s v="606dfaecf1f29d5cde64928c"/>
        <s v="625550d171b48f378438f24e"/>
        <s v="619621d3cea58f4f747fbc33"/>
        <s v="61c1c5e7cd475524fb77f213"/>
        <s v="60928653fe6418aa544961e6"/>
        <s v="62275142fe19333d2592f2d6"/>
        <s v="60b21e70da7e0ef54107ed04"/>
        <s v="6127841be2169b1c590fa7a6"/>
        <s v="611d04ac51d7d80c2b291cdd"/>
        <s v="602405985d729c27a74ecb9d"/>
        <s v="5ffe02a3292a61819db25f49"/>
        <s v="5ff4d1ed0e63fe4237ccba94"/>
        <s v="5ffdfa2e68b49456c58f38b6"/>
        <s v="5ffe05493b0c6d74040ede72"/>
        <s v="5ff4ce452ccf2549262357e3"/>
        <s v="5ff4d048eeb85d5507cf504b"/>
        <s v="6192679677a79e7bf2fe33f6"/>
        <s v="60b628c9f7e442dbcc3f2236"/>
        <s v="6203cb0536426d1135890ae7"/>
        <s v="61e140e49c344965d418bcba"/>
        <s v="60144a7015c659f7cfa3182d"/>
        <s v="604c8c6c7b790541146954da"/>
        <s v="6093ef743eafe4ad168485c7"/>
        <s v="62420df6c596947cf6e6b050"/>
        <s v="60585e4294997b3393a549bb"/>
        <s v="60a7fbb042791b26085bf3f1"/>
        <s v="6119448de8611e3c36e22f50"/>
        <s v="622b5869f66ab907edf8a9fa"/>
        <s v="61f9033b4177519da4e2dda0"/>
        <s v="61962b8ca140e2b691897a9d"/>
        <s v="5fedf6b38365ab225e8ed3dd"/>
        <s v="6238cc9330864fe6d10adf4e"/>
        <s v="5ffde74a757a6c84b6615d15"/>
        <s v="6050cd7c94bb4eb0ce7af7f5"/>
        <s v="602b8114e77af6533f137724"/>
        <s v="603761a4dd4ef020f01a16a2"/>
        <s v="6033a76217a3766376370395"/>
        <s v="6026dee946a84342fc6e33f8"/>
        <s v="60649e6eb48e84ad1745f39c"/>
        <s v="611bda291d0529122232f95b"/>
        <s v="601489bfd1201b8ce59557bd"/>
        <s v="5ffb00ba3cc99f0989cc8a01"/>
        <s v="60155a52d32da67561d1c7f6"/>
        <s v="621b5ad1f6a8ca39e35f2436"/>
        <s v="623cc603d463223a24655ab0"/>
        <s v="60144f4ed1201b25d595531d"/>
        <s v="6092741170c8286797cb8c04"/>
        <s v="614da49a0301a15b5360bb63"/>
        <s v="61a0c2023e14ff7ed8c43e22"/>
        <s v="6040ec3d5922fece10d32edc"/>
        <s v="60748fe4f5113c472ccbf5ee"/>
        <s v="60b7dd75b16b65de87b010a4"/>
        <s v="60d50bdaed62933eaf3298ab"/>
        <s v="60b7e0323ffe7f68658d4134"/>
        <s v="6194d183ddca383b6929f5d0"/>
        <s v="6096dc57b2587e49c837b717"/>
        <s v="624bf394f8bbfc960c4e0c5e"/>
        <s v="624bf5b4d080eb3b046358f6"/>
        <s v="6121546ca3243000b0de3f03"/>
        <s v="60e4545e6bd4dbb5610ccac1"/>
        <s v="618aa5a73eabc755b305d672"/>
        <s v="6245da1d6e0e53ba9c3fb38c"/>
        <s v="6065c02616b68f42c21b75f1"/>
        <s v="5fee11f04f55ab98aa9d8c83"/>
        <s v="5fee0f22e97c0d68ead18dbe"/>
        <s v="60891d694589d3006899c695"/>
        <s v="5fe119c51e9538f06795aed0"/>
        <s v="62177650659cd551f4823f5d"/>
        <s v="61c1c236623617311d72d065"/>
        <s v="620b4fbc60192893eb6795eb"/>
        <s v="601574e7d1201b46839584ab"/>
        <s v="620417763cb42d16b3a377fe"/>
        <s v="623b6c1db45e38295cca2d91"/>
        <s v="61961ef3cea58fbe4c7f1c7a"/>
        <s v="61a74e2339009a0d51006944"/>
        <s v="6143c0d2f9ce2e2a009f60e7"/>
        <s v="619f418fb4bb23ce92a683af"/>
        <s v="61e7d9ab0dd67f7a96c41d8e"/>
        <s v="624beea8e6f612850e12f525"/>
        <s v="606351ef3364a43fb0a385f0"/>
        <s v="61d807e5afb1ebaba2c9085d"/>
        <s v="60a60e220328fd888989da7f"/>
        <s v="61ebd7e4fa679506ab04c943"/>
        <s v="602fc6198653ef79c3d23c2d"/>
        <s v="60245212fdc8e1ddf78c49f9"/>
        <s v="602fc98eaa09e0b8342ac604"/>
        <s v="602fd11be77af664ab14eae2"/>
        <s v="604b51776b54244a7d1af775"/>
        <s v="60872e5f94bee0c0bb832369"/>
        <s v="61b87a23c1195ea2b53975bb"/>
        <s v="60afa1f65b32f48e2f31b0f4"/>
        <s v="60882b3c44bd250d81ddc839"/>
        <s v="622f204853ba25bdf9574744"/>
        <s v="60379c1cdefc7407685a08b8"/>
        <s v="5fea20c3a415e95f613c375b"/>
        <s v="605cdf6d81f114f3bf21c475"/>
        <s v="60ad56c19dd39136b071030f"/>
        <s v="605ccf271d92b2ace1730bc7"/>
        <s v="60377c386fdb1a4b2abe759f"/>
        <s v="621517d62c28f8fffd1d5086"/>
        <s v="6221d2b2841e35419263d775"/>
        <s v="606463ba2eb43958d6b6c8c4"/>
        <s v="604f3dca4642ff50fb74af39"/>
        <s v="620654ab033d6428607b7a1e"/>
        <s v="60dc4b1ad48ae47f543252ea"/>
        <s v="600b2c37523bc66b263eda26"/>
        <s v="600b2e887e16da4874ea6175"/>
        <s v="6225cf8d377f7430ca71b338"/>
        <s v="6087c5dc22a2d64a4e8d8f52"/>
        <s v="61b25fd7b5680b00cef70721"/>
        <s v="602fa3797491a94e1e069b7e"/>
        <s v="5ffec2aa65ba52ba2c2ce1f6"/>
        <s v="6087307127e1d177b8573426"/>
        <s v="615ff03c43b5a3b989ce526c"/>
        <s v="60244e75808472adb073e88d"/>
        <s v="60db071eec117453a9d60798"/>
        <s v="620414456d44b750bac83b35"/>
        <s v="61de810cdfb99e5cf2fffafc"/>
        <s v="611e4c22e0a9b0140e340502"/>
        <s v="6225e7116f10c15c5671afc4"/>
        <s v="602f91c87491a9c60b069441"/>
        <s v="625012c43048cf664c7e9c11"/>
        <s v="60647f314c11b051683c33d8"/>
        <s v="60e5f665404ddf1440e8453f"/>
        <s v="622b4eac7c940ab910619691"/>
        <s v="609542a8d924290c576d2bd3"/>
        <s v="605ce3c11d92b2907e730da1"/>
        <s v="622f1a440f965c9d4c5612e7"/>
        <s v="605656adc927999d039e6ed5"/>
        <s v="60c76752ff5d9189dab2c6f9"/>
        <s v="607d3037d384d4d2e2d31dcb"/>
        <s v="611ad3ffb935079440e61002"/>
        <s v="61b8ccca64d232655d729509"/>
        <s v="61b8d24b7baa104baee440f4"/>
        <s v="623186aa426ed18620d3d5d3"/>
        <s v="60098530c11c76c233ba36f6"/>
        <s v="62150c4635ab0af331939ce3"/>
        <s v="6149b00b3a2c28526530afd6"/>
        <s v="60243b5f49682f1040a0d0e9"/>
        <s v="60243808429bd8b9787de59a"/>
        <s v="602488b8b2f2a61d15b70f3a"/>
        <s v="5feb81bbe4a5e2e2b1795fa1"/>
        <s v="621e10e06f89f452bc5fbd90"/>
        <s v="6037a1e4f539a0feb4059cae"/>
        <s v="620a12ac4eff269cdaa28b2d"/>
        <s v="620a1565716b66fa111ea20b"/>
        <s v="61efda2c25a5ba3b5fcbb6f9"/>
        <s v="6202300040a212ada652616c"/>
        <s v="606358824f6acb4a3a45e709"/>
        <s v="60620fd7aa4729222daa81de"/>
        <s v="6075e478f925b03678f28318"/>
        <s v="605babac0405e91c5cbaedff"/>
        <s v="60635adf02bcfe2b61ea460a"/>
        <s v="60622e750e468ed398c7b846"/>
        <s v="60622a1b34f5ffec7857de78"/>
        <s v="6046294b4e9e974beab4f334"/>
        <s v="6062e67c1a40c43993398e48"/>
        <s v="607494fe613743c87e6b64dc"/>
        <s v="6061cc3d98aa5b62f621fcbd"/>
        <s v="6066cec222b6b1906d57f873"/>
        <s v="606211c4e81f5b3f5e869c19"/>
        <s v="6078a073d384d4a209d2768a"/>
        <s v="601497f73a747828f96096d5"/>
        <s v="603e0beebd73dd9c68e65739"/>
        <s v="606227ce4b04755f4c5a0a76"/>
        <s v="60271df0fc9e27da91b6f16e"/>
        <s v="603e0c68a69617640157c076"/>
        <s v="6064b0d134f5ff2f4c596a65"/>
        <s v="608aa85f42f08a19029ee907"/>
        <s v="60806ee0df4d78094fed602b"/>
        <s v="607eda4d0cb48e4e1c65081c"/>
        <s v="60ab725b2d05abcedf8cbc05"/>
        <s v="6093ecff630d1ad37f6eab5b"/>
        <s v="60afa6ddd827795f7f187c5e"/>
        <s v="61b10674cdeef23e10df0b23"/>
        <s v="6200ef8e9b97485f4aaf709d"/>
        <s v="61f2bad69b97532a3711788a"/>
        <s v="60272071e70ceeaea6b963b5"/>
        <s v="603f7cc43d7b8528f752f458"/>
        <s v="60e420048e09e060608ada98"/>
        <s v="60c75eb47b7383ca1e26126e"/>
        <s v="60b4ad3db125717d52c4fc4b"/>
        <s v="60c8b01128abdf32386d30a2"/>
        <s v="60ad68052d0304da89e75f64"/>
        <s v="61a93b7664dd7460fa77aa0c"/>
        <s v="62557683b41d6db6cd13e9ab"/>
        <s v="6024579f49682f727aa0d372"/>
        <s v="602458fff4cd3604e78103c2"/>
        <s v="602455c8cb7fffe69f20c0bd"/>
        <s v="624dabbf9f0b0da6cb381293"/>
        <s v="6203d823e989f96b00d38e88"/>
        <s v="606464f853493f47d1d50c1b"/>
        <s v="60d63b2bdb0d9608af0500cb"/>
        <s v="600c9455b1969176e73d2e45"/>
        <s v="607d3f59748155445cdef8f5"/>
        <s v="621509c61579e55e0753ad85"/>
        <s v="602f8c55c85ce4c7b5857312"/>
        <s v="62137068318b2d73605b9f51"/>
        <s v="5fe68863eeb85d4e34ccd650"/>
        <s v="61f900c6dd4c6417707ba781"/>
        <s v="61d562c25e55ea91558e407c"/>
        <s v="603f7f4bb33aa70b17d5d7ec"/>
        <s v="6004199de9903bb4c9cf6e81"/>
        <s v="5fe0e336879562e2c8cc63dd"/>
        <s v="603a90c269811f2170942d9f"/>
        <s v="603a931c021990b5db5b7947"/>
        <s v="5ffe18aef73b3373efd152ff"/>
        <s v="5ffe1b9a4a4dfa06d7aba5f3"/>
        <s v="619e35bc1e642d33d228e9ba"/>
        <s v="61f2b46bf3bc5305c8e853bf"/>
        <s v="5fe9a329333ef5df88aef60f"/>
        <s v="6245792977a1ae288c8d9a04"/>
        <s v="61f2c2424bded960c978e344"/>
        <s v="60637b9e3730cfcba3539bcf"/>
        <s v="605319fb36e00249239998b5"/>
        <s v="615ec948f7a5f66861353489"/>
        <s v="616009b3e01a0f629428999c"/>
        <s v="6151e1add547cf92384efa69"/>
        <s v="61fd9bcf25a13d7883fae59f"/>
        <s v="61c1d7c918ba3c3335e459d2"/>
        <s v="61996ee9884dd0226f517317"/>
        <s v="61ae0203e985131182ff56e7"/>
        <s v="61644bcad2c86b36921365e5"/>
        <s v="61ebff36b6159580adffab86"/>
        <s v="60149da9d9ee3c18140420b6"/>
        <s v="5feb776fe4a5e2816c795f6a"/>
        <s v="611aed5f315279d75ad02499"/>
        <s v="5ff4275f630a76ca6400806f"/>
        <s v="5fde7155cd2760dc329f6255"/>
        <s v="614e4ebed4398261d76ab475"/>
        <s v="5fe0e758d3f42b1416aedfe0"/>
        <s v="6245dcc06e0e53cf2740c127"/>
        <s v="60c74e8e41f4cbacb744c4a2"/>
        <s v="620422593bebe344b524fe47"/>
        <s v="6082bb575d77c0461ade6800"/>
        <s v="6005e74ac669c23e299c4c38"/>
        <s v="5fecd95feeb85d098bcdd7cd"/>
        <s v="6257f8c84e0ef908926a789d"/>
        <s v="610d36bfa2b7fd3aa6b9c85d"/>
        <s v="5feb7afce5886a18fb946927"/>
        <s v="5feb7faf58f3ac59fae5801c"/>
        <s v="6045d0fdee8c4a536ba0af1f"/>
        <s v="600dd584b196915ae93d4c00"/>
        <s v="5fec93aa52fcda3e11cb1d37"/>
        <s v="6079f853d415f067f1abe160"/>
        <s v="5feb94b7f0267c71b1130737"/>
        <s v="5fe8eeeba415e97d1f3c1006"/>
        <s v="614483612dc80f03f092151d"/>
        <s v="620a329def498e30ae581c06"/>
        <s v="60db121018a0c06375ee2ab9"/>
        <s v="623483959bd43d82d7e48013"/>
        <s v="5fec8d5fdc26c70bafd08e8c"/>
        <s v="5fe8f24e71e89c163c95f429"/>
        <s v="60be21b06eb3ead8ae0db10a"/>
        <s v="60146bcbb9e6858bcf5b7a64"/>
        <s v="60144ddf6c16425f7490d29d"/>
        <s v="602f8fd96f409c60ebd0ccaa"/>
        <s v="6040c9a7dc8b32a64ac3f32a"/>
        <s v="6172c1a8314de40a72448f5c"/>
        <s v="607c28d8682946a6f31dc22f"/>
        <s v="60152908caa06121ef7f660d"/>
        <s v="60152fa4d22e22aebbb5c940"/>
        <s v="606360337692c7715bfcad87"/>
        <s v="60fc04f42d651c14a37f0863"/>
        <s v="602ebee2f3768366599f7ef4"/>
        <s v="60cf7392d711ac6c1fe65221"/>
        <s v="5ff752f0292a61f3e5b13ff8"/>
        <s v="60e58d289962131c33b3bed6"/>
        <s v="61a4dab450f7404d97e42b41"/>
        <s v="60e5ff0a0ffd7604595d07b6"/>
        <s v="61b1091b70bb7f2a081955ea"/>
        <s v="60816235d067790a26c05d11"/>
        <s v="5fde8d7d856302162f54fbec"/>
        <s v="611509283ac649f6f6d42955"/>
        <s v="618a475aae24ef0e3e06ab73"/>
        <s v="616449b04c574a2f8a3d1ac9"/>
        <s v="6026d88ee70cee4c3ab955ac"/>
        <s v="604c851f7ebf1783853258fb"/>
        <s v="600b015f65caa79f533e893d"/>
        <s v="618af0c1087de33fa0ce98ef"/>
        <s v="61447faf09247349f490fb35"/>
        <s v="5fe90ac4a415e973ad3c103b"/>
        <s v="606b11a43d414a62105abadf"/>
        <s v="6034e67d5036e10c0456201f"/>
        <s v="604c89e1d0321ba7b717ae94"/>
        <s v="5fe0d2a461e7ff5aa2fc442d"/>
        <s v="60046ca3f4d31f080c7ddd06"/>
        <s v="6200c4199b9748de39ac6ce0"/>
        <s v="60b2077cd13b385f81a960b0"/>
        <s v="60246420278955d34f923004"/>
        <s v="60c65c0402d8d6494f9bd780"/>
        <s v="5ffebecce348f63e4aa3178c"/>
        <s v="5ffeb9f4292a61152cb28fde"/>
        <s v="5ffebca7c92252e7db3a1d5a"/>
        <s v="621b647c35cb505301cbd3be"/>
        <s v="6225bcdceb5d69b89c84b692"/>
        <s v="6225beb7dea08906db733029"/>
        <s v="60b152c681145620a92f9486"/>
        <s v="61d6e7e70363bf200b188e64"/>
        <s v="6034c5873bb3040e942d3c73"/>
        <s v="6214f1d91579e5b7ad4ff51e"/>
        <s v="6149cb472b54dc760ab4d50c"/>
        <s v="624bdcdc04e26f5db9be5629"/>
        <s v="6068c2b1e693b73eb1644dfe"/>
        <s v="6120ea88e818f2c94faa5da6"/>
        <s v="62177118dd2d40eeb882d047"/>
        <s v="623ef66b6fc03b6d95e42bab"/>
        <s v="606d942de84f1210a6a20d04"/>
        <s v="621563455a4d2b3011ab9b2d"/>
        <s v="6176ba3c26a37d6ed7990c2d"/>
        <s v="6078a2bf07047f5d5eb36f2b"/>
        <s v="60e5fb19508ede6117088111"/>
        <s v="5fe67860eeb85df6d7ccd64f"/>
        <s v="6014bcf84492cd87a5b7c1ad"/>
        <s v="60ab7e54d6af65fa1cd0ff54"/>
        <s v="614d8e5045d84a740050ab87"/>
        <s v="5fec7382e97c0d25d0d158e5"/>
        <s v="5fec620087a63bbc3932810f"/>
        <s v="5fec7d83630a76bf9dff3049"/>
        <s v="5fec67588365ab46508eb3d5"/>
        <s v="616dc0ad36e8295d1dc02d81"/>
        <s v="604535fce26cdb0df61e82f5"/>
        <s v="623ad0a17289cc58f03456c5"/>
        <s v="5ff6162277f9874a5e7993f8"/>
        <s v="60625c7e8843fef3097c4327"/>
        <s v="608ff3d1db8fbb2f9010e311"/>
        <s v="60a400ff7e9c4d5dff3d926e"/>
        <s v="6070197ae2b606dbaa1717e2"/>
        <s v="620faea55a4d2bb9b13c4421"/>
        <s v="6194d4681370eb68b638abdf"/>
        <s v="6038e746618c3a6c2222da02"/>
        <s v="60a6689877346ad1d97a63f6"/>
        <s v="607fed8479796fc8e55a55a8"/>
        <s v="60806b23d0f2122fd5fc11df"/>
        <s v="608d965ec6f49173393d5ed2"/>
        <s v="60d79724d48ae4249e31e7ab"/>
        <s v="6068c05fea511aada565be77"/>
        <s v="60847fb92d44eb38b0896c67"/>
        <s v="6127507ee3cfe82c2e3a71ee"/>
        <s v="606364cff4083e52ea87c1a0"/>
        <s v="5feb1432cf3376c170b46b68"/>
        <s v="60642d59f4083eac9087f032"/>
        <s v="606377b8f2765e9b4c991e6f"/>
        <s v="6220c4b7f358540005dac6ef"/>
        <s v="618ccf1e2b090ee8d77c2882"/>
        <s v="603f9ef792b6d00b22dade54"/>
        <s v="61d2e48c5e55eaabb3189d64"/>
        <s v="61a937df0f9d75093d70a4c8"/>
        <s v="60148dfb998c13d874873636"/>
        <s v="6143c283fe2d6af3f03cbcbc"/>
        <s v="61139a4af7e0d76c2a5d05e5"/>
        <s v="6004752be2740f29fb19e69d"/>
        <s v="60be21aeeb496504f372fb78"/>
        <s v="614d8ba1ea1b0b479f9d9065"/>
        <s v="600601120a79b1ce02e30095"/>
        <s v="600602d2f9bae4f42952e1a5"/>
        <s v="6005fef7c669c249949c4ca5"/>
        <s v="605cc7c24f6acb4af9445995"/>
        <s v="6238bc96ecc8f7c5858d358c"/>
        <s v="60097759f69aa4324447497c"/>
        <s v="608daf0ff372e1844825d8c2"/>
        <s v="6200c5cd125ced48d1b1b80c"/>
        <s v="622b32d40394d2e4e9bd6a17"/>
        <s v="606e0e97070f3bf7644b15b1"/>
        <s v="6092d5a30039503ee7f8d21e"/>
        <s v="6050eaf94642ff406974e8bc"/>
        <s v="60a40432341cac2c6a455396"/>
        <s v="61728fd14526371692708570"/>
        <s v="623a257ca0874355d6a250ce"/>
        <s v="603c03cc77274f5c05c6bcb9"/>
        <s v="607f40c341375f30d5d92f1e"/>
        <s v="6141b8043f62aecccd620a22"/>
        <s v="613f27a190f9b8a2e7f5925d"/>
        <s v="60e4536a5faaa9a68c1997d7"/>
        <s v="60e451917144115331655f3a"/>
        <s v="61715e67b4c3c99407a79de0"/>
        <s v="62155f91e244e7167170bb8f"/>
        <s v="61cae8dd627a7701db2e8073"/>
        <s v="602c099dc20d0464f54fb2f6"/>
        <s v="61769cbb86eecd4821e61010"/>
        <s v="623045f317e1e00a473953d2"/>
        <s v="6151db92d7f7bf856a977273"/>
        <s v="62331695af291d330b653651"/>
        <s v="606b577b12cde66c3dd0984d"/>
        <s v="606af4d7eb165e009d8d374e"/>
        <s v="62421f69b561fa997ffa49d1"/>
        <s v="608da0120e33f3598ffaa950"/>
        <s v="621cc46bbfca5569ea7eaa48"/>
        <s v="602723d249e2e4577cf36426"/>
        <s v="60e5f8a0fba0e17f209142b4"/>
        <s v="608db2606caf5449e6a84c1c"/>
        <s v="615f565dfb83d03e31fc1e3d"/>
        <s v="601495de61fea777591f147c"/>
        <s v="60c0b2522fd0ca584b66115b"/>
        <s v="61f2bd1c8cd01ce41b81259f"/>
        <s v="5febc4b6e15215a57b9594d1"/>
        <s v="5feb8643dc26c71899d07016"/>
        <s v="6231e6de6c098356592844c3"/>
        <s v="614c39d59d31c8ae9e3e8c55"/>
        <s v="61d4757bab405412e4c976f0"/>
        <s v="62177cde23b054dc116dacc2"/>
        <s v="61b9b52c88979f639a71c0a8"/>
        <s v="61d9d36c3c6cd549053d5dc7"/>
        <s v="6009aec80a0197ecc6f349e5"/>
        <s v="6243f9c185a38ffc0f7b623b"/>
        <s v="5fe9001ba415e906823c1038"/>
        <s v="601469f415c659653ba31e3f"/>
        <s v="60146096f179e4d84c264942"/>
        <s v="61fa5801064e23a1ca2d6df5"/>
        <s v="623459158d4bcdd46faafba5"/>
        <s v="5ff4512ca415e9dcb83dbec0"/>
        <s v="60649c24d79a79e3814a8448"/>
        <s v="619f7b96bcb905de8f4699fd"/>
        <s v="60a66f2f6236f1cc8968b69a"/>
        <s v="6025962760687bbf742ebd66"/>
        <s v="60625ef1f10f9f0feee7cd16"/>
        <s v="6239e34130864f01b72dbd6b"/>
        <s v="605cc37d6c2d4716ef4ef064"/>
        <s v="6005ef6737de6271b1b37177"/>
        <s v="624217a385d9c248aba8f117"/>
        <s v="6203da7701d93ee0e730593a"/>
        <s v="6149a62a5c47fc8dd8161ccb"/>
        <s v="61936c52839d56b3a2e73b8d"/>
        <s v="603e168e618c3a7681244fed"/>
        <s v="605a4c90889b9bd6983c2c1b"/>
        <s v="60a8024d04a5e26d984f98c8"/>
        <s v="62319e23adae29d6e9c15a2f"/>
        <s v="60b225ba07c53b762b0cf61f"/>
        <s v="6009aacd9611de29decd0f2a"/>
        <s v="623b5c5f7c006674b6676403"/>
        <s v="60c7bbdecaa82f9293de1e0b"/>
        <s v="60c7bfbae94523fc8d26bf54"/>
        <s v="61b8c718388e9f2c00e4b626"/>
        <s v="6061b8fb53493f4308d3d584"/>
        <s v="60718c3e26fd832f0e4baefe"/>
        <s v="60259d2d55fa61292cfcb799"/>
        <s v="6241bcdd30157a2f08fdef69"/>
        <s v="6188fe1cc3d5eeecd1ce63df"/>
        <s v="61e7d17a87f3ea80e189e339"/>
        <s v="6257df6570d10b2efb0cfac5"/>
        <s v="61fd9686996e871135c2468f"/>
        <s v="611ae6435b5b62ada9e51eed"/>
        <s v="60c79d8e9aeae2be8b5e6111"/>
        <s v="61634ea377653a49b4d58cfa"/>
        <s v="618a3dd1050d8372fdd9d7c0"/>
        <s v="618cc9cace71dfe8873189fa"/>
        <s v="61fd9345ad48367c14788c39"/>
        <s v="6220ae3bcd34592026857aeb"/>
        <s v="611b73b9988cb8e0c4846880"/>
        <s v="60b14bed46bce76d4d640a04"/>
        <s v="61d44e0000449ac1c9b09de9"/>
        <s v="62507204b1c55f38796aac70"/>
        <s v="603e22c8c667c61ac874566a"/>
        <s v="603e259b7c87b461f0b0c4f9"/>
        <s v="61e7d7e63db5912a053d218d"/>
        <s v="625173551912334d775dfcc6"/>
        <s v="602654d0e70ceefe5fb937d9"/>
        <s v="61db43b9f2e640dbaa75a2a4"/>
        <s v="614480f57e62cf793640f2e1"/>
        <s v="60b7786e4c7b7b37dbe276a1"/>
        <s v="6004478c49bc3d4820c9f558"/>
        <s v="62592a19c0cadf01360ee9b5"/>
        <s v="6100712ec9187e817b3c8f7b"/>
        <s v="62348a89674d1065a5dfaead"/>
        <s v="610d3ae93f99ced88540c06e"/>
        <s v="621b512c2fd571238f8c3c28"/>
        <s v="5ff5e3efe2d9e0635b02074b"/>
        <s v="603d4e7d3bc2906a332ce243"/>
        <s v="6202346d19e71ed87caf3664"/>
        <s v="6204de27e2ace44033c91736"/>
        <s v="61de9d8c33217c10cec1ba2c"/>
        <s v="6062d3a71d92b24282746d02"/>
        <s v="60044c4de6346c125f381cd2"/>
        <s v="60813459191de06da3a315a0"/>
        <s v="61b334352d61b78b47b6d2b8"/>
        <s v="6061b66369de6c75234baa79"/>
        <s v="6014ab37d9ee3c37400420db"/>
        <s v="606c92b7fbec05dde417e052"/>
        <s v="606c8b2a3df6106ff1f2a677"/>
        <s v="61bb929db23d61095c8ab602"/>
        <s v="602fbd266f409c8074d0d81d"/>
        <s v="615ec3c48f102c80036de61a"/>
        <s v="61afaaff7d9cb1812b77bd7d"/>
      </sharedItems>
    </cacheField>
    <cacheField name="Restoran&#10;Adı" numFmtId="0">
      <sharedItems>
        <s v="01 Ada Dönercim , Çukurova (Yüzüncü Yıl mah.)"/>
        <s v="01 Bay Şef Döner (Sucuzade Mah.)"/>
        <s v="01 Cheff Döner Cafe, Seyhan (Kurtuluş Mah.)"/>
        <s v="01 Sarıçam Tantuni (Esentepe Mah.)"/>
        <s v="01 Servis Künefe, Ceyhan (Namık Kemal Mah.)"/>
        <s v="01 Urfa Sofrası, Yüreğir (Dadaloğlu Mah.)"/>
        <s v="112 Kaburgacı Kenan, Yüreğir (Kazım Karabekir Mah.)"/>
        <s v="27 Tat Cafe , Çukurova (Yurt Mah.)"/>
        <s v="5 Kardeşler Kebap Ve Izgara Çeşitleri (Gültepe Mah.)"/>
        <s v="5 Ocak Kebap (Kurtuluş Mah.)"/>
        <s v="7/C Ocakbaşı (Mahfesığmaz Mah.)"/>
        <s v="7/C Ocakbaşı Gazipaşa,(Cemalpaşa Mah.)"/>
        <s v="7/C Ocakbaşı, Çukurova (Mahfesığmaz Mah.)"/>
        <s v="Abdullah Usta Kebap, Seyhan (Pınar Mah.)"/>
        <s v="Acıktım Büfe, Seyhan (Kayalıbağ Mah.)"/>
        <s v="Adana Ateşi Mangalcı (Sümer Mah. - Barajyolu)"/>
        <s v="Adana Başkent Döner, Seyhan (Döşeme Mah.)"/>
        <s v="Adana Börekçilik (Selahattin Eyyubi Mah.)"/>
        <s v="Adana Döner Cafe (2000 Evler Mah.)"/>
        <s v="Adana Dürümcüsü , Çukurova (Toros Mah.)"/>
        <s v="Adana Erbey Döner (Tellidere Mah.)"/>
        <s v="Adana Gurmesi Tantuni Dünyası, Sarıçam (Yeşiltepe Mah.)"/>
        <s v="Adana Lezzet Durağı, Çukurova (Mahfesığmaz Mah.)"/>
        <s v="Adana Lezzet Sokağı, Seyhan (Yeşilyurt Mah.)"/>
        <s v="Adana Mercan Şaşlık Kebap (Toros Mah.)"/>
        <s v="Adana Nohut Dürüm, Seyhan (Cemalpaşa Mah.)"/>
        <s v="Adana Sofrası, Ceyhan (Namık Kemal Mah.)"/>
        <s v="Adana Taşköprü Közde Döner (Türkocağı Mah.)"/>
        <s v="Adana Tatlıcı Gönül Kardeşler, Çukurova (Yurt Mah.)"/>
        <s v="Adanas Çiğ Köfte &amp; Meze, Ceyhan (Burhaniye Mah.)"/>
        <s v="Adıyamanlı Çiğ Köfteci Ali Baba, Seyhan (Reşatbey Mah.)"/>
        <s v="Adıyamanlı Çiğ Köfteci Erdoğan Usta (Gürselpaşa Mah.)"/>
        <s v="Adıyörem Çiğ Köfte (Karacaoğlan Mah.)"/>
        <s v="Adıyörem Çiğ Köfte, Seyhan (İkibinevler Mah.)"/>
        <s v="Afilli Balık (Mahfesığmaz Mah.)"/>
        <s v="Afiyet Kebap (Huzurevleri Mah.)"/>
        <s v="Agah Restaurant, Seyhan (Kurtuluş Mah.)"/>
        <s v="Ağabey Döner (Yeşilyurt Mah. - İbo Osman Cad.)"/>
        <s v="Ağabey Döner, Seyhan (Sümer Mah.)"/>
        <s v="Ahmet Yıldızoğlu Künefe, Seyhan (Pınar Mah.)"/>
        <s v="Ailem Tavukçuluk, Çukurova (Yurt Mah.)"/>
        <s v="Akarsu Kebap &amp; Izgara , Çukurova (Yüzüncü Yıl Mah.)"/>
        <s v="Akdo , Çukurova (Güzelyalı Mah.)"/>
        <s v="Akdo, Seyhan (Pınar Mah.)"/>
        <s v="Akıllıoğlu El Yapımı Çiğ Köfte, Kozan (Karacaoğlan Mah.)"/>
        <s v="Akif Börekçioğlu, Çukurova (Mahfesığmaz Mah.)"/>
        <s v="Alâ Döner &amp; Pizza, Sarıçam (Çarkıpare Mah.)"/>
        <s v="Ala Mezze, (Güzelyalı Mah. - Süleyman Demirel Blv.)"/>
        <s v="Âlâ Ocakbaşı, Seyhan (Tellidere Mah.)"/>
        <s v="Alaçatı Muhallebicisi (Cemalpaşa Mah. - Gazipaşa Blv.)"/>
        <s v="Alaçatı Muhallebicisi,(Toros Mah. - Turgut Özal Blv.)"/>
        <s v="Algül Dondurma, Sarıçam (Şahintepe Mah.)"/>
        <s v="Ali Baba Cafe , Çukurova (Güzelyalı Mah.)"/>
        <s v="Ali Bey , (Mahfesığmaz Mah. - Turgut Özal Blv.)"/>
        <s v="Ali Şef Tavuk (Gültepe Mah.)"/>
        <s v="Alido Dondurma, Sarıçam (Osmangazi Mah.)"/>
        <s v="All Chicken Burn , Çukurova (Mahfesığmaz Mah.)"/>
        <s v="Alo Balık, Seyhan (Gürselpaşa Mah.)"/>
        <s v="Altın Cafe (Cemalpaşa Mah. - Atatürk Cad.)"/>
        <s v="Altıyol Çorba &amp; Yöresel Ev Yemekleri (Beyazevler Mah.)"/>
        <s v="American Chicken Box, Seyhan (Cemalpaşa Mah.)"/>
        <s v="An-takya Döner , Seyhan (Cemalpaşa Mah..)"/>
        <s v="Anadolu Çiğköfte, Seyhan (Hurmalı Mah.)"/>
        <s v="Anadolu Çiğköfte, Yüreğir (Anadolu Mah.)"/>
        <s v="Antakya Express Döner (Belediyeevleri Mah.)"/>
        <s v="Antakya Sos Döner, Çukurova (Yüzüncü Yıl Mah.)"/>
        <s v="Antakya Sos Döner, Seyhan (Pınar Mah.)"/>
        <s v="Antakyam Döner, Çukurova (Mahfesığmaz Mah.)"/>
        <s v="Antik Döner, Sarıçam (Gültepe Mah.)"/>
        <s v="Antiochia Döner , Çukurova (Güzelyalı Mah.)"/>
        <s v="Antiochia Döner, Seyhan (Gürselpaşa Mah.)"/>
        <s v="Antiochia Döner, Seyhan (Yenibaraj Mah. - Barajyolu)"/>
        <s v="Ara Döner 01, Çukurova (Toros Mah.)"/>
        <s v="Arada Biyer (Mahfesığmaz Mah.)"/>
        <s v="Argos Kebap , Seyhan (Cemalpaşa Mah.)"/>
        <s v="Arı Ekspress Döner, Seyhan (Sümer Mah. - Barajyolu)"/>
        <s v="Arı Ekspress Döner, Seyhan (Yeşiloba Mah.)"/>
        <s v="Arısoy Restaurant &amp; Catering, Sarıçam (Acıdere Osb Mah.)"/>
        <s v="Arifzade Organik Çiğ Köfte &amp; Meze, Çukurova (Beyazevler Mah.)"/>
        <s v="Aristone Cafe,(Kurtuluş Mah. - Atatürk Cad.)"/>
        <s v="Art City Pizza &amp; Burger, Seyhan (Reşatbey Mah.)"/>
        <s v="Artizan Burger, Seyhan (Gürselpaşa Mah.)"/>
        <s v="Arya Kebap Evi,Kozan (Cumhuriyet Mah.)"/>
        <s v="Asel Patisserie &amp; Cafe, Sarıçam (Gültepe Mah.)"/>
        <s v="Asil Börek, Çukurova (Yüzüncü Yıl Mah.)"/>
        <s v="Asil Fırın &amp; Pasta, Seyhan (Yeşilyurt Mah.)"/>
        <s v="Aslan Cafe, Seyhan (Sümer Mah.)"/>
        <s v="Asmaaltı Kebap (Gürselpaşa Mah.)"/>
        <s v="Aso Döner (Kurtuluş Mah. - Atatürk Cad.)"/>
        <s v="Aşık Döner, Çukurova (Belediyeevleri Mah.)"/>
        <s v="Ata Kumpir (Mahfesığmaz Mah.-Turgut Özal Blv.)"/>
        <s v="Atabey İskender (Güzelyalı Mah.)"/>
        <s v="Atahan Kebap, Yüreğir (Dadaloğlu Mah.)"/>
        <s v="Ateş Midye, Seyhan (Kurtuluş Mah.)"/>
        <s v="Ateş Sosis, Seyhan (Sümer Mah. - Barajyolu)"/>
        <s v="Atom Büfe, Çukurova (Toros Mah. - Turgut Özal Blv.)"/>
        <s v="Ayder Kebap, Çukurova (Güzelyalı Mah.)"/>
        <s v="Aydın Börekçilik, Sarıçam (Gültepe Mah.)"/>
        <s v="Aydın Gökçeli (Sümer Mah. - Barajyolu)"/>
        <s v="Aydın Gökçeli Döner Cafe, Seyhan (Kuruköprü Mah.)"/>
        <s v="Aydın Gökçeli Pizza (Yeşilyurt Mah.)"/>
        <s v="Aydın Gökçeli Pizza, Seyhan (Kuruköprü Mah.)"/>
        <s v="Aydoruk Döner (Pınar Mah.)"/>
        <s v="Ayman Tantuni, Seyhan (Sümer Mah. - Barajyolu)"/>
        <s v="Ayvalık Tostçusu, Seyhan (Sümer Mah. - Barajyolu)"/>
        <s v="Ayyıldız Kebap &amp; Lahmacun (Gültepe Mah.)"/>
        <s v="Ayyıldız Pizza, Kozan (Tufanpaşa Mah.)"/>
        <s v="Baba Kebap, Seyhan (Fevzipaşa Mah.)"/>
        <s v="Baba Onbaşılar Kebap &amp; Ciğer, Çukurova (Toros Mah.)"/>
        <s v="Bade Ocakbaşı &amp; Meze Evi, Seyhan (Sümer Mah.)"/>
        <s v="Bağrıyanık Ciğer &amp; Kebap, Yüreğir (Köprülü Mah.)"/>
        <s v="Bahçeşehir Kebap &amp; Lahmacun (Bahçeşehir Mah.)"/>
        <s v="Bak Tat Ye, Seyhan (Gürselpaşa Mah.)"/>
        <s v="Bake &amp; Brew Pizza, Çukurova (Beyazevler Mah.)"/>
        <s v="Bakery Loven, Çukurova (Güzelyalı Mah.)"/>
        <s v="Baklavacızade, Yüreğir (Serinevler Mah.)"/>
        <s v="Bal Aile Kasap &amp; Kebap, Kozan (Çanaklı Mah.)"/>
        <s v="Balıkçı Duran (Sümer Mah. - Barajyolu)"/>
        <s v="Balıkçı Şahin, Çukurova (Yüzüncü Yıl Mah.)"/>
        <s v="Balıkçı Veysel, Çukurova (Kurttepe Mah. - Süleyman Demirel Blv.)"/>
        <s v="Balım Pasta &amp; Cafe, Sarıçam (Şahintepe Mah.)"/>
        <s v="Ballıbaba Dondurma, Çukurova (Güzelyalı Mah.)"/>
        <s v="Barajyolu Döner (Sümer Mah.)"/>
        <s v="Barajyolu Pizza (Sümer Mah.)"/>
        <s v="Baran Etsiz Çiğköfte, Seyhan (Gülbahçesi Mah.)"/>
        <s v="Başkent Döner, Yüreğir (Dadaloğlu Mah.)"/>
        <s v="Battalbey Çiğ Köftecisi (İstiklal Mah.)"/>
        <s v="Battalbey Çiğ Köftecisi (Toros Mah.)"/>
        <s v="BayEmir Döner, Seyhan (Kocavezir Mah.)"/>
        <s v="Bayraklı Tantuni, Sarıçam (Mehmet Akif Ersoy Mah.)"/>
        <s v="Begonya Mantı Evi &amp; Ev Yemekleri, Seyhan (Sümer Mah.)"/>
        <s v="Begova Saray Pasta &amp; Cafe &amp; Unlu Mamüller (Döşeme Mah.)"/>
        <s v="Begoviç Börekçisi, Seyhan (Gürselpaşa Mah.)"/>
        <s v="Beğendik Döner, Çukurova (Beyazevler Mah.)"/>
        <s v="Bek Islak Hamburger (Beyazevler Mah.)"/>
        <s v="Bereket Sofrası Kebap &amp; Lahmacun (Gürselpaşa Mah.)"/>
        <s v="Bereket Sofrası Kebap &amp; Lahmacun &amp; Pide (Güzelyalı Mah.)"/>
        <s v="Best Burger,(Güzelyalı Mah. - Turgut Özal Blv.)"/>
        <s v="Best Chicken Döner &amp; İskender, Ceyhan (Cumhuriyet Mah.)"/>
        <s v="Bestem Döner &amp; İskender, Seyhan (Pınar Mah.)"/>
        <s v="Beyaz Mutfak, Seyhan (Yeşilyurt Mah.)"/>
        <s v="Beylerbeyi Cafe, Çukurova (Toros Mah.)"/>
        <s v="Beyzade Kebap &amp; Kasap &amp; Steakhouse, (Kabasakal Mah.)"/>
        <s v="Beyzade Kebap, (Mahfesığmaz. - Turgut Özal Blv.)"/>
        <s v="Beyzade Kebap, Çukurova (Güzelyalı Mah.)"/>
        <s v="Beyzade Kebap, Çukurova (Yüzüncü Yıl Mah.)"/>
        <s v="BIG-S Burger, Çukurova (Güzelyalı Mah.)"/>
        <s v="BIG-S Burger, Seyhan (Gürselpaşa Mah.)"/>
        <s v="Bi Tatlı Park, Seyhan (İsmetpaşa Mah.)"/>
        <s v="Bi Tepsi, Çukurova (Güzelyalı Mah. - Turgut Özal Blv.)"/>
        <s v="Bi Tepsi, Seyhan (Sümer Mah.)"/>
        <s v="Bi Yer Döner &amp; İskender Cafe, Seyhan (Yeşilyurt Mah.)"/>
        <s v="Bi'Tat Tantuni (Yeni Mah. - M1 AVM)"/>
        <s v="Bi'Tat Tantuni, Seyhan (Kurtuluş Mah. - Ziyapaşa Blv.)"/>
        <s v="Big Burger City, Çukurova ( Mahfesığmaz Mah.)"/>
        <s v="Bin Esved Kebap &amp; Döner (Gürselpaşa Mah.)"/>
        <s v="Bir Tat Restoran, Çukurova (Yüzüncü Yıl Mah.)"/>
        <s v="Birbiçer Ciğer,(Belediyeevleri Mah. - Türkmenbaşı Blv.)"/>
        <s v="Birbiçer Kebap , Çukurova (Güzelyalı Mah.-Adnan Menderes Bulv.)"/>
        <s v="Birbiçer Kebap , Çukurova (Güzelyalı Mah.-Süleyman Demirel Bul.)"/>
        <s v="Birbiçer Sokak Lezzetleri, Seyhan (Hurmalı Mah.)"/>
        <s v="Bizim Börekçilik (Gürselpaşa Mah.)"/>
        <s v="Bizim Börekçilik (Ziyapaşa Mah.)"/>
        <s v="Bizim Fırın Pasta &amp; Cafe, Seyhan (Döşeme Mah.)"/>
        <s v="Bizim Ocakbaşı, Seyhan (Yeşilyurt Mah. - Karaafat Cad.)"/>
        <s v="Blackbird Coffee &amp; Kitchen, Yüreğir (Serinevler Mah.)"/>
        <s v="Blackfish (Cemalpaşa Mah.)"/>
        <s v="Bloom Sweets, Seyhan (Sümer Mah.)"/>
        <s v="Bolulu Hasan Usta,(Kurtuluş Mah. - Ziyapaşa Blv.)"/>
        <s v="Botta Bloom (Cemalpaşa mah.)"/>
        <s v="Börek House, Çukurova (Yüzüncü Yıl Mah.)"/>
        <s v="Börekçi Kardeşler (Tahsilli Mah.)"/>
        <s v="Bullong Beef Burger, Çukurova (Huzurevleri Mah.)"/>
        <s v="Bun The Bun, Seyhan (Cemalpaşa Mah.)"/>
        <s v="Bun The Bun, Seyhan (Gürselpaşa Mah.)"/>
        <s v="Burger Bar, Çukurova (Güzelyalı Mah. - Turgut Özal Blv.)"/>
        <s v="Burger Bar, Seyhan (Cemalpaşa Mah.)"/>
        <s v="Burger Bar, Seyhan (Sümer Mah. - Barajyolu)"/>
        <s v="Burger Motto, Seyhan (Gürselpaşa Mah.)"/>
        <s v="Burger@, Kozan (Karacaoğlan Mah.)"/>
        <s v="Burgerhall, Seyhan (Gürselpaşa Mah.)"/>
        <s v="Burgerhome, Seyhan (Kurtuluş Mah.)"/>
        <s v="Burgerhome, Seyhan (Yeni Mah.)"/>
        <s v="Burgerhome,(Güzelyalı Mah. - Turgut Özal Blv.)"/>
        <s v="Burgerz, Çukurova (Toros Mah.)"/>
        <s v="Bus Stop Sokak Lezzetleri, Ceyhan (Namık Kemal Mah.)"/>
        <s v="Büyük Adana Kebap (Cemalpaşa Mah. - Gazipaşa Blv.)"/>
        <s v="By Ada Döner, Yüreğir (Serinevler Mah.)"/>
        <s v="By ÇD Döner, Çukurova (Yurt Mah. - Turgut Özal Blv.)"/>
        <s v="By Lookma Waffle (Yurt Mah. - Turgut Özal Blv.)"/>
        <s v="By Tombiş Cafe, Çukurova (Huzurevleri Mah.)"/>
        <s v="Cadde'S Döner &amp; Köfte, Ceyhan (Namık Kemal Mah.)"/>
        <s v="Cafe Inn , Çukurova (Huzurevleri Mah.)"/>
        <s v="Cafe Inn, Çukurova (Toros Mah.)"/>
        <s v="Cafe Kırmızı (Beyazevler Mah.)"/>
        <s v="Cafe's , Seyhan (Cemalpaşa Mah.)"/>
        <s v="Cafelim Börek ve Döner Salonu, Yüreğir (Ulubatlı Hasan Mah.)"/>
        <s v="Cajun Corner (Cemalpaşa Mah.)"/>
        <s v="Cajun Corner, Çukurova (Beyazevler Mah.)"/>
        <s v="Cajun Corner, Seyhan (Pınar Mah.)"/>
        <s v="Cajun Home , Çukurova (Güzelyalı Mah. - Turgut Özal Blv.)"/>
        <s v="California, Sarıçam (Gültepe Mah.)"/>
        <s v="Can Can Kebap (Gürselpaşa Mah.)"/>
        <s v="Can Döner, Seyhan (Hürriyet Mah.)"/>
        <s v="Can Kardeşler Kebap, Yüreğir (Kazım Karabekir Mah.)"/>
        <s v="Can Tatlı &amp; Dondurma, Çukurova (Huzurevleri Mah.)"/>
        <s v="Canım Döner İster, Çukurova (Yüzüncü Yıl Mah.)"/>
        <s v="Canoğlu Döner &amp; İskender, Seyhan (Karasoku Mah.)"/>
        <s v="Casco Pizzeria , Çukurova (Güzelyalı Mah.)"/>
        <s v="Cebrail Usta'nın Yeri, Yüreğir (Kiremithane Mah.)"/>
        <s v="Cemido Öz Dilek Pastanesi, Seyhan (Dumlupınar Mah.)"/>
        <s v="Cengiz Burger&amp;Taps (Cemalpaşa Mah.)"/>
        <s v="Center Stage, Seyhan (Cemalpaşa Mah.)"/>
        <s v="Cesur Pide, Yüreğir (Levent Mah.)"/>
        <s v="Ceyhan Balkaymak Dondurma (Cemalpaşa Mah.)"/>
        <s v="Ceyhan Balkaymak Dondurma (Mithatpaşa Mah.)"/>
        <s v="Ceywing's Chicken, Ceyhan (Cumhuriyet Mah.)"/>
        <s v="Chef Döner, Sarıçam (Yavuz Sultan Selim Mah.)"/>
        <s v="Chef Dürüm, Çukurova (Yurt Mah. - Turgut Özal Blv.)"/>
        <s v="Chef Mirdesli Çeşni Gurme, Seyhan (Çınarlı Mah.)"/>
        <s v="Chef's Burger House , Çukurova (Mahfesığmaz Mah.)"/>
        <s v="Chicken Crunchy (Mahfesığmaz Mah.)"/>
        <s v="Chicken Garage Cajun&amp;Burger, Çukurova (Mahfesığmaz Mah.)"/>
        <s v="Chocolabs Chocolate &amp; Coffee (Güzelyalı Mah. - Uğur Mumcu Blv.)"/>
        <s v="Chopstick (Mahfesığmaz Mah. - Turgut Özal Blv.)"/>
        <s v="Cızbız Cafe 01, Seyhan (Gürselpaşa Mah.)"/>
        <s v="Ciğerci Hadi (Döşeme Mah.)"/>
        <s v="Ciğerci Ulaş,(Güzelyalı Mah. - Turgut Özal Blv.)"/>
        <s v="Cihangir Dürümmatik, Seyhan (Kurtuluş Mah. - Ziyapaşa Blv.)"/>
        <s v="Cihangir Kebap &amp; Büryan, Seyhan (Pınar Mah.)"/>
        <s v="Cihangir Kebap, Çukurova (Güzelyalı Mah.)"/>
        <s v="Cihat Döner, Sarıçam (Gültepe Mah.)"/>
        <s v="Cimbilli Ocakbaşı Seyhan (Yeşilyuva Mah.)"/>
        <s v="Cool Koala Cafe, Seyhan (Cemalpaşa Mah.)"/>
        <s v="Cozy Burger (Reşatbey Mah.)"/>
        <s v="Creppy, Çukurova (Güzelyalı Mah. - Turgut Özal Blv.)"/>
        <s v="Cupid Burger, Çukurova (Mahfesığmaz Mah. - Turgut Özal Blv.)"/>
        <s v="Çağ Tatlı (Yeşilyurt Mah. - İbo Osman Cad.)"/>
        <s v="Çağlı Kebap, Çukurova (Huzurevleri Mah.)"/>
        <s v="Çağrı Büfe, Çukurova (Güzelyalı Mah.)"/>
        <s v="Çakıl Taşı Midye &amp; Kokoreç, (Güzelyalı Mah)"/>
        <s v="Çakın Et Ve Balık Restoran, Kozan (Tufanpaşa Mah.)"/>
        <s v="Çarşı Fırat Közde Döner, Seyhan (Fevzipaşa Mah.)"/>
        <s v="Çarşı Özgür Döner (Çınarlı Mah.)"/>
        <s v="ÇD Çukurova Döner , Çukurova (Huzurevleri Mah.)"/>
        <s v="ÇD Döner (Gazipaşa Mah.)"/>
        <s v="ÇD Döner (Selahattin Eyyubi Mah.)"/>
        <s v="ÇD Döner, Çukurova (Toros Mah.)"/>
        <s v="ÇD Döner, Çukurova (Yüzüncü Yıl Mah.)"/>
        <s v="ÇD Döner, Seyhan (Reşatbey Mah.)"/>
        <s v="ÇD Döner, Seyhan (Tellidere Mah.)"/>
        <s v="Çekbi Döner (Şahintepe Mah.)"/>
        <s v="Çelikler Lokantası, Sarıçam (Mehmet Akif Ersoy Mah.)"/>
        <s v="Çınar Fırın, Yüreğir (Atakent Mah.)"/>
        <s v="Çınarlı Lahmacun &amp; Pide, Seyhan (Çınarlı Mah.)"/>
        <s v="Çıtır Döner, Çukurova (Mahfesığmaz Mah.)"/>
        <s v="Çiğ Köfte Deryası , Çukurova (Belediye Evleri Mah.)"/>
        <s v="Çiğ Köfte Deryası, (Mahfesığmaz Mah. - Kenan Evren Blv.)"/>
        <s v="Çiğ Köfte Deryası, Çukurova (Güzelyalı Mah.Süleyman Demirel Blv)"/>
        <s v="Çiğ Köfte Deryası, Çukurova (Huzurevleri Mah.)"/>
        <s v="Çiğ Köfte Deryası, Çukurova (Toros Mah.)"/>
        <s v="Çiğ Köfte Dünyası (Pınar Mah.)"/>
        <s v="Çiğ Köfte Dünyası (Yenibaraj Mah.)"/>
        <s v="Çiğ Köfte Dünyası, Çukurova (Beyazevler Mah.)"/>
        <s v="Çiğ Köfte Dünyası, Çukurova (Kurttepe Mah.)"/>
        <s v="Çiğ Köfte Dünyası, Sarıçam (Gültepe Mah.)"/>
        <s v="Çiğ Köfte Dünyası, Seyhan (Ziyapaşa Mah.)"/>
        <s v="Çiğ Köfte Dünyası,(Yurt Mah. - Turgut Özal Blv.)"/>
        <s v="Çiğ Köfte Konağı (Atakent Mah.)"/>
        <s v="Çiğ Köfte Konağı (Belediyeevleri Mah.)"/>
        <s v="Çiğ Köfte Konağı (Gültepe Mah.)"/>
        <s v="Çiğ Köfte Konağı (Serinevler Mah.)"/>
        <s v="Çiğ Köfte Konağı (Yavuzlar Mah. - Kışla Cad.)"/>
        <s v="Çiğ Köfte Konağı, Yüreğir (Akıncılar Mah.)"/>
        <s v="Çiğ Köfte Türkiye (Dadaloğlu Mah.)"/>
        <s v="Çiğ Köfte Türkiye, Sarıçam (Yavuz Sultan Selim Mah.)"/>
        <s v="Çiğ Köfte Türkiye, Yüreğir (Ptt Evleri Mah.)"/>
        <s v="Çiğ Köfte Türkiyem, Seyhan (Pınar Mah.)"/>
        <s v="Çiğ Köfteci Ömer Usta, Sarıçam (Şahintepe Mah.)"/>
        <s v="Çiğ Köftem 02 (Dumlupınar Mah.)"/>
        <s v="Çiğköfteci Recep Usta, Yüreğir (Ulubatlı Hasan Mah.)"/>
        <s v="Çiğköftem (Toros Mah. - Kenan Evren Blv.)"/>
        <s v="Çoban Katık Döner (Cemalpaşa Mah.)"/>
        <s v="Çoban Katık Döner,Yurt Mah. - Turgut Özal Blv.)"/>
        <s v="Çukurova Börek Tatlı, Çukurova (Huzurevleri Mah.)"/>
        <s v="D- Life, Seyhan (Cemalpaşa Mah.)"/>
        <s v="Damak Baklava ( Güzelyalı Mah.)"/>
        <s v="Dante (Kurtuluş Mah. - Ziyapaşa Blv.)"/>
        <s v="Defne Kebap, Ceyhan (Ulus Mah.)"/>
        <s v="Demirel Lezzet Durağı, Seyhan (Fatih Mah.)"/>
        <s v="Dene@Gör Dönersin (Güzelyalı Mah. - Turgut Özal Blv.)"/>
        <s v="Deniz Cafe, Çukurova (Toros Mah. - Turgut Özal Blv.)"/>
        <s v="Deniz Kardeşler Közde Döner, Seyhan (Dumlupınar Mah.)"/>
        <s v="Deniz Kebap &amp; Lahmacun (Ptt Evleri Mah.)"/>
        <s v="Denizaltı Balık (Gürselpaşa Mah.)"/>
        <s v="Devran Döner, Ceyhan (Belediye Evleri Mah.)"/>
        <s v="Devran Pizza, Seyhan (Dağlıoğlu Mah.)"/>
        <s v="Deyişik Dürüm, Seyhan (Reşatbey Mah.)"/>
        <s v="Dillere Destan Ev Yemekleri, Çukurova (Toros Mah.)"/>
        <s v="Diva Pastaneleri (Gürselpaşa Mah.)"/>
        <s v="Diva Pastaneleri (Pınar Mah.)"/>
        <s v="Diva Pastaneleri, Çukurova (Huzurevleri Mah. - Türkmenbaşı Blv.)"/>
        <s v="Diyet Kapımda , Çukurova (Huzurevleri Mah.)"/>
        <s v="Diyet Kapımda , Seyhan(Cemalpaşa Mah.)"/>
        <s v="Diyet Kapımda, Seyhan (Gürselpaşa Mah.)"/>
        <s v="Diyet Zamanı , Seyhan (Cemalpaşa Mah.)"/>
        <s v="Dobos Food &amp; Drink , Çukurova (Güzelyalı Mah.)"/>
        <s v="Doğal Büfe (Cemalpaşa Mah. - Gazipaşa Blv.)"/>
        <s v="Doğal Yemek Evi, Seyhan (Gazipaşa Mah.)"/>
        <s v="Dolunay Cafe (Çınarlı Mah.)"/>
        <s v="Dost Çiğ Köfte Dünyası, Seyhan (İsmetpaşa Mah.)"/>
        <s v="Dostlar Börek &amp; Fast Food, Yüreğir (Akıncılar Mah.)"/>
        <s v="Doy Doy (Güzelyalı Mah. - Süleyman Demirel Blv.)"/>
        <s v="Doy Doy Döner &amp; Cafe, Sarıçam (Gültepe Mah.)"/>
        <s v="Doy Mix Döner, Ceyhan (Burhaniye Mah.)"/>
        <s v="Doyum Cafe, Çukurova (Belediye Evleri Mah.)"/>
        <s v="Doyum Döner Cafe, Sarıçam (Gültepe Mah.)"/>
        <s v="Döner Aşkı, Seyhan (Sümer Mah.)"/>
        <s v="Döner Vadisi, Seyhan (Yeşilyurt Mah. - Karaafat Cad.)"/>
        <s v="Döner-C, Yüreğir (Yavuzlar Mah.)"/>
        <s v="Dönergah (Yeşilevler Mah.)"/>
        <s v="Dönerhan, Seyhan (Telliedere Mah.)"/>
        <s v="Dönerland, Çukurova (Huzurevleri Mah.)"/>
        <s v="Dörtyol Çelik Döner, (Tepebağ Mah. - Çakmak Cad.)"/>
        <s v="Dörtyol Tantuni, Seyhan (Kurtuluş Mah. - Atatürk Cad.)"/>
        <s v="Dr. Makarna &amp; Burger, Çukurova (Yurt Mah. - Turgut Özal Blv.)"/>
        <s v="Dream House Cafe, Çukurova (Beyazevler Mah.)"/>
        <s v="Duygu Pizza, Seyhan (Sümer Mah. - Barajyolu)"/>
        <s v="Dünya Cafe &amp; Restaurant, Çukurova (Belediyeevleri Mah.)"/>
        <s v="Dünya Döner, Çukurova (Toros Mah.)"/>
        <s v="Dürümcü Baba (Sümer Mah. - Barajyolu)"/>
        <s v="Dürümcü, Çukurova (Güzelyalı Mah. - Turgut Özal Blv.)"/>
        <s v="Düsas, Seyhan (Yeni Mah.)"/>
        <s v="Ede Firik Dondurma , Çukurova (Güzelyalı Mah.)"/>
        <s v="Efe Közde Döner, Çukurova (Toros Mah.)"/>
        <s v="Ege Kebap, Seyhan (Cemalpaşa Mah.)"/>
        <s v="Ekrem Coşkun Döner, (Mahfesığmaz Mah. - Kenan Evren Blv.)"/>
        <s v="Ekrem Coşkun Döner, Çukurova (Güzelyalı Mah. - Turgut Özal Blv.)"/>
        <s v="Ekrem Coşkun Döner, Seyhan (Pınar Mah.)"/>
        <s v="Ekrem Coşkun Döner, Seyhan (Yenibaraj Mah. - Barajyolu)"/>
        <s v="El Mexico (Reşatbey Mah.)"/>
        <s v="Elibol Döner (Atakent Mah.)"/>
        <s v="Elif Közde Döner, Yüreğir (Sarıçam Mah.)"/>
        <s v="Elit Dostlar Kebap &amp; Lahmacun, (Güzelyalı Mah.)"/>
        <s v="Elit Fırın Pasta &amp; Cafe, Çukurova (Mahfesığmaz Mah.)"/>
        <s v="Elit Fırın Pasta &amp; Cafe, Seyhan (Cemalpaşa Mah.)"/>
        <s v="Elle Çiğ Köfte, Seyhan (Yenibaraj Mah.)"/>
        <s v="Emel'Ce Kebap, Seyhan (İsmetpaşa Mah.)"/>
        <s v="Emin Döner &amp; Kebap, Seyhan (İkibinevler Mah.)"/>
        <s v="Emin Kebap (Karasoku Mah.)"/>
        <s v="Enfes Fırın, (Güzelyalı Mah.)"/>
        <s v="Erdem Börek, Seyhan (Uçak Mah.)"/>
        <s v="Erdoğdu Kebap, Yüreğir (Levent Mah.)"/>
        <s v="Eren Döner, Seyhan (Pınar Mah.)"/>
        <s v="Eski Foça Balık (Gürselpaşa Mah.)"/>
        <s v="Essahlı Çiğ Köfte, Seyhan (Demetevler Mah.)"/>
        <s v="Eylül Büfe &amp; Fast Food, (Mahfesığmaz Mah.)"/>
        <s v="Eymen &amp; Ada Kebap , Çukurova (Belediyeevleri Mah.)"/>
        <s v="Eymen Kebap &amp; Lahmacun (Belediyeevleri Mah.)"/>
        <s v="Eyüp Can Döner, Seyhan (Dumlupınar Mah.)"/>
        <s v="Eyüp Can Kebap &amp; Lahmacun, Seyhan (Sümer Mah. - Barajyolu)"/>
        <s v="Eyvan Kebap, Çukurova (Güzelyalı Mah.)"/>
        <s v="Ezmeze, Çukurova (Mahfesığmaz Mah.)"/>
        <s v="Fa’ Mira Pasta &amp; Cafe, Çukurova (Belediyeevleri Mah.)"/>
        <s v="Federal Coffee, Seyhan (Gürselpaşa Mah.)"/>
        <s v="Federal Coffee, Seyhan (Kurtuluş Mah. - Ziyapaşa Blv.)"/>
        <s v="Federico Store , Seyhan (Cemalpaşa Mah.)"/>
        <s v="Fehmi Büfe , Çukurova (Yurt Mah.)"/>
        <s v="Fırat Cafe Barajyolu Şubesi, Mahfesığmaz Mah.)"/>
        <s v="Fırat Cafe Barajyolu Şubesi, Seyhan (Sümer Mah. - Barajyolu)"/>
        <s v="Fırat Cafe Pandora, Çukurova (Mahfesığmaz Mah.)"/>
        <s v="Fırat Cafe Pandora, Seyhan (Gürselpaşa Mah.)"/>
        <s v="Fırat Cafe Pandora, Seyhan (Kurtuluş Mah.)"/>
        <s v="Fırat Cafe Pandora,Yurt Mah. - Turgut Özal Blv.)"/>
        <s v="Fırat Keyifler Kebap, Çukurova (Toros Mah. - Turgut Özal Blv.)"/>
        <s v="Fırın Adana, Seyhan (Gürselpaşa Mah.)"/>
        <s v="Fırın Pastanya, Yüreğir (Atakent Mah.)"/>
        <s v="Fırıngo Pasta &amp; Cafe, Çukurova (Huzurevleri Mah.)"/>
        <s v="Fikr-Et, Çukurova (Belediyeevleri Mah. - Türkmenbaşı Blv.)"/>
        <s v="Fikr-Et, Seyhan (Yeşiloba Mah.)"/>
        <s v="Fix Döner (Barış Mah.)"/>
        <s v="Flavor Inn, Seyhan (Yenibaraj Mah.)"/>
        <s v="Fotografya Kare Pizza (Reşatbey Mah.)"/>
        <s v="Frame &amp; Box of Taste, Seyhan (Reşatbey Mah.)"/>
        <s v="Full Burger Cafe (Kurtuluş Mah.)"/>
        <s v="Füme Gurme (Cemalpaşa Mah.)"/>
        <s v="Game Of Hot Dog , Çukurova (Belediyeevleri Mah. )"/>
        <s v="Gaudi Dondurma, Çukurova (Mahfesığmaz Mah. - Turgut Özal Blv.)"/>
        <s v="Gaziantep Fıstık Bahçesi, (Güzelyalı Mah. - Turgut Özal Blv.)"/>
        <s v="Gaziantep Kebap &amp; Lahmacun (Yeşilyurt Mah. - Karaafat Cad.)"/>
        <s v="Gaziantep Mozaik Künefe &amp; Katmer, Ceyhan (Cumhuriyet Mah.)"/>
        <s v="Gazioğlu Döner (Ziyapaşa Mah.)"/>
        <s v="Gece Gündüz Döner, Yüreğir (Selahattin Eyyubi Mah.)"/>
        <s v="Gıyasbey Döner (Belediye Evleri Mah.)"/>
        <s v="Gizerler Çatı Restaurant, Seyhan (Reşatbey Mah.)"/>
        <s v="Gourmet Handmade Burger &amp; Pizza , Çukurova (Güzelyalı Mah.)"/>
        <s v="Gökçeli Express (Meydan Mah. - Kıbrıs Cad.)"/>
        <s v="Gökçeli Express (Yeşilevler Mah.)"/>
        <s v="Gökçeli Express, Yüreğir (Cumhuriyet Mah.)"/>
        <s v="Gökçeli Express, Yüreğir (Dervişler Mah.)"/>
        <s v="Gökkuşağı (Sümer Mah.)"/>
        <s v="Gökkuşağı Cafe , Çukurova (Güzelyalı Mah.)"/>
        <s v="Göksel Tantuni, Çukurova (Güzelyalı Mah. - Turgut Özal Blv.)"/>
        <s v="Gönül Kahvesi , Çukurova (Güzelyalı Mah.)"/>
        <s v="Gönül Kardeşler, Çukurova (Yurt Mah.)"/>
        <s v="Gözde Döner, Seyhan (Hürriyet Mah.)"/>
        <s v="Gözde Lezzetler, Çukurova (Toros Mah.)"/>
        <s v="Gramaj Bakery &amp; Cake Shop, Seyhan (Cemalpaşa Mah.)"/>
        <s v="Granny's Waffles &amp; Kumpir, Seyhan (Gürselpaşa Mah.)"/>
        <s v="Guer Kitchen, Seyhan (Kurtuluş Mah.)"/>
        <s v="Guest, Seyhan (Gürselpaşa Mah.)"/>
        <s v="Gül Evi Ev Yemekleri , Çukurova (Yurt Mah.)"/>
        <s v="Gül Pide Salonu (Güzelyalı Mah.)"/>
        <s v="Gülbahar Döner &amp; Fast Food, Çukurova ( Toros Mah.)"/>
        <s v="Güler Midye &amp; Kokoreç (Güzelyalı Mah. - Turgut Özal Blv.)"/>
        <s v="Güloğlu Baklava &amp; Pasta, Seyhan (Pınar Mah.)"/>
        <s v="Gümüş Bey İskender &amp; Döner (Huzurevleri Mah.)"/>
        <s v="Güney Paça &amp; Yemek, Seyhan (Kuruköprü Mah.)"/>
        <s v="Habib Chef Et &amp; Kebap, Seyhan (Kurtuluş Mah.)"/>
        <s v="Hacı Baba Kokereç, Seyhan (Sümer Mah.)"/>
        <s v="Hakan Altun Restoran, Ceyhan (Namık Kemal Mah.)"/>
        <s v="Halil İbrahim Kebap (Mahfesığmaz Mah.)"/>
        <s v="Halk Lahmacun, Ceyhan (Konakoğlu Mah.)"/>
        <s v="Hamburgerci Mükerrem, Çukurova (Güzelyalı Mah.)"/>
        <s v="Hamburgerci Mükerrem, Seyhan (Cemalpaşa Mah.)"/>
        <s v="Hamburgerci Mükerrem, Seyhan (Kurtuluş Mah.)"/>
        <s v="Hamza Efendi Baklava (Barış Mah. - Vefa Cad.)"/>
        <s v="Hamza Efendi Baklava (Çınarlı Mah. - Ziyapaşa Bul.)"/>
        <s v="Hamza Efendi Baklava (Dervişler Mah.)"/>
        <s v="Hamza Efendi Baklava (Gürselpaşa Mah.)"/>
        <s v="Hamza Efendi Baklava (Güzelyalı Mah.)"/>
        <s v="Hamza Efendi Baklava (Kışla Mah.)"/>
        <s v="Hamza Efendi Baklava (Meydan Mah.)"/>
        <s v="Hamza Efendi Baklava (Mithatpaşa Mah.)"/>
        <s v="Hamza Efendi Baklava (Onur Mah.)"/>
        <s v="Hamza Efendi Baklava (Selahattin Eyyubi Mah.)"/>
        <s v="Hamza Efendi Baklava (Şahintepe Mah.)"/>
        <s v="Hamza Efendi Baklava (Tellidere Mah.)"/>
        <s v="Hamza Efendi Baklava (Toros Mah.)"/>
        <s v="Hamza Efendi Baklava (Yurt Mah.)"/>
        <s v="Hamza Efendi Baklava (Yüzüncüyıl Mah.)"/>
        <s v="Hanedan Kebap, Seyhan (Pınar Mah.)"/>
        <s v="Hanımeli Sofrası (Çınarlı Mah. - Ziyapaşa Bul.)"/>
        <s v="Hanzade Kebap, Sarıçam (Gültepe Mah.)"/>
        <s v="Harrem Çiğ Köfte, Çukurova (Yurt Mah.)"/>
        <s v="Hasan Masat, Çukurova (Toros Mah.)"/>
        <s v="Hasan Masat, Çukurova (Yurt Mah.)"/>
        <s v="Hasan Masat, Karataş (Yeni Mah)"/>
        <s v="Hasan Masat, Seyhan (Kocavezir Mah.)"/>
        <s v="Hasan Masat, Seyhan (Küçükdikili Mah.)"/>
        <s v="Hasan Masat, Seyhan (Mestenzade Mah.)"/>
        <s v="Hasan Masat, Seyhan (Pınar Mah.)"/>
        <s v="Hasan Masat, Yüreğir (Havutlu Mah.)"/>
        <s v="Hasan Masat, Yüreğir (Sarıçam Mah.)"/>
        <s v="Hasan Usta Kebap, Çukurova (Kurttepe Mah.)"/>
        <s v="Hasan Usta Kebap, Seyhan (Sümer Mah. - Barajyolu)"/>
        <s v="Hasır Künefe, Seyhan (Gürselpaşa Mah.)"/>
        <s v="Hatay Meze Evi, Seyhan (Kurtuluş Mah.)"/>
        <s v="Hataylım Döner &amp; Tantuni (Yüzüncü Yıl Mah.)"/>
        <s v="Hatice Pastanesi , Çukurova (Güzelyalı Mah.)"/>
        <s v="Hayat Cafe, Seyhan (Reşatbey Mah.)"/>
        <s v="Hayata Döner (Kışla Mah.)"/>
        <s v="Helvacı Hello, Çukurova (Mahfesığmaz Mah.)"/>
        <s v="Helvacı Naci, Seyhan (Yenibaraj Mah.)"/>
        <s v="Hmbrgr Homemade Burgers (Sinanpaşa Mah. - Optimum AVM)"/>
        <s v="Horoz Döner (Gülpınar Mah.)"/>
        <s v="Horoz Döner, Seyhan (Şehitduran Mah.)"/>
        <s v="Hünkar Çiğ Köfte, (Yurt Mah. - Turgut Özal Blv.)"/>
        <s v="Hünkar Döner (Tahsilli Mah.)"/>
        <s v="İbocan Lahmacun &amp; Pide &amp; Pizza, Seyhan (Tepebağ Mah.)"/>
        <s v="İce Studio Coffee , Çukurova (Güzelyalı Mah.)"/>
        <s v="İkizler Mantı , Çukurova (Huzurevleri Mah.)"/>
        <s v="İklim Döner (Belediyeevleri Mah.)"/>
        <s v="İkram, Çukurova (Güzelyalı Mah.)"/>
        <s v="İlgim Cafe, Yüreğir (Yavuzlar Mah.)"/>
        <s v="İlgim Döner (Cumhuriyet Mah.)"/>
        <s v="İmparator İbo Kebap &amp; Döner, (Esentepe Mah.)"/>
        <s v="İmparator İbo Lahmacun &amp; Pide &amp; Pizza, (Sümer Mah.)"/>
        <s v="İnci Pastanesi, Çukurova (Yurt Mah. - Turgut Özal Blv.)"/>
        <s v="İsimsiz, Seyhan (Gürselpaşa Mah.)"/>
        <s v="İskenderun Döner, Kozan (Karacaoğlan Mah.)"/>
        <s v="İskotis Cafe, Kozan (Şevkiye Mah.)"/>
        <s v="İstanbul Balıkçısı , Seyhan (Cemalpaşa Mah.)"/>
        <s v="İstanbul Çiğ Köfte (Şahintepe Mah.)"/>
        <s v="İstanbul Çiğ Köfte, Seyhan (Yeşilyurt Mah.)"/>
        <s v="İstanbul Doyum Börekçilik (Tellidere Mah.)"/>
        <s v="İstanbul Doyum Börekçilik, Çukurova (Yüzüncüyıl Mah.)"/>
        <s v="İstanbul Doyum Börekçilik, Seyhan (Pınar Mah.)"/>
        <s v="İstanbul Döner, Seyhan (Yeşilyurt Mah.)"/>
        <s v="İstanbul Kadayıf Dünyası, Çukurova (Belediye Evleri Mah.)"/>
        <s v="İstanbul Kadayıf Dünyası, Çukurova (Toros Mah.)"/>
        <s v="İstanbul Kadayıf Dünyası, Seyhan (Sümer Mah.)"/>
        <s v="İzmir Kumru, Çukurova (Toros Mah. - Kenan Evren Blv.)"/>
        <s v="İzol Baklava &amp; Börek (Pınar Mah.)"/>
        <s v="İzol Baklava &amp; Börek, Seyhan (Yenibaraj Mah.)"/>
        <s v="Jet Restaurant, Yüreğir (Haydaroğlu Mah.)"/>
        <s v="Kaan Berk Börek &amp; Baklava (Gürselpaşa Mah.)"/>
        <s v="Kaan Döner, Sarıçam (Gültepe Mah.)"/>
        <s v="Kaburga Döner, Çukurova (Güzelyalı Mah.)"/>
        <s v="Kaburgacı Fatih, Seyhan (Şakirpaşa Mah.)"/>
        <s v="Kadayıf Dünyası, Seyhan (Kayalıbağ Mah.)"/>
        <s v="Kadayıfçı Olcay (Hanedan Mah.)"/>
        <s v="Kadayıfçı Olcay, (Güzelyalı Mah. - Turgut Özal Blv.)"/>
        <s v="Kadayıfçı Olcay, Seyhan (Cemalpaşa Mah.)"/>
        <s v="Kafe's Ev Yemekleri (Pınar mah.)"/>
        <s v="Kamelya Döner, Seyhan (Kurtuluş Mah.)"/>
        <s v="Kanatçı Ünal, Çukurova (Güzelyalı Mah. - Turgut Özal Blv.)"/>
        <s v="Kaplan Tantuni, Seyhan (Kuruköprü Mah.)"/>
        <s v="Kara Fırın, (Mahfesığmaz Mah. - Kenan Evren Blv.)"/>
        <s v="Karaca Pastanesi, Çukurova (Huzurevleri Mah.)"/>
        <s v="Karataş Balıkçısı Ömer , Çukurova (Belediye Evleri Mah.)"/>
        <s v="Karbeyaz, Seyhan (Yenibaraj Mah.)"/>
        <s v="Kardelen Kebap &amp; Lahmacun, Seyhan (Yeşilyurt Mah.)"/>
        <s v="Kardeş Döner, Seyhan (Onur Mah.)"/>
        <s v="Kardeşler Unlu Mamüller, Seyhan (Tellidere Mah.)"/>
        <s v="Kardeşler Unlu Mamülleri , Çukurova (Belediye Evleri Mah.)"/>
        <s v="Kardeşler Unlu Mamülleri (2000 evler)"/>
        <s v="Kare Pizza, Çukurova (Güzelyalı Mah. - Turgut Özal Blv.)"/>
        <s v="Karıncı Eyüp, Seyhan (Hürriyet Mah.)"/>
        <s v="Kasr-ı Kervan Kebap,Güzelyalı Mah. - Turgut Özal Blv.)"/>
        <s v="Kazancılar Restorant Büyüksaat (Sarıyakup Mah.)"/>
        <s v="Kebap 52 (Kurtuluş Mah.)"/>
        <s v="Kebapçı Gökhan (Bahçeşehir Mah.)"/>
        <s v="Kebapçı H. Murat Usta, Seyhan (Ziyapaşa Mah.)"/>
        <s v="Kebapçı İbo, Seyhan (Sümer Mah.)"/>
        <s v="Kebapçı Kling Usta, Seyhan (Cemalpaşa Mah.)"/>
        <s v="Kebapçı Yusuf, Seyhan (Pınar Mah.)"/>
        <s v="Keklik Et &amp; Ocakbaşı, Kozan (Tufanpaşa Mah.)"/>
        <s v="Kerim Baba Börekçilik, Yüreğir (Cumhuriyet Mah.)"/>
        <s v="Kervan Pastanesi,Çukurova (Güzelyalı mah.-Süleyman Demirel Bul.)"/>
        <s v="Keyf-i Asya Kebap, Çukurova (Güzelyalı Mah. - Turgut Özal Blv.)"/>
        <s v="Keyf-i Big Burger, Kozan (Karacaoğlan Mah.)"/>
        <s v="Keyif Gültekin Restoran (Kışla Mah.)"/>
        <s v="Kılınç Tatlı Pasta (Tellidere Mah.)"/>
        <s v="Kırmızı Köşe Sokak Lezzetleri, Seyhan (Döşeme Mah.)"/>
        <s v="Kimyon, Seyhan (Pınar Mah.)"/>
        <s v="Koala Sosis , Seyhan (Cemalpaşa Mah.)"/>
        <s v="Kolcuoğlu Kebap (Toros Mah.)"/>
        <s v="Konak Pasta &amp; Cafe, Seyhan ( Pınar Mah.)"/>
        <s v="Konukoğlu Baklava, Ceyhan (Burhaniye Mah.)"/>
        <s v="Köfte &amp; Piyaz , Çukurova (Mahfesığmaz Mah.)"/>
        <s v="Köfteci Bom'Bey, Seyhan (Sümer Mah.)"/>
        <s v="Köftehane Etsiz Çiğ Köfte, Çukurova (Yurt Mah.)"/>
        <s v="Köftehane Etsiz Çiğ Köfte, Sarıçam (Osmangazi Mah.)"/>
        <s v="Köftehane Etsiz Çiğ Köfte, Seyhan (Sümer Mah. - Karafatma Cad.)"/>
        <s v="Köftehane Etsiz Çiğ Köfte, Seyhan (Tellidere Mah.)"/>
        <s v="Köse, Çukurova ( Yüzüncü Yıl )"/>
        <s v="Köse, Çukurova (Huzurevleri Mah.)"/>
        <s v="Köse, Çukurova (Toros Mah. Hayalpark)"/>
        <s v="Köse, Seyhan (Kurtuluş Mah. - Ziyapaşa Blv.)"/>
        <s v="Köse, Seyhan (Saydam Cad.)"/>
        <s v="Köse, Seyhan (Sümer Mah. - Karafatma Cad.)"/>
        <s v="Köse, Seyhan (Tellidere Mah.)"/>
        <s v="Köşem Döner, Seyhan (Sümer Mah. - Barajyolu)"/>
        <s v="Köşem Lokanta, Ceyhan (Aydemiroğlu Mah.)"/>
        <s v="Köy Sofrası, Çukurova (Güzelyalı Mah.)"/>
        <s v="Köy Sofrası, Seyhan (Hanedan Mah.)"/>
        <s v="Köylü Cafe, Seyhan (Çınarlı Mah.)"/>
        <s v="Köylü Cafe, Seyhan (Yeni Baraj Mah.)"/>
        <s v="Köz Döner (Meydan Mah.)"/>
        <s v="Kral Künefe, Seyhan (Pınar Mah.)"/>
        <s v="Kumrucu Ebosch's (Yeni Mah. - M1 Adana AVM)"/>
        <s v="Kupa, Çukurova (Mahfesığmaz Mah.)"/>
        <s v="Kurttepe Pilavcısı, Çukurova (Yurt Mah.)"/>
        <s v="Künefe Dünyası, Seyhan (Pınar Mah.)"/>
        <s v="La Creme, Seyhan (Çınarlı Mah.)"/>
        <s v="La Creme, Seyhan (Gürselpaşa Mah.)"/>
        <s v="La Favola Pizzeria, Seyhan (Kurtuluş Mah. - Ziyapaşa Blv.)"/>
        <s v="La Pace, Çukurova (Güzelyalı Mah.)"/>
        <s v="Lale Börekçilik , Seyhan (Sümer Mah. - Barajyolu)"/>
        <s v="Lale Börekçilik (İsmetpaşa Mah.)"/>
        <s v="Lale Börekçilik (Kurttepe)"/>
        <s v="Lale Börekçilik (Merkez, Hayal Park)"/>
        <s v="Lale Börekçilik (Yüzüncü Yıl Mah.)"/>
        <s v="Lale Börekçilik, (Toros Mah. - Kenan Evren Blv.)"/>
        <s v="Lale Börekçilik, Çukurova (Huzurevleri Mah.)"/>
        <s v="Lale Börekçilik, Sarıçam (Gültepe Mah.)"/>
        <s v="Lale Börekçilik, Seyhan (Pınar Mah.)"/>
        <s v="Lale Börekçilik,(Mavi bulvar, Baraj Lisesi Kavşağı)"/>
        <s v="Lemon Midye, Çukurova (Beyazevler Mah.)"/>
        <s v="Lezzet Kebap &amp; Döner, Sarıçam (Osmangazi Mah.)"/>
        <s v="Lezzet Osmanbey Fırın (Toros Mah.)"/>
        <s v="Little Italy Pizzeria (Pınar Mah.)"/>
        <s v="Little Italy Pizzeria, Seyhan (Kurtuluş Mah.)"/>
        <s v="Little Italy Pizzeria, Seyhan (Sümer Mah. - Barajyolu)"/>
        <s v="Liva Life Pasta Cafe (Mahfesığmaz Mah.)"/>
        <s v="Lokal Cafe Bistro (Kurtuluş Mah.)"/>
        <s v="Los Adanas Döner , Çukurova (Beyazevler Mah.)"/>
        <s v="Los Amigos Burger House (Mahfesığmaz Mah.)"/>
        <s v="Los Amigos Burger ve Döner Cafe (Mahfesığmaz Mah.)"/>
        <s v="Löp Löp Tantuni, Yüreğir (Karacaoğlan Mah.)"/>
        <s v="Lupetta (Güzelyalı Mah.)"/>
        <s v="M&amp;F Fırın ve Pasta, Çukurova (Belediye Evleri Mah.)"/>
        <s v="M&amp;F Fırın ve Pasta, Çukurova (Huzurevleri Mah.)"/>
        <s v="Macha Cafe , Çukurova (Güzelyalı Mah.)"/>
        <s v="Macho Waffle, Seyhan (Yenibaraj Mah. - Barajyolu)"/>
        <s v="Madalyon Kebap, Çukurova (Huzurevleri Mah.)"/>
        <s v="Maharetli Papatya Kebap &amp; Lahmacun, Seyhan (Bahçeşehir Mah.)"/>
        <s v="Mahmutoğulları Baklava (Tahsilli Mah.)"/>
        <s v="Makkarnacı, (Barajyolu )"/>
        <s v="Makkarnacı, Çukurova (Güzelyalı Mah. - Turgut Özal Blv.)"/>
        <s v="Mako Makarna, Seyhan (Cemalpaşa Mah.)"/>
        <s v="Mama Craft, Çukurova (Güzelyalı Mah. - Turgut Özal Blv.)"/>
        <s v="Mami Etsiz Çiğ Köfte, Seyhan (Dumlupınar Mah.)"/>
        <s v="Marifet, Çukurova (Toros Mah.)"/>
        <s v="Mas Kebap, Seyhan (Kurtuluş Mah.)"/>
        <s v="Mavi Bulvar Dönercisi (Yeşilyurt Mah.)"/>
        <s v="Mavisu Et &amp; Balık, Çukurova (Mahfesığmaz Mah.)"/>
        <s v="Maxii Döner Cafe, Seyhan (Ova Mah.)"/>
        <s v="Maxii Döner, Seyhan (Tellidere Mah.)"/>
        <s v="Maya Cupcake, Seyhan (Kurtuluş Mah.)"/>
        <s v="Mayla Fırın &amp; Pasta, Çukurova (Yüzüncü Yıl Mah.)"/>
        <s v="MB İskenderun Döner, Seyhan (Barış Mah.)"/>
        <s v="Mekan Kebap, Seyhan (Gürselpaşa Mah.)"/>
        <s v="Melipo Pastanesi, Kozan (Tufanpaşa Mah.)"/>
        <s v="Mellow Cakes Co. (Cemalpaşa Mah.)"/>
        <s v="Merkez Közde Döner, Seyhan (Ova Mah.)"/>
        <s v="Mersii Pastanesi (Huzurevleri Mah.)"/>
        <s v="Mersin Tantuni Rauf Usta, Ceyhan (Burhaniye Mah.)"/>
        <s v="Meşhur Adıyaman Çiğ Köftecisi Ömer (Kuruköprü Mah.)"/>
        <s v="Meşhur Adıyaman Çiğ Köftecisi Ömer Aybak , (Yeşilyurt Mah.)"/>
        <s v="Meşhur Adıyaman Çiğ Köftecisi Ömer Aybak (Bey Mah.)"/>
        <s v="Meşhur Adıyaman Çiğ Köftecisi Ömer Aybak (Gürselpaşa Mah.)"/>
        <s v="Meşhur Adıyaman Çiğ Köftecisi Ömer Aybak (M. Akif Ersoy Mah.)"/>
        <s v="Meşhur Adıyaman Çiğ Köftecisi Ömer Aybak (Türkocağı Mah.)"/>
        <s v="Meşhur Adıyaman Çiğ Köftecisi Ömer Aybak, Seyhan (Uçak Mah.)"/>
        <s v="Meşhur Adıyaman Çiğköftecisi Ömer Aybak (Koracaoğlan Mah.)"/>
        <s v="Meşhur Kaburgacı Cahit Usta (Narlıca Mah.)"/>
        <s v="Meşhur Sarıyer Börekçisi, Seyhan (Yeşiloba Mah.)"/>
        <s v="Metin Usta Künefe (İsmetpaşa Mah.)"/>
        <s v="Meva Cafe ,(Gürselpaşa)"/>
        <s v="Mevlana Kebap &amp; Lahmacun (Belediyeevleri Mah.)"/>
        <s v="Mevlana Lahmacun, Kozan (Karacaoğlan Mah.)"/>
        <s v="Mezzevari (Güzelyalı Mah.)"/>
        <s v="Mıdık Ocakbaşı &amp; Et Evi (Yeşilyurt Mah. - Karaafat Cad.)"/>
        <s v="Mia Mocha , Seyhan (Cemalpaşa Mah.)"/>
        <s v="Mira Cafe &amp; Restoran, Seyhan (Sümer Mah.)"/>
        <s v="Mis Cafe (Kurtuluş Mah.)"/>
        <s v="Mis Döner &amp; İskender, Çukurova (Huzurevleri Mah.)"/>
        <s v="Miss Kebap, Seyhan (Pınar Mah.)"/>
        <s v="Mithat Usta Döner , (Belediye Evleri Mah.)"/>
        <s v="Mr. Çiğ Köfte, Seyhan (Çınarlı Mah.)"/>
        <s v="Mr. Çiğ Köfte, Seyhan (Uçak Mah.)"/>
        <s v="Mr. Kütük Döner, Çukurova (Mahfesığmaz Mah. - Kenan Evren Blv.)"/>
        <s v="Mr. Kütük Döner, Seyhan (Cemalpaşa Mah.-Sular Mevki)"/>
        <s v="Mr. Midye &amp; Kuyu Kokoreç , Çukurova (Turgut Özal Blv.)"/>
        <s v="MT Börek Katmer (Turgut Özal)"/>
        <s v="MT Börek Katmer, Seyhan (Yeşiloba Mah.)"/>
        <s v="Mudurnu Döner (Yeni Baraj Mah.)"/>
        <s v="Multipower Cafe , Çukurova (Yurt Mah.)"/>
        <s v="Munch World Kitchen, (Cemalpaşa Mah.)"/>
        <s v="Murat Börek, Seyhan (Kurtuluş Mah.)"/>
        <s v="Musa Usta Unlu Mamülleri, Çukurova (Yurt Mah.)"/>
        <s v="Mutfak, Seyhan (Reşatbey Mah.)"/>
        <s v="Mutlu Döner, Seyhan (Yeşilyurt Mah.)"/>
        <s v="Muzlu Süt Durağı, Seyhan (Sümer Mah.)"/>
        <s v="My Pizza (Cemalpaşa Mah.)"/>
        <s v="Nadide Et Döner, Seyhan (Yeni Mah.)"/>
        <s v="Narin Kebap &amp; Döner (Yeşilyuva Mah.)"/>
        <s v="Naz Baklavam, Seyhan (Gazipaşa Mah.)"/>
        <s v="Nazar Cafe &amp; Pizza, Kozan (Karacaoğlan Mah.)"/>
        <s v="Nefis Adana Kebap, Ceyhan (Konakoğlu Mah.)"/>
        <s v="Nehir Cafe (Toros Mah. - Kenan Evren Blv.)"/>
        <s v="Nergiz Büfe, Seyhan (Yenibaraj Mah.)"/>
        <s v="Neşe Kebap &amp; Lahmacun (Narlıca Mah.)"/>
        <s v="Neşem Döner, Yüreğir (Karacaoğlan Mah.)"/>
        <s v="Nevale Restoran (Güzelyalı Mah.)"/>
        <s v="Next Döner, Seyhan (Sakarya Mah.)"/>
        <s v="Next Republic , Çukurova (Güzelyalı Mah.)"/>
        <s v="Next Republic , Seyhan (Cemalpaşa Mah.)"/>
        <s v="Niyazi Lahmacun, Ceyhan (Konakoğlu Mah.)"/>
        <s v="Nokta Kebap &amp;Lahmacun,(Belediyeevleri Mah.)"/>
        <s v="Noni Doğal Yaşam, Çukurova (Toros Mah.)"/>
        <s v="O' Han Pizza, Seyhan (Pınar Mah.)"/>
        <s v="O'Han Pizza , (Güzelyalı Mah. - Turgut Özal Blv.)"/>
        <s v="O’Han Pizza , (Belediyeevleri Mah.)"/>
        <s v="Odin, Seyhan (Kurtuluş Mah. - Ziyapaşa Blv.)"/>
        <s v="Okka Et Kebap, Seyhan (Gürselpaşa Mah.)"/>
        <s v="Omnia Story Burger, Seyhan (Kurtuluş Mah.)"/>
        <s v="One Slice Pizza (Güzelyalı Mah.)"/>
        <s v="Onur Kardeşler Unlu Mamüller, Seyhan (Sümer Mah.)"/>
        <s v="Onur Kardeşler Unlu Mamüller, Seyhan (Ziyapaşa Mah.)"/>
        <s v="Oregano Pizza, Seyhan (Gürselpaşa Mah.)"/>
        <s v="Orhan Usta Kebap, Seyhan (Küçükdikili Mah.)"/>
        <s v="Oses Çiğ Köfte (Atakent Mah.)"/>
        <s v="Oses Çiğ Köfte (Bahçeşehir Mah.)"/>
        <s v="Oses Çiğ Köfte (Fevzipaşa Mah.)"/>
        <s v="Oses Çiğ Köfte (Karasoku Mah.)"/>
        <s v="Oses Çiğ Köfte (Levent Mah.)"/>
        <s v="Oses Çiğ Köfte (Mahfesığmaz Mah. - Turgut Özal Blv.)"/>
        <s v="Oses Çiğ Köfte (Mahfesığmaz Mah.-Şehitler Blv.)"/>
        <s v="Oses Çiğ Köfte (Reşatbey Mah.)"/>
        <s v="Oses Çiğ Köfte (Selahattin Eyyubi Mah.)"/>
        <s v="Oses Çiğ Köfte (Sucuzade Mah.)"/>
        <s v="Oses Çiğ Köfte (Sümer Mah.)"/>
        <s v="Oses Çiğ Köfte (Toros Mah.-Mavi Bulvar)"/>
        <s v="Oses Çiğ Köfte (Ulubatlı Hasan Mah.)"/>
        <s v="Oses Çiğ Köfte (Yenibaraj Mah. - Barajyolu)"/>
        <s v="Oses Çiğ Köfte (Yeşilevler mah.)"/>
        <s v="Oses Çiğ Köfte (Yeşiloba Mah.)"/>
        <s v="Oses Çiğ Köfte, (Huzurevleri Mah.)"/>
        <s v="Oses Çiğ Köfte, (Yeşilyurt Mah. - Karaafat Cad.)"/>
        <s v="Oses Çiğ Köfte, Çukurova (Belediyeevleri Mah.)"/>
        <s v="Oses Çiğ Köfte, Çukurova (Kurttepe Mah.)"/>
        <s v="Oses Çiğ Köfte, Kozan (Karacaoğlan Mah.)"/>
        <s v="Oses Çiğ Köfte, Sarıçam (Gültepe Mah. - Çatalan Cad.)"/>
        <s v="Oses Çiğ Köfte, Sarıçam (Hürriyet Mah. - İncirlik Hava Üssü)"/>
        <s v="Oses Çiğ Köfte, Sarıçam (Osmangazi Mah.)"/>
        <s v="Oses Çiğ Köfte, Yüreğir (Kışla Mah.)"/>
        <s v="Oses Çiğ Köfte, Yüreğir (Yavuzlar Mah.)"/>
        <s v="Osmanlı Döner, Seyhan (Fatih Mah.)"/>
        <s v="Öğmen Cafe &amp; Fırın Pasta, Seyhan (Fatih Mah.)"/>
        <s v="Öküz Burger Homemade, Çukurova (Güzelyalı Mah.)"/>
        <s v="Öncü Börekçilik, Çukurova (Toros Mah.)"/>
        <s v="Önder Kebap &amp; Lahmacun (Toros Mah.)"/>
        <s v="Öyküm Cafe, Seyhan (Çınarlı Mah.)"/>
        <s v="Öz Adana Börekçilik, Yüreğir (Sinanpaşa Mah.)"/>
        <s v="Öz Antep Altın Baklava, Seyhan (Sümer Mah.)"/>
        <s v="Öz Antep Altın Baklava, Seyhan (Tellidere Mah.)"/>
        <s v="Öz Antep Damla Baklava, Çukurova (Belediyeevleri Mah.)"/>
        <s v="Öz Dürüm Matik, Yüreğir (Kazım Karabekir Mah.)"/>
        <s v="Öz Elmas Balık, Seyhan (Sucuzade Mah.)"/>
        <s v="Öz Star Börekçilik, Çukurova (Kurttepe Mah.)"/>
        <s v="Öz Star Börekçilik, Seyhan (Hanedan Mah.)"/>
        <s v="Öz Star Börekçilik,(Toros Mah. - Turgut Özal Blv.)"/>
        <s v="Öz Şimşek Döner Salonu, Yüreğir ( 19 Mayıs Mah.)"/>
        <s v="Özdemirler Unlu Mamülleri, Çukurova (Belediye Evleri Mah.)"/>
        <s v="Özlem Döner (Pınar Mah.)"/>
        <s v="Özsüt, Seyhan (Kurtuluş Mah.)"/>
        <s v="Paçacım (Gürselpaşa Mah.)"/>
        <s v="Pak Fırın (Mahfesığmaz Mah.)"/>
        <s v="Pak Fırın, Seyhan (Cemalpaşa Mah.-Atatürk Cad.)"/>
        <s v="Pakfırın (Cemalpaşa Mah.)"/>
        <s v="Pakfırın, Seyhan (Çınarlı Mah. - Atatürk Cad.)"/>
        <s v="Pakfırın, Seyhan (Kurtuluş Mah. - Ziyapaşa Blv.)"/>
        <s v="Pakfırın, Seyhan (Sümer Mahallesi)"/>
        <s v="PakFırın, Yüreğir (Sinanpaşa Mah. - Optimum AVM)"/>
        <s v="Palet Kebap (Yeşilyurt Mah. - İbo Osman Cad.)"/>
        <s v="Panda Patata,(Cemalpaşa Mah. - Gazipaşa Blv.)"/>
        <s v="Papağan Pizza Mahfesığmaz"/>
        <s v="Papino (Kurtuluş Mah. - Sular Mevkii)"/>
        <s v="Papino (Pınar Mah.)"/>
        <s v="Pappa Döner, Seyhan (Gürselpaşa Mah.)"/>
        <s v="Pappa Pizza , Seyhan (Gürselpaşa Mah.)"/>
        <s v="Pasta Canavarı , Çukurova (Güzelyalı Mah.)"/>
        <s v="Pasta Canavarı (Pınar Mah)"/>
        <s v="Pasta Durağı, Çukurova (Güzelyalı Mah. - Turgut Özal Blv.)"/>
        <s v="Pasta Garden Yemek, Çukurova (Karslılar Mah.)"/>
        <s v="Pasta Garden, Çukurova (Karslılar Mah.)"/>
        <s v="Pastacı, Çukurova (Huzurevleri Mah.)"/>
        <s v="Pastanya Fırın &amp; Cafe, Seyhan (Sümer Mah.)"/>
        <s v="PasteA Cafe, Seyhan (Reşatbey Mah.)"/>
        <s v="Paşabey Baklava , Çukurova (Toros Mah.)"/>
        <s v="Paşabey Burger , Çukurova (Mahfesığmaz Mah. - Turgut Özal Blv.)"/>
        <s v="Paşabey, Çukurova (Mahfesığmaz Mah. - Turgut Özal Blv.)"/>
        <s v="Paşam Döner, Seyhan (Bahçeşehir Mah.)"/>
        <s v="Paşam Kebap, Çukurova (Huzurevleri Mah.)"/>
        <s v="Pera Restorant, Kozan (Tufanpaşa Mah.)"/>
        <s v="Pınar Büfe &amp; Kokoreç, Seyhan (Pınar Mah.)"/>
        <s v="Pilav Üstü Ev Yemekleri, Seyhan (Reşatbey Mah.)"/>
        <s v="Piton Döner, Seyhan (İsmetpaşa Mah.)"/>
        <s v="Pizza Bia, Çukurova (Mahfesığmaz Mah.)"/>
        <s v="Pizza Brassi,(Güzelyalı Mah. - Turgut Özal Blv.)"/>
        <s v="Pizza Delizio Turgut Özal"/>
        <s v="Pizza Express, Çukurova (Toros Mah. - Turgut Özal Blv.)"/>
        <s v="Pizza Homemade Seyhan (Gürselpaşa Mah.)"/>
        <s v="Pizza La Matta, Çukurova (Güzelyalı Mah. - Turgut Özal Blv.)"/>
        <s v="Pizza La Matta, Seyhan (Reşatbey Mah.)"/>
        <s v="Pizza Matik , Çukurova (Yüzüncü Yıl Mah.)"/>
        <s v="Pizza Max (Sümer Mah.)"/>
        <s v="Pizza Maya, Çukurova (Toros Mah.)"/>
        <s v="Pizza Opera, Seyhan (Gürselpaşa Mah.)"/>
        <s v="Pizza Pan, Çukurova (Güzelyalı Mah. - Turgut Özal Blv.)"/>
        <s v="Pizza Panya, Seyhan (Reşatbey Mah.)"/>
        <s v="Pizza Pino İtalyan, (Güzelyalı Mah. - Turgut Özal Blv.)"/>
        <s v="Pizza Pino, Çukurova (Mahfesığmaz Mah.)"/>
        <s v="Pizza Taxi (Yeni Mah.)"/>
        <s v="Pizza Taxi, (Belediyeevleri Mah. - Türkmenbaşı Blv.)"/>
        <s v="Pizza Taxi, (Toros Mah. - Kenan Evren Blv.)"/>
        <s v="Pizza Taxi, Ceyhan (Namık Kemal Mah.)"/>
        <s v="Pizza Taxi, Çukurova (Kurttepe Mah.)"/>
        <s v="Pizza Taxi, Çukurova (Yüzüncü Yıl Mah.)"/>
        <s v="Pizza Taxi, Sarıçam (Gültepe Mah.)"/>
        <s v="Pizza Taxi, Seyhan (Kurtuluş Mah. - Ziyapaşa Blv.)"/>
        <s v="Pizza Taxi, Seyhan (Onur Mah.)"/>
        <s v="Pizza Taxi, Seyhan (Pınar Mah.)"/>
        <s v="Pizza Taxi, Seyhan (Sümer Mah. - Barajyolu)"/>
        <s v="Pizza Taxi, Yüreğir (Kiremithane mh.)"/>
        <s v="Pizza Uno, Seyhan (Cemalpaşa Mah.)"/>
        <s v="Pizzahall, Seyhan (Gürselpaşa Mah.)"/>
        <s v="Pizzeria Di Mozza, Seyhan (Reşatbey Mah.)"/>
        <s v="Planet Cafe (Belediyeevleri Mah.)"/>
        <s v="Polen Döner (Toros Mah.)"/>
        <s v="Pote Lounge , Seyhan (Cemalpaşa Mah.)"/>
        <s v="Pronto Pizza &amp; Döner (Pınar Mah.)"/>
        <s v="Ptt 3 Kebap &amp; Lahmacun, Yüreğir (Atakent Mah.)"/>
        <s v="Ptt Kebap, Yüreğir (Kışla Mah.)"/>
        <s v="Queen Döner ( Mahfesığmaz Mah.)"/>
        <s v="Ramocan Pide &amp; Lahmacun, Seyhan (Gülbahçesi Mah.)"/>
        <s v="Ramos Döner, Seyhan (Gürselpaşa Mah.)"/>
        <s v="Rengin Atölye, Çukurova (Belediyeevleri Mah.)"/>
        <s v="Rengin Pastanesi, Çukurova (Güzelyalı Mah.)"/>
        <s v="Reşatbeyli Tatlıcı Zeki, Çukurova (Güzelyalı Mah.)"/>
        <s v="Reşatbeyli Tatlıcı Zeki, Çukurova (Kenan Evren Blv.)"/>
        <s v="Reşatbeyli Tatlıcı Zeki, Seyhan (Reşatbey Mah.)"/>
        <s v="Reşit Usta Light Kebap, Seyhan (Yenibaraj Mah. - Barajyolu)"/>
        <s v="Riva Değirmen (Huzurevleri Mah.)"/>
        <s v="Road Burger, Seyhan (Cemalpaşa Mah.)"/>
        <s v="Sabah &amp; Öğle 0615, Seyhan (Yeşiloba Mah.)"/>
        <s v="Saksı Cafe , Çukurova (Mahfesığmaz Mah.)"/>
        <s v="Salih Usta Kebap, Kozan (Arslanpaşa Mah.)"/>
        <s v="Salkım Söğüt Fırın &amp; Pasta,(Yüzüncü Yıl Mah.)"/>
        <s v="Samanyolu Pasta, Çukurova (Huzurevleri Mah.)"/>
        <s v="Sanat Kahvesi, Seyhan (Reşatbey Mah.)"/>
        <s v="Sanat Kumpir , Çukurova (Beyazevler Mah.)"/>
        <s v="Sandwich, Seyhan (Pınar Mah.)"/>
        <s v="Sante 01, Çukurova (Güzelyalı Mah.)"/>
        <s v="Sar Bana Bi Döner (Yeşiloba Mah.)"/>
        <s v="Saray Pizza (Mithatpaşa Mah.)"/>
        <s v="Saraylım Künefe, Çukurova (Güzelyalı Mah.)"/>
        <s v="Sardal-ye, Çukurova (Mahfesığmaz Mah.)"/>
        <s v="Sarı'nın Yeri, Çukurova (Yurt Mah.)"/>
        <s v="Sarıçam Çiğ Köfte, Sarıçam (Yeşiltepe Mah.)"/>
        <s v="Sarıçam Sıcak Tatlı &amp; Baklava, Sarıçam (Gültepe Mah.)"/>
        <s v="Sarma Döner, (Cemalpaşa Mah. - Gazipaşa Blv.)"/>
        <s v="Sarmanlar Kebap , Çukurova (Yurt Mah.)"/>
        <s v="Seç Baklava ( İstiklal Mah.)"/>
        <s v="Seç Baklava, Seyhan (Reşatbey Mah.)"/>
        <s v="Seç Baklava,(Turgut Özal Blv.)"/>
        <s v="Seç Tekin Baklava, Çukurova (Yurt Mah.)"/>
        <s v="Seç Tekin Baklava, Seyhan (Pınar Mah.)"/>
        <s v="Seç Tekin Baklava, Seyhan (Ziyapaşa Mah.)"/>
        <s v="Seda Nur Ev Yemekleri ve Döner , Çukurova (Belediyeevleri Mah.)"/>
        <s v="Selim Usta Kebap (Belediyeevleri Mah. - Türkmenbaşı Blv.)"/>
        <s v="Selvi Ev Yemekleri (Denizli Mah.)"/>
        <s v="Sena Baklava, Seyhan (Kurtuluş Mah.)"/>
        <s v="Serinyayla Büfe, Çukurova (Mahfesığmaz Mah. - Turgut Özal Blv.)"/>
        <s v="Servet Et &amp; Kebap Dünyası, Yüreğir (P.t.t Evleri Mah.)"/>
        <s v="Sev Al Cafe Döner (Esentepe Mah.)"/>
        <s v="Sevgili Döner , Çukurova (Güzelyalı Mah.)"/>
        <s v="Sevgili Döner 2, Seyhan (Çınarlı Mah.)"/>
        <s v="Seyhan Pasta &amp; Cafe, Seyhan (Gülbahçesi Mah.)"/>
        <s v="Shark Cafe (Cemalpaşa mah.)"/>
        <s v="Shelter Pet Cafe , Seyhan (Cemalpaşa Mah.)"/>
        <s v="Sıcak Fırın, Seyhan (Pınar Mah.)"/>
        <s v="Simitçi Dünyası (Kışla Mah.)"/>
        <s v="Single Burger, Seyhan (Kurtuluş Mah.)"/>
        <s v="Sir Winston Pub, Seyhan (Kurtuluş Mah. - Atatürk Cad.)"/>
        <s v="Sizin Börekçiniz, (Yeşilyurt Mah. - İbo Osman Cad.)"/>
        <s v="SM Ocakbaşı, Yüreğir (Serinevler Mah.)"/>
        <s v="SoBig Burger, Ceyhan (Namık Kemal Mah.)"/>
        <s v="SoBig Burger, Çukurova (Güzelyalı Mah. - Turgut Özal Blv.)"/>
        <s v="SoBig Burger, Seyhan (Cemalpaşa Mah.)"/>
        <s v="SoBig Burger, Seyhan (Gürselpaşa Mah.)"/>
        <s v="SoBig Burger,(Güzelyalı Mah. - Uğur Mumcu Blv.)"/>
        <s v="Sokumcu , Çukurova (Güzelyalı Mah.)"/>
        <s v="Soulmate Coffee (Kurtuluş Mah.)"/>
        <s v="Söğüşçü Arabın Yeri, Çukurova (Güzelyalı Mah. -Turgut Özal Blv.)"/>
        <s v="Space Sandwich &amp; Breakfast (Beyazevler Mah.)"/>
        <s v="Speat Kitchen &amp; Snacks (Huzurevleri Mah.)"/>
        <s v="Spicy Sucuk (Toros Mah.)"/>
        <s v="Star Börekçilik, Çukurova (Yüzüncü Yıl Mah.)"/>
        <s v="Star Börekçilik, Seyhan (Cemalpaşa Mah. - Sular Mevkii)"/>
        <s v="Street Burger, Seyhan (Yeşilyurt Mah. - İbo Osman Cad.)"/>
        <s v="Sular Çiğ Köfte Dünyası (Cemalpaşa Mah. - Sular Mevkii)"/>
        <s v="Sular Kebap, Seyhan (Cemalpaşa Mah. - Sular Mevkii)"/>
        <s v="Sularım Murat Börekçisi (Namık Kemal Mah.)"/>
        <s v="Sultan Tantuni (Gürselpaşa Mah. - A.İzzet Begoviç Blv.)"/>
        <s v="Sultan Tantuni, Seyhan (Cemalpaşa Mah.)"/>
        <s v="Sumac Döner , Çukurova (Yüzüncü Yıl Mah.)"/>
        <s v="Sun Pastanesi (Kurtuluş Mah. - Ziyapaşa Blv.)"/>
        <s v="Şahin Döner, Ceyhan (Hürriyet Mah.)"/>
        <s v="Şansım Döner, Yüreğir (Kışla Mah.)"/>
        <s v="Şansım Kebap &amp; Izgara , Çukurova (Güzelyalı Mah.)"/>
        <s v="Şef Kebap, Seyhan (Sümer Mah. - Barajyolu)"/>
        <s v="Şef Tavuk &amp; Izgara, Çukurova (Toros Mah.)"/>
        <s v="Şehr-i Kebap &amp; Fırın, Çukurova (Yüzüncü Yıl Mah.)"/>
        <s v="Şehrizen Künefe &amp; Kadayıf &amp; Börek, Seyhan (Gürselpaşa Mah.)"/>
        <s v="Şen Köşe Pastanesi, Yüreğir (Yavuzlar Mah.)"/>
        <s v="Şendoğan Kebap (Yeşilyurt Mah.)"/>
        <s v="Şenler Döner, Yüreğir (Kiremithane Mah.)"/>
        <s v="Şırdancı Ahmet, Yüreğir (Ulubatlı Hasan Mah.)"/>
        <s v="Şırdancı Kemal, Seyhan (Kocavezir Mah.)"/>
        <s v="Şırdancı Kudret, Çukurova (Güzelyalı Mah. - Turgut Özal Blv.)"/>
        <s v="Şırdancı Memo, Seyhan (Denizli Mah.)"/>
        <s v="Şırdancı Mesut, (Mahfesığmaz Mah. - Kenan Evren Blv.)"/>
        <s v="Şırdancı Reşit, Seyhan (Hurmalı Mah.)"/>
        <s v="Şinasi Lounge, Seyhan (Kurtuluş Mah.)"/>
        <s v="Şirinoğlu Baklava, Çukurova (Güzelyalı Mah.)"/>
        <s v="Şirinoğlu Baklava, Sarıçam (Çarkıpare Mah.)"/>
        <s v="Şirinoğlu Baklava,(Yurt Mah. - Turgut Özal Blv.)"/>
        <s v="Şişkom Döner (Pınar Mah.)"/>
        <s v="Şükran Kebap Lahmacun &amp; Etli Pide, Yüreğir (Kışla Mah.)"/>
        <s v="Tablacı Kebap, Çukurova (Toros Mah.)"/>
        <s v="Tadım Kokoreç &amp; Şırdan, Çukurova (Güzelyalı Mah.)"/>
        <s v="Tan Döner, Yüreğir (Kazım Karabekir Mah.)"/>
        <s v="Tan Fırın, Çukurova (Yüzüncü Yıl Mah.)"/>
        <s v="Tantunici Adem (Çarkıpare Mah.)"/>
        <s v="Tantunici Cemil, Çukurova (Yüzüncü Yıl Mah.)"/>
        <s v="Tantunizm (Sinanpaşa Mah. - Optimum AVM)"/>
        <s v="Tarihi Antep Çiğ Köfte, Çukurova (Huzurevleri Mah.)"/>
        <s v="Tarihi Kuruköprü Paça, Ceyhan (Namık Kemal Mah.)"/>
        <s v="Tat Börek, Çukurova (Belediyeevleri Mah.)"/>
        <s v="Tatlı Köşe (Reşatbey Mah.)"/>
        <s v="Tatlı Ötesi (Mahfesığmaz Mah.)"/>
        <s v="Tatlıcı İhsan, Seyhan (Yeşilyurt Mah.)"/>
        <s v="Tatlıcı Zeki Altınok, Seyhan (Denizli Mah.)"/>
        <s v="Tatlıcı Zeki Altınok, Seyhan (Reşatbey Mah.)"/>
        <s v="Tatlıcı Zeki Altınok, Seyhan (Yenibaraj Mah. - Barajyolu)"/>
        <s v="Tatlıses Çiğ Köfte, Seyhan (Kurtuluş Mah.)"/>
        <s v="Tavuk Deryası, Çukurova (Belediye Evleri Mah.)"/>
        <s v="Tavukçum Soner, Seyhan (Fevzipaşa Mah.)"/>
        <s v="Taxim Döner (Kuruköprü Mah.)"/>
        <s v="Tekin Mersin Tantuni, Seyhan (Tellidere Mah.)"/>
        <s v="Tellidere Paçacısı, Seyhan (Tellidere Mah.)"/>
        <s v="Tepebağ Kebap Evi , Seyhan (Reşatbey Mah.)"/>
        <s v="The Boss Burger, Çukurova (Mahfesığmaz Mah.)"/>
        <s v="The Bull Burger &amp; Coffee, Seyhan (Cemalpaşa Mah.)"/>
        <s v="The Bull Burger, Çukurova (Güzelyalı Mah. - Turgut Özal Blv.)"/>
        <s v="The Hub, Seyhan (Döşeme Mah.)"/>
        <s v="The Sopranos, Seyhan (Cemalpaşa Mah.)"/>
        <s v="Tiryaki Döner, Seyhan (Pınar Mah.)"/>
        <s v="Tokana Mantı Evi, Seyhan (Reşatbey Mah.)"/>
        <s v="Toki Döner Ve Kebap Salonu, Seyhan (İsmetpaşa Mah.)"/>
        <s v="Tombik Döner Cafe, Çukurova (Beyazevler Mah.)"/>
        <s v="Tombik Fastfood, Sarıçam (Çarkıpare Mah.)"/>
        <s v="Tombiş Cafe, Çukurova (Toros Mah.)"/>
        <s v="Tombiş Cafe, Seyhan (Yeni Mah.)"/>
        <s v="Tombiş Döner , Çukurova (Huzurevleri Mah.)"/>
        <s v="Torku Ziyafet Döner, Çukurova (Turgut Özal Blv.)"/>
        <s v="Torku Ziyafet Döner, Seyhan (Kuruköprü Mah.)"/>
        <s v="Tost Büfe, Seyhan (Cemalpaşa Mah.)"/>
        <s v="Tost Evi 01 (Mahfesığmaz Mah.)"/>
        <s v="Tostbusters, Seyhan (Cemalpaşa Mah.)"/>
        <s v="Tostçu Mahmut, Seyhan (Yenibaraj Mah.)"/>
        <s v="Tostçu Murat, Seyhan (Yenibaraj Mah.)"/>
        <s v="Tosthane, Seyhan (Sümer Mah.)"/>
        <s v="Tuffy's Road House, Seyhan (Reşatbey Mah.)"/>
        <s v="Tuğra Kebap &amp; Döner, Sarıçam (Gültepe Mah.)"/>
        <s v="Tuil Cafe &amp; Patiserrie (Yüzüncü Yıl Mah.)"/>
        <s v="Tutku Tantuni 2,(Yeşilyurt Mah. - İbo Osman Cad.)"/>
        <s v="Tutku Tantuni, Çukurova (Güzelyalı Mah.)"/>
        <s v="Tutkunum Hamur Sanatı, Seyhan (Barış Mah.)"/>
        <s v="Tüm Doğal Kasap Ocakbaşı, Yüreğir (Atakent Mah.)"/>
        <s v="Türkan Kebap&amp;Meze Ziyapaşa,(Kurtuluş Mah.)"/>
        <s v="Türkmen Mangal Keyfi, Çukurova (Belediyeevleri Mah.)"/>
        <s v="Türkmenbaşı Büfe, Seyhan (Gürselpaşa Mah.)"/>
        <s v="Türkmenbaşı Paça (Gürselpaşa Mah. - Türkmenbaşı Blv.)"/>
        <s v="Ulu Baklava Çukurova , (Güzelyalı Mah.)"/>
        <s v="University Büfe, Çukurova (Beyazevler Mah.)"/>
        <s v="Usta Çiğköfte Dünyası, Yüreğir (P.t.t Mah.)"/>
        <s v="Usta Eller Fırın Pasta &amp; Cafe (Gürselpaşa Mah.)"/>
        <s v="Usta Kokoreç ( Huzurevleri Mah.)"/>
        <s v="Ümit Bey Et Döner, Seyhan (Cemalpaşa Mah. - Gazipaşa Blv.)"/>
        <s v="Ütü Tost, Çukurova (Yüzüncü Yıl Mah.)"/>
        <s v="Ütü Tost, Seyhan (Kocavezir Mah.)"/>
        <s v="Ütü Tost, Seyhan (Kurtuluş Mah. - Atatürk Cad.)"/>
        <s v="Valide Sultan Kebap (Mehmet Akif Ersoy Mah.)"/>
        <s v="Veli Şef Kebap &amp; Döner (Gültepe Mah.)"/>
        <s v="Venedik Pasta &amp; Cafe (Güzelyalı Mah.)"/>
        <s v="Venüs Cafe, Seyhan (Kurtuluş Mah.)"/>
        <s v="Veysel Paça, Seyhan (Ziyapaşa Mah.)"/>
        <s v="Viento Cheesecake, Çukurova (Mahfesığmaz Mah.)"/>
        <s v="Vita Fit, Çukurova (Güzelyalı Mah. - Turgut Özal Blv.)"/>
        <s v="Vita Mia Gelato , Çukurova (Mahfesığmaz Mah.)"/>
        <s v="Vita Mia Gelato , Seyhan (Cemalpaşa Mah. - Atatürk Cad.)"/>
        <s v="Vittoria Coffee and Chocolate , Çukurova (Güzelyalı Mah.)"/>
        <s v="Vizyon Kebap"/>
        <s v="Volkan Büfe Hamburgerci Memet (Reşatbey Mah.)"/>
        <s v="Waffle Art, (Mahfesığmaz Mah.)"/>
        <s v="Waffle Craft, Çukurova (Mahfesığmaz Mah.)"/>
        <s v="Waffle Garage, Seyhan (Gürselpaşa Mah.)"/>
        <s v="Waffle Mania, Yüreğir (Ptt Evleri Mah.)"/>
        <s v="Waffle Party, Çukurova (Güzelyalı Mah. - Turgut Özal Blv.)"/>
        <s v="Waffy &amp; Coffee , Seyhan (Cemalpaşa Mah.)"/>
        <s v="Waflin , Seyhan (Cemalpaşa Mah.)"/>
        <s v="Waflin, Çukurova (Mahfesığmaz Mah. - Turgut Özal Blv.)"/>
        <s v="Waflin, Seyhan (Gürselpaşa Mah.)"/>
        <s v="Walk In Wok &amp; Sushi Bar, Seyhan (Kurtuluş Mah.)"/>
        <s v="Wooden Cafe &amp; Bistro, Kozan (Karacaoğlan Mah.)"/>
        <s v="Wu Healty, Çukurova (Toros Mah. - Kenan Evren Blv.)"/>
        <s v="Yağlar Et &amp; Mangal, Çukurova (Gastronomi Pazarı)"/>
        <s v="Yağlar Kasap &amp; Restaurant, Çukurova (Toros Mah.)"/>
        <s v="Yanar Döner 01, Yüreğir (Kazım Karabekir Mah.)"/>
        <s v="Yanar Döner, Seyhan (Koza Mah.)"/>
        <s v="Yaprak Döner (Cemalpaşa Mah. - Gazipaşa Blv.)"/>
        <s v="Yaprak Döner (Güzelyalı Mah. - Turgut Özal Blv.)"/>
        <s v="Yaprak Kebap &amp; Döner, Seyhan (Namık Kemal Mah.)"/>
        <s v="Yaren Döner, Seyhan (Gülbahçesi Mah.)"/>
        <s v="Yedi Yirmi Beş Yemek, Seyhan (Beşocak Mah.)"/>
        <s v="Yemek Kitabı, Çukurova (Huzurevleri Mah.)"/>
        <s v="Yeni Dostlar Kebap, Seyhan (Kurtuluş Mah.)"/>
        <s v="Yeni Köşem Döner, Yüreğir (Sarıçam Mah.)"/>
        <s v="Yesdo Gaziantep Sofrası,(Mahfesığmaz Mah. - Turgut Özal Blv.)"/>
        <s v="Yeşil Cafe, Ceyhan (Burhaniye Mah.)"/>
        <s v="Yeşil Doğa Pasta &amp; Fırın, Seyhan (Yeşilyurt Mah.)"/>
        <s v="Yeşil Konak Pasta &amp; Fırın, Yüreğir ( P.t.t Evleri Mah.)"/>
        <s v="Yeşilevler Közde Döner, Seyhan (Bahçelievler Mah.)"/>
        <s v="Yet Döner &amp; İskender, Seyhan (Cemalpaşa Mah.)"/>
        <s v="Yet Döner &amp; İskender, Seyhan (Gürselpaşa Mah.)"/>
        <s v="Yetişoğlu Baklava (Yenidoğan Mah.)"/>
        <s v="Yetişoğlu Baklava, Sarıçam (Osmangazi Mah.)"/>
        <s v="Yıldız Balık, Ceyhan (Mithat Paşa Mah.)"/>
        <s v="Yıldız Döner, Seyhan (Kuruköprü Mah.)"/>
        <s v="Yıldızoğlu Kebap &amp; Lahmacun (Yeşilevler Mah.)"/>
        <s v="Yıldızoğlu Künefe, (Cemalpaşa Mah.-Toros Cad.)"/>
        <s v="Yıldızoğlu Künefe, Çukurova (Güzelyalı Mah. - Turgut Özal Blv.)"/>
        <s v="Yuki Sushi, Seyhan (Gürselpaşa Mah.)"/>
        <s v="Yunus Emre Kebap (Kuruköprü Mah.)"/>
        <s v="Yüceloğlu Baklava (Yeşilyurt mah.)"/>
        <s v="Zeki Usta Kebap (Belediyeevleri Mah. - Türkmenbaşı Blv.)"/>
        <s v="Zeki Usta Kebap (Toros Mah. - Kenan Evren Blv.)"/>
        <s v="Zengin Döner, Seyhan (Aydınlar Mah.)"/>
        <s v="Ziyapaşa Börekçilik (Gazipaşa Mah.)"/>
        <s v="Ziyapaşa Tost, Seyhan (Kurtuluş Mah.)"/>
        <s v="Zöhre Restaurant &amp; Bistro, Seyhan (Reşatbey Mah.)"/>
      </sharedItems>
    </cacheField>
    <cacheField name="Satışa&#10;Açık Mı?" numFmtId="0">
      <sharedItems>
        <s v="DOĞRU"/>
        <s v="YANLIŞ"/>
      </sharedItems>
    </cacheField>
    <cacheField name="Mutfak" numFmtId="0">
      <sharedItems>
        <s v="Döner"/>
        <s v="Sokak Lezzetleri"/>
        <s v="Pasta &amp; Tatlı"/>
        <s v="Kebap"/>
        <s v="Tost &amp; Sandviç"/>
        <s v="Börek"/>
        <s v="Çiğ Köfte"/>
        <s v="Balık &amp; Deniz Ürünleri"/>
        <s v="Tavuk"/>
        <s v="Dünya Mutfağı"/>
        <s v="Kahvaltı"/>
        <s v="Deniz Ürünleri"/>
        <s v="Ev Yemekleri"/>
        <s v="Pizza"/>
        <s v="Burger"/>
        <s v="Menü"/>
        <s v="Köfte"/>
        <s v="Dondurma"/>
        <s v="Pide"/>
        <s v="İçecek"/>
        <s v="Lahmacun"/>
        <s v="Fit"/>
        <s v="Kahve"/>
        <s v="Steak"/>
        <s v="Diğer"/>
        <s v="Uzak Doğu Mutfağı"/>
        <s v="Uzak Doğu"/>
        <s v="Salata"/>
      </sharedItems>
    </cacheField>
    <cacheField name="TOPLAM&#10;SİPARİŞ" numFmtId="0">
      <sharedItems containsString="0" containsBlank="1" containsNumber="1" containsInteger="1">
        <n v="557.0"/>
        <n v="4618.0"/>
        <n v="118.0"/>
        <n v="2130.0"/>
        <n v="21.0"/>
        <n v="411.0"/>
        <m/>
        <n v="103.0"/>
        <n v="1664.0"/>
        <n v="137.0"/>
        <n v="459.0"/>
        <n v="4029.0"/>
        <n v="9.0"/>
        <n v="520.0"/>
        <n v="953.0"/>
        <n v="1081.0"/>
        <n v="2713.0"/>
        <n v="2276.0"/>
        <n v="856.0"/>
        <n v="3613.0"/>
        <n v="1125.0"/>
        <n v="198.0"/>
        <n v="12.0"/>
        <n v="199.0"/>
        <n v="1088.0"/>
        <n v="88.0"/>
        <n v="220.0"/>
        <n v="3846.0"/>
        <n v="2344.0"/>
        <n v="52.0"/>
        <n v="2223.0"/>
        <n v="16.0"/>
        <n v="1637.0"/>
        <n v="241.0"/>
        <n v="379.0"/>
        <n v="2174.0"/>
        <n v="2420.0"/>
        <n v="629.0"/>
        <n v="2445.0"/>
        <n v="1799.0"/>
        <n v="108.0"/>
        <n v="1490.0"/>
        <n v="1719.0"/>
        <n v="438.0"/>
        <n v="2762.0"/>
        <n v="140.0"/>
        <n v="982.0"/>
        <n v="1077.0"/>
        <n v="1511.0"/>
        <n v="84.0"/>
        <n v="138.0"/>
        <n v="2272.0"/>
        <n v="688.0"/>
        <n v="549.0"/>
        <n v="954.0"/>
        <n v="49.0"/>
        <n v="543.0"/>
        <n v="1958.0"/>
        <n v="471.0"/>
        <n v="3192.0"/>
        <n v="54.0"/>
        <n v="35.0"/>
        <n v="3668.0"/>
        <n v="4320.0"/>
        <n v="9167.0"/>
        <n v="39663.0"/>
        <n v="728.0"/>
        <n v="9992.0"/>
        <n v="19750.0"/>
        <n v="20614.0"/>
        <n v="61.0"/>
        <n v="243.0"/>
        <n v="299.0"/>
        <n v="4464.0"/>
        <n v="95.0"/>
        <n v="38.0"/>
        <n v="2.0"/>
        <n v="615.0"/>
        <n v="311.0"/>
        <n v="5.0"/>
        <n v="32.0"/>
        <n v="201.0"/>
        <n v="761.0"/>
        <n v="2941.0"/>
        <n v="12117.0"/>
        <n v="7595.0"/>
        <n v="735.0"/>
        <n v="848.0"/>
        <n v="450.0"/>
        <n v="2042.0"/>
        <n v="376.0"/>
        <n v="4060.0"/>
        <n v="350.0"/>
        <n v="1229.0"/>
        <n v="879.0"/>
        <n v="2695.0"/>
        <n v="511.0"/>
        <n v="757.0"/>
        <n v="3108.0"/>
        <n v="3459.0"/>
        <n v="4713.0"/>
        <n v="700.0"/>
        <n v="2109.0"/>
        <n v="236.0"/>
        <n v="10.0"/>
        <n v="2552.0"/>
        <n v="6952.0"/>
        <n v="153.0"/>
        <n v="649.0"/>
        <n v="468.0"/>
        <n v="370.0"/>
        <n v="9748.0"/>
        <n v="3112.0"/>
        <n v="96.0"/>
        <n v="430.0"/>
        <n v="988.0"/>
        <n v="539.0"/>
        <n v="238.0"/>
        <n v="1251.0"/>
        <n v="523.0"/>
        <n v="114.0"/>
        <n v="1441.0"/>
        <n v="4452.0"/>
        <n v="537.0"/>
        <n v="4272.0"/>
        <n v="8182.0"/>
        <n v="10472.0"/>
        <n v="31.0"/>
        <n v="123.0"/>
        <n v="37.0"/>
        <n v="983.0"/>
        <n v="513.0"/>
        <n v="4756.0"/>
        <n v="7163.0"/>
        <n v="17677.0"/>
        <n v="4119.0"/>
        <n v="3886.0"/>
        <n v="1917.0"/>
        <n v="1676.0"/>
        <n v="19.0"/>
        <n v="490.0"/>
        <n v="447.0"/>
        <n v="916.0"/>
        <n v="3057.0"/>
        <n v="90.0"/>
        <n v="1239.0"/>
        <n v="518.0"/>
        <n v="4938.0"/>
        <n v="3157.0"/>
        <n v="348.0"/>
        <n v="47.0"/>
        <n v="119.0"/>
        <n v="111.0"/>
        <n v="2024.0"/>
        <n v="93.0"/>
        <n v="2459.0"/>
        <n v="992.0"/>
        <n v="155.0"/>
        <n v="204.0"/>
        <n v="544.0"/>
        <n v="327.0"/>
        <n v="638.0"/>
        <n v="929.0"/>
        <n v="4535.0"/>
        <n v="1685.0"/>
        <n v="2799.0"/>
        <n v="5649.0"/>
        <n v="4768.0"/>
        <n v="4061.0"/>
        <n v="505.0"/>
        <n v="225.0"/>
        <n v="1874.0"/>
        <n v="545.0"/>
        <n v="24528.0"/>
        <n v="237.0"/>
        <n v="7748.0"/>
        <n v="308.0"/>
        <n v="187.0"/>
        <n v="1528.0"/>
        <n v="312.0"/>
        <n v="11141.0"/>
        <n v="23382.0"/>
        <n v="20663.0"/>
        <n v="2116.0"/>
        <n v="3228.0"/>
        <n v="4279.0"/>
        <n v="42.0"/>
        <n v="1541.0"/>
        <n v="51.0"/>
        <n v="1217.0"/>
        <n v="107.0"/>
        <n v="2317.0"/>
        <n v="106.0"/>
        <n v="310.0"/>
        <n v="711.0"/>
        <n v="975.0"/>
        <n v="366.0"/>
        <n v="71.0"/>
        <n v="601.0"/>
        <n v="1500.0"/>
        <n v="64.0"/>
        <n v="719.0"/>
        <n v="634.0"/>
        <n v="1004.0"/>
        <n v="43.0"/>
        <n v="7134.0"/>
        <n v="5492.0"/>
        <n v="8.0"/>
        <n v="967.0"/>
        <n v="7339.0"/>
        <n v="265.0"/>
        <n v="3002.0"/>
        <n v="2231.0"/>
        <n v="786.0"/>
        <n v="2466.0"/>
        <n v="3557.0"/>
        <n v="41.0"/>
        <n v="632.0"/>
        <n v="868.0"/>
        <n v="249.0"/>
        <n v="4333.0"/>
        <n v="951.0"/>
        <n v="4664.0"/>
        <n v="8625.0"/>
        <n v="996.0"/>
        <n v="2743.0"/>
        <n v="640.0"/>
        <n v="1357.0"/>
        <n v="4205.0"/>
        <n v="652.0"/>
        <n v="723.0"/>
        <n v="3142.0"/>
        <n v="8717.0"/>
        <n v="1549.0"/>
        <n v="998.0"/>
        <n v="1.0"/>
        <n v="1552.0"/>
        <n v="2063.0"/>
        <n v="1693.0"/>
        <n v="2280.0"/>
        <n v="1671.0"/>
        <n v="1019.0"/>
        <n v="1159.0"/>
        <n v="600.0"/>
        <n v="1368.0"/>
        <n v="717.0"/>
        <n v="92.0"/>
        <n v="272.0"/>
        <n v="764.0"/>
        <n v="381.0"/>
        <n v="647.0"/>
        <n v="7704.0"/>
        <n v="20.0"/>
        <n v="254.0"/>
        <n v="83.0"/>
        <n v="3828.0"/>
        <n v="776.0"/>
        <n v="3689.0"/>
        <n v="122.0"/>
        <n v="533.0"/>
        <n v="1997.0"/>
        <n v="1537.0"/>
        <n v="1756.0"/>
        <n v="40.0"/>
        <n v="6596.0"/>
        <n v="1982.0"/>
        <n v="36.0"/>
        <n v="835.0"/>
        <n v="22.0"/>
        <n v="445.0"/>
        <n v="292.0"/>
        <n v="62.0"/>
        <n v="410.0"/>
        <n v="345.0"/>
        <n v="3055.0"/>
        <n v="188.0"/>
        <n v="302.0"/>
        <n v="251.0"/>
        <n v="277.0"/>
        <n v="497.0"/>
        <n v="28.0"/>
        <n v="473.0"/>
        <n v="186.0"/>
        <n v="50.0"/>
        <n v="304.0"/>
        <n v="2558.0"/>
        <n v="1823.0"/>
        <n v="11.0"/>
        <n v="1648.0"/>
        <n v="1678.0"/>
        <n v="342.0"/>
        <n v="5284.0"/>
        <n v="643.0"/>
        <n v="1410.0"/>
        <n v="1928.0"/>
        <n v="2135.0"/>
        <n v="86.0"/>
        <n v="865.0"/>
        <n v="3488.0"/>
        <n v="203.0"/>
        <n v="886.0"/>
        <n v="1197.0"/>
        <n v="1388.0"/>
        <n v="109.0"/>
        <n v="1372.0"/>
        <n v="160.0"/>
        <n v="1630.0"/>
        <n v="880.0"/>
        <n v="400.0"/>
        <n v="1315.0"/>
        <n v="2631.0"/>
        <n v="4777.0"/>
        <n v="2532.0"/>
        <n v="59.0"/>
        <n v="780.0"/>
        <n v="2052.0"/>
        <n v="408.0"/>
        <n v="9955.0"/>
        <n v="5992.0"/>
        <n v="2858.0"/>
        <n v="60.0"/>
        <n v="1485.0"/>
        <n v="436.0"/>
        <n v="566.0"/>
        <n v="208.0"/>
        <n v="15017.0"/>
        <n v="18733.0"/>
        <n v="8402.0"/>
        <n v="7113.0"/>
        <n v="5114.0"/>
        <n v="18194.0"/>
        <n v="1593.0"/>
        <n v="242.0"/>
        <n v="23.0"/>
        <n v="1737.0"/>
        <n v="3808.0"/>
        <n v="697.0"/>
        <n v="404.0"/>
        <n v="1261.0"/>
        <n v="1299.0"/>
        <n v="789.0"/>
        <n v="120.0"/>
        <n v="293.0"/>
        <n v="1241.0"/>
        <n v="3151.0"/>
        <n v="1659.0"/>
        <n v="184.0"/>
        <n v="579.0"/>
        <n v="1184.0"/>
        <n v="555.0"/>
        <n v="1498.0"/>
        <n v="4684.0"/>
        <n v="2535.0"/>
        <n v="441.0"/>
        <n v="75.0"/>
        <n v="9424.0"/>
        <n v="69.0"/>
        <n v="644.0"/>
        <n v="4.0"/>
        <n v="3333.0"/>
        <n v="424.0"/>
        <n v="541.0"/>
        <n v="218.0"/>
        <n v="669.0"/>
        <n v="250.0"/>
        <n v="335.0"/>
        <n v="1496.0"/>
        <n v="559.0"/>
        <n v="808.0"/>
        <n v="484.0"/>
        <n v="2640.0"/>
        <n v="2608.0"/>
        <n v="574.0"/>
        <n v="136.0"/>
        <n v="30.0"/>
        <n v="231.0"/>
        <n v="157.0"/>
        <n v="78.0"/>
        <n v="81.0"/>
        <n v="17.0"/>
        <n v="29.0"/>
        <n v="189.0"/>
        <n v="116.0"/>
        <n v="142.0"/>
        <n v="493.0"/>
        <n v="230.0"/>
        <n v="177.0"/>
        <n v="347.0"/>
        <n v="39.0"/>
        <n v="98.0"/>
        <n v="223.0"/>
        <n v="7.0"/>
        <n v="3934.0"/>
        <n v="1505.0"/>
        <n v="963.0"/>
        <n v="4742.0"/>
        <n v="458.0"/>
        <n v="2002.0"/>
        <n v="2222.0"/>
        <n v="3619.0"/>
        <n v="721.0"/>
        <n v="5129.0"/>
        <n v="2517.0"/>
        <n v="4012.0"/>
        <n v="3719.0"/>
        <n v="148.0"/>
        <n v="4983.0"/>
        <n v="1437.0"/>
        <n v="567.0"/>
        <n v="94.0"/>
        <n v="1274.0"/>
        <n v="1868.0"/>
        <n v="387.0"/>
        <n v="70.0"/>
        <n v="316.0"/>
        <n v="3355.0"/>
        <n v="1519.0"/>
        <n v="1079.0"/>
        <n v="2655.0"/>
        <n v="57.0"/>
        <n v="536.0"/>
        <n v="1800.0"/>
        <n v="3230.0"/>
        <n v="2689.0"/>
        <n v="398.0"/>
        <n v="295.0"/>
        <n v="1291.0"/>
        <n v="4651.0"/>
        <n v="1900.0"/>
        <n v="2388.0"/>
        <n v="1162.0"/>
        <n v="823.0"/>
        <n v="811.0"/>
        <n v="76.0"/>
        <n v="113.0"/>
        <n v="161.0"/>
        <n v="832.0"/>
        <n v="1636.0"/>
        <n v="179.0"/>
        <n v="7170.0"/>
        <n v="2358.0"/>
        <n v="2000.0"/>
        <n v="925.0"/>
        <n v="346.0"/>
        <n v="943.0"/>
        <n v="854.0"/>
        <n v="1146.0"/>
        <n v="6.0"/>
        <n v="698.0"/>
        <n v="8924.0"/>
        <n v="633.0"/>
        <n v="130.0"/>
        <n v="3003.0"/>
        <n v="831.0"/>
        <n v="284.0"/>
        <n v="190.0"/>
        <n v="2840.0"/>
        <n v="25.0"/>
        <n v="416.0"/>
        <n v="55.0"/>
        <n v="2325.0"/>
        <n v="1926.0"/>
        <n v="3647.0"/>
        <n v="5187.0"/>
        <n v="3995.0"/>
        <n v="1716.0"/>
        <n v="5549.0"/>
        <n v="5651.0"/>
        <n v="1704.0"/>
        <n v="269.0"/>
        <n v="227.0"/>
        <n v="931.0"/>
        <n v="1942.0"/>
        <n v="1486.0"/>
        <n v="194.0"/>
        <n v="1175.0"/>
        <n v="750.0"/>
        <n v="1840.0"/>
        <n v="229.0"/>
        <n v="180.0"/>
        <n v="7157.0"/>
        <n v="4668.0"/>
        <n v="1487.0"/>
        <n v="4446.0"/>
        <n v="5310.0"/>
        <n v="3471.0"/>
        <n v="2758.0"/>
        <n v="2570.0"/>
        <n v="3176.0"/>
        <n v="4989.0"/>
        <n v="707.0"/>
        <n v="191.0"/>
        <n v="74.0"/>
        <n v="1037.0"/>
        <n v="159.0"/>
        <n v="217.0"/>
        <n v="1613.0"/>
        <n v="1331.0"/>
        <n v="167.0"/>
        <n v="222.0"/>
        <n v="1828.0"/>
        <n v="1439.0"/>
        <n v="3874.0"/>
        <n v="4098.0"/>
        <n v="1645.0"/>
        <n v="1543.0"/>
        <n v="172.0"/>
        <n v="802.0"/>
        <n v="147.0"/>
        <n v="2101.0"/>
        <n v="355.0"/>
        <n v="866.0"/>
        <n v="501.0"/>
        <n v="262.0"/>
        <n v="339.0"/>
        <n v="904.0"/>
        <n v="2306.0"/>
        <n v="528.0"/>
        <n v="1264.0"/>
        <n v="840.0"/>
        <n v="375.0"/>
        <n v="2839.0"/>
        <n v="1660.0"/>
        <n v="507.0"/>
        <n v="602.0"/>
        <n v="1090.0"/>
        <n v="79.0"/>
        <n v="673.0"/>
        <n v="449.0"/>
        <n v="126.0"/>
        <n v="656.0"/>
        <n v="152.0"/>
        <n v="681.0"/>
        <n v="942.0"/>
        <n v="359.0"/>
        <n v="4257.0"/>
        <n v="77.0"/>
        <n v="678.0"/>
        <n v="965.0"/>
        <n v="2766.0"/>
        <n v="3.0"/>
        <n v="806.0"/>
        <n v="455.0"/>
        <n v="176.0"/>
        <n v="1046.0"/>
        <n v="2120.0"/>
        <n v="14.0"/>
        <n v="1180.0"/>
        <n v="506.0"/>
        <n v="261.0"/>
        <n v="1565.0"/>
        <n v="1612.0"/>
        <n v="24.0"/>
        <n v="1023.0"/>
        <n v="534.0"/>
        <n v="124.0"/>
        <n v="914.0"/>
        <n v="538.0"/>
        <n v="182.0"/>
        <n v="2563.0"/>
        <n v="66.0"/>
        <n v="1362.0"/>
        <n v="2103.0"/>
        <n v="3511.0"/>
        <n v="499.0"/>
        <n v="5434.0"/>
        <n v="584.0"/>
        <n v="1313.0"/>
        <n v="2122.0"/>
        <n v="390.0"/>
        <n v="1043.0"/>
        <n v="1815.0"/>
        <n v="1893.0"/>
        <n v="281.0"/>
        <n v="2747.0"/>
        <n v="1321.0"/>
        <n v="1558.0"/>
        <n v="1431.0"/>
        <n v="1327.0"/>
        <n v="4727.0"/>
        <n v="747.0"/>
        <n v="2940.0"/>
        <n v="5079.0"/>
        <n v="1846.0"/>
        <n v="314.0"/>
        <n v="1837.0"/>
        <n v="558.0"/>
        <n v="475.0"/>
        <n v="2261.0"/>
        <n v="2824.0"/>
        <n v="1925.0"/>
        <n v="333.0"/>
        <n v="1390.0"/>
        <n v="525.0"/>
        <n v="2389.0"/>
        <n v="100.0"/>
        <n v="2546.0"/>
        <n v="1465.0"/>
        <n v="5959.0"/>
        <n v="934.0"/>
        <n v="2718.0"/>
        <n v="15.0"/>
        <n v="596.0"/>
        <n v="320.0"/>
        <n v="5156.0"/>
        <n v="209.0"/>
        <n v="105.0"/>
        <n v="1673.0"/>
        <n v="369.0"/>
        <n v="2553.0"/>
        <n v="2339.0"/>
        <n v="654.0"/>
        <n v="294.0"/>
        <n v="1513.0"/>
        <n v="3989.0"/>
        <n v="270.0"/>
        <n v="939.0"/>
        <n v="297.0"/>
        <n v="1109.0"/>
        <n v="3686.0"/>
        <n v="758.0"/>
        <n v="1378.0"/>
        <n v="1252.0"/>
        <n v="8005.0"/>
        <n v="371.0"/>
        <n v="2040.0"/>
        <n v="1140.0"/>
        <n v="1377.0"/>
        <n v="2132.0"/>
        <n v="1301.0"/>
        <n v="784.0"/>
        <n v="1409.0"/>
        <n v="5101.0"/>
        <n v="1418.0"/>
        <n v="258.0"/>
        <n v="1448.0"/>
        <n v="2538.0"/>
        <n v="6003.0"/>
        <n v="12307.0"/>
        <n v="3823.0"/>
        <n v="6891.0"/>
        <n v="8199.0"/>
        <n v="2518.0"/>
        <n v="2486.0"/>
        <n v="476.0"/>
        <n v="7668.0"/>
        <n v="7033.0"/>
        <n v="1548.0"/>
        <n v="801.0"/>
        <n v="6397.0"/>
        <n v="151.0"/>
        <n v="4395.0"/>
        <n v="885.0"/>
        <n v="3305.0"/>
        <n v="1594.0"/>
        <n v="2927.0"/>
        <n v="3158.0"/>
        <n v="8566.0"/>
        <n v="976.0"/>
        <n v="462.0"/>
        <n v="562.0"/>
        <n v="1497.0"/>
        <n v="3584.0"/>
        <n v="3692.0"/>
        <n v="1202.0"/>
        <n v="870.0"/>
        <n v="887.0"/>
        <n v="857.0"/>
        <n v="319.0"/>
        <n v="389.0"/>
        <n v="282.0"/>
        <n v="580.0"/>
        <n v="1679.0"/>
        <n v="267.0"/>
        <n v="3580.0"/>
        <n v="653.0"/>
        <n v="1147.0"/>
        <n v="415.0"/>
        <n v="686.0"/>
        <n v="1656.0"/>
        <n v="1190.0"/>
        <n v="413.0"/>
        <n v="940.0"/>
        <n v="3018.0"/>
        <n v="744.0"/>
        <n v="173.0"/>
        <n v="4754.0"/>
        <n v="425.0"/>
        <n v="858.0"/>
        <n v="1873.0"/>
        <n v="921.0"/>
        <n v="2850.0"/>
        <n v="2796.0"/>
        <n v="4088.0"/>
        <n v="3712.0"/>
        <n v="82.0"/>
        <n v="102.0"/>
        <n v="18.0"/>
        <n v="648.0"/>
        <n v="586.0"/>
        <n v="4245.0"/>
        <n v="4526.0"/>
        <n v="1144.0"/>
        <n v="289.0"/>
        <n v="3138.0"/>
        <n v="2780.0"/>
        <n v="843.0"/>
        <n v="2112.0"/>
        <n v="1555.0"/>
        <n v="2835.0"/>
        <n v="4588.0"/>
        <n v="1058.0"/>
        <n v="941.0"/>
        <n v="91.0"/>
        <n v="5056.0"/>
        <n v="1957.0"/>
        <n v="1993.0"/>
        <n v="1682.0"/>
        <n v="202.0"/>
        <n v="3091.0"/>
        <n v="524.0"/>
        <n v="496.0"/>
        <n v="303.0"/>
        <n v="1209.0"/>
        <n v="185.0"/>
        <n v="2362.0"/>
        <n v="1864.0"/>
        <n v="800.0"/>
        <n v="756.0"/>
        <n v="554.0"/>
        <n v="2203.0"/>
        <n v="546.0"/>
        <n v="1076.0"/>
        <n v="917.0"/>
        <n v="1629.0"/>
        <n v="63.0"/>
        <n v="89.0"/>
        <n v="4734.0"/>
        <n v="110.0"/>
        <n v="1595.0"/>
        <n v="2607.0"/>
        <n v="245.0"/>
        <n v="1179.0"/>
        <n v="6465.0"/>
        <n v="622.0"/>
        <n v="704.0"/>
        <n v="5582.0"/>
        <n v="753.0"/>
        <n v="631.0"/>
        <n v="1193.0"/>
        <n v="44.0"/>
        <n v="2656.0"/>
        <n v="769.0"/>
        <n v="741.0"/>
        <n v="920.0"/>
        <n v="26.0"/>
        <n v="2360.0"/>
        <n v="2978.0"/>
        <n v="257.0"/>
        <n v="394.0"/>
        <n v="1279.0"/>
        <n v="239.0"/>
        <n v="1626.0"/>
        <n v="1070.0"/>
        <n v="846.0"/>
        <n v="46.0"/>
        <n v="5470.0"/>
        <n v="2997.0"/>
        <n v="1387.0"/>
        <n v="500.0"/>
        <n v="353.0"/>
        <n v="617.0"/>
        <n v="443.0"/>
        <n v="286.0"/>
        <n v="509.0"/>
        <n v="240.0"/>
        <n v="5116.0"/>
        <n v="646.0"/>
        <n v="2008.0"/>
        <n v="3730.0"/>
        <n v="178.0"/>
        <n v="1887.0"/>
        <n v="174.0"/>
        <n v="80.0"/>
        <n v="2684.0"/>
        <n v="3554.0"/>
        <n v="660.0"/>
        <n v="2926.0"/>
        <n v="166.0"/>
        <n v="3097.0"/>
        <n v="563.0"/>
        <n v="481.0"/>
        <n v="1619.0"/>
        <n v="6619.0"/>
        <n v="8615.0"/>
        <n v="932.0"/>
        <n v="2155.0"/>
      </sharedItems>
    </cacheField>
    <cacheField name="SON 2 &#10;HAFTA" numFmtId="0">
      <sharedItems containsString="0" containsBlank="1" containsNumber="1" containsInteger="1">
        <n v="3.0"/>
        <n v="21.0"/>
        <m/>
        <n v="41.0"/>
        <n v="67.0"/>
        <n v="62.0"/>
        <n v="35.0"/>
        <n v="7.0"/>
        <n v="11.0"/>
        <n v="38.0"/>
        <n v="131.0"/>
        <n v="68.0"/>
        <n v="30.0"/>
        <n v="169.0"/>
        <n v="63.0"/>
        <n v="9.0"/>
        <n v="12.0"/>
        <n v="8.0"/>
        <n v="69.0"/>
        <n v="49.0"/>
        <n v="188.0"/>
        <n v="84.0"/>
        <n v="5.0"/>
        <n v="15.0"/>
        <n v="59.0"/>
        <n v="66.0"/>
        <n v="83.0"/>
        <n v="143.0"/>
        <n v="194.0"/>
        <n v="13.0"/>
        <n v="221.0"/>
        <n v="10.0"/>
        <n v="91.0"/>
        <n v="4.0"/>
        <n v="29.0"/>
        <n v="26.0"/>
        <n v="80.0"/>
        <n v="46.0"/>
        <n v="23.0"/>
        <n v="6.0"/>
        <n v="161.0"/>
        <n v="304.0"/>
        <n v="92.0"/>
        <n v="256.0"/>
        <n v="409.0"/>
        <n v="1490.0"/>
        <n v="109.0"/>
        <n v="552.0"/>
        <n v="1110.0"/>
        <n v="2.0"/>
        <n v="136.0"/>
        <n v="14.0"/>
        <n v="31.0"/>
        <n v="71.0"/>
        <n v="39.0"/>
        <n v="883.0"/>
        <n v="205.0"/>
        <n v="18.0"/>
        <n v="99.0"/>
        <n v="197.0"/>
        <n v="74.0"/>
        <n v="70.0"/>
        <n v="44.0"/>
        <n v="61.0"/>
        <n v="16.0"/>
        <n v="153.0"/>
        <n v="198.0"/>
        <n v="42.0"/>
        <n v="1.0"/>
        <n v="578.0"/>
        <n v="55.0"/>
        <n v="33.0"/>
        <n v="37.0"/>
        <n v="95.0"/>
        <n v="24.0"/>
        <n v="96.0"/>
        <n v="314.0"/>
        <n v="151.0"/>
        <n v="334.0"/>
        <n v="278.0"/>
        <n v="27.0"/>
        <n v="43.0"/>
        <n v="123.0"/>
        <n v="270.0"/>
        <n v="537.0"/>
        <n v="112.0"/>
        <n v="147.0"/>
        <n v="77.0"/>
        <n v="53.0"/>
        <n v="25.0"/>
        <n v="295.0"/>
        <n v="87.0"/>
        <n v="65.0"/>
        <n v="60.0"/>
        <n v="75.0"/>
        <n v="81.0"/>
        <n v="56.0"/>
        <n v="20.0"/>
        <n v="47.0"/>
        <n v="185.0"/>
        <n v="115.0"/>
        <n v="73.0"/>
        <n v="193.0"/>
        <n v="114.0"/>
        <n v="886.0"/>
        <n v="122.0"/>
        <n v="228.0"/>
        <n v="739.0"/>
        <n v="844.0"/>
        <n v="795.0"/>
        <n v="110.0"/>
        <n v="34.0"/>
        <n v="181.0"/>
        <n v="125.0"/>
        <n v="72.0"/>
        <n v="102.0"/>
        <n v="32.0"/>
        <n v="93.0"/>
        <n v="237.0"/>
        <n v="130.0"/>
        <n v="201.0"/>
        <n v="124.0"/>
        <n v="142.0"/>
        <n v="349.0"/>
        <n v="160.0"/>
        <n v="149.0"/>
        <n v="583.0"/>
        <n v="22.0"/>
        <n v="128.0"/>
        <n v="50.0"/>
        <n v="19.0"/>
        <n v="76.0"/>
        <n v="17.0"/>
        <n v="225.0"/>
        <n v="183.0"/>
        <n v="275.0"/>
        <n v="106.0"/>
        <n v="52.0"/>
        <n v="167.0"/>
        <n v="40.0"/>
        <n v="288.0"/>
        <n v="86.0"/>
        <n v="36.0"/>
        <n v="250.0"/>
        <n v="64.0"/>
        <n v="89.0"/>
        <n v="107.0"/>
        <n v="166.0"/>
        <n v="51.0"/>
        <n v="54.0"/>
        <n v="88.0"/>
        <n v="121.0"/>
        <n v="163.0"/>
        <n v="210.0"/>
        <n v="48.0"/>
        <n v="155.0"/>
        <n v="510.0"/>
        <n v="156.0"/>
        <n v="1120.0"/>
        <n v="1317.0"/>
        <n v="218.0"/>
        <n v="373.0"/>
        <n v="231.0"/>
        <n v="570.0"/>
        <n v="113.0"/>
        <n v="78.0"/>
        <n v="90.0"/>
        <n v="139.0"/>
        <n v="79.0"/>
        <n v="120.0"/>
        <n v="58.0"/>
        <n v="126.0"/>
        <n v="135.0"/>
        <n v="191.0"/>
        <n v="209.0"/>
        <n v="28.0"/>
        <n v="220.0"/>
        <n v="300.0"/>
        <n v="158.0"/>
        <n v="146.0"/>
        <n v="94.0"/>
        <n v="118.0"/>
        <n v="261.0"/>
        <n v="172.0"/>
        <n v="171.0"/>
        <n v="174.0"/>
        <n v="57.0"/>
        <n v="168.0"/>
        <n v="236.0"/>
        <n v="235.0"/>
        <n v="229.0"/>
        <n v="127.0"/>
        <n v="129.0"/>
        <n v="280.0"/>
        <n v="98.0"/>
        <n v="249.0"/>
        <n v="267.0"/>
        <n v="119.0"/>
        <n v="45.0"/>
        <n v="85.0"/>
        <n v="202.0"/>
        <n v="1191.0"/>
        <n v="326.0"/>
        <n v="376.0"/>
        <n v="178.0"/>
        <n v="152.0"/>
        <n v="133.0"/>
        <n v="208.0"/>
        <n v="164.0"/>
        <n v="630.0"/>
        <n v="176.0"/>
        <n v="154.0"/>
        <n v="195.0"/>
        <n v="290.0"/>
        <n v="254.0"/>
        <n v="97.0"/>
        <n v="239.0"/>
        <n v="233.0"/>
        <n v="137.0"/>
        <n v="282.0"/>
        <n v="214.0"/>
        <n v="105.0"/>
        <n v="281.0"/>
        <n v="241.0"/>
        <n v="101.0"/>
        <n v="811.0"/>
        <n v="242.0"/>
        <n v="162.0"/>
        <n v="211.0"/>
        <n v="303.0"/>
      </sharedItems>
    </cacheField>
    <cacheField name="RESİMLİ&#10;ÜRÜN" numFmtId="0">
      <sharedItems containsSemiMixedTypes="0" containsString="0" containsNumber="1" containsInteger="1">
        <n v="8.0"/>
        <n v="30.0"/>
        <n v="16.0"/>
        <n v="10.0"/>
        <n v="0.0"/>
        <n v="5.0"/>
        <n v="3.0"/>
        <n v="2.0"/>
        <n v="12.0"/>
        <n v="14.0"/>
        <n v="18.0"/>
        <n v="19.0"/>
        <n v="17.0"/>
        <n v="9.0"/>
        <n v="6.0"/>
        <n v="21.0"/>
        <n v="27.0"/>
        <n v="46.0"/>
        <n v="23.0"/>
        <n v="47.0"/>
        <n v="13.0"/>
        <n v="11.0"/>
        <n v="7.0"/>
        <n v="22.0"/>
        <n v="1.0"/>
        <n v="37.0"/>
        <n v="4.0"/>
        <n v="20.0"/>
        <n v="60.0"/>
        <n v="57.0"/>
        <n v="31.0"/>
        <n v="26.0"/>
        <n v="32.0"/>
        <n v="28.0"/>
        <n v="29.0"/>
        <n v="35.0"/>
        <n v="15.0"/>
        <n v="25.0"/>
        <n v="34.0"/>
        <n v="44.0"/>
        <n v="48.0"/>
        <n v="33.0"/>
        <n v="24.0"/>
        <n v="92.0"/>
        <n v="74.0"/>
        <n v="50.0"/>
        <n v="56.0"/>
        <n v="53.0"/>
        <n v="97.0"/>
        <n v="61.0"/>
        <n v="49.0"/>
        <n v="63.0"/>
        <n v="45.0"/>
        <n v="40.0"/>
        <n v="64.0"/>
        <n v="102.0"/>
        <n v="55.0"/>
        <n v="41.0"/>
        <n v="42.0"/>
        <n v="52.0"/>
        <n v="82.0"/>
        <n v="75.0"/>
        <n v="36.0"/>
      </sharedItems>
    </cacheField>
    <cacheField name="RESİMSİZ&#10;ÜRÜN" numFmtId="0">
      <sharedItems containsSemiMixedTypes="0" containsString="0" containsNumber="1" containsInteger="1">
        <n v="0.0"/>
        <n v="3.0"/>
        <n v="13.0"/>
        <n v="2.0"/>
        <n v="23.0"/>
        <n v="20.0"/>
        <n v="8.0"/>
        <n v="1.0"/>
        <n v="35.0"/>
        <n v="49.0"/>
        <n v="75.0"/>
        <n v="9.0"/>
        <n v="6.0"/>
        <n v="5.0"/>
        <n v="12.0"/>
        <n v="27.0"/>
        <n v="15.0"/>
        <n v="14.0"/>
        <n v="26.0"/>
        <n v="10.0"/>
        <n v="32.0"/>
        <n v="29.0"/>
        <n v="24.0"/>
        <n v="4.0"/>
        <n v="18.0"/>
        <n v="21.0"/>
        <n v="110.0"/>
        <n v="98.0"/>
        <n v="7.0"/>
        <n v="38.0"/>
        <n v="63.0"/>
        <n v="46.0"/>
        <n v="17.0"/>
        <n v="45.0"/>
        <n v="16.0"/>
        <n v="19.0"/>
        <n v="25.0"/>
        <n v="55.0"/>
        <n v="28.0"/>
        <n v="30.0"/>
        <n v="54.0"/>
        <n v="34.0"/>
        <n v="31.0"/>
        <n v="36.0"/>
        <n v="33.0"/>
        <n v="11.0"/>
        <n v="76.0"/>
        <n v="65.0"/>
        <n v="64.0"/>
        <n v="102.0"/>
        <n v="48.0"/>
        <n v="69.0"/>
        <n v="22.0"/>
        <n v="37.0"/>
        <n v="93.0"/>
        <n v="101.0"/>
        <n v="39.0"/>
        <n v="66.0"/>
        <n v="41.0"/>
        <n v="121.0"/>
        <n v="40.0"/>
        <n v="57.0"/>
        <n v="42.0"/>
        <n v="53.0"/>
        <n v="112.0"/>
        <n v="198.0"/>
        <n v="67.0"/>
        <n v="47.0"/>
        <n v="44.0"/>
        <n v="72.0"/>
        <n v="60.0"/>
        <n v="74.0"/>
        <n v="51.0"/>
        <n v="94.0"/>
        <n v="125.0"/>
        <n v="107.0"/>
        <n v="43.0"/>
        <n v="68.0"/>
        <n v="59.0"/>
        <n v="92.0"/>
        <n v="73.0"/>
        <n v="71.0"/>
        <n v="81.0"/>
        <n v="62.0"/>
        <n v="70.0"/>
        <n v="78.0"/>
        <n v="52.0"/>
        <n v="90.0"/>
        <n v="87.0"/>
        <n v="120.0"/>
        <n v="88.0"/>
        <n v="89.0"/>
        <n v="80.0"/>
        <n v="162.0"/>
        <n v="84.0"/>
        <n v="77.0"/>
        <n v="86.0"/>
        <n v="96.0"/>
        <n v="91.0"/>
        <n v="56.0"/>
        <n v="61.0"/>
      </sharedItems>
    </cacheField>
    <cacheField name="TOPLAM&#10;ÜRÜN" numFmtId="0">
      <sharedItems containsSemiMixedTypes="0" containsString="0" containsNumber="1" containsInteger="1">
        <n v="8.0"/>
        <n v="33.0"/>
        <n v="29.0"/>
        <n v="12.0"/>
        <n v="23.0"/>
        <n v="20.0"/>
        <n v="11.0"/>
        <n v="35.0"/>
        <n v="49.0"/>
        <n v="75.0"/>
        <n v="9.0"/>
        <n v="16.0"/>
        <n v="6.0"/>
        <n v="14.0"/>
        <n v="39.0"/>
        <n v="15.0"/>
        <n v="44.0"/>
        <n v="10.0"/>
        <n v="32.0"/>
        <n v="19.0"/>
        <n v="34.0"/>
        <n v="24.0"/>
        <n v="45.0"/>
        <n v="21.0"/>
        <n v="110.0"/>
        <n v="98.0"/>
        <n v="7.0"/>
        <n v="61.0"/>
        <n v="65.0"/>
        <n v="63.0"/>
        <n v="59.0"/>
        <n v="18.0"/>
        <n v="17.0"/>
        <n v="30.0"/>
        <n v="38.0"/>
        <n v="67.0"/>
        <n v="28.0"/>
        <n v="25.0"/>
        <n v="47.0"/>
        <n v="64.0"/>
        <n v="56.0"/>
        <n v="26.0"/>
        <n v="31.0"/>
        <n v="13.0"/>
        <n v="40.0"/>
        <n v="3.0"/>
        <n v="55.0"/>
        <n v="76.0"/>
        <n v="5.0"/>
        <n v="4.0"/>
        <n v="41.0"/>
        <n v="87.0"/>
        <n v="102.0"/>
        <n v="46.0"/>
        <n v="66.0"/>
        <n v="48.0"/>
        <n v="71.0"/>
        <n v="22.0"/>
        <n v="83.0"/>
        <n v="27.0"/>
        <n v="37.0"/>
        <n v="93.0"/>
        <n v="101.0"/>
        <n v="80.0"/>
        <n v="153.0"/>
        <n v="36.0"/>
        <n v="42.0"/>
        <n v="51.0"/>
        <n v="57.0"/>
        <n v="53.0"/>
        <n v="112.0"/>
        <n v="198.0"/>
        <n v="1.0"/>
        <n v="86.0"/>
        <n v="79.0"/>
        <n v="68.0"/>
        <n v="72.0"/>
        <n v="60.0"/>
        <n v="82.0"/>
        <n v="126.0"/>
        <n v="69.0"/>
        <n v="94.0"/>
        <n v="119.0"/>
        <n v="125.0"/>
        <n v="117.0"/>
        <n v="43.0"/>
        <n v="74.0"/>
        <n v="58.0"/>
        <n v="92.0"/>
        <n v="73.0"/>
        <n v="84.0"/>
        <n v="52.0"/>
        <n v="81.0"/>
        <n v="62.0"/>
        <n v="70.0"/>
        <n v="78.0"/>
        <n v="77.0"/>
        <n v="123.0"/>
        <n v="120.0"/>
        <n v="189.0"/>
        <n v="194.0"/>
        <n v="88.0"/>
        <n v="89.0"/>
        <n v="162.0"/>
        <n v="90.0"/>
        <n v="103.0"/>
        <n v="95.0"/>
        <n v="107.0"/>
        <n v="106.0"/>
        <n v="100.0"/>
        <n v="91.0"/>
        <n v="109.0"/>
        <n v="135.0"/>
        <n v="50.0"/>
      </sharedItems>
    </cacheField>
    <cacheField name="Ratio" numFmtId="9">
      <sharedItems containsSemiMixedTypes="0" containsString="0" containsNumber="1">
        <n v="1.0"/>
        <n v="0.91"/>
        <n v="0.55"/>
        <n v="0.83"/>
        <n v="0.0"/>
        <n v="0.63"/>
        <n v="0.43"/>
        <n v="0.38"/>
        <n v="0.14"/>
        <n v="0.31"/>
        <n v="0.7"/>
        <n v="0.41"/>
        <n v="0.85"/>
        <n v="0.82"/>
        <n v="0.75"/>
        <n v="0.89"/>
        <n v="0.62"/>
        <n v="0.6"/>
        <n v="0.9"/>
        <n v="0.72"/>
        <n v="0.22"/>
        <n v="0.56"/>
        <n v="0.57"/>
        <n v="0.2"/>
        <n v="0.92"/>
        <n v="0.5"/>
        <n v="0.26"/>
        <n v="0.18"/>
        <n v="0.21"/>
        <n v="0.76"/>
        <n v="0.84"/>
        <n v="0.71"/>
        <n v="0.16"/>
        <n v="0.39"/>
        <n v="0.95"/>
        <n v="0.78"/>
        <n v="0.1"/>
        <n v="0.77"/>
        <n v="0.8"/>
        <n v="0.93"/>
        <n v="0.67"/>
        <n v="0.13"/>
        <n v="0.42"/>
        <n v="0.45"/>
        <n v="0.23"/>
        <n v="0.58"/>
        <n v="0.24"/>
        <n v="0.11"/>
        <n v="0.05"/>
        <n v="0.64"/>
        <n v="0.46"/>
        <n v="0.79"/>
        <n v="0.51"/>
        <n v="0.44"/>
        <n v="0.32"/>
        <n v="0.29"/>
        <n v="0.3"/>
        <n v="0.03"/>
        <n v="0.36"/>
        <n v="0.86"/>
        <n v="0.97"/>
        <n v="0.94"/>
        <n v="0.65"/>
        <n v="0.69"/>
        <n v="0.73"/>
        <n v="0.33"/>
        <n v="0.61"/>
        <n v="0.09"/>
        <n v="0.53"/>
        <n v="0.35"/>
        <n v="0.27"/>
        <n v="0.87"/>
        <n v="0.88"/>
        <n v="0.07"/>
        <n v="0.15"/>
        <n v="0.81"/>
        <n v="0.04"/>
        <n v="0.52"/>
        <n v="0.28"/>
        <n v="0.68"/>
        <n v="0.49"/>
        <n v="0.96"/>
        <n v="0.17"/>
        <n v="0.4"/>
        <n v="0.74"/>
        <n v="0.08"/>
        <n v="0.48"/>
        <n v="0.66"/>
        <n v="0.59"/>
        <n v="0.47"/>
        <n v="0.02"/>
        <n v="0.25"/>
        <n v="0.37"/>
        <n v="0.54"/>
        <n v="0.12"/>
        <n v="0.06"/>
      </sharedItems>
    </cacheField>
    <cacheField name="Yetkili">
      <sharedItems containsMixedTypes="1" containsNumber="1" containsInteger="1">
        <s v="barbaros hayreddin gürsoy"/>
        <s v="mustafa altunkaynak"/>
        <s v="hanefi alp"/>
        <s v="pınar uysun"/>
        <s v="EMRAH ÖZER"/>
        <s v="ABDURRAHMAN TOPRAK"/>
        <s v="Onur Öncü Uyandı"/>
        <s v="zeynep topaloğlu"/>
        <s v="leyla kocaman"/>
        <s v="erisn şendoğan"/>
        <s v="soner sarp"/>
        <s v="ismail kılınç"/>
        <s v="memduh birdir"/>
        <s v="kemal sabancı"/>
        <s v="mustafa orhan"/>
        <s v="ersin kardaş"/>
        <s v="veysel zengin"/>
        <s v="Muhammet Belindir"/>
        <s v="serkan büyükocak"/>
        <s v="Taner Aksoy"/>
        <s v="Riber Ergün"/>
        <s v="Ali Miraç Aşık"/>
        <s v="murat bey"/>
        <s v="canan boğa"/>
        <s v="Gökhan Lak"/>
        <s v="osman bey"/>
        <s v="Nilüfer Erçelik"/>
        <s v="NİGAR UZUN"/>
        <s v="Serkan Kılıçarslan"/>
        <s v="erdoğan özer"/>
        <s v="adem kocatürk"/>
        <s v="mehmet kaya"/>
        <s v="doğukan idigük"/>
        <s v="erdoğan aksoyan"/>
        <s v="KADİR SİCİMOĞLU"/>
        <s v="osman bayer"/>
        <s v="ERCAN DOĞAN"/>
        <s v="ibrahim üstün"/>
        <s v="Alkan IŞIK"/>
        <s v="mekye akarsu"/>
        <s v="Fatih Şirin"/>
        <s v="EMRAH AKILLIOĞLU"/>
        <s v="melda aynalı"/>
        <s v="ferhat aslan"/>
        <s v="savaş savaş"/>
        <s v="ömer çelik"/>
        <s v="levent dağlı"/>
        <s v="önder çebiç"/>
        <s v="KÜRŞAT KOCAMAN"/>
        <s v="SENCER YILMAZ"/>
        <s v="ali akdeniz"/>
        <s v="metin can çapanoğlu"/>
        <s v="FATİH ÇAKMAK"/>
        <s v="ÖMER FARUK KÖRLÜ"/>
        <s v="BERDAN AKÇEKOCE"/>
        <s v="deniz can gülli"/>
        <s v="ismail aydoğdu"/>
        <s v="Mehmet Sayılık"/>
        <s v="çağlayan kocahan"/>
        <s v="muhammet şükrü özkarakaş"/>
        <s v="hasan özüş"/>
        <s v="adem topal"/>
        <s v="seda gönlü"/>
        <s v="uğur gönlü"/>
        <s v="tuncay bozkuş"/>
        <s v="SUAT İDEMER"/>
        <s v="züleyha hanım"/>
        <s v="ZÜLEYHA ATLAS"/>
        <s v="yasin atlas"/>
        <s v="Alp Ocak"/>
        <s v="levent tanrıverdi"/>
        <s v="gökhan acımış"/>
        <s v="badel avcılar"/>
        <s v="İLMETTİN ÇALPAN"/>
        <s v="azmi huzur yurtçu"/>
        <s v="Süleyman Ürek"/>
        <s v="onur kırıcı"/>
        <s v="ORHAN EMEN"/>
        <s v="Cem Polat"/>
        <s v="Kemal Örtlek"/>
        <s v="Rahime Avli"/>
        <s v="Ömer Yücesoylu"/>
        <s v="ömer yavuz"/>
        <s v="HELİN ASLAN"/>
        <s v="yunus alagöz"/>
        <s v="fehmi kardeşoğlu"/>
        <s v="ersan aşık"/>
        <s v="özlem öztürk"/>
        <s v="aziz altunkaynak"/>
        <s v="Hakan Emre Türksev"/>
        <s v="gökhan ateş"/>
        <s v="cihan ateş"/>
        <s v="yunus uçmak"/>
        <s v="UĞUR DERSİM DURAN"/>
        <s v="aydın alptekin"/>
        <s v="erkan barış gökçeli"/>
        <s v="barış gökçeli"/>
        <s v="aytaç limonkoparan"/>
        <s v="Haluk Ayman"/>
        <s v="gökhan birdir"/>
        <s v="mehmet fatih yıldız"/>
        <s v="Ebubekir akgedik"/>
        <s v="sabri gel"/>
        <s v="İLKEM YİĞİT KIYAN"/>
        <s v="TÜLİN AVCI"/>
        <s v="SAFİYE BAĞRIYANIK"/>
        <s v="selçuk odabaşı"/>
        <s v="Ömer Boğça"/>
        <s v="Hüseyin Çağlar"/>
        <s v="hanife geç"/>
        <s v="Fatma Arice"/>
        <s v="Nilgün Bal"/>
        <s v="duran parlak"/>
        <s v="vedat sinar"/>
        <s v="veysel demirtaş"/>
        <s v="Fevziye Biçer"/>
        <s v="nurullah gök"/>
        <s v="Ahmet Erbeyi"/>
        <s v="ALİ BALIK"/>
        <s v="ali gençer"/>
        <s v="abdullah turan"/>
        <s v="EMİRHAN ŞİMŞEKYILMAZ"/>
        <s v="kara pezen"/>
        <s v="yasemin tuştaş"/>
        <s v="necmettin alpboğa"/>
        <s v="yasin karagiydiren"/>
        <s v="muhammet hanifi sündük"/>
        <s v="anıl can bektaş"/>
        <s v="savaş süzgünol"/>
        <s v="esra erkiş"/>
        <s v="rahmetullah özdemir"/>
        <s v="Sedat Adıgüzel"/>
        <s v="hakan özkan"/>
        <s v="sema sakacalı"/>
        <s v="bilal yurduseven"/>
        <s v="orhan daşkıran"/>
        <n v="5.468810203E9"/>
        <s v="ömer daşkıran"/>
        <s v="ali daşkıran"/>
        <s v="nuriye ünal"/>
        <s v="TUĞBA AVCI"/>
        <s v="onur uludağ"/>
        <s v="tayfun turmuş"/>
        <s v="hakan canpolat"/>
        <s v="NURETTİN DAĞTEKİN"/>
        <s v="Nurullah Yılmaz"/>
        <s v="cuma çekirge"/>
        <s v="Doğuş Korkmaz"/>
        <s v="mahmut özçiftçi"/>
        <s v="ferhan ökmen"/>
        <s v="mehmet nuri şimşek"/>
        <s v="selçuk bayram"/>
        <s v="selim bey"/>
        <s v="resul inal"/>
        <s v="ŞERAFETTİN ÇAKMAK"/>
        <s v="CKM RESTORAN VE GIDA İŞLETMELERİ A.Ş."/>
        <s v="ibrahim kuş"/>
        <s v="eylem kaplan özcan"/>
        <s v="ismail baran"/>
        <s v="ümit kış"/>
        <s v="muzaffer özel"/>
        <s v="cemil kardaş"/>
        <s v="Nehir Altay"/>
        <s v="BERAT KIYAN"/>
        <s v="ali alkan akata"/>
        <s v="hüsamettin hüyük"/>
        <s v="taner tekin"/>
        <s v="orkun ölmez"/>
        <s v="berkay tutar"/>
        <s v="gamze gümüşay"/>
        <s v="adem bey"/>
        <s v="erman mutlu"/>
        <s v="Çağrı Demir"/>
        <s v="LAZGİN DÜNDAR"/>
        <s v="cesur oral"/>
        <s v="bünyamin arık"/>
        <s v="davut deletioğlu"/>
        <s v="ÖZGÜR ÇOPUR"/>
        <s v="abdullah uğar"/>
        <s v="Musa Köksal"/>
        <s v="ilhan öztürk"/>
        <s v="murat tekin"/>
        <s v="ömer kocahan"/>
        <s v="suat kanber"/>
        <s v="hamza abalı"/>
        <s v="aytaç çirkin"/>
        <s v="tunç karslı"/>
        <s v="hakan yüzbaş"/>
        <s v="aydın parlakbileker"/>
        <s v="MUSTAFA ZÜMRÜTYAPRAK"/>
        <s v="Samet Akdağ"/>
        <s v="Mustafa Cengiz"/>
        <s v="zülküf altun"/>
        <s v="abdulkadir aylık"/>
        <s v="Esef Doğru"/>
        <s v="orhan yıldız"/>
        <s v="ömer tunç"/>
        <s v="ural cenap çiftçi"/>
        <s v="Emircan gürdoğan"/>
        <s v="Mehmet Gerez"/>
        <s v="seyfi kurt"/>
        <s v="selçuk taşcı"/>
        <s v="songül dinçer"/>
        <s v="MERYEM ÖZASLAN"/>
        <s v="dilan adar"/>
        <s v="mehmet mustafa mirdesli"/>
        <s v="sibel andırır"/>
        <s v="çağatay yalçın"/>
        <s v="levent bey"/>
        <s v="leyla aydın"/>
        <s v="özkan kenanoğlu"/>
        <s v="şahin kot"/>
        <s v="hüseyin kıstak"/>
        <s v="Gökhan Korkmaz"/>
        <s v="İbrahim özer"/>
        <s v="yusuf karakoç"/>
        <s v="önder özel"/>
        <s v="remzi kılıç"/>
        <s v="uğur akın kavak"/>
        <s v="sami tekcan"/>
        <s v="yasin bey"/>
        <s v="mahmut çağlı"/>
        <s v="ÇAĞRI BEY"/>
        <s v="seda meler"/>
        <s v="BEŞİR ÇAKIN"/>
        <s v="YUSUF GÖKTAŞ"/>
        <s v="hüseyin yalçın"/>
        <s v="serdar atılan"/>
        <s v="mustafa seymen"/>
        <s v="Ayşe Gültekin"/>
        <s v="aslı görkem"/>
        <s v="bilgehan akcan"/>
        <s v="AYŞE GÜLTEKİN"/>
        <s v="Nadir Özdemir"/>
        <s v="gökhan bey"/>
        <s v="bekir cihan"/>
        <s v="servet kaya"/>
        <s v="ahmet orakci"/>
        <s v="ismail koştur"/>
        <s v="umut can tekin"/>
        <s v="tarık doğan"/>
        <s v="KADRİYE SILA ÜLKER"/>
        <s v="gökhan şık"/>
        <s v="zeki kaya"/>
        <s v="mizbah zengin"/>
        <s v="mehmet deniz"/>
        <s v="ercan kaya"/>
        <s v="elif turhan"/>
        <s v="Yakup Ohal"/>
        <s v="emre yonsul"/>
        <s v="esat tahiroğlu"/>
        <s v="cumali abucak"/>
        <s v="Zekiye Çırakoğlu"/>
        <s v="erdal çelik"/>
        <s v="emin gökalp"/>
        <s v="ENES DOĞAN"/>
        <s v="fatih mutlu"/>
        <s v="Fadime Yörük"/>
        <s v="yunus danış"/>
        <s v="İmdat Kocatürk"/>
        <s v="abdullah alyagut"/>
        <s v="nurettin karadal"/>
        <s v="celal tanrıöver"/>
        <s v="Hayati Yerlikaya"/>
        <s v="ÇAĞLA YILMAZ"/>
        <s v="metin kurtoğlu"/>
        <s v="sedat ocağ"/>
        <s v="halil sönmez"/>
        <s v="ibrahim demirel"/>
        <s v="özlem hanım"/>
        <s v="HÜSEYİN ESEN"/>
        <s v="celal deniz"/>
        <s v="hüseyin gürevin"/>
        <s v="ismail bey"/>
        <s v="Ramazan Esmeray"/>
        <s v="Serkan Emen"/>
        <s v="ahmet korkmaz"/>
        <s v="Hüsniye Arslan"/>
        <s v="seher hanım"/>
        <s v="SEHER ÇALIŞIR"/>
        <s v="yusuf onur ergezer"/>
        <s v="müzeyyen hanım"/>
        <s v="dorukhan bostancı"/>
        <s v="mustafa ağırman"/>
        <s v="ELİF HATİCE MUMCU"/>
        <s v="ramazan aslan"/>
        <s v="Ayhan Güler"/>
        <s v="AYTAÇ İSKAN"/>
        <s v="ali yıldırım"/>
        <s v="Hacı Sarıdoğan"/>
        <s v="SERCAN HAMARAT"/>
        <s v="Ayşegül Demir"/>
        <s v="hüseyin dike"/>
        <s v="celal sayman"/>
        <s v="dilber kızılboğa"/>
        <s v="ALİ CAN ÖZKAN"/>
        <s v="mustafa küçük"/>
        <s v="AZİZHAN KARAKUŞ"/>
        <s v="emrah şancı"/>
        <s v="cevdet çelik"/>
        <s v="MERT UYANIK"/>
        <s v="Yunus Emre Akdeniz"/>
        <s v="erkan katlav"/>
        <s v="büşra nur özgan"/>
        <s v="mehtap yücel"/>
        <s v="servet polat"/>
        <s v="mehmet yaycıoğlu"/>
        <s v="cengiz solmaz"/>
        <s v="Aliye Mankır"/>
        <s v="Mustafa Demirtaş"/>
        <s v="şelale alpçoğay"/>
        <s v="ömer bey"/>
        <s v="Hasan Denizhan"/>
        <s v="hulusi güneş"/>
        <s v="SEFA ARICI"/>
        <s v="arda hepsağ"/>
        <s v="burak elibol"/>
        <s v="cumali karaçalı"/>
        <s v="mehmet acar"/>
        <s v="kahraman demir"/>
        <s v="VEDAT ÖZKAN"/>
        <s v="EMEL PANCAR"/>
        <s v="mehmet emin özel"/>
        <s v="mahmut bey"/>
        <s v="ahmet yavuz"/>
        <s v="FİKRİYE KUŞCİ"/>
        <s v="Musa Erdoğdu"/>
        <s v="tarık özdüzenciler"/>
        <s v="azize burak"/>
        <s v="mürsel güler"/>
        <s v="hülya çelik"/>
        <s v="aykut mutugu"/>
        <s v="güllü uyarlar"/>
        <s v="HASAN TOPRAK"/>
        <s v="EYÜP GÜRLER"/>
        <s v="BEYHAN KORKMAZ"/>
        <s v="Gökhan Tuyğun"/>
        <s v="hakansafa unal"/>
        <s v="erinç oksal"/>
        <s v="Levent Yamaç"/>
        <s v="fehmi alişan"/>
        <s v="yusuf kölge"/>
        <s v="ömer argın"/>
        <s v="fırat nizam"/>
        <s v="Furkan Nizam"/>
        <s v="ferhat nizam"/>
        <s v="fethi çiçek"/>
        <s v="Taner Koçaklı"/>
        <s v="abdullah delen"/>
        <s v="ahmet hasan bozdemir"/>
        <s v="fikret taşkıran"/>
        <s v="ömer kızmaz"/>
        <s v="mehmet enser"/>
        <s v="İ.Selçuk Kadıoğlu"/>
        <s v="murat alp akkaya"/>
        <s v="tarık ışıkgün"/>
        <s v="ÜMİT KIŞ"/>
        <s v="Muhammet ALi Karcun"/>
        <s v="evrim kılıç özdemir"/>
        <s v="mehmet akcan"/>
        <s v="mustafa çakallıoğlu"/>
        <s v="MÜSLÜM BOZTEKE"/>
        <s v="maruf tekin"/>
        <s v="Caner Buldi"/>
        <s v="şahabettin arıkboğa"/>
        <s v="cüneyt gizer"/>
        <s v="yusuf uçar"/>
        <s v="güven yılmaz"/>
        <s v="yasin demir"/>
        <s v="Uğur Gökçeli"/>
        <s v="MEHMET İLKBAHAR"/>
        <s v="ali çolak"/>
        <s v="Hülya öztaş"/>
        <s v="ÖZER ERÇELİK"/>
        <s v="hasan dağ"/>
        <s v="ŞEYDA YEŞİL"/>
        <s v="Sultan Babat"/>
        <s v="mustafa erdal sevgili"/>
        <s v="EMİRCAN GÜRDOĞAN"/>
        <s v="didem izgi"/>
        <s v="Hatun demiray"/>
        <s v="mustafa maaşoğlu"/>
        <s v="Duran Gözüküçük"/>
        <s v="güngör güler"/>
        <s v="ABDURRAHMAN GÜLOĞLU"/>
        <s v="aksoy gümüş"/>
        <s v="SEDAT ŞİMŞEK"/>
        <s v="metin ayırmaç"/>
        <s v="Ayten Budak"/>
        <s v="HAKAN ALTUN"/>
        <s v="bilal bey"/>
        <s v="AHMET BAYTEKİN"/>
        <s v="onurcan çiftçi"/>
        <s v="önder çiftçi"/>
        <s v="mustafa çiftçi"/>
        <s v="Burak Şeker"/>
        <s v="LEVENT AKKÖSE"/>
        <s v="ZAFER KARATAŞ"/>
        <s v="tahsin bey"/>
        <s v="HALİL ÇİFTÇİ"/>
        <s v="ASLIHAN CENGİZ"/>
        <s v="Ali Keskin"/>
        <s v="Neşet Cengiz"/>
        <s v="Mehmet Ali Masat"/>
        <s v="Tolga Kumral"/>
        <s v="Pınar Üzelpasacı"/>
        <s v="Derya Özdüzenciler"/>
        <s v="Erdem Şekerci"/>
        <s v="Alaattin"/>
        <s v="ALAATTİN ORAL"/>
        <s v="cüneyt semirli"/>
        <s v="Egecem Aslanyürek"/>
        <s v="mehmet aslan"/>
        <s v="Hatice Turan"/>
        <s v="BEŞİR KILIÇ"/>
        <s v="cankat barışık"/>
        <s v="alican halme"/>
        <s v="NACİ DENİZHAN"/>
        <s v="caner cantimur"/>
        <s v="cuma acar"/>
        <s v="şahin gültekin"/>
        <s v="vedat daşdelen"/>
        <s v="hasan bey"/>
        <s v="BARIŞ OBUS"/>
        <s v="Hava Çelikten"/>
        <s v="Asya Söyler"/>
        <s v="melehat hanım"/>
        <s v="mustafa bey"/>
        <s v="HAKAN BEYAZKUŞ"/>
        <s v="eren bey"/>
        <s v="SERKAN GÜÇÇÜK"/>
        <s v="zehra çat"/>
        <s v="aziz pamuk"/>
        <s v="İhsan Ertan"/>
        <s v="zübeyde ersoy"/>
        <s v="İSMAİL TORAZ"/>
        <s v="Ömer Bünyamin Yıldız"/>
        <s v="İdris Tülü"/>
        <s v="arif güngör"/>
        <s v="alican tülü"/>
        <s v="erdal zengin"/>
        <s v="cafer zengin"/>
        <s v="ilhan yaman"/>
        <s v="fahri keleş"/>
        <s v="talha mahmut bozdemir"/>
        <s v="gamze sümer"/>
        <s v="FAHMETTİN YALÇIN"/>
        <s v="ercan canbolat"/>
        <s v="duygu çetintaş"/>
        <s v="KAAN BERAAT KALMIŞ"/>
        <s v="esra önal"/>
        <s v="MUHAMER SEVDİ"/>
        <s v="olcay tekin"/>
        <s v="kemal arıkan"/>
        <s v="ender güleray"/>
        <s v="Ünal ildeniz"/>
        <s v="ELİF KAPLAN"/>
        <s v="armağan sarı"/>
        <s v="abdurrahman karaca"/>
        <s v="HAMİT ELMAS"/>
        <s v="TUĞÇE ERGÜL"/>
        <s v="Abdurrahim Bozboğa"/>
        <s v="Zeynep Kardaş"/>
        <s v="ENGİN ÖGMEN"/>
        <s v="recep koçak"/>
        <s v="muhammed beşir bildek"/>
        <s v="yusuf ortaçgülen"/>
        <s v="YUNUS VANÇİN"/>
        <s v="ismail çalıkıran"/>
        <s v="süleyman murat uğuruyar"/>
        <s v="bülent bayrak"/>
        <s v="umut kerti"/>
        <s v="halime alğan"/>
        <s v="YUSUF TÜLEK"/>
        <s v="onur dilmen"/>
        <s v="HALİME ÜNNÜ"/>
        <s v="MAHMUT KEKLİK"/>
        <s v="Mustafa Kemal Ciyavel"/>
        <s v="mustafa gökpınar"/>
        <s v="veysel şakir"/>
        <s v="bünyamin düşmez"/>
        <s v="harun kılınç"/>
        <s v="Alperen Çam"/>
        <s v="mehmet bey"/>
        <s v="İbrahim Aktay"/>
        <s v="tayyip konuk"/>
        <s v="çilem ılgın akartürk"/>
        <s v="ahmet acarlar"/>
        <s v="Bilal yurt"/>
        <s v="burhan kar"/>
        <s v="salih toramantekin"/>
        <s v="ramazan toramantekin"/>
        <s v="zahit uludağ"/>
        <s v="özkan tanrıverdi"/>
        <s v="burak gedik"/>
        <s v="ibrahim çoban"/>
        <s v="mehmet büyüktepe"/>
        <s v="Hasan Çetindağ"/>
        <s v="HASAN ÇETİNDAĞ"/>
        <s v="Necmettin Aslan"/>
        <s v="ekrem karakoyun"/>
        <s v="Büşra Yıldızoğlu"/>
        <s v="ebru aydınlıoğlu kondu"/>
        <s v="hüseyin altun"/>
        <s v="Ömer turan"/>
        <s v="Seyhan Evren"/>
        <s v="olgu sarı"/>
        <s v="barış yalçındağ"/>
        <s v="BUKET SAMAN"/>
        <s v="adem dayan"/>
        <s v="ömer dayan"/>
        <s v="siracettin dayan"/>
        <s v="ferhat bey"/>
        <s v="nusret bey"/>
        <s v="muhammed dayan"/>
        <s v="maşallah dayan"/>
        <s v="hasan dayan"/>
        <s v="tevfik türk"/>
        <s v="nazife aral"/>
        <s v="MELEK DÜZGÜN"/>
        <s v="MEHMET SAİT ÖZDEMİR"/>
        <s v="can akca"/>
        <s v="eser korur"/>
        <s v="cihad atala"/>
        <s v="gaye deveci"/>
        <s v="kudbettin bey"/>
        <s v="yakup övet"/>
        <s v="ali han akkız"/>
        <s v="fatih baykan"/>
        <s v="Muhammet Alkan"/>
        <s v="Murat emen"/>
        <s v="ali sadi boran"/>
        <s v="kerem cebe"/>
        <s v="zekeriya çalışkan"/>
        <s v="mahmut pınar"/>
        <s v="ersoy pazarbaşı"/>
        <s v="Ahmet Sağlam"/>
        <s v="FATMA DURMUŞ"/>
        <s v="GÜLCAN ÖZTEPE"/>
        <s v="GERGİN OĞUZ"/>
        <s v="numan akçay"/>
        <s v="mehmet üstekin"/>
        <s v="Elif Aka"/>
        <s v="ferhat aka"/>
        <s v="VEYSİ TURĞUT"/>
        <s v="gülcan korkmaz"/>
        <s v="murat demir"/>
        <s v="NURULLAH ARSLANTAŞ"/>
        <s v="Semih Kökyıldırım"/>
        <s v="ece güven"/>
        <s v="MEHMET SÜREN"/>
        <s v="can yıldırım"/>
        <s v="AHMET ÖRS"/>
        <s v="meryem coşkun"/>
        <s v="Bedriye yardimci"/>
        <s v="cem perçin"/>
        <s v="mehmet ali kaygı"/>
        <s v="zeynep gençoğlan"/>
        <s v="KEMAL KUŞCİ"/>
        <s v="hakan yalçın"/>
        <s v="beratcan tik"/>
        <s v="Bünyamin Keleş"/>
        <s v="melek hanım"/>
        <s v="selvet çetinkaya"/>
        <s v="ibrahim evrensel"/>
        <s v="arif ecevit"/>
        <s v="yiğit aysel"/>
        <s v="çağlar sözütek"/>
        <s v="MESUT BEY"/>
        <s v="Rojhat Yüzük"/>
        <s v="sadık orel"/>
        <s v="ugur bozduman"/>
        <s v="YAŞAR DADAŞ"/>
        <s v="mithat bey"/>
        <s v="umut günaydın"/>
        <s v="cemil solmaz"/>
        <s v="murat eskikırbaç"/>
        <s v="ayhan uzun"/>
        <s v="Mehmet Aydoğan"/>
        <s v="İrfan güzel"/>
        <s v="murat türkmen"/>
        <s v="İbrahim Meşale"/>
        <s v="EMRE BARIŞAN"/>
        <s v="hasan çınar"/>
        <s v="Seyfettin Özer"/>
        <s v="aytaç kipalev"/>
        <s v="ASLI YILDIRIM"/>
        <s v="turan savcı"/>
        <s v="Fatma Erdoğan"/>
        <s v="Mustafa Bozkurt"/>
        <s v="fikret yılmaz"/>
        <s v="yusuf bakır"/>
        <s v="Nurgül nergiz"/>
        <s v="serkan baycur"/>
        <s v="süleyman erdemer"/>
        <s v="berk çalışkan"/>
        <s v="hasan aka"/>
        <s v="elçin hanım"/>
        <s v="selahattin bey"/>
        <s v="Mehmet Gürol Yaracıer"/>
        <s v="burak kartopu"/>
        <s v="ALPER GEGEZİNLİ"/>
        <s v="orhan akyüz"/>
        <s v="murat ozansak"/>
        <s v="YILMAZ YELKEN"/>
        <s v="semih bayar"/>
        <s v="VEYSEL KOÇAKLI"/>
        <s v="VEDAT EMRE EREN"/>
        <s v="ORHAN ÇAKIR"/>
        <s v="mehmet yılmaz"/>
        <s v="cengiz çapraz"/>
        <s v="ali can dağlaraşar"/>
        <s v="zekeriyya oğuz"/>
        <s v="polat narin"/>
        <s v="özlem tanak"/>
        <s v="ümit tanak"/>
        <s v="ibrahim altunkanat"/>
        <s v="serkan tekin"/>
        <s v="cuma ali altunkanat"/>
        <s v="ertuğrul çetin"/>
        <s v="selma çetin"/>
        <s v="doğan türk"/>
        <s v="emre dinibütün"/>
        <s v="mahmut özdemir"/>
        <s v="yakup çelik"/>
        <s v="osman oğuz"/>
        <s v="kerem küçükyenici"/>
        <s v="mustafa omay"/>
        <s v="mustafa ışık"/>
        <s v="caner kara"/>
        <s v="erhan inan"/>
        <s v="sinan zencirci"/>
        <s v="tahsin demirdüzen"/>
        <s v="esma aydın"/>
        <s v="yusuf altıntaş"/>
        <s v="Mehmet Ali Erol"/>
        <s v="Hasan Sefa Kazan"/>
        <s v="eyyüp öncü"/>
        <s v="hıdır ağırman"/>
        <s v="görkem şire"/>
        <s v="mehmet şirin kardaş"/>
        <s v="meltem aşanbuğa"/>
        <s v="adem özer"/>
        <s v="damla nur mercan"/>
        <s v="Emrah Korkut"/>
        <s v="ALİ ELMAS"/>
        <s v="nevzat kardaş"/>
        <s v="HACI RAMAZAN ŞİMŞEK"/>
        <s v="Barış ÖZDEMİR"/>
        <s v="özlem elinç"/>
        <s v="duran öncü"/>
        <s v="mehmet salih balyen"/>
        <s v="ahmet cihan dağbakan"/>
        <s v="SELDA KAVUKCU"/>
        <s v="mert uğurses"/>
        <s v="MEHMET KAVUKÇU"/>
        <s v="hatice akyıldız"/>
        <s v="veysi uludağ"/>
        <s v="melda burcu sınmaz"/>
        <s v="Mehmet Dontaş"/>
        <s v="berkay aygün"/>
        <s v="ayça aygün"/>
        <s v="emre aycan"/>
        <s v="Mert Bey"/>
        <s v="Emre bey"/>
        <s v="can montana"/>
        <s v="FATMA ALTINKAYA"/>
        <s v="Selçuk Bey"/>
        <s v="yasin gökoğlu"/>
        <s v="zehra eda işoğlu"/>
        <s v="Mehmet Delen"/>
        <s v="murat balıktutan"/>
        <s v="aydın şık"/>
        <s v="firdes karaörs"/>
        <s v="mahmut sümer"/>
        <s v="Ahmet Ceylan"/>
        <s v="Hasan Akkoç"/>
        <s v="MEMDUH ARPA"/>
        <s v="aylin gövenç"/>
        <s v="mehmet ikram taş"/>
        <s v="buse özkarakoyuncu"/>
        <s v="deniz karasaç"/>
        <s v="Fatih Şen"/>
        <s v="çiğdem toy"/>
        <s v="Mehmet Ziya Akçay"/>
        <s v="özge gürlek"/>
        <s v="bilal kahyaoğlu"/>
        <s v="Nuri Subaşı"/>
        <s v="kadir özgan"/>
        <s v="aynur ünüştü"/>
        <s v="engin elçi"/>
        <s v="sercan ışık"/>
        <s v="vahit ipek"/>
        <s v="hasan çingil"/>
        <s v="mustafa güzelsabuncu"/>
        <s v="emine tuğba onay"/>
        <s v="mehmet börk"/>
        <s v="ibrahim ekmekçi"/>
        <s v="gencay mehmet onay"/>
        <s v="bihter pekcan"/>
        <s v="ÖMER KİBAR"/>
        <s v="hakan özsırkıntı"/>
        <s v="ilhan kibar"/>
        <s v="mehmet gencay onay"/>
        <s v="anı hanım"/>
        <s v="Doğuş Yanbuloğlu"/>
        <s v="mehmet süer"/>
        <s v="hamza elmas"/>
        <s v="murat fevzi kaya"/>
        <s v="ramazan bakçaçı"/>
        <s v="abdullah saylan"/>
        <s v="muhammed saylan"/>
        <s v="ayten toraman"/>
        <s v="ENES ÇELİK"/>
        <s v="veday emre eren"/>
        <s v="sergun bey"/>
        <s v="özcan sergun gümüşay"/>
        <s v="aytek bey"/>
        <s v="Rıdvan Tanrıverdi"/>
        <s v="mukrima altınok"/>
        <s v="Şahin Cebe"/>
        <s v="mehmet gönültaş"/>
        <s v="fikret yalçın"/>
        <s v="ASLI BAL"/>
        <s v="Emirhan Ölmez"/>
        <s v="irfan dayan"/>
        <s v="adem çatan"/>
        <s v="burhan özek"/>
        <s v="ilker bey"/>
        <s v="fürüzan karışlı"/>
        <s v="ozan karaköse"/>
        <s v="Furkan Avlar"/>
        <s v="gül polat"/>
        <s v="ahmet gül"/>
        <s v="DURAN ABALI"/>
        <s v="bayram kiş"/>
        <s v="bayram cihan büyükkaya"/>
        <s v="orhan bey"/>
        <s v="reyhan kahraman"/>
        <s v="HALİL TEKİN"/>
        <s v="nurseda çokeken"/>
        <s v="FERDA ÇİFTCİLER"/>
        <s v="selvi eyican"/>
        <s v="BESTAMİ KARAHAN"/>
        <s v="hasan yanık"/>
        <s v="orhan büyükhan"/>
        <s v="esme sevgili"/>
        <s v="Doğan can sevgili"/>
        <s v="Veysel Arslan"/>
        <s v="cengiz güneş"/>
        <s v="ALİ ALP KILIÇ"/>
        <s v="neslihan kalın"/>
        <s v="mehmet ali tek"/>
        <s v="hüseyin güngör"/>
        <s v="fatma pınar serbest"/>
        <s v="kürşat tezcan"/>
        <s v="ebubekir saylan"/>
        <s v="BETÜL KAYHAN"/>
        <s v="kaner kadıoğlu"/>
        <s v="serdar mercankaya"/>
        <s v="serjan atabay"/>
        <s v="serkan atabay"/>
        <s v="Ali Atış"/>
        <s v="berk katlav"/>
        <s v="YELDA BİRBİRİ"/>
        <s v="ekrem gönüleğlendiren"/>
        <s v="sevgi ünaldı"/>
        <s v="yaşar say"/>
        <s v="cahit kardaş"/>
        <s v="yüksel kardaş"/>
        <s v="ali karcun"/>
        <s v="gökhan yıldızhan"/>
        <s v="ahmet ograş"/>
        <s v="Oğur keskin"/>
        <s v="sultan teker"/>
        <s v="bedi uğur havare"/>
        <s v="ali eftekin"/>
        <s v="engin deliduman"/>
        <s v="musa donuk"/>
        <s v="mehmet caymaz"/>
        <s v="serap dur"/>
        <s v="mehmet korkmaz"/>
        <s v="ali eyriparmak"/>
        <s v="yunus emre kılıç"/>
        <s v="ABDULLAH AY"/>
        <s v="salih zaif"/>
        <s v="fahri şık"/>
        <s v="ERAMAZAN AŞSIZ"/>
        <s v="Ahmed Batur"/>
        <s v="kemal karahanlı"/>
        <s v="rifat can bilgin"/>
        <s v="mahmut özdaş"/>
        <s v="idris esen"/>
        <s v="tekin batur"/>
        <s v="cuma cem yetişgen"/>
        <s v="ali bozkuş"/>
        <s v="mehmet gökhan bozkuş"/>
        <s v="recep bozkuş"/>
        <s v="volkan acar"/>
        <s v="AMED BARAN"/>
        <s v="halil ibrahim anucur"/>
        <s v="ihsan erdal"/>
        <s v="KASIM TAN"/>
        <s v="Burhan Büyükbaş"/>
        <s v="adem uysun"/>
        <s v="cemil burkaş"/>
        <s v="berkay gergin"/>
        <s v="ertan kuruçay"/>
        <s v="ufuk elaslan"/>
        <s v="MEHMET ERBİL"/>
        <s v="kadir bey"/>
        <s v="doğan türkmen"/>
        <s v="Ramazan Saltıkalp"/>
        <s v="Uğur Ceran"/>
        <s v="hasan altınok"/>
        <s v="sadık aşkaroğlu"/>
        <s v="PINAR TEKİN"/>
        <s v="SONER BAYIRLI"/>
        <s v="tuba akkuş"/>
        <s v="yusuf tekin"/>
        <s v="Murat Sakin"/>
        <s v="bekir yar"/>
        <s v="emrah turgut"/>
        <s v="SAVAŞ YÜKSELYALÇIN"/>
        <s v="emre demirdelen"/>
        <s v="FATMA YILMAZ"/>
        <s v="haydar erenler"/>
        <s v="şükrü mak"/>
        <s v="MERAL ÖZDEMIR"/>
        <s v="adnan çermik"/>
        <s v="salih sola"/>
        <s v="mehmet karataş"/>
        <s v="ali ilgan"/>
        <s v="Burak Çağatay Çerçioğlu"/>
        <s v="Zafer Gür"/>
        <s v="TOSTÇU MAHMUT GIDA SANAYİ VE TİCARET LİMİTED ŞİRKETİ"/>
        <s v="Murat Çekmen"/>
        <s v="AKAY KERKÜT"/>
        <s v="AZİZ ERTEM"/>
        <s v="mustafa kaya"/>
        <s v="oğuzhan çalımlı"/>
        <s v="fatma er"/>
        <s v="Şerife Er"/>
        <s v="MEHMET OĞURTAY"/>
        <s v="Mustafa Teke"/>
        <s v="mert ümit karaçay"/>
        <s v="nihal çetin"/>
        <s v="murat balkış"/>
        <s v="beytullah genç"/>
        <s v="yunus ulu"/>
        <s v="ibrahim sayan"/>
        <s v="erman er"/>
        <s v="İbrahim Ünsal"/>
        <s v="SERCAN DAĞLI"/>
        <s v="emirhan şimşekyılmaz"/>
        <s v="serhan şimşekyılmaz"/>
        <s v="abdullah toprak"/>
        <s v="ali menevşe"/>
        <s v="hakan koşmaz"/>
        <s v="Ceylan Gündeş"/>
        <s v="mehmet gözütok"/>
        <s v="Selçuk Televi"/>
        <s v="VEDAT CAN"/>
        <s v="Ahmet kaplan"/>
        <s v="hakan fırat tuncil"/>
        <s v="bahadır polat"/>
        <s v="MEHMET KAAN ÖZSOY"/>
        <s v="ABDULKADİR ÇELEBİ"/>
        <s v="ZEKİ BATUHAN ÇOŞAR"/>
        <s v="HACI ÇİÇEK"/>
        <s v="Burak Özalp"/>
        <s v="Hasan Özkan"/>
        <s v="niyazi yüceakın"/>
        <s v="ali koç"/>
        <s v="Mert Tömek"/>
        <s v="AKIN DİLKİ"/>
        <s v="behçet bey"/>
        <s v="yağız bey"/>
        <s v="EMRAH AKALİ"/>
        <s v="Burhan Kılaguz"/>
        <s v="ilker kapukaya"/>
        <s v="FARUK NAMLI"/>
        <s v="Muhammet Ayaş"/>
        <s v="ibrahim beytekin"/>
        <s v="ŞEMSİ ATASOY"/>
        <s v="ahmet gök"/>
        <s v="ahmet karaçalı"/>
        <s v="isa kaya"/>
        <s v="PELİN GEZER"/>
        <s v="ABDULLAH SÜMER"/>
        <s v="Muhammet Sarıtemur"/>
        <s v="MEHMET ARİF ORAL"/>
        <s v="selen kutlu"/>
        <s v="hasine beşirikli"/>
        <s v="seyfi üzer"/>
        <s v="CANAN BAYIR"/>
        <s v="ABDURRAHMAN YILDIZ"/>
        <s v="ABDURRAHİM GÜNEL"/>
        <s v="mehmet ercan eralp"/>
        <s v="rifat yıldızoğlu"/>
        <s v="zekeriya yıldızoğlu"/>
        <s v="Yunus Emre Kaya"/>
        <s v="mehmet yücel"/>
        <s v="mehmet ali öztaş"/>
        <s v="Mehmet Salih Zengin"/>
        <s v="kaan kalmış"/>
        <s v="adil can"/>
        <s v="remzi zühre"/>
      </sharedItems>
    </cacheField>
    <cacheField name="Telefon" numFmtId="0">
      <sharedItems containsSemiMixedTypes="0" containsString="0" containsNumber="1" containsInteger="1">
        <n v="5.079724473E9"/>
        <n v="5.526590101E9"/>
        <n v="3.225033803E9"/>
        <n v="3.223418087E9"/>
        <n v="5.354791758E9"/>
        <n v="3.223281415E9"/>
        <n v="5.372339571E9"/>
        <n v="3.22232004E9"/>
        <n v="5.454013058E9"/>
        <n v="3.224582868E9"/>
        <n v="5.339298859E9"/>
        <n v="3.224546565E9"/>
        <n v="5.370509967E9"/>
        <n v="5.539373685E9"/>
        <n v="5.324989006E9"/>
        <n v="3.224362727E9"/>
        <n v="3.223283535E9"/>
        <n v="5.368944006E9"/>
        <n v="5.064670177E9"/>
        <n v="3.22262043E9"/>
        <n v="5.433741115E9"/>
        <n v="5.444024221E9"/>
        <n v="3.222257171E9"/>
        <n v="3.22227E9"/>
        <n v="5.322814079E9"/>
        <n v="5.41820921E8"/>
        <n v="5.382822213E9"/>
        <n v="5.457477171E9"/>
        <n v="5.01358837E9"/>
        <n v="5.49512194E9"/>
        <n v="5.425942705E9"/>
        <n v="5.377484554E9"/>
        <n v="5.421550201E9"/>
        <n v="5.449234554E9"/>
        <n v="3.228020818E9"/>
        <n v="3.225039888E9"/>
        <n v="3.222268444E9"/>
        <n v="3.222261998E9"/>
        <n v="3.222255139E9"/>
        <n v="5.41445694E9"/>
        <n v="3.224280708E9"/>
        <n v="3.222331717E9"/>
        <n v="3.226060099E9"/>
        <n v="5.30044405E9"/>
        <n v="5.42820487E9"/>
        <n v="5.388725516E9"/>
        <n v="3.224540407E9"/>
        <n v="3.222613589E9"/>
        <n v="5.314843223E9"/>
        <n v="5.447420101E9"/>
        <n v="3.223412928E9"/>
        <n v="5.306552464E9"/>
        <n v="5.345180408E9"/>
        <n v="5.360669364E9"/>
        <n v="5.423228201E9"/>
        <n v="5.457719101E9"/>
        <n v="3.225040424E9"/>
        <n v="3.224599062E9"/>
        <n v="5.399142636E9"/>
        <n v="5.413808788E9"/>
        <n v="5.321132332E9"/>
        <n v="5.447203988E9"/>
        <n v="5.426514067E9"/>
        <n v="5.316968522E9"/>
        <n v="3.222563333E9"/>
        <n v="3.22233005E9"/>
        <n v="3.227770303E9"/>
        <n v="3.223417385E9"/>
        <n v="3.222123101E9"/>
        <n v="3.222614242E9"/>
        <n v="3.222283535E9"/>
        <n v="5.425622401E9"/>
        <n v="5.06170727E9"/>
        <n v="3.224588606E9"/>
        <n v="3.228024172E9"/>
        <n v="5.334010274E9"/>
        <n v="5.365538673E9"/>
        <n v="5.456378305E9"/>
        <n v="3.22458606E9"/>
        <n v="5.399631427E9"/>
        <n v="3.229995768E9"/>
        <n v="5.467875797E9"/>
        <n v="5.529319485E9"/>
        <n v="5.335595801E9"/>
        <n v="5.525728209E9"/>
        <n v="5.464623593E9"/>
        <n v="3.22261122E9"/>
        <n v="3.225050501E9"/>
        <n v="3.222483353E9"/>
        <n v="3.222340706E9"/>
        <n v="5.32737764E9"/>
        <n v="3.223270403E9"/>
        <n v="5.309024909E9"/>
        <n v="5.357739631E9"/>
        <n v="3.222480025E9"/>
        <n v="5.314642805E9"/>
        <n v="5.52808363E9"/>
        <n v="3.222279292E9"/>
        <n v="3.224452554E9"/>
        <n v="3.222612186E9"/>
        <n v="3.222260666E9"/>
        <n v="3.222264654E9"/>
        <n v="5.32782292E9"/>
        <n v="3.22515677E9"/>
        <n v="5.337730238E9"/>
        <n v="5.434539356E9"/>
        <n v="5.331647115E9"/>
        <n v="5.516782663E9"/>
        <n v="5.075052939E9"/>
        <n v="5.393151444E9"/>
        <n v="3.222252601E9"/>
        <n v="5.321701373E9"/>
        <n v="5.51634499E9"/>
        <n v="5.457375539E9"/>
        <n v="3.22224224E9"/>
        <n v="3.222564656E9"/>
        <n v="5.528992233E9"/>
        <n v="5.452333073E9"/>
        <n v="5.42655553E9"/>
        <n v="3.222281214E9"/>
        <n v="5.434054198E9"/>
        <n v="5.362961416E9"/>
        <n v="5.414034497E9"/>
        <n v="5.352295989E9"/>
        <n v="5.435133717E9"/>
        <n v="5.357292874E9"/>
        <n v="5.467361116E9"/>
        <n v="3.224561E9"/>
        <n v="3.222620063E9"/>
        <n v="5.303954809E9"/>
        <n v="5.453097068E9"/>
        <n v="3.222610445E9"/>
        <n v="3.222151515E9"/>
        <n v="3.222349404E9"/>
        <n v="3.226132524E9"/>
        <n v="5.327656584E9"/>
        <n v="5.4161301E9"/>
        <n v="3.222250021E9"/>
        <n v="3.222566162E9"/>
        <n v="3.22235586E9"/>
        <n v="3.222344387E9"/>
        <n v="3.222563042E9"/>
        <n v="5.426752656E9"/>
        <n v="5.49199919E9"/>
        <n v="5.414301077E9"/>
        <n v="3.22234303E9"/>
        <n v="3.222241111E9"/>
        <n v="5.446864047E9"/>
        <n v="3.2233327E9"/>
        <n v="3.2245977E9"/>
        <n v="5.434315977E9"/>
        <n v="3.222610506E9"/>
        <n v="3.222566554E9"/>
        <n v="3.222615959E9"/>
        <n v="3.222340102E9"/>
        <n v="3.222570505E9"/>
        <n v="5.491750101E9"/>
        <n v="3.2250381E9"/>
        <n v="3.224547537E9"/>
        <n v="5.380510547E9"/>
        <n v="3.223210202E9"/>
        <n v="3.223297686E9"/>
        <n v="5.32604642E9"/>
        <n v="5.444425329E9"/>
        <n v="3.224593555E9"/>
        <n v="8.508087235E9"/>
        <n v="3.222563356E9"/>
        <n v="3.223244901E9"/>
        <n v="5.465040101E9"/>
        <n v="5.535782194E9"/>
        <n v="5.33029133E9"/>
        <n v="3.222332334E9"/>
        <n v="3.224544542E9"/>
        <n v="3.222242242E9"/>
        <n v="8.50939909E9"/>
        <n v="5.459557E9"/>
        <n v="3.224441476E9"/>
        <n v="3.222354462E9"/>
        <n v="3.222710561E9"/>
        <n v="3.227770003E9"/>
        <n v="5.36718812E9"/>
        <n v="5.321361603E9"/>
        <n v="5.457444052E9"/>
        <n v="3.223285454E9"/>
        <n v="5.326621653E9"/>
        <n v="3.229997899E9"/>
        <n v="3.222420003E9"/>
        <n v="3.226122826E9"/>
        <n v="3.222486254E9"/>
        <n v="3.222331473E9"/>
        <n v="5.433483411E9"/>
        <n v="3.22454545E9"/>
        <n v="5.428207683E9"/>
        <n v="3.224541122E9"/>
        <n v="3.223111111E9"/>
        <n v="5.528720303E9"/>
        <n v="3.225025555E9"/>
        <n v="5.397955905E9"/>
        <n v="5.379872559E9"/>
        <n v="5.537900201E9"/>
        <n v="3.222484649E9"/>
        <n v="5.426944424E9"/>
        <n v="3.223518772E9"/>
        <n v="5.34290623E9"/>
        <n v="5.307622401E9"/>
        <n v="3.224365967E9"/>
        <n v="5.439091982E9"/>
        <n v="3.224576565E9"/>
        <n v="5.31294931E9"/>
        <n v="3.22458252E9"/>
        <n v="3.226115555E9"/>
        <n v="5.433458804E9"/>
        <n v="5.388599888E9"/>
        <n v="3.222346161E9"/>
        <n v="5.393630276E9"/>
        <n v="5.444352433E9"/>
        <n v="5.348557485E9"/>
        <n v="5.38924585E9"/>
        <n v="3.229995456E9"/>
        <n v="5.388219166E9"/>
        <n v="3.22255E9"/>
        <n v="3.222328486E9"/>
        <n v="3.222614142E9"/>
        <n v="3.22233606E9"/>
        <n v="5.424459547E9"/>
        <n v="5.525286501E9"/>
        <n v="5.444581939E9"/>
        <n v="3.224593333E9"/>
        <n v="3.229995439E9"/>
        <n v="5.385448391E9"/>
        <n v="5.366082975E9"/>
        <n v="3.222483354E9"/>
        <n v="5.334496019E9"/>
        <n v="5.412402012E9"/>
        <n v="3.225162062E9"/>
        <n v="3.222256666E9"/>
        <n v="3.223633282E9"/>
        <n v="5.356727336E9"/>
        <n v="5.54136716E9"/>
        <n v="3.223293857E9"/>
        <n v="3.222279E9"/>
        <n v="5.445054581E9"/>
        <n v="3.224587888E9"/>
        <n v="5.431873301E9"/>
        <n v="5.443852626E9"/>
        <n v="5.453903078E9"/>
        <n v="5.414020104E9"/>
        <n v="5.075938347E9"/>
        <n v="3.222030505E9"/>
        <n v="5.364403889E9"/>
        <n v="5.464493179E9"/>
        <n v="5.4242699E9"/>
        <n v="3.222391019E9"/>
        <n v="5.434926455E9"/>
        <n v="3.222241818E9"/>
        <n v="3.229995252E9"/>
        <n v="5.45499485E9"/>
        <n v="5.4222401E9"/>
        <n v="3.229995251E9"/>
        <n v="3.22323001E9"/>
        <n v="3.228810181E9"/>
        <n v="3.225026461E9"/>
        <n v="3.2232816E8"/>
        <n v="5.549913304E9"/>
        <n v="5.541112772E9"/>
        <n v="5.388448763E9"/>
        <n v="5.308208545E9"/>
        <n v="5.46663561E9"/>
        <n v="5.449273756E9"/>
        <n v="5.356562284E9"/>
        <n v="5.433956218E9"/>
        <n v="5.076800877E9"/>
        <n v="5.059641491E9"/>
        <n v="3.224597279E9"/>
        <n v="3.222471002E9"/>
        <n v="5.321382164E9"/>
        <n v="5.422344417E9"/>
        <n v="5.414119713E9"/>
        <n v="3.222397878E9"/>
        <n v="3.226111126E9"/>
        <n v="3.22261313E9"/>
        <n v="5.32540434E9"/>
        <n v="5.39310404E9"/>
        <n v="5.345768601E9"/>
        <n v="3.223271701E9"/>
        <n v="3.222613008E9"/>
        <n v="5.532102388E9"/>
        <n v="5.539481768E9"/>
        <n v="5.384908098E9"/>
        <n v="3.222346702E9"/>
        <n v="5.323997992E9"/>
        <n v="5.325965456E9"/>
        <n v="5.433623122E9"/>
        <n v="5.326593191E9"/>
        <n v="5.343934669E9"/>
        <n v="3.228880809E9"/>
        <n v="5.365107781E9"/>
        <n v="5.3021107E9"/>
        <n v="3.224363612E9"/>
        <n v="3.223220509E9"/>
        <n v="3.2223949E9"/>
        <n v="5.52354512E9"/>
        <n v="3.226124222E9"/>
        <n v="5.428220156E9"/>
        <n v="5.55097175E9"/>
        <n v="5.526615101E9"/>
        <n v="5.306338107E9"/>
        <n v="5.42323909E9"/>
        <n v="3.224333636E9"/>
        <n v="3.222270055E9"/>
        <n v="5.45425034E9"/>
        <n v="5.435444525E9"/>
        <n v="3.223633363E9"/>
        <n v="5.426969856E9"/>
        <n v="3.229998498E9"/>
        <n v="5.528864601E9"/>
        <n v="3.22247202E9"/>
        <n v="5.013240555E9"/>
        <n v="3.222273575E9"/>
        <n v="3.229992224E9"/>
        <n v="3.222710808E9"/>
        <n v="5.335120969E9"/>
        <n v="3.22232103E9"/>
        <n v="5.434573628E9"/>
        <n v="3.222358168E9"/>
        <n v="3.222323232E9"/>
        <n v="5.305849901E9"/>
        <n v="3.222261006E9"/>
        <n v="3.222710404E9"/>
        <n v="5.525300528E9"/>
        <n v="3.223210486E9"/>
        <n v="5.422211671E9"/>
        <n v="5.443125823E9"/>
        <n v="5.443125833E9"/>
        <n v="5.331528808E9"/>
        <n v="3.224331414E9"/>
        <n v="5.447491034E9"/>
        <n v="5.432078889E9"/>
        <n v="5.376237336E9"/>
        <n v="5.421944001E9"/>
        <n v="3.223463617E9"/>
        <n v="3.222610162E9"/>
        <n v="5.535913791E9"/>
        <n v="5.526349152E9"/>
        <n v="3.229993032E9"/>
        <n v="5.337948178E9"/>
        <n v="5.342473198E9"/>
        <n v="5.374890805E9"/>
        <n v="3.22281E9"/>
        <n v="3.222325686E9"/>
        <n v="5.442395058E9"/>
        <n v="5.530893212E9"/>
        <n v="5.534280872E9"/>
        <n v="3.229990121E9"/>
        <n v="3.224020072E9"/>
        <n v="5.413269998E9"/>
        <n v="3.222070707E9"/>
        <n v="3.222248082E9"/>
        <n v="3.222340052E9"/>
        <n v="3.225032525E9"/>
        <n v="3.224535721E9"/>
        <n v="3.222398595E9"/>
        <n v="3.222343621E9"/>
        <n v="5.412271725E9"/>
        <n v="5.318947684E9"/>
        <n v="5.079163835E9"/>
        <n v="5.395765777E9"/>
        <n v="3.224288811E9"/>
        <n v="3.224217878E9"/>
        <n v="3.222276767E9"/>
        <n v="3.224570065E9"/>
        <n v="5.466901923E9"/>
        <n v="3.224592058E9"/>
        <n v="3.229992212E9"/>
        <n v="5.307004263E9"/>
        <n v="5.057596938E9"/>
        <n v="3.222340127E9"/>
        <n v="3.222282821E9"/>
        <n v="3.226115381E9"/>
        <n v="3.224532529E9"/>
        <n v="5.3559597E9"/>
        <n v="3.222471199E9"/>
        <n v="3.224583355E9"/>
        <n v="5.365110118E9"/>
        <n v="3.224330808E9"/>
        <n v="5.464353636E9"/>
        <n v="5.31858E9"/>
        <n v="3.223216666E9"/>
        <n v="3.222258765E9"/>
        <n v="3.222348348E9"/>
        <n v="3.2223277E9"/>
        <n v="5.347350255E9"/>
        <n v="5.522790205E9"/>
        <n v="3.222344444E9"/>
        <n v="3.229995339E9"/>
        <n v="5.392246131E9"/>
        <n v="5.380213839E9"/>
        <n v="5.30037203E9"/>
        <n v="3.222353232E9"/>
        <n v="5.373839978E9"/>
        <n v="5.411770304E9"/>
        <n v="5.414073302E9"/>
        <n v="5.013243401E9"/>
        <n v="5.330917639E9"/>
        <n v="3.223634686E9"/>
        <n v="3.222903735E9"/>
        <n v="5.525027301E9"/>
        <n v="3.226124316E9"/>
        <n v="3.22233091E9"/>
        <n v="5.448360432E9"/>
        <n v="5.323337279E9"/>
        <n v="3.224574744E9"/>
        <n v="3.224598008E9"/>
        <n v="5.455918805E9"/>
        <n v="3.225044343E9"/>
        <n v="3.224580709E9"/>
        <n v="5.334140476E9"/>
        <n v="5.446965223E9"/>
        <n v="3.222267767E9"/>
        <n v="3.222420167E9"/>
        <n v="3.226816E9"/>
        <n v="3.223650267E9"/>
        <n v="5.324954955E9"/>
        <n v="3.223598267E9"/>
        <n v="3.222617567E9"/>
        <n v="3.223363559E9"/>
        <n v="3.223226767E9"/>
        <n v="3.22247E9"/>
        <n v="3.222259798E9"/>
        <n v="5.306750309E9"/>
        <n v="3.224225992E9"/>
        <n v="5.442582307E9"/>
        <n v="5.416814214E9"/>
        <n v="3.22457882E9"/>
        <n v="3.225038181E9"/>
        <n v="5.414060124E9"/>
        <n v="3.229994997E9"/>
        <n v="5.447899401E9"/>
        <n v="5.531013688E9"/>
        <n v="5.394412391E9"/>
        <n v="5.469420202E9"/>
        <n v="5.322320535E9"/>
        <n v="5.428105618E9"/>
        <n v="5.300628501E9"/>
        <n v="5.052364924E9"/>
        <n v="3.222483828E9"/>
        <n v="5.558657375E9"/>
        <n v="3.22325001E9"/>
        <n v="5.445407846E9"/>
        <n v="5.37649812E9"/>
        <n v="5.446560801E9"/>
        <n v="3.222480248E9"/>
        <n v="5.333904626E9"/>
        <n v="5.510772661E9"/>
        <n v="5.446986206E9"/>
        <n v="5.336425087E9"/>
        <n v="5.432013481E9"/>
        <n v="5.347143127E9"/>
        <n v="5.423132185E9"/>
        <n v="3.222242426E9"/>
        <n v="5.550747305E9"/>
        <n v="3.222256988E9"/>
        <n v="3.224229712E9"/>
        <n v="3.222353444E9"/>
        <n v="3.222270921E9"/>
        <n v="5.393490139E9"/>
        <n v="5.49899798E9"/>
        <n v="5.012420077E9"/>
        <n v="5.35602973E9"/>
        <n v="5.536136768E9"/>
        <n v="3.225045226E9"/>
        <n v="3.22231303E9"/>
        <n v="3.224291428E9"/>
        <n v="3.2236539E9"/>
        <n v="3.222320203E9"/>
        <n v="3.224577707E9"/>
        <n v="5.380443909E9"/>
        <n v="3.225020144E9"/>
        <n v="3.222350515E9"/>
        <n v="3.223633781E9"/>
        <n v="5.334704014E9"/>
        <n v="5.353375796E9"/>
        <n v="5.330485908E9"/>
        <n v="5.528542302E9"/>
        <n v="3.222272777E9"/>
        <n v="5.464357272E9"/>
        <n v="5.399353009E9"/>
        <n v="3.222550013E9"/>
        <n v="3.222420029E9"/>
        <n v="3.222332545E9"/>
        <n v="5.30499871E9"/>
        <n v="3.222346444E9"/>
        <n v="3.223513512E9"/>
        <n v="3.224586432E9"/>
        <n v="5.467874686E9"/>
        <n v="3.224544701E9"/>
        <n v="3.222341443E9"/>
        <n v="3.222230101E9"/>
        <n v="3.222611515E9"/>
        <n v="3.225160449E9"/>
        <n v="3.223229999E9"/>
        <n v="3.222484248E9"/>
        <n v="3.22212E9"/>
        <n v="5.551900222E9"/>
        <n v="5.413527217E9"/>
        <n v="5.344147928E9"/>
        <n v="5.356685673E9"/>
        <n v="5.451450127E9"/>
        <n v="5.46194194E9"/>
        <n v="3.222281744E9"/>
        <n v="5.524374401E9"/>
        <n v="5.456524087E9"/>
        <n v="5.536288275E9"/>
        <n v="5.522455856E9"/>
        <n v="5.378381781E9"/>
        <n v="5.050238236E9"/>
        <n v="5.070855066E9"/>
        <n v="5.52558818E9"/>
        <n v="5.38097666E9"/>
        <n v="5.359770301E9"/>
        <n v="5.559659095E9"/>
        <n v="3.22456055E9"/>
        <n v="5.559659089E9"/>
        <n v="5.334157275E9"/>
        <n v="5.34306076E9"/>
        <n v="5.416815097E9"/>
        <n v="5.062461303E9"/>
        <n v="3.223650105E9"/>
        <n v="5.523561544E9"/>
        <n v="3.224313331E9"/>
        <n v="3.222122212E9"/>
        <n v="5.523559316E9"/>
        <n v="3.224445872E9"/>
        <n v="3.222338888E9"/>
        <n v="5.422778875E9"/>
        <n v="5.071006433E9"/>
        <n v="3.224226115E9"/>
        <n v="5.521076807E9"/>
        <n v="3.222280634E9"/>
        <n v="5.38437674E9"/>
        <n v="3.22248507E9"/>
        <n v="3.222352028E9"/>
        <n v="3.222568885E9"/>
        <n v="3.222357507E9"/>
        <n v="3.222391817E9"/>
        <n v="3.224502223E9"/>
        <n v="5.31579688E9"/>
        <n v="3.22232309E9"/>
        <n v="3.229994267E9"/>
        <n v="5.308846635E9"/>
        <n v="5.457264616E9"/>
        <n v="5.359771817E9"/>
        <n v="5.365005457E9"/>
        <n v="5.421571234E9"/>
        <n v="5.362610693E9"/>
        <n v="5.348612529E9"/>
        <n v="3.224010008E9"/>
        <n v="3.22235303E9"/>
        <n v="3.22233506E9"/>
        <n v="5.444452008E9"/>
        <n v="5.465248031E9"/>
        <n v="3.222471212E9"/>
        <n v="3.222481818E9"/>
        <n v="5.425450126E9"/>
        <n v="5.35727303E9"/>
        <n v="5.44239493E9"/>
        <n v="5.457729747E9"/>
        <n v="5.45541004E9"/>
        <n v="3.229995465E9"/>
        <n v="3.229994942E9"/>
        <n v="5.307066256E9"/>
        <n v="3.22211001E9"/>
        <n v="5.529453196E9"/>
        <n v="5.419792949E9"/>
        <n v="3.224533765E9"/>
        <n v="5.426197983E9"/>
        <n v="5.370520439E9"/>
        <n v="5.52817319E9"/>
        <n v="5.526659323E9"/>
        <n v="5.355693203E9"/>
        <n v="5.44542028E9"/>
        <n v="5.524519301E9"/>
        <n v="5.436652518E9"/>
        <n v="5.43682109E9"/>
        <n v="5.434211605E9"/>
        <n v="5.428151943E9"/>
        <n v="5.322083468E9"/>
        <n v="3.226122212E9"/>
        <n v="5.318907828E9"/>
        <n v="5.510426968E9"/>
        <n v="5.458193024E9"/>
        <n v="5.072637673E9"/>
        <n v="5.418724404E9"/>
        <n v="5.459533342E9"/>
        <n v="5.354478551E9"/>
        <n v="5.357604135E9"/>
        <n v="5.316941852E9"/>
        <n v="5.318567711E9"/>
        <n v="3.229992946E9"/>
        <n v="5.539359853E9"/>
        <n v="5.447894251E9"/>
        <n v="5.356057575E9"/>
        <n v="5.079821682E9"/>
        <n v="5.525067316E9"/>
        <n v="5.334980578E9"/>
        <n v="3.224542229E9"/>
        <n v="5.435127139E9"/>
        <n v="3.222620808E9"/>
        <n v="5.353598887E9"/>
        <n v="5.370393877E9"/>
        <n v="3.224282163E9"/>
        <n v="5.389366768E9"/>
        <n v="3.228882121E9"/>
        <n v="5.464421443E9"/>
        <n v="5.339340127E9"/>
        <n v="5.380940127E9"/>
        <n v="3.22225707E9"/>
        <n v="5.524723009E9"/>
        <n v="3.229995529E9"/>
        <n v="5.377631852E9"/>
        <n v="5.356911611E9"/>
        <n v="5.396534305E9"/>
        <n v="3.225000016E9"/>
        <n v="5.523510812E9"/>
        <n v="5.331630177E9"/>
        <n v="3.22271026E9"/>
        <n v="3.223651775E9"/>
        <n v="5.451150405E9"/>
        <n v="5.466920016E9"/>
        <n v="5.414865354E9"/>
        <n v="5.372656367E9"/>
        <n v="5.325223433E9"/>
        <n v="3.224366487E9"/>
        <n v="5.302091085E9"/>
        <n v="5.330192201E9"/>
        <n v="3.224321907E9"/>
        <n v="3.222360098E9"/>
        <n v="3.224562626E9"/>
        <n v="5.524121408E9"/>
        <n v="3.222391705E9"/>
        <n v="5.442789699E9"/>
        <n v="3.222614747E9"/>
        <n v="5.309594547E9"/>
        <n v="3.222480545E9"/>
        <n v="5.336676645E9"/>
        <n v="5.551653401E9"/>
        <n v="5.345039607E9"/>
        <n v="5.447386872E9"/>
        <n v="5.529322781E9"/>
        <n v="5.322726875E9"/>
        <n v="5.411192021E9"/>
        <n v="5.445483373E9"/>
        <n v="3.223223636E9"/>
        <n v="5.45256629E9"/>
        <n v="5.455918747E9"/>
        <n v="3.223518877E9"/>
        <n v="3.223465522E9"/>
        <n v="5.524395262E9"/>
        <n v="5.526166246E9"/>
        <n v="5.38481376E9"/>
        <n v="3.223299022E9"/>
        <n v="5.417147447E9"/>
        <n v="3.222210055E9"/>
        <n v="5.435111503E9"/>
        <n v="3.223291717E9"/>
        <n v="5.529516394E9"/>
        <n v="3.224311617E9"/>
        <n v="5.385092568E9"/>
        <n v="3.222570101E9"/>
        <n v="5.423969841E9"/>
        <n v="3.222485116E9"/>
        <n v="3.222484442E9"/>
        <n v="5.418308737E9"/>
        <n v="5.419718597E9"/>
        <n v="5.464673575E9"/>
        <n v="5.30449121E9"/>
        <n v="3.223442122E9"/>
        <n v="5.31201602E9"/>
        <n v="3.222620606E9"/>
        <n v="5.434108913E9"/>
        <n v="3.229996589E9"/>
        <n v="5.538693426E9"/>
        <n v="5.373832396E9"/>
        <n v="3.223634329E9"/>
        <n v="3.22324095E9"/>
        <n v="5.324072494E9"/>
        <n v="5.306031067E9"/>
        <n v="5.539594629E9"/>
        <n v="5.418724122E9"/>
        <n v="5.323906301E9"/>
        <n v="3.222420002E9"/>
        <n v="3.2236504E9"/>
        <n v="3.222310085E9"/>
        <n v="5.441920201E9"/>
        <n v="5.538834715E9"/>
        <n v="3.222611E9"/>
        <n v="5.323964516E9"/>
        <n v="5.324042101E9"/>
        <n v="3.222350725E9"/>
        <n v="3.224595152E9"/>
        <n v="3.224590404E9"/>
        <n v="3.224590644E9"/>
        <n v="5.357645905E9"/>
        <n v="3.222264656E9"/>
        <n v="3.223333537E9"/>
        <n v="5.308674701E9"/>
        <n v="3.222441014E9"/>
        <n v="3.22233323E9"/>
        <n v="3.224560419E9"/>
        <n v="3.225030252E9"/>
        <n v="5.071670853E9"/>
        <n v="3.222611121E9"/>
        <n v="5.425190954E9"/>
        <n v="5.445127366E9"/>
        <n v="3.222346262E9"/>
        <n v="5.064874475E9"/>
        <n v="4449940.0"/>
        <n v="3.222399444E9"/>
        <n v="5.368930798E9"/>
        <n v="3.224578585E9"/>
        <n v="5.357697918E9"/>
        <n v="3.229995069E9"/>
        <n v="5.42780445E9"/>
        <n v="5.448187999E9"/>
        <n v="5.346157265E9"/>
        <n v="5.52516077E9"/>
        <n v="5.491961976E9"/>
        <n v="5.354646636E9"/>
        <n v="3.224320909E9"/>
        <n v="5.075600201E9"/>
        <n v="3.224443214E9"/>
        <n v="3.22234809E9"/>
        <n v="5.3983875E9"/>
        <n v="3.229994929E9"/>
        <n v="5.354516257E9"/>
        <n v="5.449110103E9"/>
        <n v="3.222270094E9"/>
        <n v="5.528250001E9"/>
        <n v="3.229994049E9"/>
        <n v="3.229991445E9"/>
        <n v="5.525767874E9"/>
        <n v="5.376779148E9"/>
        <n v="3.229990585E9"/>
        <n v="3.222341555E9"/>
        <n v="5.412710184E9"/>
        <n v="3.228810111E9"/>
        <n v="3.22770007E9"/>
        <n v="3.225023232E9"/>
        <n v="3.222420303E9"/>
        <n v="3.222564848E9"/>
        <n v="3.224502121E9"/>
        <n v="3.222903838E9"/>
        <n v="3.224501515E9"/>
        <n v="3.222902E9"/>
        <n v="3.22220002E9"/>
        <n v="3.228820882E9"/>
        <n v="3.224543704E9"/>
        <n v="8.502269928E9"/>
        <n v="5.384527498E9"/>
        <n v="5.07445459E9"/>
        <n v="5.050703611E9"/>
        <n v="3.222616261E9"/>
        <n v="5.051377547E9"/>
        <n v="5.051254865E9"/>
        <n v="5.45432809E9"/>
        <n v="5.331441753E9"/>
        <n v="5.437287117E9"/>
        <n v="5.411520102E9"/>
        <n v="4440831.0"/>
        <n v="3.222347172E9"/>
        <n v="3.222335358E9"/>
        <n v="3.224592605E9"/>
        <n v="3.222269255E9"/>
        <n v="5.32334864E9"/>
        <n v="5.331305772E9"/>
        <n v="5.01329286E9"/>
        <n v="3.225162323E9"/>
        <n v="5.360341469E9"/>
        <n v="5.06908778E9"/>
        <n v="3.224540124E9"/>
        <n v="5.326420414E9"/>
        <n v="3.222441054E9"/>
        <n v="3.224281808E9"/>
        <n v="3.226128686E9"/>
        <n v="5.331503801E9"/>
        <n v="5.44938018E9"/>
        <n v="5.078540782E9"/>
        <n v="5.354408881E9"/>
        <n v="5.533023271E9"/>
        <n v="5.348229227E9"/>
        <n v="3.224352404E9"/>
        <n v="3.224585569E9"/>
        <n v="3.222310892E9"/>
        <n v="3.222312212E9"/>
        <n v="3.225020127E9"/>
        <n v="3.224570102E9"/>
        <n v="3.222484878E9"/>
        <n v="5.304905442E9"/>
        <n v="5.38297934E9"/>
        <n v="8.502207778E9"/>
        <n v="5.314046193E9"/>
        <n v="5.322168852E9"/>
        <n v="3.223418282E9"/>
        <n v="5.334032126E9"/>
        <n v="5.051293923E9"/>
        <n v="5.385984275E9"/>
        <n v="5.461200101E9"/>
        <n v="5.323672117E9"/>
        <n v="5.079587878E9"/>
        <n v="5.317340264E9"/>
        <n v="5.421650505E9"/>
        <n v="5.418034133E9"/>
        <n v="5.436342653E9"/>
        <n v="5.538820123E9"/>
        <n v="5.418778964E9"/>
        <n v="8.507500999E9"/>
        <n v="5.417750999E9"/>
        <n v="5.451260201E9"/>
        <n v="5.306556215E9"/>
        <n v="5.345240082E9"/>
        <n v="5.063795252E9"/>
        <n v="5.052582015E9"/>
        <n v="5.462212276E9"/>
        <n v="5.363206913E9"/>
        <n v="3.224589488E9"/>
        <n v="3.224585453E9"/>
        <n v="5.444542202E9"/>
        <n v="3.224585522E9"/>
        <n v="5.526640601E9"/>
        <n v="5.306785826E9"/>
        <n v="3.229995579E9"/>
        <n v="3.224532781E9"/>
        <n v="5.41828417E9"/>
        <n v="3.223442121E9"/>
        <n v="5.347001688E9"/>
        <n v="3.222260011E9"/>
        <n v="5.349379214E9"/>
        <n v="5.427378893E9"/>
        <n v="5.325913763E9"/>
        <n v="3.223248878E9"/>
        <n v="5.300710995E9"/>
        <n v="5.349172645E9"/>
        <n v="5.417898488E9"/>
        <n v="5.302827278E9"/>
        <n v="5.52617464E9"/>
        <n v="5.411094701E9"/>
        <n v="3.222338233E9"/>
        <n v="3.2243101E9"/>
        <n v="5.073777444E9"/>
        <n v="3.222326688E9"/>
        <n v="3.222394877E9"/>
        <n v="3.222612818E9"/>
        <n v="5.459218944E9"/>
        <n v="5.427666236E9"/>
        <n v="5.374275771E9"/>
        <n v="3.223440505E9"/>
        <n v="5.511115837E9"/>
        <n v="5.42117544E9"/>
        <n v="5.445462025E9"/>
        <n v="5.32287834E9"/>
        <n v="5.349461781E9"/>
        <n v="5.436503101E9"/>
        <n v="3.222398778E9"/>
        <n v="5.419500905E9"/>
        <n v="5.412451446E9"/>
        <n v="5.367489967E9"/>
        <n v="5.551742166E9"/>
        <n v="5.345222261E9"/>
        <n v="5.326947582E9"/>
        <n v="5.441303101E9"/>
        <n v="5.303800968E9"/>
        <n v="5.424223177E9"/>
        <n v="5.524831701E9"/>
        <n v="5.461730133E9"/>
        <n v="3.225045454E9"/>
        <n v="3.224542425E9"/>
        <n v="8.508402855E9"/>
        <n v="5.527434173E9"/>
        <n v="3.224582946E9"/>
        <n v="5.526655201E9"/>
        <n v="5.422575744E9"/>
        <n v="5.510145967E9"/>
        <n v="3.2222526E9"/>
        <n v="3.225023339E9"/>
        <n v="3.222354114E9"/>
        <n v="3.222710102E9"/>
        <n v="5.418445451E9"/>
        <n v="3.2221101E9"/>
        <n v="3.22363099E9"/>
        <n v="3.224596941E9"/>
        <n v="3.224581939E9"/>
        <n v="5.336620491E9"/>
        <n v="5.301328437E9"/>
        <n v="5.304571236E9"/>
        <n v="3.224546354E9"/>
        <n v="5.06053406E9"/>
        <n v="3.222660044E9"/>
        <n v="3.229992047E9"/>
        <n v="3.22234202E9"/>
        <n v="3.224210174E9"/>
        <n v="5.325134043E9"/>
        <n v="3.226063224E9"/>
        <n v="5.386466545E9"/>
        <n v="5.424137331E9"/>
        <n v="3.229993134E9"/>
        <n v="5.425942854E9"/>
        <n v="5.525235273E9"/>
        <n v="3.22329083E9"/>
        <n v="5.339284051E9"/>
        <n v="5.382140402E9"/>
        <n v="3.224541717E9"/>
        <n v="3.225048504E9"/>
        <n v="3.222256225E9"/>
        <n v="3.22329298E9"/>
        <n v="5.53959498E9"/>
        <n v="3.224351435E9"/>
        <n v="5.424276489E9"/>
        <n v="3.22459532E9"/>
        <n v="3.22292E9"/>
        <n v="5.439360963E9"/>
        <n v="3.223293515E9"/>
        <n v="3.224583331E9"/>
        <n v="3.222331131E9"/>
        <n v="5.374422717E9"/>
        <n v="5.382257174E9"/>
        <n v="5.314640599E9"/>
        <n v="5.43290315E9"/>
        <n v="8.502277747E9"/>
        <n v="5.52354155E9"/>
        <n v="5.427738377E9"/>
        <n v="5.462662556E9"/>
        <n v="5.076403798E9"/>
        <n v="5.327702319E9"/>
        <n v="3.222338777E9"/>
        <n v="5.369919901E9"/>
        <n v="5.367003696E9"/>
        <n v="5.544188146E9"/>
        <n v="3.222325077E9"/>
        <n v="3.224576538E9"/>
        <n v="5.451382E9"/>
        <n v="5.445458329E9"/>
        <n v="5.315442595E9"/>
        <n v="3.224595944E9"/>
        <n v="3.223217788E9"/>
        <n v="3.22235009E9"/>
        <n v="3.226113611E9"/>
        <n v="5.310270393E9"/>
        <n v="5.364427302E9"/>
        <n v="3.224324474E9"/>
        <n v="3.222610161E9"/>
        <n v="5.314990202E9"/>
        <n v="5.468068058E9"/>
        <n v="5.5162991E9"/>
        <n v="3.226113434E9"/>
        <n v="5.437167882E9"/>
        <n v="3.2243344E9"/>
        <n v="3.224578465E9"/>
        <n v="3.222255138E9"/>
        <n v="5.35568433E9"/>
        <n v="5.337748342E9"/>
        <n v="3.22239304E9"/>
        <n v="3.222345619E9"/>
        <n v="3.224293101E9"/>
        <n v="5.326330297E9"/>
        <n v="5.520712401E9"/>
        <n v="5.545898677E9"/>
      </sharedItems>
    </cacheField>
    <cacheField name="İLÇE" numFmtId="0">
      <sharedItems>
        <s v="Çukurova"/>
        <s v="Seyhan"/>
        <s v="Sarıçam"/>
        <s v="Ceyhan"/>
        <s v="Yüreğir"/>
        <s v="Kozan"/>
        <s v="Karataş"/>
      </sharedItems>
    </cacheField>
    <cacheField name="MAHALLE">
      <sharedItems containsDate="1" containsMixedTypes="1">
        <s v="Yüzüncüyıl"/>
        <s v="Sucuzade"/>
        <s v="Kurtuluş"/>
        <s v="Şahintepe"/>
        <s v="Namık Kemal"/>
        <s v="Dadaloğlu"/>
        <s v="Kazım Karabekir"/>
        <s v="Yurt"/>
        <s v="Gültepe"/>
        <s v="Mahfesığmaz"/>
        <s v="Cemalpaşa"/>
        <s v="Pınar"/>
        <s v="Kayalıbağ"/>
        <s v="Sümer"/>
        <s v="Döşeme"/>
        <s v="Serinevler"/>
        <s v="2000 Evler"/>
        <s v="Toros"/>
        <s v="Tellidere"/>
        <s v="Yeşiltepe"/>
        <s v="Yeşilyurt"/>
        <s v="Türkocağı"/>
        <s v="Güzelyalı"/>
        <s v="Burhaniye"/>
        <s v="Reşatbey"/>
        <s v="Karacaoğlan"/>
        <s v="Huzurevleri"/>
        <s v="Gürselpaşa"/>
        <s v="Çarkıpare"/>
        <s v="Osmangazi"/>
        <s v="Beyazevler"/>
        <s v="Güneşli"/>
        <s v="Belediye Evleri"/>
        <s v="Yenibaraj"/>
        <s v="Yeşiloba"/>
        <s v="Acıdereosb"/>
        <s v="Kuruköprü"/>
        <s v="Tufanpaşa"/>
        <s v="Fevzipaşa"/>
        <s v="Köprülü"/>
        <s v="Bahçeşehir"/>
        <s v="Varsaklar"/>
        <s v="Beyceli"/>
        <s v="Gülbahçesi"/>
        <s v="İstiklal"/>
        <s v="Kocavezir"/>
        <s v="Mehmet Akif Ersoy 1. Bölge"/>
        <s v="Cumhuriyet"/>
        <s v="Kabasakal"/>
        <s v="İsmetpaşa"/>
        <s v="Yeni"/>
        <s v="Hurmalı"/>
        <s v="Ziyapaşa"/>
        <s v="Dervişler"/>
        <s v="Mithat Paşa"/>
        <s v="Ulubatlı Hasan"/>
        <s v="Sarıçam"/>
        <s v="Hürriyet"/>
        <s v="Karasoku"/>
        <s v="Kiremithane"/>
        <s v="Dumlupınar"/>
        <s v="Levent"/>
        <s v="Yavuz Sultan Selim"/>
        <s v="Çınarlı"/>
        <s v="Gazipaşa"/>
        <s v="Selahattin Eyyubi"/>
        <s v="Atakent"/>
        <s v="Yavuzlar"/>
        <s v="Akıncılar"/>
        <s v="Ulus"/>
        <s v="Dağlıoğlu"/>
        <s v="Yeşilevler"/>
        <s v="Tepebağ"/>
        <s v="Şakirpaşa"/>
        <s v="Demetevler"/>
        <s v="Barış"/>
        <s v="Meydan"/>
        <s v="Konakoğlu"/>
        <s v="Kışla"/>
        <s v="Mithatpaşa"/>
        <s v="Esentepe"/>
        <s v="Söğütlü"/>
        <s v="Havutlu"/>
        <s v="Kurttepe"/>
        <s v="Sinanpaşa"/>
        <s v="Gülpınar"/>
        <s v="Şehitduran"/>
        <s v="Tahsilli"/>
        <s v="Şevkiye"/>
        <s v="Haydaroğlu"/>
        <s v="Hanedan"/>
        <s v="Onur"/>
        <s v="Sarıyakup"/>
        <s v="Dede Korkut"/>
        <s v="Karslılar"/>
        <s v="Alidede"/>
        <s v="Kaltakiye"/>
        <s v="Ova"/>
        <s v="Bey"/>
        <s v="Narlıca"/>
        <s v="Uçak"/>
        <s v="Yeşilyuva"/>
        <s v="Fatih"/>
        <s v="Cihadiye"/>
        <d v="2022-05-19T00:00:00Z"/>
        <s v="Hacıuşağı"/>
        <s v="Denizli"/>
        <s v="P.t.t"/>
        <s v="Şahin Özbilen"/>
        <s v="Beşocak"/>
        <s v="Yenidoğan"/>
      </sharedItems>
    </cacheField>
    <cacheField name="ADRES" numFmtId="0">
      <sharedItems>
        <s v="yüzüncü yıl mah 85062 sk d blok no 60/2 iç kapı no 4 çukurova adana"/>
        <s v="sucuzade mah obalar cad no:95/b seyhan adana"/>
        <s v="kurtuluş mah atatürk cd gülbahçesi sitesi seyhan adana"/>
        <s v="esentepe mah kozan caddesi 161 d sarıçam adana"/>
        <s v="namık kemal mah. orhan ekinci bul. no 66 iç kapı no z3 ceyhan adana"/>
        <s v="DADALOĞLU MAH ŞEHİT JAN. ER MUSTAFA GÖKSAL CAD NO 14 YÜREĞİR ADANA"/>
        <s v="kazım karabekir mah. 4192 sok. no 4 iç kapı no 201"/>
        <s v="yurt mah 71445 sok no 5 d çukurova adana"/>
        <s v="gültepe mah. çatalan cd. no 31 sarıçam adana"/>
        <s v="kurtuluş mah şinasi efendi cd suphi ramazanoğlu apt b girişi no 22 d seyhan adana"/>
        <s v="MAHFESIĞMAZ MAH. 79019 sk no 23/A ÇUKUROVA/ ADANA"/>
        <s v="cemalpaşa mah toros cad yeşil apt no:19/a seyhan adana"/>
        <s v="Mahfesığmaz mh, 79019. Sk 23/A, 01150 Çukurova/Adana"/>
        <s v="pınar mah semt 74052sk seyhan adana"/>
        <s v="KAYALIBAĞ MAH. 26001 SK. NO: 1 E SEYHAN/ ADANA"/>
        <s v="sümer mh 69077 sk gökhan apartmanı 3 E seyhan adana"/>
        <s v="döşeme mah cumhuriyet cad çolpan apt no:71/d1 seyhan adana"/>
        <s v="serinevler mh Mustafa Kemal Paşa Blv. No:108, 01240 Yüreğir/Adana"/>
        <s v="2000 evler mah 76067 sk göksu apt er-as inşaat no 1a seyhan adana"/>
        <s v="TOROS MAH. ALİ SEPİCİ BLV. NO: 7 B ÇUKUROVA/ ADANA"/>
        <s v="pınar mah mücahitler cd 305/b seyhan adana"/>
        <s v="YEŞİLTEPE MAH. ÇATALAN CAD. NO: 2 B SARIÇAM/ ADANA"/>
        <s v="mahfesığmaz mah. damar arıkoğlu bul. no 22 a çukurova adana"/>
        <s v="yeşilyurt mah ibo osman cd no 3/A seyhan adana"/>
        <s v="Toros mah Özkan Apt. D:No. 8/B, A Blok, 78195. Sk., 01170 Çukurova"/>
        <s v="cemalpaşa mah 63005 sok gonca apt no 19 b seyhan adana"/>
        <s v="NAMIK KEMAL MAHALLESİ AHMET URAL SOKAK NO:54/ZA"/>
        <s v="türkocağı mh debboy cd no 22 a seyhan adana"/>
        <s v="yurt mah anadolu Lisesi cd. Cem Atasever apt. altı Ablok No:17/C Çukurova Adana"/>
        <s v="burhaniye mah kızılay cad no 72 ceyhan adana"/>
        <s v="Reşatbey Mahallesi 62005 sokak no:18/A KVK karşısı Seyhan/ADANA"/>
        <s v="pınar mah mavi bulvar üzeri al sitesi b blok no 79/2 seyhan adana"/>
        <s v="karacaoğlan mah turgut özal blv sultan hatun apt no 115 c kozan adana"/>
        <s v="2000 evler mah 76067 sk no 1 a seyhan adana"/>
        <s v="mahfesıgmaz mah 79079 sok no: 1/2a çukurova adana"/>
        <s v="HUZUREVLERİ MAH. 77088 SK. GİRİCİLER APT. NO: 2 İÇ KAPI NO: 02 ÇUKUROVA/ ADANA"/>
        <s v="Kurtuluş mahallesi Ramazanoğlu caddesi 64003 sokak No:27/A Seyhan/ADANA"/>
        <s v="yeşilyurt mh iboosman cd küpeli apt no 137/E seyhan adana"/>
        <s v="sümer mah ibo osman cd seyhan adana"/>
        <s v="pınar mha ali bozdoğanoğlu bulv. demirkol plaza 2 no:8/b seyhan adana"/>
        <s v="Süleyman Demirel bulvarı Yurt mahallesi 71549 sokak no 1/H Çukurova/Adana"/>
        <s v="yüzüncü yıl mah fazlı metro bulvarı gülbahar gruop apt altı a blok 53/c a101 marlet karşısı çukurova adana"/>
        <s v="Güzelyalı, Turgut Özal Blv. NO.98/B, 01170 Çukurova/Adana"/>
        <s v="PINAR MAH, Ali Bozdoğanoğlu Blv NO:54/D, 01010 Seyhan/Adana"/>
        <s v="karacaoğlan mah goncagül sokak no 6 sultan hatun apt kozan adana"/>
        <s v="mahfesığmaz mah 79088 sok no 9 a çukurova adana"/>
        <s v="çarkıpare mah çatalan cad no 214 a sarıçam adana"/>
        <s v="güzelyalı mah süleyman demirel bulv no:19/e başer sitesi b blok çukurova adana"/>
        <s v="pınar mah mücahitler cad no:313 / a seyhan adana"/>
        <s v="cemalpaşa mah mustafa gümüşdamla sk gül apt no 7 c seyhan adana"/>
        <s v="yurt mah turgut özal bulv no 158-1a/1 çukurova adana"/>
        <s v="şahintepe mah. kozan bul. 374/B Sarıçam adana"/>
        <s v="Güzelyalı, Turgut Özal Blv. 82/A, 01170 Çukurova/Adana"/>
        <s v="toros mah şehitler blv no 35 a çukurova adana"/>
        <s v="gültepe mh çatalan cd no 136 F sarıçam adana"/>
        <s v="Osmangazi Mah. 1966 Sk. No:10D (Osmangazi İş Merk. Karşısı, 01790 Sarıçam/Adana"/>
        <s v="mahfesıgmaz mah 79154 sok yüzüncü apt no 8/a çukurova adana"/>
        <s v="GÜRSELPAŞA MAH. ALİYA İZZET BEGOVİÇ BLV. NO: 102 B SEYHAN/ ADANA"/>
        <s v="cemalpaşa mh e.ekin sok öğretmenler st. b blok no 13 iç kapı no e seyhan adana"/>
        <s v="beyazevler mah 80003 sok no 10/a çukurova adana"/>
        <s v="cemalpaşa mah 63012 sok özdemir sit no 5/b seyhan adana"/>
        <s v="CEMALPAŞA MAH. BAHAR CAD. ERTAN APT NO: 15 A SEYHAN/ ADANA"/>
        <s v="hurmalı mah kurtuluş cd no 73 seyhan adana"/>
        <s v="anadolu mah süleyman vahit cad no 235 iç kapı no a yüreğir adana"/>
        <s v="belediye evleri mh hilmi küklü blv yasemen apt no 65 - 2 A çukurova adana"/>
        <s v="YÜZÜNCÜYIL MAH. HACI BEKTAŞ VELİ BLV. MANOLYA SİT. B BLOK ALTI NO: 10 A ÇUKUROVA/ ADANA"/>
        <s v="pınar mah 74151 sk no 11/1 A seyhan adana"/>
        <s v="mahfesığmaz mah turgut özal bulv abbas bilir apt b blok no:59/a çukurova adana"/>
        <s v="GÜLTEPE MAH ÇATALAN CAD NO 59 A SARIÇAM ADANA"/>
        <s v="güzelyalı mah t. özal bulv.dr. ibrahim keskin sit c blok no:52/1c çukurova adana"/>
        <s v="gürselpaşa mah 75646 sok no 2 seyhan adana"/>
        <s v="yeni baraj mah. 68047 sk gülkent apt a blok no2/a seyhan adana"/>
        <s v="toros mah barış manço bulvarı no 2 c çukurova adana"/>
        <s v="Mahfesığmaz mah.79112 sokak no:14/A Çukurova ADANA"/>
        <s v="cemalpaşa mah 63009 sok akaltun apt no 4 b seyhan adana"/>
        <s v="Sümer, mah Altun Blv. 1 B D:3, 01140 Seyhan/Adana"/>
        <s v="YEŞİLOBA MAH. 46120 SK. NO: 77 İÇ KAPI NO: 1 SEYHAN/ ADANA"/>
        <s v="acıdere osb mah inönü blv no 8 sarıçam adana"/>
        <s v="Beyazevler mah. 80003 sok 16/B Çukurova adana"/>
        <s v="reşatbey mah arı apt altı no:20 seyhan adana"/>
        <s v="reşatbey mah gazeteci sinan tanyıldız sk hazer apt no 21 seyhan adana"/>
        <s v="gürselpaşa mah a. izzet begoviç bulv 25/b seyhan adana"/>
        <s v="Cumhuriyet mah. andıl cad. no 167 d kozan adana"/>
        <s v="Gültepe Mah. Erguvan Cad. Pınar B No:22 A Sarıçam Adana"/>
        <s v="yüzüncü yıl mah 85054 sk b blok no 11 / 2a çukurova adana"/>
        <s v="yeşilyurt mah 70001 sk no 6 a seyhan adana"/>
        <s v="sümer mah. 69071 sok. tüzün apt. b girişi no 9 a seyhan adana"/>
        <s v="Gürselpaşa Mah. 75268 Sok. 58 Seyhan, Adana"/>
        <s v="kayalıbağ mah turhan cemal beriker blv kaloğlu işhanı no 27 / c seyhan adana"/>
        <s v="belediye evleri mah 84081 sk no 35/a-1 cukurova adana"/>
        <s v="mahfesıgmaz mah turgut özal bulv selamet apt no:101 e çukurova adana"/>
        <s v="güzelyalı mah turgut özal blv no 42 a çukurova adana"/>
        <s v="dadaloğlu mah. kozan cad. no 371 iç kapı no Z01 yüreğir adana"/>
        <s v="kurtuluş mah m. sabuncu blv. no:58/a seyhan adana"/>
        <s v="YENİBARAJ MAH. 68053 SK. AYDIN 6 APT NO: 8 A SEYHAN/ ADANA"/>
        <s v="huzurevleri mah 77235 sok inkaya apt no:2/c cukurova adana"/>
        <s v="güzelyalı mah. 81201 sok. no 1-1A Çukurova Adana"/>
        <s v="gültepe mah çatalan cd no 176 d sarıçam adana"/>
        <s v="Sümer, 69071. Sk. No:2, 01140 Seyhan/Adana"/>
        <s v="kuruköprü mah sefa özler cad no 16 b seyhan adana"/>
        <s v="yeşilyurt mah ibo osman cd imta apt a blok no 129 A seyhan adana"/>
        <s v="Pınar Mah. 74004. Sk (4. Sk.) Seyhan, Adana"/>
        <s v="Sümer mah. Bülent Angın Bulv. Dostlar apt. No:17/C Seyhan/ADANA"/>
        <s v="yenibaraj mah 68046 sk dilek apt a blok no:3/f seyhan adana"/>
        <s v="gültepe mh çatalan cd no 92 a sarıçam adana"/>
        <s v="tufanpaşa mah üstün sokak no 113 kozan adana"/>
        <s v="FEVZİPAŞA MAH. 48056 SK. NO: 136 A SEYHAN/ ADANA"/>
        <s v="TOROS MAH. 78195 SK. CİĞERCİ CİĞERCİ NO: 3 F ÇUKUROVA/ ADANA"/>
        <s v="SÜMER MAH 69077 SK NO 8 SEYHAN ADANA"/>
        <s v="KÖPRÜLÜ MAH MİTHAT ÖZHAN BLV NO 6 YÜREĞİR ADANA"/>
        <s v="bahçeşehir mh mehmet fuat dıblan blv no 140 a seyhan adana"/>
        <s v="Gürselpaşa mah. 6. cad. c blok no 113/1A seyhan adana"/>
        <s v="Beyazevler mahallesi 80044 sokak no.3 koza apt. Çukurova-Adana"/>
        <s v="GÜZELYALI MAH. 81150 SK. A BLOK NO: 3 /1A ÇUKUROVA/ ADANA"/>
        <s v="serinevler mah. 3714 sok no 30 iç kapı no A yüreğir/adana"/>
        <s v="çanaklı mah güneri cd no 134 kozan adana"/>
        <s v="sümer mah ş.yüzbaşı bülent angın blv no 81 b seyhan adana"/>
        <s v="Yüzüncüyıl, Hacı Bektaş Veli Blv 93 A, 01170 Çukurova/Adana"/>
        <s v="kurttepe mah süleyman demirel bulv no 82 e çukurova adana"/>
        <s v="beyceli mah. tufanbeyli cad. no 43 adana sarıçam"/>
        <s v="güzelyalı mah. turgut özal bul. anıl apt b blok no 10 m çukurova adana"/>
        <s v="Sümer mah Bülent angın Bulvarı site apt seyhan adana"/>
        <s v="gülbahçesi mah 13082 sok no 11 seyhan adana"/>
        <s v="DADALOĞLU MAH 2567 SK NO 1 YÜREĞİR ADANA"/>
        <s v="istiklal mh bakımyurdu cd no 180 a seyhan adana"/>
        <s v="TOROS MAH. MAVİ BLV. NO: 24 A ÇUKUROVA/ ADANA"/>
        <s v="kocavezir mah obalar cad no 70 iç kapı no 101 seyhan adana"/>
        <s v="mehmet akif ersoy mah kozan yeni sokak no 32 c sarıçam adana"/>
        <s v="SÜMER MAH. BARAJ CAD. M.ULUTAŞ APT NO: 41 C SEYHAN/ ADANA"/>
        <s v="döşeme mah 60075 sk baysan iş merkezi a blok seyhan adana"/>
        <s v="Gürselpaşa, Aliya İzzet Begoviç Blv, 01200 Seyhan/Adana"/>
        <s v="beyazevler mah 80003 sk mustafa kulak apt no 6 a çukurova adana"/>
        <s v="beyazevler mah 80003 sokak no 12 a çukurova adana"/>
        <s v="gürselpaşa mh 75066 sk no 6 seyhan adana"/>
        <s v="güzelyalı mah 81173 sok açelya apt no 3 a çukurova adana"/>
        <s v="güzelyalı mah 81106 sok sefa parlak apt no:1/a çukurova adana"/>
        <s v="Cumhuriyet mah orhan ekici bulv atakent a no 29 ceyhan adana"/>
        <s v="pınar mah 75174 sok no 16 seyhan adana"/>
        <s v="yeşilyurt mah 70166 sk no 4 a seyhan adana"/>
        <s v="toros mah mavi bulvar no 26 a çukurova adana"/>
        <s v="Prof. Necmettin Erbakan Bulvarı, Semiramis Köy Yolu, 01170 Çukurova"/>
        <s v="Mahfesığmaz, 01170 Çukurova/Adana"/>
        <s v="Güzelyalı, 81185. Sk. 14/A, 01170 Çukurova/Adana"/>
        <s v="100.YIL M. 85112 S. NO: 87 İÇ KAPI NO: A ÇUKUROVA/ ADANA"/>
        <s v="güzelyalı mah turgut özal blv. aksa gaz karşısı sturbacks yanı kenanaoğlu apt altı çukurova adana"/>
        <s v="gürselpaşa mah aliya izzet begoviç blv. 75322 üçgül cadde iş merk. a blok no 2 seyhan adana"/>
        <s v="ismetpaşa mah 51229 sk kıyıkent evleri a blok no 8 seyhan adana"/>
        <s v="güzelyalı mah 81118 sok no:48/a çukurova adana"/>
        <s v="sümer mah abdi ipekçi cad no :48/a seyhan adana"/>
        <s v="YEŞİLYURT MAH. KARAAFAT CAD. NO: 52 A SEYHAN/ ADANA"/>
        <s v="yeni mah 87071 sk M1 Avm seyhan adana"/>
        <s v="Seyhan, Kurtuluş Mahallesi, Göksel Tantuni, Ziyapaşa Bulvarı, Seyhan/Adana, 01120 Adana"/>
        <s v="mahfessığmaz mah. turgut özal bul. egemen apt. no 35 iç kapı no 1 çukurova adana"/>
        <s v="gürselpaşa mh 75266 sk no 20/c seyhan adana"/>
        <s v="yüzüncü yıl mah hacı bektaş veli bulv no 57/a çukurova adana"/>
        <s v="pınar mah ayhan güngör sk royal evleri b blok no:19/a seyhan adana"/>
        <s v="güzelyalı mah adnan menderes bulv no 43 a çukurova adana"/>
        <s v="Güzelyalı, Süleyman Demirel bulvarı Zirve Apartman Altı C blok 43/A, 01170 Çukurova/Adana"/>
        <s v="Hurmalı Mahallesi Bakımyurdu Caddesi, 34003. Sk. No 1, 01030 Seyhan/Adana"/>
        <s v="Gürselpaşa, Gold Plaza, Aliya İzzet Begoviç Blv, 01170 Çukurova/Adana"/>
        <s v="Ziyapaşa mh Kasım Gülek Bulvarı Nadirler Apt, D:109/A, 01140 Seyhan/Adana"/>
        <s v="döşeme mah m. nuri sabuncu blv kayalı apt no 99 a seyhan adana"/>
        <s v="YEŞİLYURT MAH KARAAFAT CADDESİ NO 138 SEYHAN ADANA"/>
        <s v="Serinevler Mahallesi, Mustafa Kemal Paşa Blv. no: 101, 01240 Yüreğir/Adana"/>
        <s v="cemalpaşa mah 63012 sok no 5 b seyhan adana"/>
        <s v="sümer mah 69077 sk gül apt zemin kat 4/A seyhan adana"/>
        <s v="mithat saraçoğlu cad kurtulus mah gökkuşagı apt no:416 seyhan adana"/>
        <s v="Cemalpaşa, Toros Cd. Çiğdem Apt D:6-C Seyhan/Adana"/>
        <s v="Yüzüncüyıl, Hacı Bektaş Veli Blv No:17, 01170 Çukurova/Adana"/>
        <s v="tahsilli mah kozan cd 329 yüreğir adana"/>
        <s v="HUZUREVLERİ MAH. 77140 SK. NO: 8 A ÇUKUROVA/ ADANA"/>
        <s v="Cemalpasa mah 3Sk Karabucak apt altı no 14 seyhan adana"/>
        <s v="Gürselpaşa Mah., Aliya İzzet Begoviç Blv., No:25B, Seyhan, Adana, Türkiye,"/>
        <s v="güzelyalı mah Turgut Özal Blv. İnci Evler Sitesi D:86 B، 01170 Çukurova/Adana"/>
        <s v="Cemalpaşa, Ethem Ekin Sk. No:26, 01120 Seyhan/Adana"/>
        <s v="Yenibaraj, Gülkent apt, 68047. Sk. No:2/B D:A Blok, 01150 Seyhan/Adana"/>
        <s v="gürselpaşa mah aliya izzet begoviç bulv. medlife apt b blok no:29/1a seyhan adana"/>
        <s v="karacaoğlan mah şehit hüseyin soydan cd bora açar sitesi b blok 31 a kozan adana"/>
        <s v="gürselpaşa mah ali bozdoğanoğlu bulv dinçerler plaza no:77/a seyhan adana"/>
        <s v="kurtuluş mah şinasi efendi cad ikizler apt no 15 a seyhan adana"/>
        <s v="Yeni, 87071. Sk. No:5, 01200 Seyhan/Adana"/>
        <s v="mahfesığmaz mah turgut özal bulv 55/d çukurova adana"/>
        <s v="toros mah 78195 sok no 5 a çukurova adana"/>
        <s v="Ebülfeyz Elçibey Caddesi, 01960, 01950 Ceyhan/Adana"/>
        <s v="cemalpaşa mahallesi toros caddesi no:33/b seyhan /ADANA"/>
        <s v="serinevler mah şehit mustafa köksal caddesi no 139 yüreğir adana"/>
        <s v="YURT MAH. TURGUT ÖZAL BLV. NO: 160 A ÇUKUROVA/ ADANA"/>
        <s v="Yurt Mah. Turgut Özal Blv. No:166 A Çukurova/ADANA"/>
        <s v="huzurevleri mah 77215 sok no6/d çukurova adana"/>
        <s v="namık kemal mah. seyid ahmet arvasi bul. no 69 ceyhan adana"/>
        <s v="huzurevleri mah suleyman demirel bulvarı osman dikici apt no 105 a çukurova adana"/>
        <s v="toros Mahallesi Ali Sepici Bulv Özen Apt. 9/C, 01170 Çukurova/Adana"/>
        <s v="beyazevler mah devlet bahçeli blv no 30 d çukurova adana"/>
        <s v="cemalpaşa mah 63009 sok as apt no 2 iç kapı no 3 seyhan adana"/>
        <s v="ulubatlı hasan mh kozan blv 658/C yüreğir adana"/>
        <s v="cemalpaşa mah 63005 sok no 1 a seyhan adana"/>
        <s v="beyazevler mah 80005 sokak no:3/b çukurova adana"/>
        <s v="pınar mah 74097 sok a blok no 3/c seyhan adana"/>
        <s v="gültepe mh çatalan cd no 222/d sarıçam adana"/>
        <s v="gürselpaşa mh 75268 sk no 13 seyhan adana"/>
        <s v="HÜRRİYET MAH. 20045 SK. MODA RENGARENK NO: 2 SEYHAN/ ADANA"/>
        <s v="kazım karabekir mah. mustafa kemal paşa bul. no 24 iç kapı no 201 yüreğir adana"/>
        <s v="Huzurevleri mah şehit jandarma sefa izbudak sokak seçkin Sitesi Ablok no 28 iç kapı no k çukurova adana"/>
        <s v="yüzüncü yıl mah 85035 sk no 21 a çukurova adana"/>
        <s v="karasoku mah postane cd no 9 A seyhan adana"/>
        <s v="Güzelyalı mah Süleyman Demirel Bulv. no 3/C Çukurova Adana"/>
        <s v="kiremithane mah haşim dalgıç caddesi no 106 yüreğir adana"/>
        <s v="dumlupınar mah kıbrıs cad no 97/A seyhan adana"/>
        <s v="cemalpaşa mah 63007 sok. özeller apt no:22/d seyhan adana"/>
        <s v="Toros caddesi barış apartmanı altı no 92/1 01120 seyhan adana"/>
        <s v="levent mah levent cd no 41 yüreğir adana"/>
        <s v="cemalpaşa mah 63010 sk anı apt no 14/1 seyhan adana"/>
        <s v="mithat paşa mah inönü blv no 50 iç kapı no 01 ceyhan adana"/>
        <s v="Cumhuriyet Mahallesi M.Sepetçioğlu Bulvarı No:62 Ceyhan/ADANA"/>
        <s v="YAVUZ SULTAN SELİM MAH KOZAN BULVARI NO 275 D SARIÇAM ADANA"/>
        <s v="yurt mah şair hasibe hatun cad ispir apt no 83 a çukurova adana"/>
        <s v="çınarlı mah 61020 sk no 3 a seyhan adana"/>
        <s v="MAHFESIĞMAZ MAH. 79015 SK. NO: 3 A ÇUKUROVA/ ADANA"/>
        <s v="MAHFESIĞMAZ MAH. TURGUT ÖZAL BLV. NO: 23 B ÇUKUROVA/ ADANA"/>
        <s v="GÜZELYALI MAHALallesi Uğur Mumcu Blv. NO:2/B, 01170 Çukurova/Adana"/>
        <s v="mahfesığmaz mah 79142 sk no 2 e çukurova adana"/>
        <s v="Gürselpaşa Mah. Yzb. Pilot Mehmet Ali Kurçer Cad. Dreamtown 2 Sitesi B Blok 32/A, 01200"/>
        <s v="Döşeme mah 60054. Sk. No:2, 01130 Seyhan/Adana"/>
        <s v="güzelyalı mah turgut özal bulv akçeli 1 apt no:74/a çukurova adana"/>
        <s v="KURTULUŞ MAH. ZİYAPAŞA BLV. NO: 6 A SEYHAN/ ADANA"/>
        <s v="PINAR MAH. ALİ BOZDOGANOĞLU BLV. NO: 30 B SEYHAN/ ADANA"/>
        <s v="güzelyalı mah devlet bahçeli bulv no41 a çukurova adana"/>
        <s v="GÜLTEPE MAH. KANUNİ SULTAN SÜLEYMAN BLV. NO: 61 B SARIÇAM/ ADANA"/>
        <s v="yeşilyuva mah.36006 sok. no 2 iç kapı no 1 seyhan adana"/>
        <s v="cemalpaşa mah bahar cad adanus perla alp altı seyhan adana"/>
        <s v="reşatbey mah 62031 sk no 3A seyhan adana"/>
        <s v="mahfesığmaz mah 79154 sok no:2a çukurova adana"/>
        <s v="mahfesığmaz mah turgut özal bulv no 53 c çukurova adana"/>
        <s v="yeşilyurt mh ibo osman cd münire fidancı apt d blok no 177 d seyhan adana"/>
        <s v="Huzurevleri, 77150. Sk. 7/A, 01360 Çukurova/Adana"/>
        <s v="GÜZELYALI MH. 52 SK. ŞENGEL AP.ALTI NO: 1 SEYHAN/ ADANA"/>
        <s v="güzelyalı mah süleyman demirel blv başer sitesi no:21/a 01000 çukurova adana"/>
        <s v="TUFANPAŞA MAH ANDIL CD NO 70 KOZAN ADANA"/>
        <s v="FEVZİPAŞA MAH VEFA CD NO 289 SEYHAN ADANA"/>
        <s v="kuruköprü mh inönü cd 71/a seyhan adana"/>
        <s v="huzurevleri mah ismet atlı bulv metro sitesi b blok no 13/2b çukurova adana"/>
        <s v="GAZİPAŞA MAH. BARAJ CAD. NO: 23 A SEYHAN/ ADANA"/>
        <s v="selahattin eyyübi mah. m.kemal paşa blv. no 125 iç kapı no a yüreğir adana"/>
        <s v="toros mah ahmet sapmaz bulv ata apt no 28/a çukurova adana"/>
        <s v="yüzüncü yıl mah 85112 sok a blok no 42 a çukurova adana"/>
        <s v="reşatbey mahallesi gazeteci Sinan tanyıldız sokak no 30/B"/>
        <s v="TELLİDERE MAH. 72137 SK. SERAPARK 8 APT A BLOK NO: 1 B SEYHAN/ ADANA"/>
        <s v="şahintepe mh kozan blv b no 10 b iç kapı no 42 sarıçam adana"/>
        <s v="mehmet akif ersoy cad kozan bulvarı no 764 sarıçam adana"/>
        <s v="atakent mah afetevleri cd no 43 yüreğir adana"/>
        <s v="çınarlı mah 61030 sk no 5 b seyhan adana"/>
        <s v="mahfesığmaz mah damar arıkoğlu bulv ekin apt 21/b çukurova adana"/>
        <s v="belediye evleri mah 84172 sok no 4 b iç kapı no 1 çukurova adana"/>
        <s v="Mahfesığmaz, Yusuf Gizir, Kenan Evren, 79077. Sk. D:Apt No:7, 01250 Çukurova/Adana"/>
        <s v="Güzelyalı Mah. 811185 Sok. No:24C Çukurova/Adana"/>
        <s v="huzurevleri mah 77150 sok no 11 çağatay apt çukurova adana"/>
        <s v="TOROS MAH. ŞEHİT MUSTAFA ÖZBEK SK. ESEN APT. A BLOK NO: 6 İÇ KAPI NO: 01 ÇUKUROVA/ ADANA"/>
        <s v="pınar mah nazım hikmet cd no 59 a seyhan adana"/>
        <s v="yenibaraj mh şehit yüzbaşı bülent angın blv no 18 F seyhan adana"/>
        <s v="Beyazevler Mah Devlet baçeli bulvarı ali genç giyen Apt 18/s Çukurova Adana"/>
        <s v="huzurevleri mah kurttepe cad no 5 b çukurova adana"/>
        <s v="ziyapaşa mah baraj cad no 16 seyhan adana"/>
        <s v="yurt mah barıs manco bulv muge apt zemin kat cukurova adana"/>
        <s v="atakent mh yaşar doğu cd A101 yanı no 105/B yüreğir adana"/>
        <s v="belediye evleri mah zahit akdağ bulv sametcan apt no:7-1 çukurova adana"/>
        <s v="gültepe mah 1979 sk birlik sağlam apt altı sarıçam adana"/>
        <s v="serinevler mh m.kemalpaşa blv no 106 yüreğir adana"/>
        <s v="yavuzlar mah kışla cad no 208 b yüreğir adana"/>
        <s v="YAVUZLAR MAH. İLİM YOLU BLV. 165/A YÜREĞİR/ADANA"/>
        <s v="dadaloğlu mah kozan cd no 347 iç kapı no a yüreğir adana"/>
        <s v="yavuz sultan selim mah kozan blv no 221 a sarıçam adana"/>
        <s v="ptt evleri mah mimoza cd no 2 B yüreğir adana"/>
        <s v="PINAR MAH. NAZIM HİKMET CAD. PINAR SİTESİ C BLOK NO: 53 B SEYHAN/ ADANA"/>
        <s v="şahintepe mah. 3170 sok. no 40 iç kapı no 1 sarıçam adana"/>
        <s v="dumlupınar mah kıbrıs cd no 98 a seyhan adana"/>
        <s v="ulubatlı hasan mah. kozan cad. no 582 iç kapı no b yüreğir adana"/>
        <s v="toros mh şehitler blv erol şayan apt no 21 d çukurova adana"/>
        <s v="Cemalpaşa Mahallesi 63006 Sokak No:21/A Sabahlar Apt Seyhan adana"/>
        <s v="yurt mah turgut özal bulv tuna sitesi no:176/a çukurova adana"/>
        <s v="Güzelyalı mahallesi Süleyman Demirel BLV Burak apartmanı altı no 27 A çukurova adana"/>
        <s v="cemalpaşa mah. 63004 sok. karsal apt no 18 a seyhan adana"/>
        <s v="güzelyalı mah anadolu lisesi cad merve apt altı no:20/b çukurova adana"/>
        <s v="kurtuluş mah ziyapaşa blv no 14 b seyhan adana"/>
        <s v="Ulus, İnönü Blv., 01940 Ceyhan/Adana"/>
        <s v="Fatih, Mücahitler Cd. 183/A, 01160 Seyhan/Adana"/>
        <s v="güzelyalı mh şehitler blv özdilek apt no 107 c çukurova adana"/>
        <s v="toros mah. turgut özal bulvarı no 193 a çukurova adana"/>
        <s v="Gülbahçesi Dumlupınar mahallesi, Obalar Cd no 390/a, 01050 Seyhan/Adana"/>
        <s v="Karacaoğlan, Mimoza Cd. No:27, 01240 Yüreğir/Adana"/>
        <s v="GÜRSELPAŞA MAH. ALİ BOZDOGANOĞLU BLV. NO: 81 A SEYHAN/ ADANA"/>
        <s v="yarsuat mah. orhan kemal bul. no 42 iç kapı no b ceyhan adana"/>
        <s v="Dağlıoğlu mah. Obalar Cad. No 387 A Seyhan Adana"/>
        <s v="Reşatbey, 62010. Sk. 37 C, 01120 Seyhan/Adana"/>
        <s v="toros mah. ali sepici bul. no 42 b çukurova adana"/>
        <s v="GÜRSELPAŞA MAH. ALİYA İZZET BEGOVİÇ BLV. NO: 19 A SEYHAN/ ADANA"/>
        <s v="pınar mh mücahitler cd no 307 a seyhan adana"/>
        <s v="Huzurevleri Mahallesi Türkmenbaşı Bulvarı No :70/A Çukurova/Adana"/>
        <s v="Huzurevleri Mah. 77060 Sk. No:9/A Çukurova / ADANA"/>
        <s v="cemalpaşa mah toros cad no 15/4 seyhan adana"/>
        <s v="gürselpaşa mah aliya izzet begoviç bulvarı no 25/B üçgül cadde go ofis seyhan adana"/>
        <s v="cemalpaşa mah atatürk caddesi behice yazgan apt zemin kat no 2 seyhan adana"/>
        <s v="güzelyalı mah 81106 sok no 1 d çukurova adana"/>
        <s v="Cemal paşa mahallesi Ethem ekin sokak askı sokağı no 20 c seyhan adana"/>
        <s v="GAZİPAŞA MAH. 66036 SK. B BLOK NO: 22 /1 İÇ KAPI NO: 58 SEYHAN/ ADANA"/>
        <s v="çınarlı mh 61009 sk no 7/a seyhan adana"/>
        <s v="ismetpaşa mah mehmet akif ersoy cd no 128 b seyhan adana"/>
        <s v="AKINCILAR MAH. İLİM YOLU BLV. NO: 166 A YÜREĞİR/ ADANA"/>
        <s v="kurttepe mah süleyman demirel bulv no 84 c çukurova adana"/>
        <s v="gültepe mah reyyan cd 841 sk no 9 sarıçam adana"/>
        <s v="BURHANİYE MAH. İNÖNÜ BLV. HUZUR APARTMANI NO: 13 İÇ KAPI NO: 1 CEYHAN/ ADANA"/>
        <s v="belediye evleri mah. 84282 sok. sazlıdere sitesi a blok no 2 -1 iç kapı no 02 çukurova adana"/>
        <s v="gültepe mah 611 sk no 3 iç kapı no a sarıçam adana"/>
        <s v="sümer mah ibo osman cd no 220 A seyhan adana"/>
        <s v="yeşilyurt mah karaafat cd 134 b seyhan adana"/>
        <s v="YAVUZLAR MAH ORHAN KEMAL BLV NO 155 A YÜREĞİR ADANA"/>
        <s v="Bahçelievler Mahallesi Mehmet Akif Ersoy Caddesi Petek Pastanesi Karşısı no:120/B Seyhan ADANA"/>
        <s v="TELLİDERE MAH. MÜCAHİTLER CAD. NO: 192 B SEYHAN/ ADANA"/>
        <s v="huzurevleri mah. 77079 sok. yenigün sitesi b blok no 1/2 iç kapı no 01 çukurova adana"/>
        <s v="tepebağ mah çakmak cad cevdet tuğberk işhanı no:90 a seyhan adana"/>
        <s v="Kayalıbağ mah Atatürk cad özel sancak apt No:4 iç kapı no: 201 Seyhan/ADANA"/>
        <s v="yurt mah turgut özal bulv no 178 c iç kapı no çukurova adana"/>
        <s v="beyazevler mah 80062 sk onur apt b blok altı çukurova adana"/>
        <s v="sümer mah mavi bulvar muhtar sitesi no1 seyhan adana"/>
        <s v="belediye evleri mah zahit akdağ bulv no 8 a çukurova adana"/>
        <s v="toros mah ahmet sapmaz bulv no 20 b çukurova adana"/>
        <s v="sümer mah 69081 sk gül apt 3/a seyhan adana"/>
        <s v="Güzelyalı Mah., Turgut Özal Blv., No:70, Çukurova, Adana"/>
        <s v="yeni mahalle m1 avm seyhan adana"/>
        <s v="güzelyalı mah turgut özal bulv no 20 d çukurova adana"/>
        <s v="Toros Mahallesi 78190 Sok. Baskın Safir Apt. Altı, D:2/C, 01170 Çukurova/Adana"/>
        <s v="CEMALPAŞA MAH. VALİYOLU CAD. EGE TAKSİ NO: 29 A SEYHAN/ ADANA"/>
        <s v="mahfesıgmaz mah şehitler bulv birsen dikici apt 32 f çukurova adana"/>
        <s v="GÜZELYALI MH. TURGUT ÖZAL BLV. NO:142/A ÇUKUROVA / ADANA"/>
        <s v="Pınar, Huzurevleri, Türkmenbaşı Blv. No:42 D:2D, 01160 Seyhan/Adana"/>
        <s v="Yenibaraj, Köseli Apartmanı, Bülent Angın Blv., 01150 Seyhan/Adana"/>
        <s v="reşatbey mah. 62031 sk yıldız has apt no 4 b seyhan adana"/>
        <s v="Atakent mah. 2245. Sk. 01260 Yüreğir/Adana"/>
        <s v="sarıçam mah kozan cd no 228 iç kapı no b yüreğir adana"/>
        <s v="güzelyalı mah 81177 sok no 5 çukurova adana"/>
        <s v="mahfesığmaz mah turgut özal bulv 79088 sok no 61/c çukurova adana"/>
        <s v="Cemalpaşa MAH cevatyurdakul cad no 41 b seyhan adana"/>
        <s v="yenibaraj mah 68046 sk hatıra apt no 1 d seyhan adana"/>
        <s v="ismetpaşa mah mehmet akif ersoy cd no 138 seyhan adana"/>
        <s v="ikibin evler mah bülent ecevit bulv serkan apt no 39 seyhan adana"/>
        <s v="Karasoku Mah. 28026 Sk no 4 A Seyhan/Adana"/>
        <s v="güzelyalı mah anadolu lisesi cad a. kibritoğlu apt no:18/a çukurova adana"/>
        <s v="uçak mah şakirpaşa cd no 47 a seyhan adana"/>
        <s v="levent mah 1830 sk no :2 iç kapı a yüreğir adana"/>
        <s v="pınar mah nazım hikmet cd no 20 b seyhan adana"/>
        <s v="Gürselpaşa, Aliya İzzet Begoviç Blv No:24 D:F, 01200 Seyhan/Adana"/>
        <s v="demetevler mah mehmet akif ersoy caddesi no 47 seyhan adana"/>
        <s v="mahfesığmaz mah 79019 sk no:4-2b çukurova adana"/>
        <s v="BELEDİYE EVLERİ MAH. 84273 SK. NO:16 ÇUKUROVA / ADANA"/>
        <s v="belediye evleri mh 84029 sk yıldız sitesi altı no 2 f çukurova adana"/>
        <s v="DUMLUPINAR MAH. 38059 SK. NO: 3 SEYHAN/ ADANA"/>
        <s v="Sümer Mah necip fazıl kısakürek cd arma vera sitesi b blok no 10 /a seyhan adana"/>
        <s v="Güzelyalı Mah. 81075 No:2/A Çukurova Adana"/>
        <s v="mahfesığmaz mah 79133 sk no 13 çukurova adana"/>
        <s v="belediye evleri mah turgut özal bulv no 279 a çukurova adana"/>
        <s v="gürselpaşa mah aliya izzet begoviç blv üçgül cadde iş merkezi seyhan adana"/>
        <s v="kurutulus mah ziyapaşa cd no:3/a özbey apt seyhan adana"/>
        <s v="Cemalpaşa mahallesi toros cad. no:24/b seyhan adana"/>
        <s v="yurt mah turgut özal bulv no 160 d çukurova adana"/>
        <s v="mahfesığmaz mah turgut özal bulv karlıdağ apt b blok no 19 a çukurova adana"/>
        <s v="yenibaraj mah b. angın bulv. uyanık apt no:78/e seyhan adana"/>
        <s v="mahfesığmaz mah turgut özal blv akın apt no:97/c çukurova adana"/>
        <s v="Gürselpaşa Mah Aliya İzzet begoviç blv 106 anıl plaza seyhan adana"/>
        <s v="kurtuluş mah 64022 sk avşar apt altı 9/c seyhan adana"/>
        <s v="yurt mah turgut özal bulvarı no:178 / a çukurova adana"/>
        <s v="Toros Mah. Turgut Özal Blv. 78192 Sok. 2/G Çukurova, Adana"/>
        <s v="gürselpaşa mah 75268 sk no 2 seyhan adana"/>
        <s v="atakent mah yaşar doğu cd no 139/A yüreğir adana"/>
        <s v="Huzurevleri Mh. Turgut Özal Blv. Elit Apt. Zemin Kat No:210/B, 01360 Çukurova/Adana"/>
        <s v="Huzurevleri Mah Türkmenbaşı bulv. No 24/a 01360 çukurova adana"/>
        <s v="fatma esma nayman cad no: 3/17a seyhan adana"/>
        <s v="barış mah vefa cd no 110 a seyhan adana"/>
        <s v="Yenibaraj, 68070. Sk. No:7 01150, 01150 Seyhan/Adana"/>
        <s v="Reşatbey Mah Beş Ocak Cad No:36/A&#10; Seyhan/ADANA"/>
        <s v="reşatbey mah 62030 sk no 6/B seyhan adana"/>
        <s v="kurtuluş mh 14 sk avukatlar apt no 17/B seyhan adana"/>
        <s v="CEMALPAŞA MAH TOROS CADDESİ ÖZDEMİR ÖZLER APT NO21/A SEYHAN ADANA"/>
        <s v="Belediye Evleri, 84002. Sk. 36 A, 01170 Çukurova/Adana"/>
        <s v="mahfesığmaz mah turgut özal bulvarı no 95 a çukurova adana"/>
        <s v="Güzelyalı, Turgut Özal Blv. No:68, 01170 Çukurova/Adana"/>
        <s v="Yeşilyurt, Karaafat Cd 80/B, 01150 Seyhan/Adana"/>
        <s v="CUMHURİYET MAH. HASAN CERİT BLV. NO: 9 İÇ KAPI NO: Z1 CEYHAN/ ADANA"/>
        <s v="ziyapaşa mah baraj cd teymenler apt no 22 b seyhan adana"/>
        <s v="selahattin eyyubi mah. şehit j.er mustafa göksal cad. no 38 iç kapı no z01 yüreğir adana"/>
        <s v="Belediye Evleri, mahlesi, 84165. Sk. no 13, 01170 Çukurova/Adana"/>
        <s v="Çınarlı, 01060 Seyhan/Adana"/>
        <s v="GÜZELYALI MAH. 81029 SK. NO: 1 İÇ KAPI NO: 57 ÇUKUROVA/ ADANA"/>
        <s v="meydan mah kıbrıs cd no 42 b seyhan adana"/>
        <s v="DEMETEVLER MAH. MEHMET AKİF ERSOY CAD. NO: 13 İÇ KAPI NO: 1 SEYHAN/ ADANA"/>
        <s v="CUMHURİYET MAH. KARATAŞ BLV. NO: 23 İÇ KAPI NO: A YÜREĞİR/ ADANA"/>
        <s v="DERVİŞLER MAH KOZAN CD NO 322 YÜREĞİR ADANA"/>
        <s v="Sümer Mahallesi, Barajyolu Bulvar 5. Durak No 7 Sümer"/>
        <s v="güzelyalı mah sefa parlak gümüş apt altı 102 D G 01170 Çukurova/Adana"/>
        <s v="Güzelyalı Mah T.özal Blv. Dr. İ. Keskin sit. Bblok no:52/c Çukurova Adana"/>
        <s v="YURT MAH. KURTTEPE CAD. NO: 34 C ÇUKUROVA/ ADANA"/>
        <s v="KARASOKU MAH. SAYDAM CAD. NO: 23 A SEYHAN/ ADANA"/>
        <s v="Toros Mah. 78128 Sk. No:2 A Çukurova/ADANA"/>
        <s v="Cemalpaşa mah 63010 sk.no 11 a seyhan adana"/>
        <s v="gürselpaşa mah aliya izzet begoviç blv no 93 b seyhan adana"/>
        <s v="kurtuluş mah 64003 sk no 20 a seyhan adana"/>
        <s v="gürselpaşa mah aliya izzet begoviç bulvarı özdeş apt no:91/e seyhan adana"/>
        <s v="YURT MAH. TURGUT ÖZAL BULV. KÜPELİ APT. NO:201 çukurova adana"/>
        <s v="güzelyalı mah süleyman demirel bulv göker apt altı no 1 iç kapı no b çukurova adana"/>
        <s v="toros mah. 78138 sok. eroğlu apt. b blok no 4 iç kapı no 1 çukurova adana"/>
        <s v="mahfesığmaz mah turgut özal bulv no 83 c çukurova adana"/>
        <s v="PINAR MAH. ALİ BOZDOĞANOĞLU BLV. ASAF SARALI APT A BLOK NO: 12 B SEYHAN/ ADANA"/>
        <s v="huzurevleri mh 77060 sk delta apt no 12/a çukurova adana"/>
        <s v="Kuruköprü, Sefa Özler Cd. No:38, 01120 Seyhan/Adana"/>
        <s v="kurtuluş mah ramazanoğlu cad no 14 a seyhan adana"/>
        <s v="Sümer Mah. İbo Osman Cad. No:180 C Seyhan Adana"/>
        <s v="NAMIK KEMAL MAH ORHAN EKİCİ BLV NO 86 CEYHAN ADANA"/>
        <s v="mahfesığmaz mh 79019 sk no 7/b çukurova adana"/>
        <s v="KONAKOĞLU MAH HACI AHMET TOPSAKAL SK CEYHAN ADANA"/>
        <s v="güzelyalı mah turgut özal bulv akdeniz apt no 76 a çukurova adana"/>
        <s v="cemalpaşa mah 63010sk. yalvaç apt no:9 iç kapı noa seyhan adana"/>
        <s v="kurtuluş mah şinasi efendi dk. no:25/b seyhan adana"/>
        <s v="Barış Mahallesi Vefa Cad. No:134 /A. / Seyhan / Adana / Türkiye"/>
        <s v="Çınarlı, 70, Ziyapaşa Blv., 01120 Seyhan/Adana"/>
        <s v="Kozanyolu Dervişler Mah. No.294 YÜREĞİR"/>
        <s v="GÜRSELPAŞA MAH. 6. CADDE NO:67/A SEYHAN/ADANA"/>
        <s v="Güzelyalı, 81057. Sk. No:6, 01170 Çukurova/Adana"/>
        <s v="Kışla Mah. 4389 Sk. No:32/a. / Yüreğir / Adana / Türkiye"/>
        <s v="MEYDAN MAH. KIBRIS CD. NO:42 SEYHAN"/>
        <s v="MİTHATPAŞA MAH. 58300 sk NO:128 SEYHAN/ADANA"/>
        <s v="onur mah turhan cemal beriker bulvarı no 437 seyhan adana"/>
        <s v="SELAHADDİNİ EYYÜBİ MAH. JANDARMA ER MUSTAFA GÖKSAL CD. NO:36 YÜREĞİR"/>
        <s v="ŞAHİNTEPE MAH. KOZAN BUL. NO:74/AC SARIÇAM/ADANA"/>
        <s v="TELLİDERE MAH. NO 234 SEYHAN/ADANA"/>
        <s v="Toros Kasım Ener Caddesi Berke Sitesi 6 No: 40 D:Blok C, 01170 Çukurova/Adana"/>
        <s v="Yurt Mah. Kurttepe Cad. Ömer Giriş Apt. Zemin Kat No:16. / Çukurova / Adana / Türkiye."/>
        <s v="Yüzüncüyıl, 85021. Sk. No:3, 01170 Çukurova/Adana"/>
        <s v="pınar mah. ş.er ayhan güngör sok. demirel park sitesi c blok no 22 d seyhan adana"/>
        <s v="çınarlı mah ziyapaşa blv taştepe apt no 61 a seyhan adana"/>
        <s v="gültepe mh çatalan cd no 173 a sarıçam adana"/>
        <s v="Yurt mahallesi 71383 sokak EREN1 APT No/2-A"/>
        <s v="toros mah mavi bulvar baskın öztürkoğlu apt no 36 a çukurova adana"/>
        <s v="Yurt Mah. Kurttepe Cad. A.Kadir Giriş Apt. Zemin Kat No: 18 Çukurova/Adana"/>
        <s v="Yeni Mah. Atatürk Cad. No: 1/A Karataş/Adana"/>
        <s v="Kocavezir mah. Obalar Cad. No: 76/B Seyhan/Adana"/>
        <s v="Küçükdikili Çınarlı, Şehitler Cd No:7, 01010 Seyhan/Adana"/>
        <s v="mestanzade mah. 21006 sok. no 2 a seyhan adana"/>
        <s v="Pınar Mah. Ali Bozdoğanoğlu Bul. No: 4/A Seyhan/Adana"/>
        <s v="Havutlu Mah. Karataş Cad. No: 529/A Yüreğir / Adana"/>
        <s v="Sarıçam Mah. Kozan Cad. No: 154/A Yüreğir/Adana"/>
        <s v="Yurt mah Kurttepe cd. No:4 Çukurova Adana"/>
        <s v="Yenibaraj mh. 68030 sk. No:3 Seyhan Adana"/>
        <s v="gürselpaşa mah aliya izeet begoviç bulv. kayabey apt. no:85/b seyhan adana"/>
        <s v="kurtuluş mah demokrasi sk özelsancak apt no 8 iç kapı no 01 seyhan adana"/>
        <s v="yüzüncüyıl mah. 85078 sk no 53 b çukurova adana"/>
        <s v="Huzurevleri mah Süleyman Demirel bulvarı Birlik apt no 91 a Çukurova Adana"/>
        <s v="Reşatbey, Atatürk Cd. 30/B, 01120 Seyhan/Adana"/>
        <s v="Kışla mah şehir hastanesi 01370 Yüreğir/Adana"/>
        <s v="Mahfesığmaz Mah. Turgut Özal Blv. Abbas Bilir A Blok No:61 C Çukurova/Adana"/>
        <s v="yenibaraj mah 68046 sk no 3 g seyhan adana"/>
        <s v="sinanpaşa mah optimum outlet alışveriş merkezi yüreğir adana"/>
        <s v="gülpınar mah meydan cd no 7/a seyhan adana"/>
        <s v="şehitduran mah eminağa cad 49 b seyhan adana"/>
        <s v="yurt mah turgut özal bulv tuna sit no:176/b çukurova adana"/>
        <s v="tahsilli mh kozan cd no 265 iç kapı no a yüreğir adana"/>
        <s v="tepebağ mah. 27046 sok 14 a seyhan adana"/>
        <s v="Güzelyalı mahallesi uğurmumcu bulvarı güzelyalı apt no:34a çukurova adana"/>
        <s v="huzurevleri mah77105 sok altıneller apt no 8 iç kapı no 1 çukurova adana"/>
        <s v="belediye evleri mh 84029 sk 2 A çukurova adana"/>
        <s v="Güzelyalı, Turgut Özal Blv. 75. Yıl Kardelen Cad. D:146, 01170 Çukurova/Adana"/>
        <s v="yavuzlar mah. 4094 sok. no 3/1 yüreğir adana"/>
        <s v="cumhuriyet mh süleyman vahit cd no 176 yüreğir adana"/>
        <s v="esentepe mah kozan bulv no 37 iç kapı no b1 sarıçam adana"/>
        <s v="sümer mah 69065 sok yeter apt no1 a seyhan adana"/>
        <s v="yurt mah kurttepe cad petek apt çukurova adana"/>
        <s v="Cadde AVM, Gürselpaşa Mah. Aliya İzzet Begoviç Bulv. No:25 Üçgül, 01170 Seyhan/Adana"/>
        <s v="karacaoğlan mah turgut özal bulvarı kozan adana"/>
        <s v="şevkiye mah şefik uçak cd no 7 B kozan adana"/>
        <s v="cemalpaşa mah 63005 sok istanbul balıkcısı ibrahim no 4 a seyhan adana"/>
        <s v="şahintepe mah kozan blv 52/b1 sarıçam adana"/>
        <s v="yeşilyurt mah 70619 sk no 9 a seyhan adana"/>
        <s v="yeşilyurt mah necip fazıl kısakürek blv yardım apt c girişi no 34 seyhan adana"/>
        <s v="Tellidere, Mücahitler Cd. 273 A, 01160 Seyhan/Adana"/>
        <s v="yüzüncü yıl mah hacı bektaş veli bulv no:123/a çukurova adana"/>
        <s v="PINAR MAH. MÜCAHİTLER CAD. ASLI VE PINAR APT NO: 307 E SEYHAN/ ADANA"/>
        <s v="Yeşilyurt mahallesi Alparslan Türkeş bulvarı no 38/A"/>
        <s v="Belediye Evleri, 2/C Yıldız Sitesi, 84029. Sk., 01360 Çukurova/Adana"/>
        <s v="Toros, Ahmet Sapmaz Blv. No:33, 01170 Çukurova/Adana"/>
        <s v="Sümer, Karafatma Cd. Özge Apt. D:139/B, 01140 Seyhan/Adana"/>
        <s v="mahfesığmaz mah 79154 sok umut apt no 4/a çukurova adana"/>
        <s v="pınar mh 74103 sk no 4/16 seyhan adana"/>
        <s v="YENİBARAJ MAH. ŞEHİT YÜZBAŞI BÜLENT ANGIN BLV. NO: 66 C SEYHAN/ ADANA"/>
        <s v="haydaroğlu mah karataş bulv zeki kındık no 180 yüreğir adana"/>
        <s v="gürselpaşa mh aliya izzet begoviç blv no 47 a seyhan adana"/>
        <s v="gültepe mah çatalan cd no 168 sarıçam adana"/>
        <s v="güzelyalı mah 81156 sok zakir gergin apt no 3/b çukurova adana"/>
        <s v="şakirpaşa mah şakirpaşa cd no 198 seyhan adana"/>
        <s v="hanedan mah 35009 sok no:1 seyhan adana"/>
        <s v="güzelyalı mah turgut özal bulv anıl apt 2. blok no:10çukurova adana"/>
        <s v="cemalpaşa mah toros cad cınar apt altı no:31/d seyhan adana"/>
        <s v="pınar mah mavi bulvar 83 1 seyhan adana"/>
        <s v="Kurtuluş mah. Ziyapaşa bulvarı no 21/B Seyhan/ADANA"/>
        <s v="Güzelyalı mah T. Özal bLV. İNCİEVLER SİT Bblok no :86/D Çukurova adana"/>
        <s v="kuruköprü mah 33007 sk no 18 seyhan adana"/>
        <s v="mahfesığmaz mah sehıtler cad no:36/e çukurova adana"/>
        <s v="Huzurevleri 77155. Sokak 23/ B D:Gulbay Apt, 01360 Çukurova/Adana"/>
        <s v="BELEDİYE EVLERİ MAHALLESİ 84029 SOKAK TAN APARTMANI B BLOK NO:2/1F"/>
        <s v="YENİBARAJ MAH YÜZBAŞI BÜLENT ANGIN BLV NO 42 E SEYHAN ADANA"/>
        <s v="yeşilyurt mah. 70529 sok no 59 b seyhan adana"/>
        <s v="onur mah. 45001 sok no 35 a seyhan adana"/>
        <s v="tellidere mah 72080 sk ahmet demirel plaza seyhan adana"/>
        <s v="belediye evleri mah turgut özal bulvarı kültür apt no 249 çukurova adana"/>
        <s v="2000 evler mah bülent ecevit bulv no:26/a seyhan adana"/>
        <s v="güzelyalı mah turgut özal bulv yeşilçatı apt altı no 62 iç kapı no a çukurova adana"/>
        <s v="HÜRRİYET MAH. 20001 SK. NO: 9 A SEYHAN/ ADANA"/>
        <s v="turgut ozal bulv guzelyalı mah a. kerim akray apt no:36/d çukurova adana"/>
        <s v="sarıyakup mah 23002 sk no 45 a seyhan adana"/>
        <s v="kurtuluş mah ramazanoğlu cd köşem apt altı no 16 a seyhan adana"/>
        <s v="bahçeşehir mah mehmet fuat dıblan blv no 111/A seyhan adana"/>
        <s v="ziyapaşa mah baraj caddesi no 94 c seyhan adana"/>
        <s v="SÜMER MAH NECİP FAZIL KISAKÜREK BLV NO 3 B SEYHAN ADANA"/>
        <s v="Cemalpaşa Mahallesi Toros Caddesi Deniz Apt. Zemin Kat Galleria Altgeçidi Seyhan adana"/>
        <s v="pınar mah 74002 sk no 2 d seyhan adana"/>
        <s v="Tufanpaşa mahallesi andıl caddesi no :16 Adana/Kozan"/>
        <s v="Cumhuriyet Mah. 768 Sok, Gülbey Karataş Cd. No: 9 D:Z01, 01280 Yüreğir/Adana"/>
        <s v="güzelyalı mahallesi süleyman demirel bulvarı no:55/a"/>
        <s v="güzelyalı mah turgut özal bulv ibrahim keskin sitesi a blok no:52/3f çukurova adana"/>
        <s v="tufanpaşa mah turgut özal blv no 82 c kozan adana"/>
        <s v="kışla mah mithat özsan bulv şehir hastanesi yüreğir adana"/>
        <s v="Pınar Mah., 74049. Sok., No:10, Seyhan, Adana"/>
        <s v="Döşeme mah. Cumhuriyet caddesi no: 87/a seyhan/adana"/>
        <s v="pınar mah ismail hazar sk golden towers a blok no 29 a seyhan adana"/>
        <s v="cemalpaşa mah 63007 sokak no:24b seyhan adana"/>
        <s v="toros mah 78192 sok ahmet işlek apt no 2 c çukurova adana"/>
        <s v="pınar mah. nazım hikmet cad. pınar park sitesi no 58 seyhan adana"/>
        <s v="burhaniye mah inönü blv no 23 ceyhan adana"/>
        <s v="MAHFESIĞMAZ MAH. ŞEHİTLER BLV. NO: 44 A ÇUKUROVA/ ADANA"/>
        <s v="Sümer mah 69156 sk no 32 c seyhan adana"/>
        <s v="yurt mah 71427 sok no 5/c çukurova adana"/>
        <s v="Osmangazi Mah.2008 Sk. Toki İş Merkezi No:3/B, 01000 Sarıçam/Adana"/>
        <s v="Sümer, Karafatma Cd. 76/a, 01140 Seyhan/Adana"/>
        <s v="Tellidere, Mücahitler Cd. No:224/c, 01160 Seyhan/Adana"/>
        <s v="yüzüncü yıl mah fazlı meto bulv bina no 60 işyeri no 30 çukurova adana"/>
        <s v="huzurevleri mah kurttepe cd no:21 d:17 çukurova adana"/>
        <s v="toros mah kasım ener cad no:6 01170 çukurova adana"/>
        <s v="çınarlı mah ziyapaşa bulv başar apt no:61/a seyhan adana"/>
        <s v="alidede mah alptekin işhanı gizerler karşısı no:30 saydam caddesi seyhan adana"/>
        <s v="sümer mh karafatma cad no:71 01140 seyhan adana"/>
        <s v="pınar mah mücahitler cad no:303 01160 seyhan adana"/>
        <s v="SÜMER MAH. ŞEHİT YÜZBAŞI BÜLENT ANGIN BLV. MUHTARLAR SİTESİ PASAJI NO: 127 /1B SEYHAN/ ADANA"/>
        <s v="aydemiroğlu mah emin civelek blv no 99 ceyhan adana"/>
        <s v="güzelyalı mah 81161 sok aşiyan apt no 11/a çukurova adana"/>
        <s v="HANEDEN MAH BAKIMYURDU MAH NO 41 SEYHAN ADANA"/>
        <s v="Çınarlı, 61006. Sk., 01060 Seyhan/Adana"/>
        <s v="Yenibaraj, Hacı Ömer Sabancı Cd 41 A, 01150 Seyhan/Adana"/>
        <s v="meydan mah bakımyurdu cd no 251 a seyhan adana"/>
        <s v="pınar mah a bozdoğanoğlu bul hilmi karaörs sit no:421/c seyhan adana"/>
        <s v="yeni mh 87071 sk m1 adana avm f blok no 5/41 seyhan adana"/>
        <s v="Mahfesığmaz 79019. Sokak 4-2 A D:4-2 A, 01170 Çukurova/Adana"/>
        <s v="Yurt mahallesi 71507 sk no 3a cukurova adana"/>
        <s v="pınar mah. ali bozdoğan bul. hasan sun apt. no 24 a seyhan adana"/>
        <s v="cinarli mah 61027 sok no 15/B seyhan adana"/>
        <s v="Gürselpaşa Mah. 75402 Sk. Elia Apt. No:4 seyhan adana"/>
        <s v="kurtuluş mah 64010 sok didem apt no:13/a seyhan adana"/>
        <s v="Güzelyalı Mah. Turgut Özal Blv. No: 10 F Çukurova/ADANA"/>
        <s v="sümer mah şehit yüzbaşı bülent angın bulv.dostlar apt b blok no:19/a seyhan adana"/>
        <s v="ismetpaşa mh 51160 sk a blok no 8 iç kapı no 102 seyhan adana"/>
        <s v="yurt mh turgut özal blv no 178 d çukurova adana"/>
        <s v="toros mah kasım ener blv no 34 a çukurova adana"/>
        <s v="yüzüncü yıl mh 85023 sk sudesu apt no 1 iç kapı no 21 çukurova adana"/>
        <s v="toros mah şehitler bulv harman apt no 101 d çukurova adana"/>
        <s v="huzurevleri mah ismet atlı bulv ismet akile apt no 41 b çukurova adana"/>
        <s v="gültepe mah 891 sk no 2 iç kapı no 3 sarıçam adana"/>
        <s v="pınar mah 74064 sok no 1 seyhan adana"/>
        <s v="yeşilyurt mah mavi bulvar sezen 4 apt no:13/1 seyhan adana"/>
        <s v="beyazevler mah devlet bahçeli bulv ali genç giyen apt no 18 b çukurova adana"/>
        <s v="beyazevler mah devlet bahçeli bulv ali gençgiyen apt no 18/b çukurova adana"/>
        <s v="osmangazi mah. 2008 sok. no 3 b sarıçam adana"/>
        <s v="TOROS MAH. ALİ SEPİCİ BLV. NO:5/A&#10; ÇUKUROVA/ADANA"/>
        <s v="pınar mah ali bozdoğanoğlu blv zeytin sitesi a blok no 52 seyhan adana"/>
        <s v="kurtuluş mahallesi Sular mevki DreamWorks teras, 01110 Seyhan/Adana"/>
        <s v="Sümer Mah., Seyhan, Adana, Türkiye,"/>
        <s v="MAHFESIĞMAZ MAH. DEVLET BAHÇELİ BLV. ADNAN KAHVECI APT NO: 5 I ÇUKUROVA/ ADANA"/>
        <s v="Kurtuluş mah Mithat Saraçoğlu Cd. lokman apt 1/101 doubletree by hilton altı Seyhan/Adana"/>
        <s v="beyazevler mah 80003 sok mustafa kulak apt a blok no 4 c çukurova adana"/>
        <s v="mahfesığmaz mah damar arıkoğlu bulv. no 1 c çukurova adana"/>
        <s v="karacaoğlan mah 3783 sk no 33 c yüreğir adana"/>
        <s v="güzelyalı mah turgut özal bulvarı osman bey apt 30/a çukurova adana"/>
        <s v="belediye evleri mah. hilmi kürklü bul. no 48/4 eren sitesi B blok Çukurova Adana"/>
        <s v="huzurevleri mah. alpaslan türkeş bul. safran apt 335 a Çukurova adana"/>
        <s v="GÜZELYALI MH.81149 SK. ÖVGÜ APT.ALTI NO: 2 İÇ KAPI NO: A ÇUKUROVA/ ADANA"/>
        <s v="Yenibaraj, Macho Waffle, 68046. Sk. no:1 D:E, 01150 Seyhan/Adana"/>
        <s v="huzurevleri mah ismet atlı bul eser apt no 3 a çukurova adana"/>
        <s v="Bahçeşehir mah fuat dıblan bulvarı no 126/A seyhan/Adana"/>
        <s v="tahsilli mah ege bağatur blv no 154 iç kapı no B yüreğir adana"/>
        <s v="Beyazevler, Bülent Angın Blv. No: 132 / A, 01170 Çukurova/Adana"/>
        <s v="Güzelyalı mah. Turgut Özal Bulvarı No: 70/F. Sefa Parlak Gümüş Apt A Blok Çukurova /Adana."/>
        <s v="cemalpaşa mah 63007 sokak sökün apt b blok seyhan adana"/>
        <s v="güzelyalı mah 8107 sok şengel apt no:1/b çukurova adana"/>
        <s v="dumlupınar mah 38059 sk no 1 seyhan adana"/>
        <s v="TOROS MAH. 78077 SK. AKASYA APT NO: 1 İÇ KAPI NO: 01 ÇUKUROVA/ ADANA"/>
        <s v="KURTULUŞ MAH M. NUR SABUNCU CAD SUZANOĞLU APT NO 68 SEYHAN ADANA"/>
        <s v="yeşilyurt mah mavi bulvar burak apt altı no: 61 a seyhan adana"/>
        <s v="mahfesığmaz mah 79079 sok no 1/1a çukurova adana"/>
        <s v="Ova Mah. Şakirpaşa Cad. no 157 a seyhan adana"/>
        <s v="TELLİDERE MAH. 72137 SK. NO: 1 C SEYHAN/ ADANA"/>
        <s v="kurtuluş mah ramazanoğlu cd arzu amber apt a blok no 11 a seyhan adana"/>
        <s v="yüzüncü yıl mah 85381 sok a blok no 53/1 b çukurova adana"/>
        <s v="barış mah yeşilevler cd no 107 seyhan adana"/>
        <s v="GÜRSELPAŞA MAH ALİYA İZZET BEGOVİÇ BULV NO 92 C SEYHAN ADANA"/>
        <s v="tufanpaşa mah.turgut özal bul. no 92 a kozan adana"/>
        <s v="CEMALPAŞA MAH. 63010 SK. SÜMER TOWERS A BLOK NO: 2 /2A SEYHAN/ ADANA"/>
        <s v="OVA MAH/SEMT ŞAKİRPAŞA CAD. NO: 133 A SEYHAN/ ADANA"/>
        <s v="huzurevleri mah 77215 sok no 4 e çukurova adana"/>
        <s v="BURHANİYE MAH KIZILAY SK NO 40 CEYHAN ADANA"/>
        <s v="kuruköprü mh sefa özler cd küçüksaat iş hanı no 12 seyhan adana"/>
        <s v="Yeşilyurt mahallesi Evren sitesi 70001 sokak C/1 blok altı No: 2 seyhan adana"/>
        <s v="bey mh asteğmen kemal yüzgeç blv no 68 seyhan adana"/>
        <s v="gürselpaşa mh 7. cd dream town sitesi a blok no 38 c seyhan adana"/>
        <s v="Mehmet akif ersoy mh 223 sk no 24 B sarıçam adana"/>
        <s v="Türkocağı mah Debboy Cd. no10/B, 01120 Seyhan/Adana"/>
        <s v="şakirpaşa mah 42067 sk seyhan adana"/>
        <s v="karacaoğlan mah şehit hüseyin soydan cd 3f kozan adana"/>
        <s v="narlıca mah 56046 sk no 1/1 seyhan adana"/>
        <s v="Yeşiloba mah turhan cemal beriker blv no 485 a seyhan adana"/>
        <s v="İSMETPAŞA MAH. MEHMET AKİF ERSOY CAD. NO: 193 A SEYHAN/ ADANA"/>
        <s v="gürselpaşa mah abidin dino blv. no:16/1 seyhan adana"/>
        <s v="belediye evleri mah 84081 sok no 34 a çukurova adana"/>
        <s v="karacaoğlan mahallesi hasan basri demirci blv 31 1 kozan adana"/>
        <s v="güzelyalı mah 81185 sok gökdemir apt b blok no:3a çukurova adana"/>
        <s v="Yeşilyurt, Karaafat Cd No:142, 01150 Seyhan/Adana"/>
        <s v="CEMALPAŞA MAH. MUSTAFA GÜMÜŞDAMLA SK. NO: 5 A SEYHAN/ ADANA"/>
        <s v="sümer mah. 69069 sok. no 1 seyhan adana"/>
        <s v="kurtuluş mah 64010 sk ulular apt altı no 8 iç kapı no B seyhan adana"/>
        <s v="Huzurevleri, 80. Yıl Bulvarı. Panlı Apt. D:26, Çukurova/Adana"/>
        <s v="pınar mah 74004 sk no 53/a seyhan adana"/>
        <s v="belediye evleri mah 84199 sok galen apt a blok no 3-4 a iç kapı no 17 çukurova adana"/>
        <s v="çınarlı mah dr ali menteşoğlu cad no:4/b seyhan adana"/>
        <s v="uçak mah şakirpaşa cad no:129/b seyhan adana"/>
        <s v="şehitler bul. mahfesığmaz mah. 79119 sok. petek sitesi 1. blok çukurova adana"/>
        <s v="Cemalpaşa mah 63005 Sk. no 32 Seyhan/Adana"/>
        <s v="Mahfesığmaz, Enerjisa Karşısı, Turgut Özal Blv. 59/E, 01170 Çukurova/Adana"/>
        <s v="mahfesığmaz mh turgut özal bulv no 63 e baskın apt çukurova adana"/>
        <s v="yeşiloba mah turhan cemal beriker bulv adana iş merkezi siteler no:443/f seyhan adana"/>
        <s v="yeni baraj mah yüzbaşı bülent angın blv ayben sitesi b blok no 82 b seyhan adana"/>
        <s v="Yurt, Kurttepe Cd. 14 C, 01170 Çukurova/Adana"/>
        <s v="Cemalpaşa mah 63004 sk no 7 a/-seyhan adana"/>
        <s v="kurtuluş mah 98/B mehmet nuri sabuncu bulvarı seyhan adana"/>
        <s v="yurt mah turgut özal bulvarı tuna sitesi altı no 174/f çukurova adana"/>
        <s v="REŞATBEY MAH 62002 SK NO 3/1 İÇ KAPI NO 109 SEYHAN ADANA"/>
        <s v="yeşilyurt mah 70518 sk a blok no 8 / 1 iç kapı no 1 seyhan adana"/>
        <s v="sümer mah. şehit yüzbaşı bülent angın bul. divan apt. b girişi no 71 seyhan adana"/>
        <s v="CEMALPAŞA MAH. MUSTAFA GÜMÜŞDAMLA SK. DR EKREM BAYAZIT APT A GİRİŞİ NO: 8 D SEYHAN/ ADANA"/>
        <s v="Yeni mah 87071 sok m1 avm no 15: 1k Seyhan Adana"/>
        <s v="yeşilyuva mah bakımyurdu cd no 131 a seyhan adana"/>
        <s v="gazipaşa mahallesi baraj caddesi bağlar karakolu yanı no 27 b seyhan adana"/>
        <s v="karacaoğlan mah. turgut özal bul. göktürk apt. no 119 C Kozan adana"/>
        <s v="konakoğlu mah süleyman oğuz cerit bulvarı no 15 ceyhan adana"/>
        <s v="toros mah 78076 sok çatı sit altı no 1 iç kapı no b çukurova adana"/>
        <s v="yenibaraj mah. şehit yüzbaşı bülent angın blv. hatıra apt. no 80 c seyhan adana"/>
        <s v="Narlıca mah 56135. Sk. No:39, 01180 Seyhan/Adana"/>
        <s v="KARACAOĞLAN MAH. ŞEHİT J.ER.MUSTAFA GÖKSAL CAD. NO: 205 YÜREĞİR/ ADANA"/>
        <s v="GÜZELYALI MAH. UĞUR MUMCU BLV. NO: 18 A ÇUKUROVA/ ADANA"/>
        <s v="sakarya mah mehmet akif ersoy cd no 18 a seyhan adana"/>
        <s v="GÜZELYALI MAH. 81059 SK. NO: 16 A İÇ KAPI NO: 1 ÇUKUROVA/ ADANA"/>
        <s v="CEMALPAŞA MAH. TOROS CAD. ÇİĞDEM APARTMANI NO: 6 A SEYHAN/ ADANA"/>
        <s v="konakoglu mah. hükümet cad. no 65 ceyhan adana"/>
        <s v="belediye evleri mah no 84150 sok altıntaş apt altı no:2/a çukurova adana"/>
        <s v="TOROS MAH. 78170 SK. ÇAĞIN 2 APT NO: 5 A ÇUKUROVA/ ADANA"/>
        <s v="pınar mah 74175 sk no 1 b seyhan adana"/>
        <s v="güzelyalı mah turgut özal bulv no 80 / c çukurova adana"/>
        <s v="belediye evleri mah hilmi kürklü bulv 69 e çukurova adana"/>
        <s v="KURTULUŞ MAH. ŞİNASİ EFENDİ CAD. NO: 3 İÇ KAPI NO: 1 SEYHAN/ ADANA"/>
        <s v="gürselpaşa mah aliya izzet begoviç bulvarı no:89/d seyhan adana"/>
        <s v="KURTULUŞ MAH. DEMOKRASİ SK. NADIDE APT NO: 24 İÇ KAPI NO: 2 SEYHAN/ ADANA"/>
        <s v="güzelyalı mh 81151 sk no 4 a çukurova adana"/>
        <s v="SÜMER MAH BÜLENT ANGIN BLV MUHİTTİN YEM APT NO 195 D SEYHAN ADANA"/>
        <s v="ziyapaşa mah bağlar karakolu seyhan adana"/>
        <s v="Gürselpaşa mahallesi Şehit Polis Şahin Polat Aydın Bulvarı No:39/A"/>
        <s v="küçükdikili mah şehitlik cad seyhan adana"/>
        <s v="atakent mah 2270 sk no 5 iç kapı no 2 yüreğir adana"/>
        <s v="bahçeşehir mh mehmet fuat diblan blv no 102 seyhan adana"/>
        <s v="fevzipaşa mh 48046 sk no 18b seyhan adana"/>
        <s v="karasoku mh ali münif yegenağa cd no 22 A seyhan adana"/>
        <s v="levent mah levent caddesi no 67/A yüreğir adana"/>
        <s v="mahfesıgmaz mah turgut özal bulv akın apt no :99/d çukurova adana"/>
        <s v="mahfesıgmaz mah sehıtler bulv no:46 c çukurova adana"/>
        <s v="reşatbey mah ordu cad no 34 c seyhan adana"/>
        <s v="selahattin eyyübi mah şehit j.er mustafa göksal cd no 38 iç kapı no Z01 yüreğir adana"/>
        <s v="sucuzade mah obalar cd no 101 a seyhan adana"/>
        <s v="sümer mh şehit yüzbaşı bülent angın bulvarı dostlar apartmanı a giriş no 17/C seyhan adana"/>
        <s v="TOROS MAH. MAVİ BLV. ALİ ŞAHİN APT NO: 46 C ÇUKUROVA/ ADANA"/>
        <s v="ulubatlı hasan mh kozan cd no 660/A Z01 yüreğir adana"/>
        <s v="yenibaraj mah şehit yüzbaşı bülent angın blv no 120 seyhan adana"/>
        <s v="Yeşilevler Mah, Mehmet Akif Ersoy Cd. No:87/B, 01180 Seyhan/Adana"/>
        <s v="Yeşiloba mah.46180 sk.Toki iş merkezi No:19/E seyhan/Adana"/>
        <s v="huzurevleri mah 77162 sok no:20/c parıltı apt a blok çukurova adana"/>
        <s v="yeşilyurt mah kaafat cad no 76 seyhan adana"/>
        <s v="belediye evleri mah zahit akdağ bulvarı no 41 iç kapı no 1 çukurova adana"/>
        <s v="Kurttepe Mah. Kurttepe Cad. Tümer Plaza Altı No:, 01150 Çukurova/Adana"/>
        <s v="karacaoğlan mah ova sk mehmet hoca apt a blok no 4 A kozan adana"/>
        <s v="gültepe mah çatalan cd no 287/a sarıçam adana"/>
        <s v="hürriyet mah atatürk caddesi no 186 hizamiye karşısı incirlik adana"/>
        <s v="osmangazi mahallesi 2029 sk toki iş merkezi sarıçam adana"/>
        <s v="kışla mah 4470 sk no 24 iç kapı no a yüreğir adana"/>
        <s v="yavuzlar mah orhan kemal blv 226 a yüreğir adana"/>
        <s v="fatih mah mücahitler cd no 171 c seyhan adana"/>
        <s v="Fatih mahallesi mücahitler caddesi no 239/A kız bakal karşısı Seyhan adana"/>
        <s v="Güzelyalı mahallesi turgut özal bulvarı dr. İbrahim keskin sitesi b blok no:52/2E Çukurova/ADANA"/>
        <s v="toros mah ahmet sapmaz bulvakses apt no 25 a çukurova adana"/>
        <s v="toros mah 78141 sk kazancı apt no 8 b çukurova adana"/>
        <s v="çınarlı mah inönü caddesi no 22 C seyhan adana"/>
        <s v="Sinanpaşa, 34/B, Girne Blv., 01220 Yüreğir/Adana"/>
        <s v="sümer mah ibo osman cd no 184 a seyhan adana"/>
        <s v="tellidere mah mücahitler cad no 160 a seyhan adana"/>
        <s v="belediye evleri mah 84051 sok no 37 iç kapı no 1 çukurova adana"/>
        <s v="kazım karabekir mah 4190 sk no 62 a yüreğir adana"/>
        <s v="sucuzade mah. 30001 sok. balıkçılar çarşısı no 3 p seyhan adana"/>
        <s v="Kurttepe, Süleyman Demirel Blv. 86 B, 01170 Çukurova/Adana"/>
        <s v="hanedan mah bakımyurdu cad no 73 seyhan adana"/>
        <s v="Turgut Özal bulvarı Toros mh 78192 sk Ahmet işlek Apt no 167 Çukurova Adana"/>
        <s v="19 mayıs mah. 1062 sok. no 9 iç kapı no a yüreğir adana"/>
        <s v="belediye evleri mah hilmi kürklü bulv no 27 a çukurova adana"/>
        <s v="pınar mah nazım hikmet cd no83 a seyhan adana"/>
        <s v="KURTULUŞ MAH MİTHAT SARACOGLU CAD ,ZİYAPAŞA BULVARI ALİŞADİ BEY APARTMANI A BLOK :12 A, Ziyapaşa Blv., 01120 Seyhan/Adana"/>
        <s v="Gürselpaşa, Ali Bozdoğanoğlu Blv No:25/a, 01200 Seyhan/Adana"/>
        <s v="mahfesığmaz mah turgut özal bulvarı akın apt no 97 a çukurova adana"/>
        <s v="CEMALPAŞA MAH. ATATÜRK CAD. ÖĞRETMENLER SİTESİ A BLOK NO: 58 C SEYHAN/ ADANA"/>
        <s v="cemalpaşa mh. toros cd. oğuz apt. no 27 d seyhan adana"/>
        <s v="ÇINARLI MAH ATATÜRK CADDESİ PAKYÜREK NO 27 SEYHAN ADANA"/>
        <s v="kurtulus mah ziyapaşa blv havuz apt a blok no :46/b seyhan adana"/>
        <s v="sümer mh bülent angın blv no 105 a seyhan adana"/>
        <s v="Sinanpaşa mah.Hacı Sabancı blv.Optimum AVM No:28/Z26 Yüreğir/ADANA"/>
        <s v="SÜMER M. İ.OSMAN C. NO: 230 SEYHAN/ ADANA"/>
        <s v="cemalpaşa mah 63002 sok tek apt no:4/c seyhan adana"/>
        <s v="mahfesığmaz mah 79083 vurankaya apt altı no :8/a çukurova adana"/>
        <s v="Kurtuluş Mahallesi 64019 Sok. F.Tekeli Apt, D:91/A, 01120 Seyhan Adana"/>
        <s v="Pınar mah Türkmenbaşı Blv., 01360 Seyhan Adana"/>
        <s v="gürselpaşa mah 75268 sok no:15/1 seyhan adana"/>
        <s v="GÜZELYALI MAH. 81149 SK. 4KA FOUR LIVING RESIDANCE NO: 8 İÇ KAPI NO: 1 ÇUKUROVA/ ADANA"/>
        <s v="Güzel yalı mahallesi Turgut Özal bulvarı 81081 sokak doktor İbrahim keskin sitesi altı pasta canavarı no 83 çukurova adana"/>
        <s v="pınar mah ali bozdoğanoğlu bulv hilmi karaörs sit b blok no:42/a seyhan adana"/>
        <s v="Güzelyalı mahallesi turgut Özal bulvarı İnci evler sitesi A1 blok zemin kat pasta duragi adana Çukurova"/>
        <s v="karslılar mah süleyman demirel bulv no 54 a çukurova adana"/>
        <s v="Huzurevleri Mahallesi Pınar Sitesi, Türkmenbaşı Blv. 52/B, 01360 Çukurova/Adana"/>
        <s v="sümer mah 69126 sk evliya apt no 10 a seyhan adana"/>
        <s v="Reşatbey, Beş Ocak Cd. No:47, 01120 Seyhan/Adana"/>
        <s v="toros mah Ata apt 78012 sokak no:1 Çukurova/Adana"/>
        <s v="mahfesığmaz mah devlet bahçeli bulvarı cemil kaya apt no 9 cukurova adana"/>
        <s v="bahçeşehir mah mehmet fuat dıblan blv no 118 seyhan adana"/>
        <s v="huzurevleri mah ismet atlı bulv no 22 a çukurova adana"/>
        <s v="tufanpaşa mah turgut özal blv no 98 g kozan adana"/>
        <s v="PINAR MAH NAZIM HİKMET CADDESİ NO 99 SEYHAN ADANA"/>
        <s v="reşatbey mah valiyolu cad indigo büfe no 8 seyhan adana"/>
        <s v="ismetpaşa mah 51010 sk. no:10 seyhan adana"/>
        <s v="mahfesığmaz mah 79005 sok andırın apt no 1 iç kapı no 21 çukurova adana"/>
        <s v="güzelyalı mah turgut özal bulvarı no:92/b çukurova adana"/>
        <s v="Toros mah. Turgut özal Blv. no 165/A Çukurova Adana"/>
        <s v="toros mah 78189 sk b blok demet apt no 7-1 iç kapı no çukurova adana"/>
        <s v="gürselpaşa mah aliya izzet begoviç blv no 102/c seyhan adana"/>
        <s v="güzelyalı mah. 81076 sok. tayfun apt. no 3 a çukurova adana"/>
        <s v="reşatbey mah 62030 sk no 8 a seyhan adana"/>
        <s v="Yüzüncüyıl mah. 85054 Sk. No:24 Çukurova Adana"/>
        <s v="sümer mah mavi bulv duygu cafe seyhan adana"/>
        <s v="toros mah ahmet sapmaz bulv koyuncu apt no:72/c çukurova adana"/>
        <s v="mahfesıgmaz mah turgut ozal bulv no:57/h çukurova adana"/>
        <s v="REŞATBEY MAH. 62001 SK. NO: 26 A SEYHAN/ ADANA"/>
        <s v="mahfesığmaz mah turgut özal bulvarı karlıdağ apt no:17/b çukurova adana"/>
        <s v="Mahfesığmaz Mah., Damar Arıkoğlu Bulv. Çağlar Sitesi A Blok 1/E, 01170 Çukurova/Adana"/>
        <s v="yeni mah. 87071 sk no 15 / 1u seyhan adana"/>
        <s v="huzurevleri mah 80. yıl bulv no :6 çukurova adana"/>
        <s v="toros mah 78077 sk no:1/a5 çukurova adana"/>
        <s v="namık kemal mah ziyapaşa sokak no 68 ceyhan adana"/>
        <s v="kurttepe mah süleyman demirel bulv no:82/b çukurova adana"/>
        <s v="yüzüncü yıl mah hacı bektaş veli blv. no:18-3a zemin 25"/>
        <s v="gültepe mah 909 sk no 10 B sarıçam adana"/>
        <s v="KURTULUŞ MAH. RAMAZANOĞLU CAD. NO: 23 B SEYHAN/ ADANA"/>
        <s v="onur mahallesi 45257 sk kiza iş merkezi a5 blok no 2 d seyhan adana"/>
        <s v="PINAR MAH. 74087 SK. NO: 1 A SEYHAN/ ADANA"/>
        <s v="sümer mah iboosman caddesi kemer apt no:188/e seyhan adana"/>
        <s v="kiremithane mah kazım barışık apt dadaloğlu bulv a blok no 44 yüreğir adana"/>
        <s v="cemalpaşa mah ethem ekin sokak no 20 iç kapı no 101 seyhan adana"/>
        <s v="Reşatbey mh 62031 sk Perdahçı apt no:5/a Seyhan Adana"/>
        <s v="belediye evleri mh 84239 sk no 12-1 çukurova adana"/>
        <s v="toros mah ali sepici blv ebru apt no 7 a çukurova adana"/>
        <s v="cemalpaşa mah 63009 sk oğuz apt no 16 seyhan adana"/>
        <s v="pınar mah ismail hazar sk ismail hazar sitesi b blok zemin kat no 1 seyhan adana"/>
        <s v="atakent mah efetevleri cad no9 yüreğir adana"/>
        <s v="kışla mah 7525 sok no 4 yüreğir adana"/>
        <s v="mahfesığmaz mah turgut özal bulv abdurrahim gizer 3 apt 47/b çukurova adana"/>
        <s v="GÜLBAHÇESİ MAH. OBALAR CAD. NO: 582 A SEYHAN/ ADANA"/>
        <s v="GÜRSELPAŞA MAH. 75268 SK. NO: 55 İÇ KAPI NO: 1 SEYHAN/ ADANA"/>
        <s v="belediye evleri mah zahit akdağ bulv no 10/1 çukurova adana"/>
        <s v="güzelyalı mah uğur mumcu bulvarı adana kule apt altı no:2/a çukurova adana"/>
        <s v="Güzelyalı, Anadolu Lisesi Cad. Huzur Apt. Altı D:No. 8/A, 01170 Çukurova/Adana"/>
        <s v="mahfesığmaz mah kenan evren bulv no14 / b çukurova adana"/>
        <s v="Reşatbey, Adalet Cd. 46/B, 01120 Seyhan/Adana"/>
        <s v="YENİBARAJ MAH/SEMT Ş.YÜZBAŞI BÜLENT ANGIN BLV. NO: 24 A SEYHAN/ ADANA"/>
        <s v="huzurevleri mah alparslan türkeş bulv no 365 c çukurova adana"/>
        <s v="Yeşiloba mh fatma esma nayman sk Aslandamı iş merkezi A/6 seyhan adana"/>
        <s v="mahfesığmaz mah 79159 sokak no 6 a çukurova adana"/>
        <s v="arslanpaşa mah yukarı çarşı cd no 3 F kozan / Adana"/>
        <s v="yüzüncü yıl mah fazlı meto bulv no 93 çukurova adana"/>
        <s v="Huzurevleri 80. Yıl Bulvarı Karavanli Apt, D:42, 01330 Çukurova/Adana"/>
        <s v="Reşatbey mah.62001 sk.özel türkay apt.no.18/a seyhan/adana"/>
        <s v="BEYAZEVLER MAH. ADNAN KAHVECİ BLV. NO: 38 A ÇUKUROVA/ ADANA"/>
        <s v="pınar mah ali bozdoğanoğlu blv no 2 A seyhan adana"/>
        <s v="güzelyalı mah 81204 sk. n o:9/a özcan apt. çukurova adana"/>
        <s v="yeşiloba mah sanayi yolu üzeriöz erciyes kuruyemiş yanı seyhan adana"/>
        <s v="Mithat Paşa, İnönü Blv., 01920 Ceyhan/Adana"/>
        <s v="güzelyalı mahallesi, turgut özal bulvarı, no10/a anıl apt, a blok zemin kat, 01170 Çukurova adana"/>
        <s v="yurt mah kasım ener bulv no:17/c çukurova adana"/>
        <s v="YEŞİLTEPE MAH ÇATALAN CAD NO 2 İÇ KAPI NO B1 SARIÇAM ADANA"/>
        <s v="gültepe mah 856 sk kampüs deluxe apt a blok no 23 sarıçam adana"/>
        <s v="cemalpaşa mah 63006 sok 23 a seyhan adana"/>
        <s v="yurt mah 71461 sok no 1 a çukurova adana"/>
        <s v="istiklal mah kurtuluş cad no:117 seyhan adana"/>
        <s v="Reşatbey Mh., Cumhuriyet cd 37/D, 01120 Seyhan/Adana"/>
        <s v="güzelyalı mah turgut özal bulv şükran apt altı no 152/a çukurova adana"/>
        <s v="YURT MAH KASIM ENER BULV NO 12 ASUDE SİT B BLOK NO 2 ÇUKUROVA ADANA"/>
        <s v="pınar mah ali bozdoğanoğlu blv akdağ apt no 50 seyhan adana"/>
        <s v="ziyapaşa mah 67041 sk no 1 seyhan adana"/>
        <s v="belediye evleri mah 84051 sok no 1 a çukurova adana"/>
        <s v="GÜRSELPAŞA MAH ALİ BOZDOĞANOĞLU BLV NO 15 A SEYHAN ADANA"/>
        <s v="DENİZLİ MAH. ŞEHİT MEHMET ÖZEL CAD. NO: 122 A SEYHAN/ ADANA"/>
        <s v="KURTULUŞ MAH. RAMAZANOĞLU CAD. ARZU AMBER APT A GİRİŞİ NO: 11 A SEYHAN/ ADANA"/>
        <s v="mahfesığmaz mah 79132 sk yonca apt no 12 iç kapı no 01 çukuorva adana"/>
        <s v="PTT EVLERİ MAH NERGİZ CAD NO 124/ A YÜREĞİR ADANA"/>
        <s v="esentepe mah 3023 sk türk telekom no 3 sarıçam adana"/>
        <s v="güzelyalı mah turgut özal bulv doktor ibrahim keskin sitesi no:52/2f çukurova adana"/>
        <s v="ÇINARLI MAH 61007 SK NO 13 SEYHAN ADANA"/>
        <s v="Gülbahçesi mahallesi obalar caddesi 497/A SEYHAN / ADANA"/>
        <s v="cemalpaşa mah 63006 sok park apt no : 6/a seyhan adana"/>
        <s v="CEMALPAŞA MAH. BAHAR CAD. ADANUS PERLA A BLOK NO: 29 İÇ KAPI NO: 29 SEYHAN/ ADANA"/>
        <s v="pınar mah nazım hikmet cd no 19 a seyhan adana"/>
        <s v="kışla mah mithat özhan blv şehir hastanesi yüreğir adana"/>
        <s v="kurtuluş mah 64012 sk no 5 A seyhan adana"/>
        <s v="kurtuluş mah ziyapaşa bulv özbey apt no:3/b seyhan adana"/>
        <s v="yeşilyurt mah ibo osman cad c yaşar apt no175 seyhan adana"/>
        <s v="seribevler mah manolya cd no 78 yüreğir adana"/>
        <s v="namık kemal mah şehitler blv no 34 ceyhan adana"/>
        <s v="mahfesığmaz mah lütfü bağdaş apt no:51/c çukurova adana"/>
        <s v="cemalpaşa mah mustafa gümüşdamla sk. gül apt no:7/b seyhan adana"/>
        <s v="gürselpaşa mah 75048 sk. 45/a 01200 seyhan adana"/>
        <s v="Uğur Mumcu Blv. 11 B,Güzelyalı,01170, 01150 Çukurova adana"/>
        <s v="GÜZELYALI MAH. 81056 SK. NO: 11 B ÇUKUROVA/ ADANA"/>
        <s v="kurtuluş mah. mithat saraçoğlu cd. no 2/a seyhan adana"/>
        <s v="GÜZELYALI MAH. TURGUT ÖZAL BLV. NO: 86 A ÇUKUROVA/ ADANA"/>
        <s v="beyazevler mah 80003 sokak gökyar apt altı no:12d iç kapı no :d çukurova adana"/>
        <s v="huzurevleri mah türkmenbaşı bulv c blok no 26 -2a iç kapı no a çukurova adana"/>
        <s v="toros mah 78006 sk meriç apt b blok no 2 a çukurova adana"/>
        <s v="yüzüncü yıl mah hacı bektaş veli bulv no 155 iç kapı no 1 çukurova adana"/>
        <s v="cemalpaşa mah cevat yurdakul cad tahir ilba apt no 45 a seyhan adana"/>
        <s v="Yeşilyurt mh 70001 sk no 55A Seyhan adana"/>
        <s v="kurtuluş mah atatürk cd feriha t. apt 91/b seyhan adana"/>
        <s v="cemalpaşa ethem ekin sk tahir ilba apt no 31 seyhan adana"/>
        <s v="Namıkkemal mahallesi 65115 sokak menekşe evleri altı 19/d seyhan adana"/>
        <s v="gürselpaşa mah aliya izzet begoviç blv no 93 10 4k plaza altı seyhan adana"/>
        <s v="Cemalpaşa mah 63005 sok no:9 Aksogan Apt, 01120 Seyhan/Adana"/>
        <s v="yüzüncü yıl bulvarı fazlı meto bulvarı 89/b çukurova adana"/>
        <s v="çınarlı mah ziyapaşa blv no 76/c seyhan adana"/>
        <s v="hürriyet mah inönü bulvarı no 148 ceyhan adana"/>
        <s v="kışla mah 4389 sk no 4 iç kapı no a yüreğir adana"/>
        <s v="güzelyalı mah 81163 sok gülen apt no 35 b çukurova adana"/>
        <s v="yenibaraj mah ş. yüzbaşı bülent angın bulv. yolgeçen apt no:68/a seyhan adana"/>
        <s v="toros mah barış manço bulv no 12 b çukurova adana"/>
        <s v="yüzüncü yıl mah fazlı meto bulvarı no 69 / e yıldırımlar sitesi a blok çukurova adana"/>
        <s v="GÜRSELPAŞA MAH MAVİ BULVAR NO 121 A BLOK SEYHAN ADANA"/>
        <s v="yavuzlar mah orhan kemal bulvarı no 190 yüreğir adana"/>
        <s v="Yeşilyurt Mahallesi 71181 Sok. No:29/D Subaşılar Sitesi Altı, 01150 Seyhan/Adana"/>
        <s v="kiremithane mah ecz.haşim dalgıç caddesi no 202 yüreğir adana"/>
        <s v="ulubatlı hasan mahallesi kozan cd no 568 iç kapı no b yüreğir adana"/>
        <s v="Kocavezir, Karacaoğlan Cd., 01060 Seyhan/Adana"/>
        <s v="yurt mah kurttepe cad coşanlar apt no 48 a çukurova adana"/>
        <s v="Denizli mah şehit mehmet özel cd no 196 seyhan adana"/>
        <s v="mahfesığmaz mah kenan evren bulv no 36 çukurova adana"/>
        <s v="Hurmalı, Bakımyurdu Cd. no10, 01060 Seyhan/Adana"/>
        <s v="kurtuluş mah şinasi efendi cd suphi ramazanoğlu apt b girişi no 22 c seyhan adana"/>
        <s v="turgut özal bulv güzelyalı mah cemile apt no :1 çukurova adana"/>
        <s v="çarkıpare mah çatalan cad koza arrena sarıçam adana"/>
        <s v="yurt mah turgut özal bulv tuna sit 200/f çukurova adana"/>
        <s v="pınar mh 74067 sk no 2/a seyhan adana"/>
        <s v="Kışla mah. 4470 sok. no 8 iç kapı no b yüreğir adana"/>
        <s v="toros mah 78142 sokak özerler 2 apt no:7/a çukurova adana"/>
        <s v="güzelyalı mah 81008 sokak no 2 a çukurova adana"/>
        <s v="KAZIM KARABEKİR MAH MUSTAFA KEMAL PAŞA BLV NO 40 YÜREĞİR ADANA"/>
        <s v="Yüzüncüyıl, Hacı Bektaş Veli Blv 51 A, 01170 Çukurova/Adana"/>
        <s v="çarkıpare mh çatalan cd no 218 / c sarıçam adana"/>
        <s v="yüzüncü yıl mah 85078 sokak no 25 çukurova adana"/>
        <s v="huzurevleri mah 77235 sok a. nacar sitesi a blok zemin kat çukurova adana"/>
        <s v="namık kemal mah 83 sk no 2 ceyhan adana"/>
        <s v="Belediye Evleri Mah. 84029 Sk. No:1 C Çukurova/ADANA"/>
        <s v="reşatbey mh beşocak cd no 23 a seyhan adana"/>
        <s v="MAHFESIĞMAZ MAH. 79156 SK. NO: 1 B ÇUKUROVA/ ADANA"/>
        <s v="Yeşilyurt Mah 70082 sk no 61 a seyhan adana"/>
        <s v="Denizli mah şehit mehmet özel cd no 12/a seyhan adana"/>
        <s v="Reşatbey, Ordu Cd. no55, 01120 Seyhan/Adana"/>
        <s v="Yenibaraj, 68030. Sk., 01150 Seyhan/Adana"/>
        <s v="KURTULUŞ MAHALLESİ 64015 SOKAK seyhan adana"/>
        <s v="belediyeevleri mah 81172 sok no 4 b iç kapı no 1 çukurova adana"/>
        <s v="Fevzipaşa mahallesi vefa CAD. No 59A seyhan adana"/>
        <s v="kuru köprü mh inönü cd aslanoğlu iş merk no 73A seyhan adana"/>
        <s v="tellidere mah mücahitler cd no 176 b seyhan adana"/>
        <s v="tellidere mah. mücahitler cad. b blok no 246 b seyhan adana"/>
        <s v="fettah bey apt adalet cad no 16 seyhan adana"/>
        <s v="Cemalpaşa mh.toros cad. Ziya apt no 30/1 Kazım büfe karşısı, 01040 Seyhan/Adana"/>
        <s v="GÜZELYALI MAHALLESİ TURGUT ÖZAL BULVARI YAKAMOZ APT. 96/A ÇUKUROVA / ADANA"/>
        <s v="Döşeme mah. 60075 sok. no 6 iç kapı no 77 Seyhan Adana"/>
        <s v="cemalpaşa mah ethem ekin sokak vizon apt no 2 b seyhan adana"/>
        <s v="pınar mah mavi bulvar al sitesi c blok no 79 / 1 b seyhan adana"/>
        <s v="cemalpaşa mah ethem ekin sokak yeşil köşk apt no 4 seyhan adana"/>
        <s v="ismetpaşa mah kıyıkent toki iş merkezi dk.19 seyhan adana"/>
        <s v="Beyazevler mahlesi 80053 yusuf televi apt altinda kapı no 2b çukurova adana"/>
        <s v="çarkıpare mah 1247 sk no 7 FD sarıçam adana"/>
        <s v="Toros Mah., Barış Manço Bulv. Öztürk Apt., 01170 Çukurova/Adana"/>
        <s v="yeni mah 87071 sk no 48 a seyhan adana"/>
        <s v="Huzurevleri mahallesi 77211 sokak pembekösk apt zemin no:4 cukurova adana"/>
        <s v="guzelyalı mah turgut ozal bulvarı no: 52/3a çukurova adana"/>
        <s v="kuruköprü mah inönü cad 89/a seyhan adana"/>
        <s v="cemalpaşa mah. gazipaşa bul. esen apt. no 28 c seyhan adana"/>
        <s v="cemalpaşa mah 63007 sok ali keskin apt altı seyhan adana"/>
        <s v="Yenibaraj, Bülent Angın Blv. No:92/C, 01150 Çukurova/Adana"/>
        <s v="yenibaraj mah şehit yüzbaşı bülent angın blv no 44 b seyhan adana"/>
        <s v="sümer mah necip fazıl kısakürek blv no 10 b seyhan adana"/>
        <s v="reşatbey mah.türkkuşu cad.bilgen apt altı no :32/B büyükşehir belediyesi cam bina yanı seyhan /ADANA"/>
        <s v="Gültepe Mah. Çatalan Cad. No:285, Sarıçam/Adana"/>
        <s v="yüzüncü yıl mah fazlı meto bulv baysallar apt 01360 çukurova adana"/>
        <s v="YEŞİLYURT MAH. İBO OSMAN CAD. NO: 177 B SEYHAN/ ADANA"/>
        <s v="Güzelyalı mah.Turgut Özal Bulvarı.Dermancan Tıp Merkezi Arkası,Talıcı Zeki karşısı çukurova adana"/>
        <s v="Barış, Vefa Cad. 126/b, 01180 Seyhan/Adana"/>
        <s v="atakent mah. şehit polis serdar kazar sok. no 35 1af yüreğir adana"/>
        <s v="kurtuluş mah şinasi efendi cad ayşem apt no :32/a seyhan adana"/>
        <s v="belediye evleri mah 84206 sok no 11 a çukurova adana"/>
        <s v="gürselpaşa mah ali bozdoğanoğlu blv seyhan adana"/>
        <s v="Gürselpaşa, 75646 sokak no:91/c, 01200 Seyhan/Adana"/>
        <s v="GÜZELYALI MAH. TURGUT ÖZAL BLV. NO: 114 C ÇUKUROVA/ ADANA"/>
        <s v="Beyazevler mahhallesi 80019 sokak ayça garden 10 APT no 2/b, 01150 Çukurova/Adana"/>
        <s v="p.t.t evleri mah. 3613 sok. No 48 adana yüreğir"/>
        <s v="GÜRSELPAŞA MAH. ALİYA İZZET BEGOVİÇ BLV. 29 A SEYHAN/ADANA"/>
        <s v="huzurevleri mah türkmenbaşı bulv. no:30/a çukurova adana"/>
        <s v="cemalpaşa mah. gazipaşa bul. no 21 a seyhan adana"/>
        <s v="YÜZÜNCÜYIL MAH. 85381 SK. NO: 63 A ÇUKUROVA/ ADANA"/>
        <s v="Atatürk caddesi Gülbahçesi sitesi Bblok No:65, 01040 Seyhan/Adana"/>
        <s v="mehmet akif ersoy mah kozan cd no 696/b sarıçam adana"/>
        <s v="gültepe mah 915 sk no 5 aksu 1 apt iç lapı no 1 sarıçam adana"/>
        <s v="Turgut Özal Bulvarı No:14/D Bulvar Apt. Altı Çukurova/Adana"/>
        <s v="kurtuluş mah. demokrasi sok. gülbahçesi sitesi c blok no 27 seyhan adana"/>
        <s v="Yenibaraj Hastaneler Kavşağı Nadirler Apt, D:15, 01150 Seyhan/Adana"/>
        <s v="Beyazevler Mahallesi Adnan Kahveci Bulvarı No 46 Çukurova Adana"/>
        <s v="güzelyalı mah 81161 sk veli işlek apt no 5 e çukurova adana"/>
        <s v="Cemalpaşa mah atatürk cad mustafa gümüşdamla sokak öğretmenler sitesi altı 58/c seyhan adana"/>
        <s v="Serinevler mah 3879 sokak no 1"/>
        <s v="reşatbey mah 62031 sk onur apt no 11 B seyhan adana"/>
        <s v="MAHFESIĞMAZ MAH. TURGUT ÖZAL BLV. MAYAOĞLU APT. A BLOK NO: 135 F ÇUKUROVA/ ADANA"/>
        <s v="Mahfesığmaz Mah. Turgut Özal Bul. Nuran Karlıdağ Apt. No:23/H Çukurova/Adana"/>
        <s v="TEKZEN, Aliya İzzetbegoviç Bulvarı 75322 Sk, 200 MT. İLERİSİ No: 2, 01170 Seyhan/Adana"/>
        <s v="PTT EVLERİ MAH 3585 SK ŞELALE APT NO 7 YÜREĞİR ADANA"/>
        <s v="CEMALPAŞA MAH. ETHEM EKİN SK. ALTIN APT. B GİRİŞİ NO: 15 A SEYHAN/ ADANA"/>
        <s v="Mahfesığmaz mahallesi Turgut Özal bulvarı no:137-e Çukurova Adana"/>
        <s v="Kurtuluş Mahallesi Mithat Saraçoğlu Caddesi Lokman Apt, 01130 Seyhan"/>
        <s v="karacaoğlan mah goncagül sk bozkurt apt no 7 kozan adana"/>
        <s v="TOROS MAH. 78067 SK. YADIGAR HANIM APT NO: 7 B ÇUKUROVA/ ADANA"/>
        <s v="gastronomi pazarı içi"/>
        <s v="toros mah ali sepici bulv beyza apt işyeri no 65 a çukurova adana"/>
        <s v="kazım karabekir mah m. kemalpaşa blv 4191 sk no 7 a yüreğir adana"/>
        <s v="Koza Mah. Şehitlik Cad. No 108 a Seyhan Adana"/>
        <s v="cemalpaşa mah gazipaşa blv yılmaz apt no 26/e seyhan adana"/>
        <s v="Güzelyalı, 81152. Sk. 2 A, 01170 Çukurova/Adana"/>
        <s v="NAMIK KEMAL MAH AHMET REMZİ YÜREĞİR CD ERZİN APT NO 21 SEYHAN ADANA"/>
        <s v="Gülbahçesi mah. Obalar cad. 440 B seyhan adana"/>
        <s v="beşocak mah metro güzergahı blv no 135 a seyhan adana"/>
        <s v="HUZUREVLERİ MAH. İSMET ATLI BLV. NO: 6 /1B ÇUKUROVA/ ADANA"/>
        <s v="kurtuluş mah 64016 sk yaşar apt no 18 b seyhan adana"/>
        <s v="sarıçam mah kozan caddesi no 262 iç kapı no d yüreğir adana"/>
        <s v="mahfesığmaz mah turgut özal blv no:113/a çukurova adana"/>
        <s v="burhaniye mah. inönü bul. sarılar apt. no 16 ceyhan adana"/>
        <s v="YEŞİLYURT MAH. KARAAFAT CAD. NO: 126 B SEYHAN/ ADANA"/>
        <s v="ptt mahallesi mimoza caddesi no 32 iç kapı no a yüreğir adana"/>
        <s v="bahçelievler mah mehmet akif ersoy cd no 66 A seyhan adana"/>
        <s v="CEMALPAŞA MAH. ORDU CAD. BARIŞ APT. B BLOK NO: 90 A SEYHAN/ ADANA"/>
        <s v="gürselpaşa aliya izzet begoviç bulv özdeş apt no:91/f seyhan adana"/>
        <s v="Yenidoğan Mah. şehit emre mücahit topal cd no 62 yüreğir adana"/>
        <s v="OSMANGAZİ MAH 20209 SK AY OTO YIKAMAN NO 6 SARIÇAM ADANA"/>
        <s v="MİTHAT PAŞA MAH İNÖNÜ BLV NO 42 CEYHAN ADANA"/>
        <s v="KURUKÖPRÜ MAH. KURUKÖPRÜ SK. NO: 1 A İÇ KAPI NO: SEYHAN/ADANA"/>
        <s v="Yıldızoğlu Kebap ve Lahmacun Salonu Mehmet Akif Ersoy Cad N 39/A YEŞİLEVLER/DEMETEVLER MAH SEYHAN/ADANA"/>
        <s v="cemalpaşa mah toros cad no:8/c seyhan adana"/>
        <s v="mahfesığmaz mah no 59/ g abbas bilir sitesi a blok çukurova adana"/>
        <s v="Adana Seyhan Kuruköprü 33010 sokak emir royal otel arası"/>
        <s v="yeşilyurt mah 7001 sok no : 43 seyhan adana"/>
        <s v="Huzurevleri Mahallesi, Türkmenbaşı Bulvarı Hadi Hansoylu Apart. D:Altı No :10, 01330 Çukurova/Adana"/>
        <s v="Mahfesığmaz mah Esencan Sitesi Altı, Şehitler Blv, 01170 Çukurova"/>
        <s v="aydınlar mah vefa cd no 236 seyhan adana"/>
        <s v="ziyapaşa mh kemalpaşa blv no 20 iç kapı no a seyhan adana"/>
        <s v="kurtuluş mah 64004 sk no 26 alganlar sitesi seyhan adana"/>
        <s v="reşatbey mah 62031 sk yıldız has apt no 4 b seyhan adana"/>
      </sharedItems>
    </cacheField>
    <cacheField name="Geleneksel&#10;Zincir" numFmtId="0">
      <sharedItems>
        <s v="Geleneksel"/>
        <s v="Key"/>
      </sharedItems>
    </cacheField>
    <cacheField name="FOTOĞRAF SEGMENT" numFmtId="0">
      <sharedItems containsBlank="1">
        <m/>
        <s v="dermencan turk merkezi arası bbol "/>
      </sharedItems>
    </cacheField>
    <cacheField name="Aradık Mı?" numFmtId="0">
      <sharedItems>
        <b v="1"/>
        <b v="0"/>
      </sharedItems>
    </cacheField>
    <cacheField name="Kendi Fotosu&#10;Var" numFmtId="0">
      <sharedItems containsBlank="1">
        <b v="0"/>
        <b v="1"/>
        <m/>
      </sharedItems>
    </cacheField>
    <cacheField name="Randevu &#10;Durumu" numFmtId="0">
      <sharedItems containsBlank="1">
        <s v="Randevu Alındı"/>
        <m/>
        <s v="İleride Randevu Alınacak"/>
        <s v="Başka Şubeden Çekilecek"/>
        <s v="Çekim İstemiyor"/>
        <s v="Randevu İptal"/>
        <s v="Franchise"/>
        <s v="Lokasyon Uzak"/>
        <s v="Tadilat Var"/>
        <s v="Ulaşılamadı"/>
        <s v="Sistemden Çıkmak İstiyor"/>
        <s v="Restoran Silindi"/>
        <s v="Dönüş Yapacak"/>
        <s v="BlackList"/>
        <s v="Devir"/>
        <s v="Menü Güncellemesi Yapılacak"/>
        <s v="Yılbaşından Sonra Aranacak"/>
        <s v="Personel Eksik"/>
      </sharedItems>
    </cacheField>
    <cacheField name="Randevu&#10;Alan" numFmtId="0">
      <sharedItems containsBlank="1">
        <s v="Ezgi Turan"/>
        <s v="Ferhat Köksal"/>
        <m/>
        <s v="Nazlıcan Dinçer"/>
        <s v="Mertcan karaman"/>
        <s v="Serap Apaydın"/>
        <s v="Derya Tatlı"/>
        <s v="Sezer Arslan"/>
        <s v="Zeliha Özer"/>
        <s v="Deneme"/>
        <s v="Gül Değirmenci"/>
        <s v="Duygu Telli"/>
        <s v="Tutku Erdoğan"/>
        <s v="Ayşegül Kır"/>
        <s v="Tuğba Buyur"/>
        <s v="Özlem arslan"/>
        <s v="Selcan Topçu"/>
        <s v="Hatem Soyaslan"/>
        <s v="Sude Alkan"/>
        <s v="ezgi"/>
        <s v="emel yılmaz"/>
        <s v="Betül Demir"/>
        <s v="Nurhayat Kabataş"/>
        <s v="Dicle Harmancı"/>
        <s v="Kübra Toprak"/>
        <s v="Mertcan"/>
        <s v="Ayşegül Dulkadir"/>
        <s v="Eda Cıbır"/>
        <s v="Özlem gümüş"/>
        <s v="Ecem Ünal"/>
        <s v="Mavi Arslan"/>
        <s v="Beyza gülşah"/>
        <s v="özlem"/>
      </sharedItems>
    </cacheField>
    <cacheField name="Fotoğrafçı" numFmtId="0">
      <sharedItems containsBlank="1">
        <s v="Berat Altunkaya"/>
        <m/>
        <s v="BERAT"/>
        <s v="Abdulhenan Doğan"/>
        <s v="Özhan Oruç"/>
        <s v="Nazmi Okbaz "/>
        <s v="abdulhenan"/>
        <s v="Nurattin Yücesoy"/>
        <s v="b"/>
        <s v=" "/>
        <s v="Yakup Koçoğlu"/>
      </sharedItems>
    </cacheField>
    <cacheField name="Not">
      <sharedItems containsBlank="1" containsMixedTypes="1" containsNumber="1" containsInteger="1">
        <s v="musaıt degıl 5ten sonra arancak"/>
        <m/>
        <s v="ULAŞILMADI"/>
        <s v="yetkililere ezgi hanımın numarasını iletecekler- ulasılamadı - randevu oluşturuldu /teyit için arandı yetkili yok no iletildi"/>
        <n v="5.416304677E9"/>
        <n v="5.452370127E9"/>
        <s v="yarın 4 de aranacak"/>
        <s v="5324412251 ersin bey mail verildi bayramdan sonra gönderimini sağlayacaklar-bır saate aranacak- yüzüme kapattı "/>
        <s v="5ffe23ee4a4dfa3a5caba607        7/C Ocakbaşı Gazipaşa,(Cemalpaşa Mah.) ızgara ürünleri buradan yüklenecek"/>
        <s v="5ffe23ee4a4dfa3a5caba607        7/C Ocakbaşı Gazipaşa,(Cemalpaşa Mah.) izgara ürünleri buradan yüklenecek"/>
        <s v="fotograflarımı bugun çekecegim sizlere gönderirim dedi mail verildi.(bügün atcaz dedİ)/ açmadı- ulasılamadı "/>
        <s v="HAFTAYA "/>
        <s v="dç için arandı yalnızca su boregı urunlerı eksık"/>
        <s v="çekim yapıldı ."/>
        <s v="yetkili müsait degil. yarım saat sonra arayın dediler./mail verildi (musait oldugumda göndercem dedi)-yetkili iki saate gelir dedi- yanlış numara "/>
        <s v="donus yapılacak"/>
        <s v="2 kere randevu alınmış gidilmemiş./yetkili yoktu(istemiyor "/>
        <s v="açıp yüzüme kapattı  "/>
        <s v="5379682594 bütün ürünlerin çekimleri gerçekleştirilmiş"/>
        <s v="salı çarşamba randevu verilebilir"/>
        <s v="açmadı "/>
        <s v="2 saat sonra aranacak/haftaya cuma günü için aranacak-randevu olusturuldu"/>
        <s v="mail olarak gönderilmiş.(göndermiş 15 gün olmuş / yarın ara /yt yok 1 saat sonra/Profesyonel çekimleri varmış mail verildi"/>
        <n v="5.444760172E9"/>
        <s v="yetkili 1 saate gelir dedi tekrar aranack "/>
        <s v="5372431001 cuma arayacak pazartesiye randevu yazılacak/tüm ürünleri çekildi aranmayacak "/>
        <s v="ÇEKİM YAPILMIŞ. BİLGİLERİ YOK"/>
        <s v="geçen de aradınız istemiyorum şuan dedi/ istemedi "/>
        <s v="yetkili izinde salı veya çrş gelecek "/>
        <s v="yetkili diğer şubede dedi "/>
        <s v="tadilat 6 eylüle kadar sürebilirmiş/5362515158 NIHAL HAFTAYA RANDEVU OLUŞTURULABİLİR ARANSIN. dükkan müsait degil tadilatta dedi..//aranıp randevu verilsin/kendisi dönüş yapcak // 6 eylüle kadar aranmasın çok aramışız- tatile gitmişler gelsin arıyacaklar "/>
        <s v="eksık olarak pızza urunlerı kalmıs onların da satısı yok"/>
        <s v="5054401444 HAFTAYA ARA "/>
        <s v="fotografları var mı yokmu inceleyecek dönecek// yok iftardan sonra dediler fotografları inceledimi ögrenilmedi(geitr yemegi kunlanmıyorum dedi"/>
        <s v="devam çekimi talep edermi diye aradık ulaşamadık./devam çekimi alındı / açmadı."/>
        <s v="franchise  olup olmadığını teyit amaçlı arandı ulaşılamadı"/>
        <s v="kendi fotoğraflarını mail olarak atıcak kalan ürünleri için çekim istiyor randevu oluşturuldu "/>
        <s v="mahfesığmaz mah. turgut özal bulv. no 115/d "/>
        <s v="personel eksikk ve çekim düşünmüyorum dedi.15 kere aradınız istemiyorum dedi aranmasın "/>
        <s v="TEK ÜRÜN VAR./ hala tek ürünü var ayrıca çekim yapılmış fakat fotoğraflar çalındı denmiş doğruluğunu teyit istiyor "/>
        <s v="tadilat varmış 3 hafta sonra bitermiş/çekim için randevu verilmesini istiyor/5367492062/işletme 12 de aransın/ tüm ürünler çekilmiş"/>
        <s v="YT YOK OGLEDEN SONRA ARANILACAKrandevu alındı sonra devasm çekimi de olabilir sabah saatleri için alınsın randevu"/>
        <s v="kayıtlı böyle bir numara yokm- numara yanlış "/>
        <s v="ÇEKİM YAPILDI DENİLİYOR."/>
        <s v="mail atacak"/>
        <s v="Devam çekimi randevusu. alındı"/>
        <s v="pınar mah seyhan "/>
        <s v="Ali Bey/5432412147(05458781954/ mail verildi"/>
        <s v="5354601623 tüm ürünler çekildi sisteme yüklenmemiş dedi/esat beyden devam çekimi randevusu aldık"/>
        <s v="numara eksik (0322) 212 01 31&#10;("/>
        <s v="randevu alındı"/>
        <s v="kendi fotoğraflarını mail olarak atıcak- yetkili yok - ULASILAMADI - ulasılamadı "/>
        <s v="tel kapalı"/>
        <s v="pazartesi günleri ulaşılabilir / GETİR YEMEK İLE TELEFON SIKINTISI VAR BU DÜZELMEDEN ÇALIŞMAK İSTEMİYOR.- ulasılamadı- levent bey saat 4-5 de gelir dedi / getir yemek deyince suratıma kapttı "/>
        <s v="ulaşılamadı "/>
        <s v="mesgul"/>
        <s v="5435081205 Hasret Hanım onur bey ile görüşecek anlatacak. geri dönüş yapacaklar-3 de aranacak . MAİL ATACAK "/>
        <s v="ben geri dönüş sağlarım dedi tadilat var dedi "/>
        <s v="5052293441 öğleden sonra aranacak"/>
        <s v="yapmayalım dedi "/>
        <s v="Mutlaka istiyor 1 hafta sonrasına ürünlerini tedarik edecek pazartesi ya da salıya randevu oluşturulacak"/>
        <s v="meıl verıldı/20 sindan sonra- ben sizlere atarım dedi-3 gün sonra dönüş saglanacak - ogleden sonra aranacak - hocam yunus bey yarın burda olur dedi suan yok dedi yarın bu saatlerde arıyabilirsiniz dedi - meşgul - yetkili 1 gibi gelir dedi "/>
        <s v="reklamcısı attıgı zaman atıcakmış(05424092592-bulent beyın numarası verıldı ulasılamadı- ulasılmadı "/>
        <s v="meşgul-AÇMADI."/>
        <s v="annesiymiş açan akşam 6 gibi arayın dedi"/>
        <s v="yetkili ezgi hanıma dönüş yapacak /ARANMASIN ÇOK ARANMIŞ- yüzüme kapattı "/>
        <s v="devam cekımı"/>
        <n v="5.332839783E9"/>
        <s v="ulasılamadı"/>
        <s v="5531137373- ulasılamadı "/>
        <s v="5531137373/Kuruköprü mah. özler cad no 16/B aydın gökçeli  kafe sistemdeki adres yanlış"/>
        <s v="iş yoğunluğundan daha hazır hale gelemedik 1 ay sonra aransın dedi. saat 14.00 aranacak/05422345464"/>
        <n v="5.324084541E9"/>
        <s v="getirle ilgili aranmyacak. fiyat güncellemesi ypılmamış 1 ydır "/>
        <s v="5059826794 amatör çekimlri varmış yollayacak yolucak en kısa zamanda/Devam çekimi istemez"/>
        <s v="maile atıcak fotoğrafları(yarın atcak - randevu oluşturuldu"/>
        <s v="deniz bey yetkili"/>
        <s v="bayramdan sonra devam çekimi istiyor./devam çekimi"/>
        <s v="5357718204/randevu alındı yazıyor nisanda ama fotoğraf oranı 0 teyit amacıyla aradım açmadı tekrar aranıp çekim yapılıp yapılmadığı sorulsun yapıldıysa eğer merkeze iletilsin - ÇEKİM YAPILMIŞ."/>
        <s v="bu hafta göndericek- ben sizi arıyacam dedi kapattı - yüzüme kapattı - ulasılamadı / fotoğraflar için arandı açmadı."/>
        <s v="tadilat yapacakmış beyefendi/tadilat muhtemelen bitmiş ama yetkili yok/açmadı"/>
        <s v="EYLÜL ORTASINDA TEKRAR ARANACAK"/>
        <s v="RANDEVU ISTEDILER GÖRÜŞME SAGLANDI YOGUN OLURSAM GELSİN YOKSA GELMESİN DİYOR AMA RANDEVUSU OLUSTURULABİLİR"/>
        <s v="5527141214 fotografcıma mailinizi verdim o gönderecekti sorayım gönderdigi mail adresini vereyim dedi/çaldı açmadı- ulasilmadı "/>
        <s v="05536400973 Nurullah bey"/>
        <s v="kısmet apt altı / 5373694216"/>
        <s v="Başka şubesinde fotoğraf yok!"/>
        <s v="Mustafa Bey"/>
        <s v="henüz faaliyete geçmemişler/kendisi dönüş yapıcak"/>
        <s v="RANDEVU İSTEDILER"/>
        <s v="kontrol edip arayacaklar/kendisinin bilgisi yoktu görüşüp dönüş sağlayacak,//SEYYAT BEYLE GÖRÜŞME SAĞLANDI KENDİSİ ŞEHİR DIŞINDA 1 HAFTA SONRA DÖNÜŞ YAPICAK O ZAMN ARANSIN- RANDEVU OLUSTURULDU"/>
        <s v="kampanya günü 1inden sonra belli olur dedi ileride uygunluga göre aransın./yoğunluk var 2 hafta sonra aranmasını talep ediyor.-05370282322// 05370282322 esra hanımın numarası şehir dışındaymıi 2 hafta sonra aransın/devam çekimide olacak büyük ihtimalle/ön"/>
        <s v="devam çekimi için arandı yetkili yok/yarım saat sonra gelir dendi."/>
        <s v="sistemi tablette kullanıyordum sıkıntı oldu bende sistemi sildim der"/>
        <s v="5343526636 suan istemiyorum dedi çekim istemiyora yakın tadilat var dedi 2 hafta sonra aranıp son durum ögrenilsin./1 hafta sonra aransın/ ISRALA İSTEMEDİ/ yarın sabah 10 gibi aranacak - 2 HAFTA BİTER SUAN DOĞALGAZI BEKLİYORUM DEDİ / yarın sabah 10 gibi a"/>
        <s v="/FOTOĞRAFI VAR DAHA SONRA ATACAK.05334053571- ulasılamadı/ Fotoğraflar için arandı yetkili yok, çalışanlardan biri yetkiliye dönüş yaptıracak."/>
        <s v="güzelyalı subesinde ömer bey ile görüşülecek fotograflar var mı yok mu gönderdimi ögrenilecek o dogrultuda ilerlenecek/ öme bey arandı açmadı(2344387/ fotoğraflar için arandı açmadı."/>
        <s v="5303753921 kendi fotoğrafları var mail adresi verildi.// başım yogun ilgilenemedim ilgilenip gönderecegim der//4 şube içinde görüşülecek/mail tekrar verildli. ogleden sonra saat üc gibi aranacak/ Fotoğraflar için arandı ömer bey cuma namazında daha sonra "/>
        <s v="5305430371/ MAİLE ATACAK-numara yanlıs / fotoğraflar için arandı mail adresi verildi."/>
        <s v="mail verildi//teyit için arandı ytk yok(05343845905-numara yanlış"/>
        <s v="mail verildi/ gönderdik dediler/eksikler için aradık yetkili yok."/>
        <s v="mevcut resimleri yoladı uygun görülmedi randevu alındı"/>
        <s v="çalışanı eray bey 10 dk ya ben sizlere dönüş sağlarım dedş "/>
        <s v="haftaya cuma ara "/>
        <s v="Diğer şubede fotoğraf çekimi gerçekleşmemiş // diğer şubeden fotoğraf çekilcek aranmasın"/>
        <s v="11:15 de geliyormuş yetkili  / fotoğraf çekimi yapıldı dedi sedat bey "/>
        <s v="haftaya randevu alınacak bu hafta sonu açılışları var"/>
        <s v="GEREK DUYMUYORMUŞ."/>
        <n v="5.520029255E9"/>
        <s v="sistemde sorun yaşıyoruz dedi önce bunları halletmek isterim dedi hallettikten sonra arayacak aranırsa 2 hafta sonra aransın / özel numarasını vermiyorlar "/>
        <s v="5322376077/5432345644 gökhan "/>
        <n v="5.415101212E9"/>
        <s v="5323084713 Kadir bey /maıl paylascak"/>
        <s v="5323084713 Kadir bey "/>
        <n v="5.537141202E9"/>
        <s v="eksık urunlerın cekımını ıstemez"/>
        <s v="yanlış numara - işletme kapalı "/>
        <s v="ŞUAN ÇOK YOĞUN OLDUKLARI İÇİN DAHA SONRA DEDİ/ Yelda Hanım 05448262781/yarım saat sonra ara- müsait degilim dedi - ben sizlere donus saglarım dedi "/>
        <s v="sabah saatleri aransın"/>
        <s v="kendisi dönüş yapacak gün ayarlayacak"/>
        <s v="Teyit için arandı ulaşılamadı/5326274662/sisteme yüklenmemi,ş fotograflar 1 aydır. Güneş Beye iletildi- daha once cekılmis begenmedik dedi istemiyoruz dedi/GAZİ PAŞA SUBESINDE CEKIM ISTERLER "/>
        <s v="mail verıldı kendı fotografları var -husammettın bey yok kardesı bır saate gelir dedi- yetkili yok dedi suan dedi öğlen saat 2 gibi gelir dedi "/>
        <s v="aynı şube"/>
        <s v="zulkuf.tekin97@gmail.com/tekrardan meil verildi"/>
        <s v="Başka şubesi neresi? Fotoğraflı başka şube yok // 444 1 466 numarada sıkıntı var merkez numarası sıkıntılı"/>
        <s v="5325144670// çekimler sağlanmış çoğu yüklenmemiş  - 60152799d9ee3cc853043f46 güzelyalı işletmesindeki ürünlerin fotoğrafları kullanılacak "/>
        <s v="5538520799- 5533446651 öznür hanım mail adresi veridi - 60152799d9ee3cc853043f46 güzelyalı işletmesindeki ürünlerin fotoğrafları kullanılacak "/>
        <s v="bizim müşterilerimiz zaten belli gerek yok der"/>
        <s v="GÖNDERİCEK - ulasılamadı "/>
        <s v="yetkilinin numarasını verdiler,arandı ama açmadı"/>
        <s v="Başka şube yok!? // BEN DÜŞÜNÜRSEM SİZE DÖNÜŞ YAPARIM DEDİ. -haftaya cuma gününe istiyor randevu/Yarın arayın dedi Cihan Bey abisi"/>
        <s v="BAŞKA ŞUBE YOK, HANGİ ŞUBEYMİŞ DETAY ALALIM LÜTFEN // restoran ismi Tombiş Cafe/Yetkili ismi doğru numarası 5317190186 adres hatalı yetkilinin verdiği adres:Toros mah. Barış Manço Bulv.Öztürk Ap. Çukurova/Adana // ilgilenmiyormuş/ başka şubelermiş "/>
        <s v="yetkili şehir dışındaymış/10 gün sonra yapalım işler açılsın dediler/ USTALARI İLE KONUŞUP GÜN İÇİN DÖNÜŞ YAPACAK // eylül 15 gibi istiyor okulların açılmasını bekliyomuş ezginin no verildi -Yetkili murat bey sehir dısındaymıs no: 05384522155- müsait olun"/>
        <s v="mail verildi//teyit için arandı gönderilmiş- numara mesgul "/>
        <s v="5323087500  /    cemalpaşa mah doktorlar sitesi C blok no 21/A   // yetkili yok / yetkili yok şehir dışında aradım açmadı."/>
        <s v="bayramdan sonra"/>
        <s v="franchise olduğu için çekimler merkezden yapılıyormuş.- yetkili yok "/>
        <s v="çrş günü aranacak yetkili prş gelecek o zaman eksik ürünümüz kalmaz dedi  - ulaşılamadı "/>
        <s v="tunç bey no : 05368304467 mail adresi verildi şuan işletmede değilim mersinde  işletme açtık dedi - ulaşılamadı "/>
        <s v="5073888888 Devam çekimi"/>
        <s v="RANDEVU ALINDI"/>
        <n v="5.065252385E9"/>
        <s v="5346775925 cep no"/>
        <s v="ulasılamadı "/>
        <n v="5.5541296717E10"/>
        <s v="hepsi tamamlanmadım tamamlayınca gönderirim dedi gönderince arayıp kndimailinide verecek"/>
        <s v="kendi fotoğ. kullancak- 1 saat sonra aranacak - ulaşılamadı "/>
        <s v="yarın saat beste aranacak"/>
        <n v="5.438562291E9"/>
        <s v="devam çekimi alındı eda hanımdan "/>
        <s v="kendi fotoğraflarım var mail adresi verildi bir hafta sonra teyit amaçlı aranacak "/>
        <s v="diğer panelı ıcın cekılmıs bu panelı zaten tek urun cıkartıyormus"/>
        <s v="SİTEM ETTİ MEMNUN DEĞİLMİŞ."/>
        <s v="ben irtibata geçerim dedi ezgi hanımın numarası verildi- İSTEMİYORUM DEDİ - İSTEMİYORUM dedi "/>
        <s v="şuan düşünmüyor "/>
        <s v="devam çekimi  istemiyor  "/>
        <s v="akşam 5 ten sonra gelirmiş yetkili/devam çekimi çin arandı yetkili yok/kasiyere durum anlatıldı yetkili yok. o anlatacak bizi arıycaklar yetkili akşam geliyormuş./ytk gelmemiş/devam alınmış zaten"/>
        <s v="gökhan bey ilgilenmez böyle şeylerle muhasebeyle görüşün der görüşemedim "/>
        <s v="Başak Hanım Gökhan Beyle görüşmemizi istedi/05327007525 Gkhan bey Açmıyor  -İSTEMİYORUZ DEDİ SEBEBİNİ SORDUĞUMDA/zamanı yokmuş olursa bölge sorumlusu ile iletişime geçecekmş"/>
        <s v=" kendım donus yaparım dedı çekim istemiyor / fotoğraflar için arandı yetkili yok yetkili no açmadı."/>
        <s v="kendisi çekim yapıp gönderecek/ezgi hanımı arıyacaklar - bir saate aranacak- 6 da aranacak - 1 saate aranacak yetkili yok dedi / Fotoğraflar için arandı mail adresi verildi."/>
        <s v="prof fotograflarım var dendi//teyit için arandı merkezi arayın dedi"/>
        <s v="sistemdeki numara aranmıyacak isletme numarası 3222354494"/>
        <s v="mail atacak- ulasılamadı - mail adresi tekrardan verildi bu hafta içi yüklerim dedi - resimleri toparlayayım atarım bu aralar çok yoğun oluyorum dedi "/>
        <s v="mail adresi verildi fotoğrafları gönderecek mehmet bey"/>
        <s v="öğlen saati olduğu için sonra ara der"/>
        <s v="dönüş yapıcam dedi-ŞUAN DÜŞÜNMÜYOR DÜŞÜNÜRSEK DÖNÜŞ YAPICAM DEDİ/son kez geliyoruz civar restoranlar çekildi sizin menünüzüde çekilim dedik. eşimle görüşüp 1 2 saate sizi tekrara ararım dediler// mail adresimize atıcak mail adresi tekrar iletildi -ulasıla"/>
        <s v="6-7 gibi aranacak yoğunmuş"/>
        <s v="05074429224 hüseyin bey"/>
        <s v="ulasılamadı - öbür işletmesinde çekim saglanmıs ama yükleme saglanmamış yetkili yok dedi öğlen sonra saat 2 gibi aranacak "/>
        <s v="gerek yok dedi defalarca aranmış."/>
        <s v="bayramdan sonra aranmak istedi haziran 10 dan sonra ara/SITEDE RESMIMIZIN OLMASINI ISTEMIYORUZ - RANDEVU OLUSTURULDU / ortağı ile görüşüp dönüş sağlayacak "/>
        <s v="fotografları paylaşmadıgımız için çekim istemiyor- Bilgehan bey no : 05352655069 ulasılamadı "/>
        <n v="5.45625986E9"/>
        <s v="kendı çekımlerını gondercekler"/>
        <s v="PANALDE FOTOGRAFLAR MEVCUT DEVAM CEKIMI OLUSTURULABILIR"/>
        <s v="hafta sonu gönderimini sağlayacak- randevu olusturuldu/ randevu alındı ahmet beyden."/>
        <s v="MAİL ATACAKMIŞmeşguk fotografcım var dedi - ismail bey no : 05412637383 ulaşılamadı "/>
        <s v="Açmadı."/>
        <s v="huzurevler subesınde cekılmıs"/>
        <n v="5.464493179E9"/>
        <s v="2 ay sonra çekim yaptırırım dedi 2 aya çekim yapılabilir mi bilmiyorum dedim o zaman istemiyorum dedi/1-2 ay müsait olamam diyor- sehir dısındayım dedi 2-3 haftaya aranacak  - ULASILAMADI "/>
        <s v="merkeze bağlı ordan alınacak"/>
        <s v="franchise ama bireysel işletiyor. akşam bir arkadaşı daha gelecekmiş beni tekrar arayacaklar.- Daha önce de randevu alınmış ama gitmemişler- 6014512d998c13d1848730 bu subesindeki  ürünlerin fotoğrafları kullanılacak "/>
        <s v="SADECE ÇİĞKÖFTE SATIŞI VAR."/>
        <s v="açmadı  "/>
        <s v="10 gün sonra ulaşım sağlansın"/>
        <s v="10 dakika sonra aranacak/5319368254 yakup bey emre yonsul bi altta ki yani merkez şubeymiş orasıyla görüşülcek çekim yapılırsa buraya da kullanılacak"/>
        <s v="5466600908 suan tadilat falan var 10 gün sonra aransın oluşturalım dediler /yüreğir şubesine randevu alındı buraya da kullanılacak"/>
        <n v="5.522997838E9"/>
        <s v="5466600908 emre bey tatildeymiş 4-5 gün sonra görüşelim dedi"/>
        <s v="MENÜ GÜNCELLEMESİ YAPACAKMIŞ.- 2 hafta falan sürer dedi menü güncellemesi - tadilatım var dedi"/>
        <s v="no 343/B"/>
        <s v="15 dk sonra aranacak ama açmadı/yarın ısletmede olmayacakmıs daha sonra gorusulcek/hazırlığım yok yapamayız hiç müsait olmuyorum"/>
        <s v="İş yeri sahibi ile kira konusunda anlaşamıyoruz tamamen kapatma olasılığımız var ne olacağı belli olmadığı için istemiyorum der"/>
        <s v="SAAT 15:01 DE ARANCAK- RANDEVU OLUSTURULDU "/>
        <s v="mail atacak//bilgisayardaydı bilgisayara suan erişimim yok olunca hemen gönderirim olmaz derseniz sizler çekime gelirsiniz der/aradık motor üstündeymiş daha sonra dedi- ben sizlere dönüs saglıyacam dedi simdi "/>
        <n v="5.323470131E9"/>
        <s v="mail gönderecekmiş//teyit için arandı gönderilcek- randevu alındı"/>
        <s v="geri dönüş yapıcak-MAİL VERİLDİ./tekrar arandı ses kalitesi çok kötü. metin bey yoktu.-suan ulasılamıyor- yetkili yok bir - bir buçuk saate gelir dedi  gelir dedi "/>
        <s v="3222397878sema hanım 05393179760 elimizde fotoğraflarımız var zaten ben mail atınca haber veririm dedi- sosyal medyacımız var dedi ondan alayım atarım dedi menüm güncellendi güncel olanlarla beraber atarım dedi ben donus saglarım dedi "/>
        <n v="5.365474377E9"/>
        <s v="fotograflarım var dedi ankatte hata var dedi/ - reklamcımla konusayım sızlere yarın donus yapayım dedi- ulaşılamadı / Fotoğraflar için arandı meşgule attı."/>
        <n v="5.367980149E9"/>
        <s v="5443520123 hüseyin beye mail adresimiz gönderildi- yok gerek yok dedi kapattı "/>
        <s v="devam çekimi istemiyor "/>
        <s v="üyeligi iptal edecekmiş."/>
        <s v="5325965456 seher hanım hastanedeymiş 1 saat sonra dedi"/>
        <s v="ÇEKİİM YAPILMIŞ. "/>
        <s v="PANELDE FOTOGRAFLAR MEVCUT"/>
        <s v="tuğçe hanıma göndereceklermiş.kapalı"/>
        <s v="dönecek "/>
        <s v="ÇEKIM GERCEKLESMIS"/>
        <s v="5332983591/ fotoğrafcı kendisi çekim yapmış"/>
        <s v="mail adresi verildi. mail adresi verildi tekrardan-ulasılamadı-ben mail adresinize atarım dedı kapattı- öbür işletmede fotograflar var dedi ordan gönderim saglarım mail adresi tekrardan verildi  - 60144a7015c659f7cfa3182d burdaki işletmesindeki fotoğrafla"/>
        <s v="açmadı"/>
        <n v="5.336314701E9"/>
        <s v="NİŞANLISIYLA KONUŞUP DÖNÜŞ YAPACKa-istemiyorum dedi "/>
        <n v="5.323617055E9"/>
        <s v="Ali can bey 5456117166"/>
        <n v="5.335936822E9"/>
        <s v="5348792411- 4-5 gibi aranacak - numara mesgul /Fotoğraflar için arandı  ben fotoğraf istemiyorum gerek yok dedi."/>
        <s v="5326001206 tolga bey/tolga bey ilgileniyor dediler ulaşılamadı"/>
        <s v="mail atıcak"/>
        <s v="5395745454-suan musaıt degılım dedı yarın bu saate aranırsa sevınırım dedı"/>
        <s v="Bu şubede de fotoğraf yok // 6082bb575d77c0461ade6800        Pizza Max (Sümer Mah.)"/>
        <s v="İbrahim Bey ; 5526881340 /devam çekimini eylül ayında istiyor aynı şeyleri tekrarlıyo"/>
        <s v="Fotoğrafları yok, başka şubede ızgara vs çekilmiş döner yok // 5357065729/çalıyor ama sürekli meşgule düşüyor."/>
        <s v="servet bey şuan istemiyorum gerek yok dedi"/>
        <n v="5.308796159E9"/>
        <s v="simit sarayı yanı - 05466465963 "/>
        <s v="meşgul"/>
        <s v="randevu gerçekleşmemiş fakat randevu talepleri var aransın/kesinlikle aranmasın randevuyu iptal etti maliyeti karşılayamayacağpı için istemedi-bir saate arayın dedi mahmut beyle gorusecun dedi - istemiyorum dedi "/>
        <s v="Kamil Bey ile görüşüldü hasan bey yetkili değilmiş kamil bey genel merkezden alalım gönderelim kafamıza göre fotograf koyamayız biz biyere dedi.- 60893b511949c7198d258983"/>
        <s v="kendi fotografları var  mail adresi verildi1 hafta sonra teyit amaçlı aranacak  - 60893b511949c7198d258983"/>
        <n v="5.364000969E9"/>
        <s v="5347856518 /dç istemiyor/ açmadı."/>
        <s v="panelle alakalı fazla sorun yaşıyormuş bayramdan sonra oluşturalım rand dedi/ devam çekimi istemiyor"/>
        <s v=" /FOTOĞRAFI VARMIŞ MAİL ATACAK rahatsızlıgı varmıs bır haftaya aransın dedi- haftaya aranacak - sehir dısındayım dedi suan 1 hafta sonra teyit amaclı aranacak - ulasılamadı"/>
        <s v="yanlıs numara"/>
        <n v="5.43350939E9"/>
        <s v="5531662926  bu numara aransın/açmadı"/>
        <s v="devam çekimi istemiyor./ikna edilmek üzere arandı ama ürünler fotoğrafta ki gibi müşteriye gitmediği için gerek yok diğer ürünlerin fotoğrafına der"/>
        <s v="05452506101 şefket bey ulaşılamadı "/>
        <s v="DÇ ALINDI,"/>
        <s v="açıklama ypmadan istemiyorum dedi dinlemedi "/>
        <s v="devam çekimi rand alındı"/>
        <s v="aykut bey no : 05541157851 kendi fotoğrafları var mail adresimiz paylaşıldı gönderim sağlayacaklar."/>
        <s v="hepsi çekilmiş"/>
        <s v="5070955855 fotograflarım vardı bi bakayım varsa gönderirim yoksa sizi ararım dedi- ben sıze gerı donus saglarım dedı- randevu olusturuldu"/>
        <s v="OLUR DEDİLER TEKRAR ORTAĞI İLE GÖRÜŞÜP DÖNÜŞ YAPACAKLAR EZGİ HANIMA / çekimleri yapılmış yüklenmemiş/ beyhan bey akşam 6 da geliyor."/>
        <s v="TEYİT İÇİN ARANDI DEVAM ÇEKİMİ İSTİYOR/nazmi bey devam çekimi 5387767080"/>
        <s v="05319144852  fotografların oldugu kişiymiş adıselim bu kişi arancak ardım meşgule atıyo//numara kullanılmamakta sistemdeki numarayıda kimse açmıyor"/>
        <s v="Kullanıcı meşgul "/>
        <s v="çekim istemiyor ben ilerki zamanlarda geri donus saglarım dedi "/>
        <s v="5435906001 / 5364962832 yusuf bey"/>
        <s v="5414191701 burak bey"/>
        <s v="çalmıyor /3224592119 bu nodan ulaşıldı. Fırat Bey;5340326541 açmadı "/>
        <s v="Teyit için arandı yetkili yokdendi"/>
        <s v="devam çekimi için biraz düşünüyor ürünler çöpe gidecek diye 5412035865/Kalan ürünleri için devam çekimi talep etti uygun olduğunda aransın/devam çekimi"/>
        <s v="doğal park sokak / dç alındı"/>
        <s v="emel hanım ile iletişime geçildi"/>
        <s v="ogleden sonra dort gıbı ara dedi  istemiyorum dedi "/>
        <s v="5385411313- düşünmüyoruz dedi "/>
        <s v="dükkan benim üzerime ama arkadaşım işletiyo o gerek yok dedi diyerek rand iptal etti arkadaşının numarasını vermedi-ben size donus yaparım dedi kapattı "/>
        <s v="5327445906 bayramdan sonra aranacak cep nosunu arayın/1 hafta sonra guncelleme var"/>
        <s v="5324848068-tatile cıkmıs 2 hafta sonra aranacak// açmadı  "/>
        <s v="Teyit için arandı yetkili yok dendi-devam çekimi için arandı restorantdakilerle görüşme sağlayıp dönüş sağlıycak arayalım.ümit hanım menü değişikliğinden sonra gelin dedi."/>
        <s v="Mailden gönderecek mevcut fotoğrafları varmış. Akşam açıyorlarmış sadece o yüzden de çekim istemiyor."/>
        <s v="teyit için arandı reklamcım bana gönderince gönderirim dedi-ulasılamadı/bilgiler var reklamcımdan alamadım alayım göndereyim dedi.- ulasılamadı - numara mesgul"/>
        <s v="salıya randevu istiyor"/>
        <s v="KENDİ FOTOĞRAFLARI VAR - mail adresi verildi yemek sepetınden alıp gonderim saglayacak "/>
        <s v="okullar açıldığı için çok yoğunluk yaşıyoruz dedi. kendisi dönüş sağlayacak/yetkili şehir dışında hafta sonu gelir- çok yoğunuz dedi müsait olamıyoruz dedi çekim istemiyor - şuan musait değilim biz müşteri hizmetlerini ararız dedi kapattı "/>
        <s v="AYKUT BEY RESTORAN SORUMLUSU 05377481126 mail adresi verildi"/>
        <s v="şehir dışına çıkmış ilerleyen zamnlarda"/>
        <s v="fotograf olabilir dedi bakıp geri dönecek"/>
        <n v="5.435438542E9"/>
        <s v="yokmuş getir yemek onlarda "/>
        <s v="ürünlerin hepsini hazırlayacağı için kararsız"/>
        <s v="5383006563 / çağlar bey"/>
        <s v="kendi fotograflarım var ben onları kullanmak istiyorum dedi çekim istemiyor "/>
        <s v="festival hazırlıklarım var 1 hafta sonra arayın dedi "/>
        <n v="5.418522802E9"/>
        <s v="cevapsız"/>
        <s v="menü güncellenmesi yapacam o zman sizlere dönüş sağlarım dedi "/>
        <s v="çekim istemiyoruz biz der neden istemediğinizi öğrenebilir miyim dedim hayır dedi kapattı "/>
        <s v="fotografları mevcutmuş- ulasıulamadı - ulasılamadı "/>
        <s v="devam çekimi istemiyor"/>
        <s v="5454810581/maile atıcak fotoğrafı. foyoğraf atılmış- bes dk ya donus saglayacak- randevu olusturuldu"/>
        <s v="mail atacak- kendı fotograflarımız var dedi ben yollarım dedi - çarşamba günü ararsanız ben size donus saglarım dedi - ben sizlere donus saglarım dedi yetkili isletmede yok /şuan çalışıyorum daha sonra arayın dedi panaldeki eksik fotoğraflar için arama sa"/>
        <s v="hiçbir şekilde bilgi vermiyor.. sürekli bilmiyorum diyor."/>
        <s v="maile atacakmış"/>
        <s v="gönderim saglanmıs "/>
        <s v="mail atmış"/>
        <s v="ATICAK FOTOLARI"/>
        <s v="20 küsür şubem var fotografları bugün gönderirim dedi."/>
        <s v="MAİL VERİLDİ."/>
        <s v="cenazesi varmış müsait degildi anlatılamadı."/>
        <s v="1 hafta sonra tekrardan arayın dedi "/>
        <s v="5324658674 devam cekımı"/>
        <s v="hiç istemiyor."/>
        <s v="eşi ömür bey :05434739312"/>
        <s v="ulaşılamadı"/>
        <s v="mail atacak-randevu olusturuldu"/>
        <s v="5064230393 ajansın no oguz bey. oguz@mecaztasarim.com göndermişler cevap gitmiş isimleride yazmalarına dair onunlada ilhilenecekler- çalışanı  suan dısarda ben sızlere geri donus yaptırırım dedi/ Fotoğraflar için arandı fotoğrafları gönderdik biz dedi tek"/>
        <s v="no hatalı"/>
        <s v="Teyit için arandı açmadı"/>
        <s v="yetkili ayda bir gelirmiş yetkili başka isim 3 4 gibi gelirmiş.// saat 3 4 gibi tekrar aranacak/yetkili yok gitti der"/>
        <s v="istemiyoruz biz istersek fotoğraflarımız var yükleriz teşekkürler dedi/05346417010 şeyma hanımla görüşme sağlandı . kendisi yarın dönüş sağlıycak- mail adresi tekrardan verildi / fotoğraflar için arandı ben dönüş yapayım fotoğraflarla ilgili dedi. dönüş y"/>
        <s v="devam çekimi alındı"/>
        <s v="bayramdan 20 gün sonra sabah saatlerine randevu oluşturulacak"/>
        <s v="dusunup donus yapacakmış-FOTO YOK HAFTAYA ARANSIN."/>
        <s v="Onur Bey "/>
        <s v="devam çekimi randvusu alındı/devam çekimi"/>
        <s v="uğraşamayacağım dedi."/>
        <s v="ismet usta ile görüşüldü buna ayıracak vaktimiz yok şu an dedi ısrar edildi ama yok dedi"/>
        <s v="mail atacak // dönüş yapacak -aziz bey yok dedi ben size donus yaparım dedi en gec bır saat icerisinde aranacak- 10 dk sonra aranacak "/>
        <s v="MAİL VERILDI - çoçuğum hasta hastanedeyim  daha sonra görüşelim dedi "/>
        <n v="5.426470702E9"/>
        <s v="Çekilen fotoğraflar beğenilmedi için silindi // yüzüncüyılda çekim yapılsın istiyor oranın randevsu alınacak."/>
        <s v="ÇEKİM GERCEKLESMIS AMA YUKLENMEMIS"/>
        <s v="randevuya gidilmemiş sefa bey ortağıyla görüşecek tekrar randevu istiyorlar mı soralım"/>
        <n v="5.372774378E9"/>
        <s v=" gamze hanım dönüş sağladılar bireyselmiş. 542 304 79 71 genel merkez kışın cekilcek demiş onlar ceker dedi istemiyor"/>
        <s v="devam cekımı "/>
        <s v="5313262371- BEN MUSAİT OLDUGUMDA ARIYACAM DEDİ - gecen haftada aradınız ben söyliyecem size dedi  şuan çok yoğunum dedi "/>
        <s v="Teyit için arandı toplantıdaymış iletişim sağlanamadı"/>
        <s v="dönecek"/>
        <s v="pınar mah. nazım hikmet cad. pınar sitesi c blok zemin kat kafe's eleman eksiginden dolayı şuan istemiyor ilerleyen zamnalarda /masraf etmek istemiyorum yalnızım yetşemiyorum dedi. ileride kışa dogru bakalım dedi.- numara mesgul "/>
        <s v="5323763556/053237963556"/>
        <s v="saat 13.00 - 13.00 arayın dedi  yetkili muhammet beyden randevu alındı - 05369490113"/>
        <s v="NET BİR ŞEKİLDE İSTEMİYORUM DEDİ ANLATMADI BİLE"/>
        <s v="tadilattalar 1 ay sonra"/>
        <s v="mehmet bey ile dç alındı"/>
        <s v="Ömer bey"/>
        <n v="5.421262679E9"/>
        <s v="A BLOK ZEMİN KAT NO :4 "/>
        <s v="DEVAM ÇEKİMİ ALINDI "/>
        <s v="en yakın zamanda gönderecekmiş 5464191676- numara mesgul- randevu olusturuldu /fotoğraflarım var dedi mail verildi"/>
        <s v="geri dönüş sağlayacaklar// 2 3 gibi tekrar aranacak."/>
        <s v="ekim gibi istiyor-randevu olusturuldu/ çok maliyetli olur oyüzden ben kendim çekip gönderirim dedi."/>
        <s v="olumlu bir düşüncem olursa dönüş yaparım/yanlış numara sistemdeki numara aranmasın 0546 787 48 86/mail adresi verildi-ulasılamadı- sisitemdeki numara yanlış aranmasın kesinlikle - yetkili yok yarın ogleden sonra aranacak "/>
        <s v="HAFTAYA İÇİN ARANACAK "/>
        <s v="hat meşgul "/>
        <s v="05447691954 Randevu istiyor Haftaya salıdan sonra herhangi bir gün için olablir dedi./ öğlen arayın/ haftaya randavu oluşturulacak-randevu olusturuldu"/>
        <s v="saat bir iki gibi gelir dedi yetkili yok dedi suan - sistemimiz bozuk dedi bilgisayarcı gelip yapacak dedi 1 hafta sonra arayabilirsiniz dedi "/>
        <s v="bir daha aramayın beyfendi dedi yüzüme kapattı "/>
        <s v="5426180882- galip beyle görüşüldü"/>
        <s v="Teyit için arandı ulaşılamadı/tellidere mahallesi mücahitler caddesi 72137 sokak telepark apartmanı 6"/>
        <s v=" biraz işleri varmış ondan sonra gönderecekmiş/maile atacak 5321788221 yusuf bey-elimizde fotograflar var dedi ben bugun almaya gıdıyorum dedi atarım dedi"/>
        <s v="ürünlerim eksik yılbaşından sonra yapalım dedi - birazdan ararım ben sizi dedi /Bu aralar yoğunum istemiyorum dedi"/>
        <s v="2 kere gidilmemiş tekrar randevu oluşturuldu/5467229529"/>
        <s v="ulasılamadı - 1 haftaya aranacak "/>
        <s v="numara kullanılmamakta"/>
        <s v="biz yine dönüş sağlarız size dedi/ bu konularda merkez ilgileniyormuş."/>
        <s v="5337404344 // ezgi hanıma dönüş sağlayacak aranmasın"/>
        <s v="gönderimi sağlanmış- özkan bey cuma gunu gelecek ben haber veririm dedi- önümüzdeki hafta bası aranacak - ben aratırayım dedi kapattı "/>
        <s v="5315788810 fotografları gönderecekmiş"/>
        <s v="5315788810 fotografları gönderecekmiş. // panelde fotoları mevcut eksikler için arandı eksikleri ben halleder size tekrar gönderirim dedi"/>
        <s v="1 saat sonra 05537310101/FOTOGRAFLAR YUKLENILMIS"/>
        <s v="hat meşgul"/>
        <s v="Orçun beyden randevu alındı "/>
        <s v="eylül gibi düşünürüz dedi/eylülde çekim istiyor/ tekrar ara-numara mesgul-ekim ayında aranacak -ö.s"/>
        <s v="1-2 saat sonra tekrar aranacak. 0546 867 6098 "/>
        <s v="Ali bey/ 5517188991 şu anda kurye sıkıntıları olduğundan dolayı paket servisleri yok tekradan hizmete başlayınca iletişime geçilecek aranmasına gerek yok."/>
        <s v="0532 201 4143-randevu olusturuldu"/>
        <s v="yetkili burcu hanımdan randevu alındı "/>
        <s v="5332109368 bugun gün içinde gönderecegim dedi-ben mail adresinize atayım eger yuklenmesse cekim icin arkadaslar gelebilir dedi BARIS BEY NO:05332109368- randevu olusturuldu "/>
        <s v="yt namazda 10 dk gelir dedi"/>
        <n v="5.467958513E9"/>
        <n v="5.438406417E9"/>
        <n v="5.384923391E9"/>
        <s v="hayalpark şubeden çekim yapılmış"/>
        <s v="İşletme akşam 6-7 den sonra açıyor fotoğrafçı arkadaşlarınızı da mağdur etmek istemem erken saatlerde açmıyoruz biz der. Kendisine mail iletildi fotoğraf atacak. "/>
        <s v="Teyit için arandı ulaşılamadı/Eyüp Bey ben size bildiririm dedi "/>
        <s v="ezgi hanıma dönüş yapıcaklar-istemiyorum dedi gerek duymuyorum dedi- suanlık istemiyorum dedi ben size ulasırım dedi kapattı "/>
        <s v="5303231984 eser bey/ yoğunluktan dolayı vaktimiz yok / mail verildi "/>
        <s v="Seyhan ilçesi ama çukurova da da şubesi var"/>
        <s v="DAHA SONRA DEDİ. - 2 hafta sonra aranacak menüm güncellenecek dedi menüm güncellensin ondan sonra çekim istiyor - 2 hafta sonra arayın dedi daha menüm güncellenmedi o zaman iletişime geçelim dedi menü güncellemesi yapılmamıs "/>
        <s v="NUMARA YANLIS BIRDAHA ARANMASIN .numara netten bulundu (0322) 225 30 30 fotograflarına bakcak 10 dakika sonra arancak/arandı varmış gönderecek. kudbettin bey no:05439766967 çekim istemedi bir hafta sonra aranacak"/>
        <s v="fotoğrafları çekilmiş"/>
        <n v="5.427941134E9"/>
        <s v="sizlere vakit ayıramam der"/>
        <s v="5364246898 devam çekimi alındı"/>
        <s v="Mert Bey"/>
        <s v="DAHA SONRA  -ulasılamadı - bır saate aranacak -05436656369 ahmet bey no hatıra APT. NO1/E- randevu olusturuldu "/>
        <s v="1 ürün var "/>
        <s v="MAİL ADRESİNE GÖNDERİM SAGLANMIŞ - ögleden sonra aranacak "/>
        <s v="başka şubeden çekilmiş o kullanılsın dedi"/>
        <s v="5332852664 gizem hanım mail atacak - DORT BES GIBI arayın dedi musait oluyorum o zaman dedi- randevu olusturuldu "/>
        <s v="mehmet bey bayramdan sonra arayıp randevu oluşturabileceğiniz söyledi(05528081189"/>
        <s v="30 dk ya aranacak - yılbaşından sonra dönüş sağlanacak şuan çok yoğunum dedi - şuan müsait değil dedi çalışanı biz size dönüş sağlarız dedi "/>
        <s v="YARINA ILETISIME GECILCEK USTASIYLA KONUSULCAK- sabah on onbır gıbı arayın dedi misafir var dedi musait degilim dedi kapattı "/>
        <s v="ben yer değiştiriyorum numaranızı kaydettim sizlere dönüş sağlarım dedi"/>
        <s v="geri donus saglayacak / mehmet bey randevu oluştururken sonra konuşalım dedi."/>
        <s v="Barış Bey"/>
        <s v="elimde fotograflar var ben sıze hafta içi yollarım dedi- randevu olusturuldu "/>
        <s v="mehmet bey no : 05413892101"/>
        <s v="teymur beyle görüşüldü randevu oluşturuldu/ teymur beyden devam çekimi alındı."/>
        <s v="5465712147 numaraya mail gönderildi haftaya fotoğrafları gönderecekler- aranmasın"/>
        <s v="fotoğrafçı gelmemiş tekrardan randevu almak istiyor."/>
        <s v="devam çekimi  "/>
        <s v="öğleden sonra gelirmiş yiğit bey/haziranda randevu istiyormuş taşınma olaylarım var dedi// istemiyor-KESİNLİKLE İSTEMİYOR SEBEPTE BELİRTMİYOR ARANMASIN."/>
        <s v="1 aydır getir sistemini kullanmıyorum arayüzü çok yorucu menü değişikliği bile yapılmadı dedi"/>
        <s v="gece konseri var yarın müsait olamam diğer hafta tekrardan iletişime geçelim dedi - ben şefime sorup sizlre dönüş yaparım dedi - mail adresi verildi ben yüklemesini sağlarım dedi "/>
        <s v="mail verildi-sonra goruselim dedi kapattı- mail adresi tekrardan verildi ben gönderim sağlarım dedi "/>
        <s v="fotoğrafları maile atmış- ben sizleri ararım dedi kapattı "/>
        <s v="600b2c37523bc66b263eda26        Mr. Çiğ Köfte, Seyhan (Çınarlı Mah.)  şubesinden alınacak"/>
        <s v="Semt Pazarı karşısı"/>
        <n v="5.07522861E9"/>
        <s v="fotografları göndermiş sec@secbaklava.com"/>
        <s v="fotografları göndermiş sec@secbaklava.com- ulasılamadı"/>
        <s v="15 dakikaya arancak  "/>
        <s v="ezgiye dönüş sağlayacak - ulaşılamadı - ustam kovit oldu iki hafta sonra arayabilirsiniz işletmem kapalı dedi /"/>
        <s v="ezgi hanımın numarası verildi irfan bey arayacak/şu an meşgulum daha sonra konuşup gün belirleyelim dedi/ suratıma kapattı- irfan bey : 05319354406 numara kullanılmamakta /yetkili irfan bey yok dönüş yapacak / yetkili yok."/>
        <s v="SÖYLEDİKLERİMİ ANLAMADI YOĞUNUZ DEDİ VE DİNLEMEDİ- RANDEVU OLUSTURULDU "/>
        <s v="devam çekimi alınacak"/>
        <s v="5418996242 fotograflarım var diye hatırllıyorum ama amin degilim inceleyim varsa mai,l alırım yoksa randevu oluştururuz dedi.-hafta içi aranacak - ezgının numarası verildi yarın ustamla konusup donus saglarım dedi - menü güncellenmesi yapilacak 10 gün son"/>
        <s v="2 hafta sonra arayın tadilat var "/>
        <s v="MENÜ DEĞİŞTERMEDEN OLMAZ DEDİ./Henüz değiştirmemişler menüyü çekim istemiyorum der. "/>
        <s v="salı çarşambaya istiyor/05308640147- istemiyorum dedi aranmasın "/>
        <s v="mail adresi verildi- hepsi çekilmiş"/>
        <s v="müsait değil tekrar aranacak "/>
        <s v="dç için farklı bır sısteme gırceklermıs oyuzden bunları halledınce kendısı bızı arıycak- devam çekimi olusturuldu "/>
        <s v="fiyatlarla ilgili sıkıntısı var bölge sorumlusu ilgileneceğim demiş ilgilenmemiş o yüzden kullanmadığını söyledi"/>
        <s v="teyit için arandı açmadı-numara mesgul"/>
        <s v="suratıma kapatılar"/>
        <s v="5-6 gibi arayın şuan müsait değilim dedi "/>
        <s v="Kendileri arayacaklarmış ayarlama yapıp"/>
        <s v="DURUMUM YOK OSMAN BEY 05342605019 /kuryede sorun var sonra dönüş yapıcaklar./dönüş yapacaklar // durumu yokmuş şuan düşünmüyor/MAİL ADRESİNE İLETECEK "/>
        <s v="mail verildi "/>
        <s v="fotografları mevcut 1 hafta sonra teyit amaçlı arancak "/>
        <s v="devam çekimi olabilir ama suan müsait degiliz ileride sizi ararız dedi./ devam çekimi için arandı yetkili yokmuş pazartesi gelirmiş/yt yok 5-10 dk ya arancak"/>
        <s v="güzelyalıdaki şubeden çekim istiyor -5309594547"/>
        <s v="çekilen fotoğrafları beğenmedim devam çekimi istemiyorum dedi farklı fotoğrafçı arkadaşımız gelecek dedim ben kendim çektireceğim dedi."/>
        <s v="yoğunluk var boş vakitleri yok.// teşekkürler iyi günler dedi kapattı."/>
        <s v="mail adresi verildi "/>
        <s v="Getirin varlığıyla yokluğu bir daha yeni olduğu için faaliyet gösteremiyor heralde diğer firma gibi olmadığını belirtti gerekirse ben ararım siz aramayın dedi."/>
        <s v="2 şubesii var"/>
        <s v="620a12ac4eff269cdaa28b2d        Onur Kardeşler Unlu Mamüller, Seyhan (Sümer Mah.)   şubeden alınacak"/>
        <s v="ulaşılamadı - şuan müsait değilim dönerim ben size dedi - ortalama saat 5-6 gibi gelir dedi "/>
        <s v="FOTOĞRAFLAR SİSTEMDE VAR"/>
        <s v="sadece çiğköfte var."/>
        <s v="emin bey"/>
        <s v="emre bey yetkili"/>
        <s v="5324870255// 2 tane restoranı var İstanbul pilavcısı var bşrde çekim orda gerçekleşecek"/>
        <s v="ürün çıkaramam gibi konuştu daha sonra konuşalım bunu dedi/yoğunum daha sonra ara dedi- 5-6 gun sonra aranacak olumlu - dönüs saglayacak - geri donus saglayacak "/>
        <s v="3 SAAT SONRA ARA"/>
        <s v="yarım  SAATE DONUS SAGLANACAK- kendileri çekecekmiş mail adresi verildi  - bizim fotoğrafcı arkadas çekecek dedi haftaya kadar hallolur dedi "/>
        <s v="5324072494 5536149004 - randevu olusturuldu "/>
        <s v="fotoğrafları yüklenmiş "/>
        <s v="ÇEKIM GERXCEKLESMIS AMA YUKLENMEMIŞ"/>
        <n v="5.302231353E9"/>
        <s v="cekim yapıldı diyor ama resimlerimi koymadınız diyor ama cekim yapıldı ditye bi kanıt yok"/>
        <s v="teyit için arandı açtılar ama ses vermediler iletişim sağlanamadı"/>
        <s v="abisi mehmet beyden randevu alındı "/>
        <s v="ürünlerinin yarısıı çekilmiş devam çekimi istemiyor "/>
        <s v="UYGUN GÖRMÜYOR."/>
        <s v="müsait degilim müşterim var daha sonra dedi// 05453729638 saat 4 de aranmak istiyo/çaldı açmadı/ devam çekimi"/>
        <s v="yetkili yokmuş numaramı bıraktım dönüş sağlayacaklar"/>
        <s v="3223115047/ dönüş yapacak patrona söyleyip."/>
        <s v="çekim yapılmış ama hala yüklenmemiş/ numara geçici olarak servis dışı."/>
        <s v="şuan düşünmğyoruz dedi. // gerek duymuyoruz dedi."/>
        <s v="mail atacak bıze- yetkili yok ben soylerım dedi çalısanı ezginin numarası verildi donus yaparım dedi "/>
        <s v="5557270438 biz belki 17 sinde açmayız daha sonra aayın görüşelim dendi//haftaya aransın yetkili yok/müsait degil /ARANDI MESGULE VERILDI/şuan işlerim iyi degil dedi ikna edilemedi. askıya alalım dediler // saat 5 6 gibi aransın tekrar.// yarım saat sonra "/>
        <s v="teyit amaçlı arandı haftaya aransın dendi- randevu olusturuldu"/>
        <s v="merkezde yapılacakmış aranmayacakmış  "/>
        <s v="şu an müsait değilim daha sonra arayın dedi 2 şubeli numara kullanılmıyor 5318863178 "/>
        <s v=" 2 şubeli 5318863178 13.07.2021de arayın dedi- yarım saat sonra ara - ŞEHİR DIŞINDAYMIŞ İSTEMİYOR"/>
        <s v="işletme yetkilisi ibrahim beymiş can bey ayrılmış müsait deglildi devam çekimi görüşemedik./ULAŞILMADI"/>
        <s v="maile atacak-numara verildi aranacak- 0506 487 44 75 - ulaşılamadı "/>
        <s v="10 dk ya aranacak "/>
        <s v="devam çekimi alındı "/>
        <s v="Lütfi Bey bizi arayacakmış"/>
        <s v="akşam 7 den sonra gelir yetkili dedi "/>
        <s v="sistemde ki numara eski çalışan biriymiş artık orda çalışmıyormuş başka numara da yok bu numara aranmasın der /"/>
        <s v="Niyazi Bey"/>
        <s v="akşama doğru arayın dedi-randevu olusturuldu "/>
        <s v="randevu olusturuldu"/>
        <s v="bende fotoğrafcıyım istemiyorum dedi.//eksikleri tamamlayıp göndereyim dedi-iki üç gun sonra aranırsa sevinirim dedi suan musaıt degılım- benbu hafta içi yuklerım dedi - elimde fotoğraflar var dedi ben 1 hafta içi ararım dedi "/>
        <s v="bayramdasn sonra menü degişikliği yapıcak ondan sonra 2 hafta sonra ara/SUAN HIC MUSAIT OLMADIGINI 10 GUN SONRA ARANMASINI RICA ETTI/5458210482/cekimi kendileri yaptıracak - yetkili ile görüsüp ben sizlere dönus saglarım dedi - 1 saate aranacak - çekim is"/>
        <s v="bilmiyorum suan istemiyoruz dedi ilerde ben size donus saglarım dedi - suan yogunum dedi ezginin numarası verildi ben donus saglarım dedi - müsait değiliz biz sizlere dönüş sağlarız dedi / fotoğraf istemiyorum dedi "/>
        <s v="23,04,21 de aranıp diğer hafta için randevu alınacak05445203377/Menü değişeceği için Ezgi hanımla irtibata gecicekler"/>
        <s v="/ randevu alındı"/>
        <s v="telefon sıkıntılı cızırtı geliyor"/>
        <s v="haziran 15 te aransın/MAİL PAYLAŞILDI KENDILERI ATACAKLAR-tadilattayım dedi 10 gun sonra aranacak dedi- ulasılamadı - ulasılmadı - ulaşılamadı "/>
        <s v="6gibi arayın dedi/15 dakka sonra arancak/TATİLDELERMİŞ SONRA ARANSIN/05066000509 aynur hanım numarası açmadı // kendi çekip mail atacak- ben kendım yuklerım dedi mail adresi tekrar verildi "/>
        <s v="ezgi hanıma dönüş yapacak merkezle konuşup-engin bey no:05072395122 fotografım var dedi çekim istemiyorum dedi mail adresi tekrar gönderildi"/>
        <s v="ulasılamadı - 30 dk ya aranacak - müsait değiliz dedi biz dönüş sağlarız "/>
        <s v="çukurova mahvesıgmazda cekim yapılmış"/>
        <s v="devam çekimi için arandı sabah saatlerinde arayın öglen yogunuz dediler/tekrar aradık açmadılar05333827462/dç istemez"/>
        <s v="5451161940-"/>
        <s v="alı bey no 05057103139 patronla konusup donüş saglarım dedi- numara mesgul "/>
        <s v="5358365235 numara kullanılmamakta -bir saate gelir dedi-30 dk ya donus yapacak "/>
        <s v="aytac beyın numararsı 05424184804 ulasılamadı/fotoğrafları mail adresimize paylaşmış zaten franchise bir şubeymiş merkezdende temin edebilirsiniz dedi"/>
        <s v="5308749091/ozan bey 05358365735 -  ulasılamadı"/>
        <s v="kendileri ayarlama yapıp dönecek "/>
        <s v="mesgule attı - merkezin numarası 05358365735 ozan bey ulaşılamadı "/>
        <s v="melikşah bey görüşüldü merkeze baglıymış. merkezden alır gönderirim dedi."/>
        <s v="5358365735 ozan bey  mail adresi verildi 12 şube içinde gönderim sağlancak"/>
        <s v="5321137173- sıcak bakmıyorum dedi  yemek sepetiyle cekim saglanmıs oradan resimleri alıp atacak boyutlar uymuyır dedim  menü güncellemesinden sonra duruma göre cerkım saglayabılır"/>
        <s v="numarada sıkıntı var// numarada hala sıkıntı var"/>
        <s v="Yarın öğleden sonra aranacak/yt yok3224598444 /yt  yok numara bırakıldı iletecekler."/>
        <s v="MAİL VERİLDİ. yarım saate aranacak"/>
        <s v="5469691850 bir ay sonra dedi// meşgule attı./ dönüş sağlayacak- şuan ulaşılamadı "/>
        <s v="afetevleri cad."/>
        <s v="4525 sok"/>
        <s v="Zeynel Akbaba/5051654929 devam çekimi randevusu alındı"/>
        <s v="5061900900//yt yok gönderildi diye biliniyor çalışan tarafından gnderilmemişse bile bugun gndeririz dedi-pzt salı saat bir- iki olursa daha iyi diyor olumlu bakıyor - yarın aranacak ustasıyla konusacak - çok arıyorsunuz yeter artık çekim istemiyorum dedi "/>
        <s v="5326633666 sergun bey cep tel cahit beyden alındı"/>
        <s v="5326633666/devam çekimi"/>
        <s v="Yusuf Bey /RANDEVU ISTEDILER/6 gibi aranacak "/>
        <s v="60e58d289962131c33b3bed6 Reşatbeyli Tatlıcı Zeki, Çukurova (Güzelyalı Mah.)"/>
        <s v="5300296591 kardeşi doğan beyden randevu alındı."/>
        <s v="0322) 239 70 00 devam cekımı"/>
        <s v="4 şubesi var baraj yolu şubsi için çekim talep ediyor 5424757623"/>
        <s v="hamit bey /ÇEKIM GERCEKLESMIS AMA YUKLENMEMIS"/>
        <s v="yoğun yarın ara//açmadı// açmadı// mail atıcak - ulasılamadı- devam çekimi "/>
        <s v="fotograf teyidi için arandı yt yok suan ısletmede degılım dedi pzt gunu aranacak- randevu olusturuldu "/>
        <s v="kendi kendine istişare yapıp dönüş yapıcakmış ezginin numarası verildi.-hocam musait değilim dedi kapattı - yogunuz istemiyoruz dedi "/>
        <s v="mail atacak 5308412904 şahsi numara bu numaradan aranmak istiyor diğer numara aranmasın lütfen - personel kadrom eksıkti onu tamamladım dedi bir kısmını çektim diger kısmını çeker haftaya gönderirim dedi yeni bir işletme açıyorum hamburger  dedi genel mer"/>
        <s v="maile atıcak fotoğrafları- ben yetkili kisiye bildirecem sizlere dönüş yaparım dedi"/>
        <s v="sürekli meşgule düşüyor  "/>
        <s v="5538868431 1 saat sonra arancak"/>
        <s v="müsait degilim daha sonra dendi//yemek sepetinden almamızı söylüyor/çekim istemiyor neden diye sorduğumda nedeni yok dedi"/>
        <s v="ömerovası sitesinin alt kısmı"/>
        <s v="devam çekimi"/>
        <s v="Çekim istemiyordu görüştüm ileride olabilir dedi ona göre konuşulsun./çekim istemediğini belirtti.// istemediğini belirtti.-suan için istemiyorum dedi kapattı / şuan düşünmüyorlarmış "/>
        <s v="mail verildi gönderecek eğer sistem kabul etmezse randevu oluşturulacak-05510693404-Tekrar çekim yapıp yönlendirecekmiş-ben size ulasırım dedı-sonra arırız yogunuz dedi kapattı - suan tadilat var  dedi istemiyor çekim .Fotoğraflar için arandı bi kaç sorun"/>
        <s v="mail verildi-yetkili yok ezginin numarası verildi donus saglanacak "/>
        <s v="5435079227// sec@secbaklava.com 19 nisanda göndermiş-RANDEVU OLUSTURULDU"/>
        <s v="5435079227// sec@secbaklava.com 19 nisanda göndermiş"/>
        <s v="diğer işletme no : 03225020127 bir saate bu işletmeye gelir yetkili dedi /numara verdim kendisi işletmedekilerle görüşüp bizleri arayacakmış"/>
        <s v="numara verdim kendisi işletmedekilerle görüşüp bizleri arayacakmış"/>
        <s v="annesinin sağlık sorunlarıyla ilgilendiği için şu sıralar olmaz dedi/tek başına çalışıyormuş hem çekim hem servise yetişemem dedi -bir saat icerisinde aranacak - çekim istemiyorum dedi "/>
        <s v="5512336046 8 gibi ara der"/>
        <s v="5417877624 devam çekimi"/>
        <s v="işletmeyi kapatıyorum dedi "/>
        <s v="randevu olusturuldu0322) 457 28 76 çekım ıstemıyor gerek duymuyor"/>
        <s v="Bu işletmenin yetkilisi Enis bey dönecek"/>
        <s v="15 - 20 dk ya gelir dedi - yetkili daha gelmedi "/>
        <s v="şefi ile görüşüp dönüş sağlıycak/ben böyle iyiyim istersem sizi ararım dedi  - ulasılamadı "/>
        <s v="YTEKİLİ GELİNCE DÖNÜŞ YAPCAK- BIR SAATE ARANACAK / istemiyor."/>
        <s v="şehır dısındaymıs ılerde/"/>
        <s v="Fotoğrafları yok"/>
        <s v="Fotoğrafları yok // fotoğrafları maile iletip iletmediklerini haber vericekler-serdar beyin numarası 05384425241 ulasılamadı- boyutlarını öğrenilsin arancak - ulaşılamadı "/>
        <s v="motor üzerindeyim 10-15 dk ya aranacak - bütün ürünlerin fotoğrafları var biz kendi reklamcımıza çektirdik dedi  "/>
        <s v="getiryemek sistemi aktif değilmiş"/>
        <s v="devam çekimi alındı/murat bey"/>
        <s v="çekim sağlanmış  "/>
        <n v="5.346713201E9"/>
        <s v="ulaşılmadı  - numara kullanılmamakta "/>
        <n v="5.050387099E9"/>
        <s v="ortağı ile konuşacak 1 saat sonra aranacak/suan degıl cok ılerde aranck-randevıu olusturuldu"/>
        <s v="5394197909/istemiyor cekim- ulasılamadı/ istemiyorum sebebi yok dedi."/>
        <s v="dönecek  "/>
        <s v="5354269698- yarın aranacak şehir dışına çıkıyormuş"/>
        <s v="5441523852 deniz bey/ 1 saat"/>
        <s v="yarın aransın/ saat 4 ten sonra istiyor kesin aransın 0538 820 6360"/>
        <s v="6.30 musait olurlarmış"/>
        <s v="dç için şu an degıl daha sonra"/>
        <s v="mail atacak-5 gibi aranacak-randevu olusturuldu "/>
        <s v="Bir ay sonra görüşme sağlayalım duruma göre kara verelim denildi.&quot;/mesgul // eylülde aransın istiyor -randevu olusturuldu"/>
        <s v="babası fotoğrafların olduğunu söyledi yunus bey yarım saate gelir arayıp teyit edelim- haftaya aranacak o zamana kadar atarım dedi- RANDEVU OLUSTURULDU "/>
        <s v="yetkiliye numaramı iletecek bana dönüş sağlayacaklar/Can Bey / 5335641749"/>
        <s v="mail atacak - randevu olusturuldu"/>
        <s v="daha sonra aranıcak/müsait değilim dedi."/>
        <s v="ulasılamadı - ulasılamadı"/>
        <s v="devam çekim randevusu alındı"/>
        <s v="açmıyor- ulasılamadı 5309547387"/>
        <n v="5.538696506E9"/>
        <s v="güncel adres takvimde"/>
        <s v="çekim istemiyor çünkü gerek duymuyor işletme küçük diyor ikna edilemedi- suan tek calısıyorum dedi haftaya olabılır dedi - istemiyorum dedi "/>
        <s v="fotoğrafları kendi fotoğrafçısından alıp gönderecek- numara mesgul "/>
        <s v="yarım saat sonra aranacak google kokoreç yazıp çıkan fotoprafları koysanız olmyor mu dedi gerçek fotoğraflar kullanıyoruz deyince bi düşündü/çaldı açmadı//4te ara//6 da aransın dedi işi varmış"/>
        <s v="552 284 40 01/meşgule atıyor"/>
        <s v="randevu olusturuldu adres yanlış doğrusu: 100.yıl mah.çukurova ilçe emniyet müdürlüğü karşısı 100.yıl cami önü"/>
        <s v="mail yönlendirilmiş stüdyo çekimi yapılacakmış gönderecek- numara mesgul  - mail adresi tekrardan verildi ben yüklerim dedi  "/>
        <s v="yurt mahallesi şubede çekim yapılmış"/>
        <s v="çekim sağlanmış ama hala yüklenmemiş. İletildi."/>
        <s v="fotografları çekilmiş getir tarafından  sisteme hiçbirsey girilmemiş "/>
        <s v="babaoğul tuafiye yanı - randevu oluşturuldu "/>
        <s v="5325840138// yetkili yok "/>
        <s v="5383004818 64016 sokak musa ballı apt. zemin kat kızılay kan merkezi yanı  "/>
        <s v="eşi arif bey elektirk sıkıntısı var 1 hafta sonra tekrardan iletişime geçelim dedi "/>
        <s v="ben müsait vaktimiz öğreneyim dönüş saglarım dedi - müsait değilim bu aralar ben sizlere dönüş sağlarım dedi "/>
        <s v="kardeşi muhammet bey abim gelsin geri dönüş sağlarım ben size dedi "/>
        <s v="Yetkili rahatsız olduğu için gelmiyor işletmeye no iletildi gelince dönüş sağlatacaklar/10 GÜN SONRA - suan musaıt degılım dedi bı takım sıkıntılarım var dedi ileri bir tarihte ara dedi - yetkili kişilerle konuşayım sizlere dönüş sağlarım dedi gün içerisi"/>
        <s v="mail verildi"/>
        <n v="5.459579275E9"/>
        <s v="ezgi hanıma dönüş yapacak/322 458 00 10 internetten bu numara bulundu/numara yanlış - 1 SAATE ARANACAK - istemiyorum dedi "/>
        <s v="yetkili ergin beyden randevu alındı "/>
        <s v="ŞEHİR DIŞINDAYMIŞ 10 GUN SONRA ARANACAK OLUMLU - ULASILAMADI/ covit olmuş 10 gün sonra arar mısınız dedi- çekim istemiyor - 2 hafta sonra aranacak- yetkili yok önümüzdeki hafta tekrardan iletişime geçelim"/>
        <s v="genel merkezle görüşüp döncekler randevu alınabilir- istemiyorum dedi "/>
        <s v="Mehmet Bey/5535359402/teyit için arandı açmadı- yarım saate aranacak-haftaya arıyacak - ulasılamadı - çrş günü aranacak mail adersini atacak olmazsa randevu olustururuz dedi - kendi fotografları varmıs reklamcısında bu hafta içi yollarım dedi 1 hafta sonr"/>
        <s v="Yaşar Bey"/>
        <s v="devam çekimi istemedi  "/>
        <s v="601495de61fea777591f147c Tombiş Cafe, Çukurova (Toros Mah.)"/>
        <n v="5.423120166E9"/>
        <s v="numara yanlış"/>
        <s v="hepsi  çekildi dedi/çekimler sağlandı diyor ısrarla getirden geldiler dedi."/>
        <s v="daha önce görüştük ben fotoğraf falan istemiyorum dedi "/>
        <s v="Bünyamin bey"/>
        <s v="5368307280- kendim yuklerım dedi bir hafta sonra arnacak - ulasılamadı "/>
        <s v="açmadı5079342078/ fotoğrafları yanlış yüklenmiş istemiyor "/>
        <s v="merkezle görüşülmesi gerekiyor 5395995442 Olcay Bey veya Şerife Hanım ulaşılamadı - merkezde çekim sağlandı dedi yetkililere ulaşılamadı "/>
        <n v="5.382811455E9"/>
        <s v="yt yok- MERT BEY AYRILMIS MAİL ADRESİ VERİLDİ ATINCA ARIYACAK - numara kullanılmamaktadır "/>
        <s v="HAFTAYA"/>
        <s v="çekimler sağlanmış bir problem yok dedi"/>
        <n v="5.38726446E9"/>
        <s v="4-5 ürünü için devam çekimi istiyor"/>
        <s v="15 dakika sonra aranacak/numara kullanılmıyor/işletmede yakalayabilmek zor cunkü pakete de çıkıyormuş. tekrar aransın devam çekimi için görüşülsün"/>
        <s v="fotograflar var ben maile yarın atarım dedi- randevusu olusturuldu"/>
        <s v="fotoğrafçı gitmemiş randevu istemiyorlar/çaldı acmadi// açmadı- ulasılamadı "/>
        <s v="mail verildi kendisinde fotograflar var"/>
        <s v="kendisi şehir dışındaymış düşünmüyor,biraderinin şubesinde çekim yapılacakmış onları yükleyeceklermiş./ meşgule attı.fotoğraflar için arandı yetkili yok ,yetkili kendi no açmadı."/>
        <s v="ÇEKİM GERCEKLESMIS"/>
        <s v="Şu anda günü zor geçiriyoruz personelde eksik ancak 2 aya toparlayabilirim der/ilerleyen zamanda belki olur /2 ay sonra "/>
        <s v="mail verildi- ali bey no 05355777136 ulasılamadı /cuma günü adanaya gecip ilgileniyim dediler."/>
        <s v="fotografları 1 2 ay önce göndermişler ..-05384379507 emin-fotoğrafları gönderdiler yazılmış teyit amaçlı aradım fakat emin beyin ilgilendiğini söylediler emin bey yarın dönüş yapacağını belirtti.-ulasılamadı- yetkili yok dedi aksam 5-6 gibi gelir dedi -"/>
        <s v="kardeşime sorup 10 dk ya dönerim dedi - gerek yok dedi "/>
        <s v="gece geliyormuş işletmeye."/>
        <s v="çekim yapıldı deniyor ama takvimde yok/yetkili yok/çaldı açamdı // ben getiryemekte göremiyorum ama çekim gerçekleşmiş- randevu olusturuldu /bu panbelı aktıf kullanmıyorlarmıs"/>
        <s v="mehmet bey sürekli beni arıyorsunuz ben merkez ne derse onu yaparım dedi mehmet bey bu konuyla alakalı uzun bir süre aranmasın/Mehmet bey 13-13.30 gibi gelirmiş/müsait değilmiş sonradan dönüş yapıcak ezginin numarası verildi."/>
        <s v="müsait değilmiş ezginin numarası mesaj atıldı/5375401435/bayramdan sonra- numara mesgul - ulasılamadı /istemıyor"/>
        <s v="0532 171 0609 15 DK SONRA ARANACAK CEPTEN MİSAFİRİ VARMIŞ/15 dk ya gelecek/1 saat arayın// açmadı - ULASILAMADI - 30 DK YA ARANACAK / sabah 11 gibi arayın der- 2-3 gibi aranacak müsait oldugum vakit dedi /20 dk sonra aranacak"/>
        <n v="5.32464196E9"/>
        <s v="Fotoğrafları yollamamışlar  // reklam ajansıyla anlaşmışlar onlar çekim yapacakmış  - mail adresi tekrardan verildi çekim istemiyor "/>
        <s v="Fotoğrafları yollamamışlar // Fotoğrafları kendi çekmişler bize mailden gönderecekler,onun haricinde sorunları var bu konu hakkında da şikayet tablosuna eklendi.5533552233"/>
        <s v="Fotoğrafları yollamamışlar // ulaşılamadı "/>
        <s v="mail atmış kabul edilmemiş randevu talep etti"/>
        <s v="randevu olusturuldu "/>
        <s v="maile atacak-Tekrar görüşüldü mail adresimize yönlendirilicek.- randevu olusturuldu/dç istemez"/>
        <n v="5.068264017E9"/>
        <s v="mail atacak - katologlar gelsin gonderirim dedi fiyat belirlenecek"/>
        <s v="yarın ara 3224576602// 05544188146 açmadı-Tekrar Mail yönlendirildi.- getir kafasına gore ındırım yapıyor magduruz ıkı gundur merkezın numarası verıldı sorun cozulsun aranacak"/>
        <n v="5.364044401E9"/>
        <s v="devam çekimi olusturuldu"/>
        <s v="5306912377 ahmet bey/çekım saglanılmıs"/>
        <n v="5.050745002E9"/>
        <s v="5316697202 çaldıaçmadı//5gibi ara/5 DAKKAYA DONUS SAGLANILACAKTIR/MUSAIT DEGILIM DEDI YARIN ARAYINIZ DEDI/müsait degilim servis saati dedi"/>
        <s v="5078262923 biz istemiyoruz sağ olun dedi- yetkili askere gitmis istemiyoruz dedii "/>
        <n v="3.224505566E9"/>
        <s v="hasine hanım ilgileniyomus kendisi yoktu çalışana ilettim o ilgilenecek mail verildi atacak- ben bu hafta sızlerin mail adresine dönüş yaparım dedi- reklamcısıyla konusup geri donus yapacakmış- BİR SAATE ARANACAK "/>
        <s v="ulaşılamadı - yok istemiyorum dedi - aksam arayın dedi 7-8 gibi /yuzume kapattı"/>
        <s v="5053395313.PERŞMEB GÜNÜ İSTİYOR."/>
        <s v="5326339785 turgut özal bulvarı 59 g randevuya gidilmiş ama 2 aydır yüklenmemiş./devam için aradık fotografı olmayanları kaldıracagım cogunu dediler. beninceleyim eger istersem sizi ararım dediler."/>
        <s v="5052293441 öğleden sonra aranacak - yeni yetkili emir can bey 506 473 19 41 - kendi fotoğrafım var dedi  mail adrwsi verildi"/>
        <s v="1-2 saate aranıcak yoğunluğum var dedi/sipariş telefonu bu acil söyle dedi dinlemeden kapattı// yarın tekrar aranacak.getir yemek dedim yüzüme kapattı "/>
        <s v="5331624243-Tekrar görüşüldü fotoğrafları yönlendiricek.- mail adresi tekrardan verildi "/>
        <s v="2393040 yt yok/ yakın tarihte göndereyim dedi"/>
        <n v="5.416730121E9"/>
        <s v="ulaşılamadı.- suanda mesgul - ulaşılamadı "/>
        <s v="bir iki saate arayın dedi suan musait degilim dedi / ben kendim çekip gönderirim  dedi."/>
        <s v="3 ten sonra aranacak"/>
      </sharedItems>
    </cacheField>
    <cacheField name="Randevu Alma &#10;Tarihi" numFmtId="168">
      <sharedItems containsDate="1" containsString="0" containsBlank="1">
        <d v="2021-10-01T00:00:00Z"/>
        <d v="2021-07-09T00:00:00Z"/>
        <d v="2021-11-15T00:00:00Z"/>
        <d v="2021-09-20T00:00:00Z"/>
        <m/>
        <d v="2021-07-05T00:00:00Z"/>
        <d v="2021-08-20T00:00:00Z"/>
        <d v="2021-12-20T00:00:00Z"/>
        <d v="2021-07-01T00:00:00Z"/>
        <d v="2021-09-30T00:00:00Z"/>
        <d v="2021-08-24T00:00:00Z"/>
        <d v="2021-09-21T00:00:00Z"/>
        <d v="2021-10-14T00:00:00Z"/>
        <d v="2021-09-11T00:00:00Z"/>
        <d v="2021-06-08T00:00:00Z"/>
        <d v="2021-10-29T00:00:00Z"/>
        <d v="2021-08-06T00:00:00Z"/>
        <d v="2021-08-04T00:00:00Z"/>
        <d v="2021-08-26T00:00:00Z"/>
        <d v="2021-10-07T00:00:00Z"/>
        <d v="2021-10-11T00:00:00Z"/>
        <d v="2021-07-07T00:00:00Z"/>
        <d v="2021-04-23T00:00:00Z"/>
        <d v="2021-12-17T00:00:00Z"/>
        <d v="2021-08-07T00:00:00Z"/>
        <d v="2021-07-30T00:00:00Z"/>
        <d v="2021-08-19T00:00:00Z"/>
        <d v="2021-07-16T00:00:00Z"/>
        <d v="2021-08-28T00:00:00Z"/>
        <d v="2021-10-12T00:00:00Z"/>
        <d v="2021-07-27T00:00:00Z"/>
        <d v="2021-10-05T00:00:00Z"/>
        <d v="2021-08-13T00:00:00Z"/>
        <d v="2021-07-02T00:00:00Z"/>
        <d v="2022-03-08T00:00:00Z"/>
        <d v="2021-09-01T00:00:00Z"/>
        <d v="2021-06-25T00:00:00Z"/>
        <d v="2021-03-31T00:00:00Z"/>
        <d v="2021-10-27T00:00:00Z"/>
        <d v="2021-04-20T00:00:00Z"/>
        <d v="2021-08-05T00:00:00Z"/>
        <d v="2021-10-26T00:00:00Z"/>
        <d v="2021-09-07T00:00:00Z"/>
        <d v="2021-05-19T00:00:00Z"/>
        <d v="2021-05-25T00:00:00Z"/>
        <d v="2022-03-10T00:00:00Z"/>
        <d v="2022-03-01T00:00:00Z"/>
        <d v="2021-04-06T00:00:00Z"/>
        <d v="2021-09-06T00:00:00Z"/>
        <d v="2021-12-14T00:00:00Z"/>
        <d v="2021-08-23T00:00:00Z"/>
        <d v="2022-02-25T00:00:00Z"/>
        <d v="2021-11-09T00:00:00Z"/>
        <d v="2021-05-24T00:00:00Z"/>
        <d v="2021-08-27T00:00:00Z"/>
        <d v="2021-09-27T00:00:00Z"/>
        <d v="2021-09-23T00:00:00Z"/>
        <d v="2021-04-01T00:00:00Z"/>
        <d v="2021-12-08T00:00:00Z"/>
        <d v="2021-07-13T00:00:00Z"/>
        <d v="2022-03-14T00:00:00Z"/>
        <d v="2021-12-16T00:00:00Z"/>
        <d v="2022-01-05T00:00:00Z"/>
        <d v="2021-10-25T00:00:00Z"/>
        <d v="2021-10-21T00:00:00Z"/>
        <d v="2021-09-24T00:00:00Z"/>
        <d v="2021-09-16T00:00:00Z"/>
        <d v="2021-06-02T00:00:00Z"/>
        <d v="2021-08-09T00:00:00Z"/>
        <d v="2021-06-15T00:00:00Z"/>
        <d v="2021-11-01T00:00:00Z"/>
        <d v="2021-07-26T00:00:00Z"/>
        <d v="2021-10-06T00:00:00Z"/>
        <d v="2021-07-12T00:00:00Z"/>
        <d v="2022-03-12T00:00:00Z"/>
        <d v="2021-07-06T00:00:00Z"/>
        <d v="2021-10-22T00:00:00Z"/>
        <d v="2021-04-15T00:00:00Z"/>
        <d v="2021-06-18T00:00:00Z"/>
        <d v="2021-12-25T00:00:00Z"/>
        <d v="2022-01-03T00:00:00Z"/>
        <d v="2021-10-20T00:00:00Z"/>
        <d v="2021-11-04T00:00:00Z"/>
        <d v="2021-09-14T00:00:00Z"/>
        <d v="2022-02-28T00:00:00Z"/>
        <d v="2021-11-10T00:00:00Z"/>
        <d v="2021-04-07T00:00:00Z"/>
        <d v="2021-09-28T00:00:00Z"/>
        <d v="2021-06-16T00:00:00Z"/>
        <d v="2021-05-26T00:00:00Z"/>
        <d v="2021-07-15T00:00:00Z"/>
        <d v="2021-10-18T00:00:00Z"/>
        <d v="2021-11-03T00:00:00Z"/>
        <d v="2021-06-28T00:00:00Z"/>
        <d v="2021-07-29T00:00:00Z"/>
        <d v="2021-12-09T00:00:00Z"/>
        <d v="2021-11-30T00:00:00Z"/>
        <d v="2021-05-20T00:00:00Z"/>
        <d v="2021-11-11T00:00:00Z"/>
        <d v="2022-03-18T00:00:00Z"/>
        <d v="2021-04-21T00:00:00Z"/>
        <d v="2021-11-02T00:00:00Z"/>
        <d v="2021-06-01T00:00:00Z"/>
        <d v="2021-04-16T00:00:00Z"/>
        <d v="2021-04-13T00:00:00Z"/>
        <d v="2021-06-24T00:00:00Z"/>
        <d v="2021-05-27T00:00:00Z"/>
        <d v="2021-08-16T00:00:00Z"/>
        <d v="2021-04-24T00:00:00Z"/>
        <d v="2021-08-12T00:00:00Z"/>
        <d v="2022-03-17T00:00:00Z"/>
        <d v="2021-07-08T00:00:00Z"/>
        <d v="2021-04-22T00:00:00Z"/>
        <d v="2021-07-14T00:00:00Z"/>
        <d v="2021-11-08T00:00:00Z"/>
        <d v="2021-05-28T00:00:00Z"/>
        <d v="2021-09-02T00:00:00Z"/>
        <d v="2021-09-08T00:00:00Z"/>
        <d v="2021-03-29T00:00:00Z"/>
        <d v="2021-06-09T00:00:00Z"/>
        <d v="2021-06-10T00:00:00Z"/>
        <d v="2021-11-05T00:00:00Z"/>
        <d v="2021-04-14T00:00:00Z"/>
        <d v="2021-04-19T00:00:00Z"/>
        <d v="2021-05-29T00:00:00Z"/>
        <d v="2022-03-21T00:00:00Z"/>
        <d v="2021-08-25T00:00:00Z"/>
        <d v="2021-09-09T00:00:00Z"/>
        <d v="2021-10-19T00:00:00Z"/>
        <d v="2021-09-25T00:00:00Z"/>
        <d v="2021-04-26T00:00:00Z"/>
        <d v="2021-10-02T00:00:00Z"/>
        <d v="2021-09-15T00:00:00Z"/>
        <d v="2021-04-25T00:00:00Z"/>
        <d v="2021-09-18T00:00:00Z"/>
        <d v="2021-05-10T00:00:00Z"/>
        <d v="2021-09-03T00:00:00Z"/>
        <d v="2021-12-06T00:00:00Z"/>
        <d v="2021-04-05T00:00:00Z"/>
        <d v="2021-09-13T00:00:00Z"/>
        <d v="2021-08-17T00:00:00Z"/>
        <d v="2021-12-07T00:00:00Z"/>
        <d v="2021-10-08T00:00:00Z"/>
        <d v="2021-12-21T00:00:00Z"/>
        <d v="2022-03-15T00:00:00Z"/>
        <d v="2021-06-29T00:00:00Z"/>
        <d v="2021-12-27T00:00:00Z"/>
        <d v="2021-10-15T00:00:00Z"/>
        <d v="2021-10-04T00:00:00Z"/>
        <d v="2021-12-30T00:00:00Z"/>
        <d v="2021-11-22T00:00:00Z"/>
        <d v="2021-06-03T00:00:00Z"/>
        <d v="2021-01-28T00:00:00Z"/>
        <d v="2021-09-17T00:00:00Z"/>
        <d v="2021-04-29T00:00:00Z"/>
        <d v="2021-05-21T00:00:00Z"/>
        <d v="2021-11-12T00:00:00Z"/>
        <d v="2021-12-18T00:00:00Z"/>
        <d v="2022-03-04T00:00:00Z"/>
        <d v="2021-03-30T00:00:00Z"/>
        <d v="2021-11-24T00:00:00Z"/>
      </sharedItems>
    </cacheField>
    <cacheField name="Randevu &#10;Tarihi" numFmtId="168">
      <sharedItems containsDate="1" containsString="0" containsBlank="1">
        <d v="2021-10-04T00:00:00Z"/>
        <d v="2021-07-13T00:00:00Z"/>
        <d v="2021-11-17T00:00:00Z"/>
        <d v="2021-09-21T00:00:00Z"/>
        <m/>
        <d v="2021-07-06T00:00:00Z"/>
        <d v="2021-08-26T00:00:00Z"/>
        <d v="2021-12-30T00:00:00Z"/>
        <d v="2021-10-05T00:00:00Z"/>
        <d v="2021-08-27T00:00:00Z"/>
        <d v="2021-09-23T00:00:00Z"/>
        <d v="2021-10-15T00:00:00Z"/>
        <d v="2021-09-13T00:00:00Z"/>
        <d v="2021-06-10T00:00:00Z"/>
        <d v="2021-11-01T00:00:00Z"/>
        <d v="2021-08-12T00:00:00Z"/>
        <d v="2021-08-05T00:00:00Z"/>
        <d v="2021-08-31T00:00:00Z"/>
        <d v="2021-10-11T00:00:00Z"/>
        <d v="2021-10-12T00:00:00Z"/>
        <d v="2021-07-09T00:00:00Z"/>
        <d v="2021-04-28T00:00:00Z"/>
        <d v="2021-12-22T00:00:00Z"/>
        <d v="2021-08-25T00:00:00Z"/>
        <d v="2021-08-13T00:00:00Z"/>
        <d v="2021-11-18T00:00:00Z"/>
        <d v="2021-07-07T00:00:00Z"/>
        <d v="2021-08-03T00:00:00Z"/>
        <d v="2021-08-23T00:00:00Z"/>
        <d v="2021-07-27T00:00:00Z"/>
        <d v="2021-09-01T00:00:00Z"/>
        <d v="2021-10-13T00:00:00Z"/>
        <d v="2021-07-29T00:00:00Z"/>
        <d v="2021-10-06T00:00:00Z"/>
        <d v="2021-08-19T00:00:00Z"/>
        <d v="2022-03-09T00:00:00Z"/>
        <d v="2021-09-06T00:00:00Z"/>
        <d v="2021-06-29T00:00:00Z"/>
        <d v="2021-04-01T00:00:00Z"/>
        <d v="2021-11-04T00:00:00Z"/>
        <d v="2021-04-21T00:00:00Z"/>
        <d v="2021-08-10T00:00:00Z"/>
        <d v="2021-10-27T00:00:00Z"/>
        <d v="2021-09-08T00:00:00Z"/>
        <d v="2021-05-24T00:00:00Z"/>
        <d v="2021-06-09T00:00:00Z"/>
        <d v="2021-09-02T00:00:00Z"/>
        <d v="2021-05-27T00:00:00Z"/>
        <d v="2022-03-11T00:00:00Z"/>
        <d v="2022-03-02T00:00:00Z"/>
        <d v="2021-08-18T00:00:00Z"/>
        <d v="2021-04-07T00:00:00Z"/>
        <d v="2021-09-07T00:00:00Z"/>
        <d v="2021-12-16T00:00:00Z"/>
        <d v="2021-08-24T00:00:00Z"/>
        <d v="2022-02-28T00:00:00Z"/>
        <d v="2021-11-10T00:00:00Z"/>
        <d v="2021-05-28T00:00:00Z"/>
        <d v="2021-08-30T00:00:00Z"/>
        <d v="2021-09-28T00:00:00Z"/>
        <d v="2021-04-22T00:00:00Z"/>
        <d v="2021-02-06T00:00:00Z"/>
        <d v="2021-09-24T00:00:00Z"/>
        <d v="2021-04-05T00:00:00Z"/>
        <d v="2021-11-11T00:00:00Z"/>
        <d v="2021-12-15T00:00:00Z"/>
        <d v="2021-07-15T00:00:00Z"/>
        <d v="2022-03-15T00:00:00Z"/>
        <d v="2022-01-06T00:00:00Z"/>
        <d v="2021-10-26T00:00:00Z"/>
        <d v="2021-10-22T00:00:00Z"/>
        <d v="2021-04-06T00:00:00Z"/>
        <d v="2021-09-27T00:00:00Z"/>
        <d v="2021-09-17T00:00:00Z"/>
        <d v="2021-06-04T00:00:00Z"/>
        <d v="2021-08-17T00:00:00Z"/>
        <d v="2021-06-17T00:00:00Z"/>
        <d v="2021-11-02T00:00:00Z"/>
        <d v="2021-07-28T00:00:00Z"/>
        <d v="2021-10-07T00:00:00Z"/>
        <d v="2021-07-14T00:00:00Z"/>
        <d v="2021-07-08T00:00:00Z"/>
        <d v="2021-10-25T00:00:00Z"/>
        <d v="2021-04-19T00:00:00Z"/>
        <d v="2021-06-24T00:00:00Z"/>
        <d v="2022-01-05T00:00:00Z"/>
        <d v="2021-08-09T00:00:00Z"/>
        <d v="2021-10-21T00:00:00Z"/>
        <d v="2021-11-05T00:00:00Z"/>
        <d v="2021-09-15T00:00:00Z"/>
        <d v="2022-03-01T00:00:00Z"/>
        <d v="2021-11-12T00:00:00Z"/>
        <d v="2021-09-20T00:00:00Z"/>
        <d v="2021-04-09T00:00:00Z"/>
        <d v="2021-09-29T00:00:00Z"/>
        <d v="2021-06-21T00:00:00Z"/>
        <d v="2021-06-23T00:00:00Z"/>
        <d v="2021-07-26T00:00:00Z"/>
        <d v="2021-07-05T00:00:00Z"/>
        <d v="2021-10-19T00:00:00Z"/>
        <d v="2021-09-22T00:00:00Z"/>
        <d v="2021-06-30T00:00:00Z"/>
        <d v="2021-08-02T00:00:00Z"/>
        <d v="2021-12-01T00:00:00Z"/>
        <d v="2022-03-21T00:00:00Z"/>
        <d v="2021-11-03T00:00:00Z"/>
        <d v="2021-06-03T00:00:00Z"/>
        <d v="2021-04-20T00:00:00Z"/>
        <d v="2021-07-16T00:00:00Z"/>
        <d v="2021-04-15T00:00:00Z"/>
        <d v="2021-06-28T00:00:00Z"/>
        <d v="2021-06-02T00:00:00Z"/>
        <d v="2021-10-01T00:00:00Z"/>
        <d v="2021-04-27T00:00:00Z"/>
        <d v="2022-03-18T00:00:00Z"/>
        <d v="2021-07-12T00:00:00Z"/>
        <d v="2021-04-26T00:00:00Z"/>
        <d v="2021-08-11T00:00:00Z"/>
        <d v="2021-10-08T00:00:00Z"/>
        <d v="2021-11-09T00:00:00Z"/>
        <d v="2021-05-31T00:00:00Z"/>
        <d v="2021-06-01T00:00:00Z"/>
        <d v="2021-09-03T00:00:00Z"/>
        <d v="2021-05-26T00:00:00Z"/>
        <d v="2021-09-09T00:00:00Z"/>
        <d v="2021-03-30T00:00:00Z"/>
        <d v="2021-12-29T00:00:00Z"/>
        <d v="2021-06-11T00:00:00Z"/>
        <d v="2021-12-10T00:00:00Z"/>
        <d v="2021-06-14T00:00:00Z"/>
        <d v="2021-11-08T00:00:00Z"/>
        <d v="2022-03-22T00:00:00Z"/>
        <d v="2021-09-10T00:00:00Z"/>
        <d v="2021-10-20T00:00:00Z"/>
        <d v="2022-03-16T00:00:00Z"/>
        <d v="2021-12-02T00:00:00Z"/>
        <d v="2021-09-16T00:00:00Z"/>
        <d v="2021-04-08T00:00:00Z"/>
        <d v="2021-05-17T00:00:00Z"/>
        <d v="2021-06-18T00:00:00Z"/>
        <d v="2021-12-08T00:00:00Z"/>
        <d v="2021-09-14T00:00:00Z"/>
        <d v="2021-08-20T00:00:00Z"/>
        <d v="2021-12-09T00:00:00Z"/>
        <d v="2021-10-14T00:00:00Z"/>
        <d v="2021-07-01T00:00:00Z"/>
        <d v="2021-10-18T00:00:00Z"/>
        <d v="2021-11-24T00:00:00Z"/>
        <d v="2021-10-28T00:00:00Z"/>
        <d v="2021-07-04T00:00:00Z"/>
        <d v="2022-03-07T00:00:00Z"/>
        <d v="2021-06-07T00:00:00Z"/>
        <d v="2021-04-29T00:00:00Z"/>
        <d v="2021-05-06T00:00:00Z"/>
        <d v="2021-05-25T00:00:00Z"/>
        <d v="2021-06-22T00:00:00Z"/>
        <d v="2021-08-04T00:00:00Z"/>
        <d v="2022-04-09T00:00:00Z"/>
        <d v="2021-11-25T00:00:00Z"/>
        <d v="2021-05-21T00:00:00Z"/>
      </sharedItems>
    </cacheField>
    <cacheField name="Anket&#10;Durum" numFmtId="0">
      <sharedItems containsBlank="1">
        <m/>
        <s v="Fotoğraflarım Var"/>
        <s v="Hemen Randevu İstiyorum"/>
        <s v="İleride Randevu İstiyorum"/>
      </sharedItems>
    </cacheField>
    <cacheField name="1. Arama" numFmtId="0">
      <sharedItems containsBlank="1">
        <s v="Ulaşılamadı"/>
        <s v="Görüşüldü"/>
        <m/>
        <s v="Tekrar Aranacak"/>
        <s v="Yetkili Yok"/>
        <s v="Dönüş Yapacak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A397" sheet="hedef liste"/>
  </cacheSource>
  <cacheFields>
    <cacheField name="Restaurant ID" numFmtId="0">
      <sharedItems>
        <s v="6149d88f74c1c5c5db026e6a"/>
        <s v="60043086a35105b0f4f7cb6d"/>
        <s v="617ff3821ff4003da8c6218c"/>
        <s v="6076f807d4c52441976104b8"/>
        <s v="624ac7875406c23fc4b9667e"/>
        <s v="6204dfe3bc188a960e30cf59"/>
        <s v="62409c93f48420a955ad2cea"/>
        <s v="60cf803e7761e5799d054248"/>
        <s v="603e3464303c95afe93092dc"/>
        <s v="6070c6c9dc91044886734ac4"/>
        <s v="602ba8e05eff103e230ddcf1"/>
        <s v="5ffe23ee4a4dfa3a5caba607"/>
        <s v="61b264592be549f3bda5fe7f"/>
        <s v="60153c905fe8231f17cfb78f"/>
        <s v="602721f33a2e4e6b65d17d17"/>
        <s v="6061ee4b4c11b057fb3b6f6c"/>
        <s v="5fff32b068b4946f548f8458"/>
        <s v="604d30a2cc98d70511a66c8a"/>
        <s v="60492e300392aa19f82322d8"/>
        <s v="615de1ae16054412f42dae92"/>
        <s v="60774818a562d4e7c2efd287"/>
        <s v="61b32fd96311be259b7c4149"/>
        <s v="6255318a77674f597b22477b"/>
        <s v="61138ceadf23a498ae6d3d8b"/>
        <s v="605cd2d0e81f5bc7fe859127"/>
        <s v="60ad6669ab98d3666726872a"/>
        <s v="6229d63c31a6056df37ed1a7"/>
        <s v="6034fc52a26855195d29cf96"/>
        <s v="5fde3e1ec0e54f3447874015"/>
        <s v="621340f818fb79fc0432e4ea"/>
        <s v="600c3c27104d8bc181f29e17"/>
        <s v="60af971c521633e1bffc15bb"/>
        <s v="6038ebc8a69617f99256f27c"/>
        <s v="614d972035a05d0b209f023a"/>
        <s v="606258b0b48e8457df440076"/>
        <s v="60376534f4f38611c483385e"/>
        <s v="62598b5ab1244c6188cf9899"/>
        <s v="6063065cb71fbc0cc919823f"/>
        <s v="61a762f9e3548a519246b129"/>
        <s v="5ffaf75b292a615149b1de90"/>
        <s v="60094522c5f8331c25904198"/>
        <s v="6105b8b4bddc0d546d0f7a8c"/>
        <s v="61a4d66ac591d5d347f9cc4b"/>
        <s v="61b706bfc6a890313b6f4ea7"/>
        <s v="614d934902b749456bd4306b"/>
        <s v="607f3a80974e08ee3f0c8902"/>
        <s v="6015485bf8fb0b3741fa2924"/>
        <s v="5fe8f60d12a85080b9bb58d3"/>
        <s v="600987dbf9bae4ba4c5387c2"/>
        <s v="604d370e2acc7942c3b93b2d"/>
        <s v="6003132149bc3dbfaac9dbc8"/>
        <s v="6257e3c6d3c44133a05ae743"/>
        <s v="618a8cfd4e902f20d782f769"/>
        <s v="603f9a63b2bbe6e9e5cca52c"/>
        <s v="603f638ca64e33a1414dba4d"/>
        <s v="61c58e03fda64dd67a7cd832"/>
        <s v="60d98563e294220c6aa59ced"/>
        <s v="6234808b521ea478b63abbe8"/>
        <s v="6049e837118621c82ec3ca1e"/>
        <s v="60648f619c5540707fb4fcd9"/>
        <s v="5fde89ec0654ee84b2e89aa1"/>
        <s v="6149dbb69e06e02e6c17587f"/>
        <s v="615cb7e7196a5d33f485a9f1"/>
        <s v="619970893a1a5fcadaa9dbcc"/>
        <s v="603a1b3f717836115614220d"/>
        <s v="6172c37d61c94c2111e59cd4"/>
        <s v="60cb124c381b50eecfc77fd4"/>
        <s v="5ff39882ee0f72652ca8f3a6"/>
        <s v="61f7b559194c9137b5cae742"/>
        <s v="60ff0f7e07177f730c879dd8"/>
        <s v="5fe0ca7523ff89b4c3a74ee2"/>
        <s v="5fe5bf7af0267cf286124773"/>
        <s v="61e6b9fe899a317d4e161888"/>
        <s v="6096e39e0c17441e2b2361f8"/>
        <s v="617fccf8cf18a71f697db78c"/>
        <s v="60ba2b0599f04867ce41e82c"/>
        <s v="620a0dcefb198bca1bdbbf01"/>
        <s v="6092b6779f1f74ad09cae4ff"/>
        <s v="622600ea55ab1968f84804ef"/>
        <s v="60041dc97b25a2ab7eecfaa7"/>
        <s v="61d44bea0719be3052c93449"/>
        <s v="61b33263b02a4fbfb9bec033"/>
        <s v="6240a5098b92a15592879afd"/>
        <s v="623ac62a91f997eb4f073789"/>
        <s v="6203dd790523e61c3ac2acfd"/>
        <s v="6126169fec3d2640184bed4b"/>
        <s v="6245e4019ea99671f389fd52"/>
        <s v="606c30380c5b642062d7159b"/>
        <s v="60847c88f372e1811924aa9a"/>
        <s v="60093cc8e13dbd0db25c79f9"/>
        <s v="60624841b71fbc364e195433"/>
        <s v="6040c342407f704bb6671af5"/>
        <s v="622b4b8fa6d59cd622d9134c"/>
        <s v="5fe5c2c9333ef55a95ae6d4c"/>
        <s v="6026d6e0ff60ad067ac077be"/>
        <s v="5ff337f371e89c939297d5dd"/>
        <s v="625918c0bfa31557f51c6a0c"/>
        <s v="60fe95392d651c0883ce8598"/>
        <s v="6064688602bcfe3020eaa65e"/>
        <s v="60be2d07f6cacd5f0925b459"/>
        <s v="60647c612eb4390bf5b6cbc5"/>
        <s v="611d01c6e45a069385033360"/>
        <s v="60678527d418361809d37eda"/>
        <s v="604f37c1838ffe9013418ffb"/>
        <s v="5fe5c56d345867129a457093"/>
        <s v="603511e5238d2c28b460f15d"/>
        <s v="618cd21700737db4ef4f1711"/>
        <s v="601546715bc3490bc9ca9351"/>
        <s v="621b5ec19278810640709c09"/>
        <s v="620fa3a00cee8c04efdf9f1e"/>
        <s v="620f8abdf34a7067172b2825"/>
        <s v="603767a9dee19b0b16f04a8d"/>
        <s v="625075d1741679cf40007840"/>
        <s v="600b05d8fb76e369d92e04c9"/>
        <s v="60154feb5778c45408c0eefa"/>
        <s v="6220cc5908e3e6280d8e0f3b"/>
        <s v="61b9bc7aed2948f41942992d"/>
        <s v="607c2563d415f0d575ac5514"/>
        <s v="6105c090f1137eb7064ce4dc"/>
        <s v="60813171d4c52417dd627a35"/>
        <s v="6257e6a5c6c1038db4893a43"/>
        <s v="62342e7b30864f83a63e9000"/>
        <s v="6063553f8a29facc3e2e79b0"/>
        <s v="60d98b0d240a9705be5cacf7"/>
        <s v="622f98628a8d3d64f2684725"/>
        <s v="61fa5a84a2dfe885bbd96202"/>
        <s v="602f98437491a90237069689"/>
        <s v="602fc306a9d2c13e0f002991"/>
        <s v="6149a8017534bc1d54bc4a50"/>
        <s v="617954ddc8ea1e2322ff69a2"/>
        <s v="6025913c5e0d8c3d0d2945ef"/>
        <s v="60806d4dc36c8796c5f0106a"/>
        <s v="60f556ab98080286cfacd9dd"/>
        <s v="6143b2ce5482b078a709ea71"/>
        <s v="605cd8bff10f9f112ae6c549"/>
        <s v="605b30ea3abb06369d34124b"/>
        <s v="60636229b71fbc8b50198ca9"/>
        <s v="600456bc3368d68b8aeb1782"/>
        <s v="6245753f432e7a8f49833a79"/>
        <s v="60246602f8d6e94fd6ba6a04"/>
        <s v="6145d7824a202336169dbfe1"/>
        <s v="60b149a27b00bc886706c32f"/>
        <s v="6026fa10fc9e270564b6ece5"/>
        <s v="6026fbbbc8290966763d20fc"/>
        <s v="6026fd748474c46bfc38ba88"/>
        <s v="6026f82d55fa616434fd0f4d"/>
        <s v="5ff302a74f55ab6f4e9ea62f"/>
        <s v="6025988eff60ad2be0c04684"/>
        <s v="61afadb0223fe6711b34515c"/>
        <s v="600b11d2d6c5917e6edf728b"/>
        <s v="600b0ecad6c5913726df7245"/>
        <s v="621897517f1e6117625b3ece"/>
        <s v="60ab81c83ab7422e5bae6904"/>
        <s v="60d59bb5cec4f7d0434144ef"/>
        <s v="6225f14276aaff4fbf55cd41"/>
        <s v="605cc5ad8b08d16a7efa6dbe"/>
        <s v="61d871a19acef378f9cc2ce1"/>
        <s v="60045df306055859114efba8"/>
        <s v="61b272523fc88ebf5a9a9514"/>
        <s v="618aabbe9e474e44fbb51dc0"/>
        <s v="61b104dfee597b22022eadcb"/>
        <s v="602fb60d5f9272680d86955b"/>
        <s v="602fb8b35eff1057160ea7ac"/>
        <s v="615cb438545f9b352246833f"/>
        <s v="61e7c79d934c002c21adca84"/>
        <s v="61d9de30f1bdc49dc2ae890c"/>
        <s v="605ccbd14b0475de36589b4c"/>
        <s v="61634ca8ab37a8396ea577d2"/>
        <s v="5ff42270e97c0d836dd2a6a9"/>
        <s v="60674fa712cde60489ce5b0b"/>
        <s v="601490c1e3c69cb0618311b6"/>
        <s v="6092acc170951485d71198fe"/>
        <s v="620428feb12d5b86a18f5ff3"/>
        <s v="621b5cf0e60e2f45e93eff3b"/>
        <s v="61997402f5385196d6a9f12b"/>
        <s v="60887edf42f08ae31e9e9b4e"/>
        <s v="60887cac74b647012d741f35"/>
        <s v="60cb58335bba507995d47b5f"/>
        <s v="5fe5c9f35118f199a98c4c14"/>
        <s v="612613a0afcbdf1fa3a1e71d"/>
        <s v="5ff8263158e9c14900d771c4"/>
        <s v="6014715a1b5f9b31bd20a7eb"/>
        <s v="6014b2703a7478379f609715"/>
        <s v="60152799d9ee3cc853043f46"/>
        <s v="61dbd9032bd6b49786186b18"/>
        <s v="620f86855171b105060dbebb"/>
        <s v="60887a780bbb7e386e3f2beb"/>
        <s v="6093fa815931358cea172ec5"/>
        <s v="60259b3f59222d5625d33967"/>
        <s v="623cacfd17a61bb3625c997b"/>
        <s v="5fe5d2ed87a63b1f653166d1"/>
        <s v="625ab75c2ca88a9b808bfbef"/>
        <s v="60c132e26da71b341ecb6358"/>
        <s v="6064a3337692c7aa4dfd5017"/>
        <s v="603f7a57430b9299f4620332"/>
        <s v="60c7a9c42af36124594ca3c4"/>
        <s v="60afacb1ed69072ecfa1121d"/>
        <s v="60623e3bb71fbc6c67195412"/>
        <s v="5fe5d8d0e4a5e22c1d78ac23"/>
        <s v="5fe5dd21f0267c6313124b8d"/>
        <s v="60d627d311c71a88dcd72550"/>
        <s v="602fdf62c85ce46efc858a10"/>
        <s v="605a504ededd7880ef6c4815"/>
        <s v="624579ed9cd685b34c447d19"/>
        <s v="62436b7c00f867b061138a8b"/>
        <s v="620424f33e9fdb7714909250"/>
        <s v="60a62f04dbf0a15520058cf8"/>
        <s v="61122d2eb13ec64f27b57862"/>
        <s v="6155b39b0f840c286862f8f5"/>
        <s v="60ba2cd2fa657e68b28f43ce"/>
        <s v="60c764adf4e3fb7c12958b9f"/>
        <s v="5fecf46712b7159782a4b380"/>
        <s v="60245011e42a4a6f0dc37c41"/>
        <s v="615f580a662651167ba18c65"/>
        <s v="6049d47a60f6a29184b43b5f"/>
        <s v="6079f670c9d16181a2142365"/>
        <s v="61150b1c0e75661ede5f3005"/>
        <s v="61f13e62aec4bb7e239792ba"/>
        <s v="6063581c2eb4390ceeb65d94"/>
        <s v="6149b2cf1ba9b54496dfbdd4"/>
        <s v="618aa8352dcfbf75db2203e3"/>
        <s v="60ad6df75dea45a0c772d6e3"/>
        <s v="61c6685b1bf9f84ebf92a089"/>
        <s v="606d9eea2e2345217d64cfdc"/>
        <s v="609005f3cad48674408d53b6"/>
        <s v="60c752cf7b738398bf2610e1"/>
        <s v="607ed7af974e0832e20c4c09"/>
        <s v="600478050d6f591a059c2f51"/>
        <s v="6253df47d6e147890d70761d"/>
        <s v="61dc28a42bd6b4f8bc28854d"/>
        <s v="5fe0c327d108fca7a22c00ee"/>
        <s v="6257e414d39abc4541cb22df"/>
        <s v="6244a91e6919dbaf410576e5"/>
        <s v="5fece9efcf337695c7b4a7da"/>
        <s v="606313838843fe369a7c78b7"/>
        <s v="5fe5df6dcf3376d115b348ca"/>
        <s v="6143b4bb1009ac85c5a73ad0"/>
        <s v="6037a001c4115aec2dee49ff"/>
        <s v="60d39c7b3b18f919c326952a"/>
        <s v="6214fda933f4f107258bb107"/>
        <s v="5ff6022cccad8fb64e3a9d57"/>
        <s v="61d450c324d8b47814e3aaaa"/>
        <s v="61d2ea2ce9b4792c4eb38dac"/>
        <s v="60550a3fc6a1186e0a8a5102"/>
        <s v="614e4c31fddab77234305ce6"/>
        <s v="6034c6623bb304184a2d3c7b"/>
        <s v="603f8cdbfc13be0e9c5bd81c"/>
        <s v="606242b065ce68b0a2abbd0a"/>
        <s v="60637e9ae81f5b091986bc8f"/>
        <s v="620a2fcab24b4a24c7fedefb"/>
        <s v="618bed251a3fa4a9b2a135f2"/>
        <s v="602c16e1537f205b3cf3c9e0"/>
        <s v="6014b4853a747816b6609716"/>
        <s v="60a26973fe6fd8ecb12c28c3"/>
        <s v="6026e434ab6bbf20692dc2df"/>
        <s v="5fe62a0087a63b2f16316e07"/>
        <s v="60e57f090e590f11c935246b"/>
        <s v="60241280808472635e73d3ee"/>
        <s v="6241bec7f36a6033803b30cf"/>
        <s v="6024101f49682f7f27a0cc29"/>
        <s v="6024151665de17a98adba932"/>
        <s v="603bfed7d6d0ad5caf91433d"/>
        <s v="60630880f4083eb0e687b74f"/>
        <s v="6014512d998c13d1848730ef"/>
        <s v="60ad5e44cae636af5ef326af"/>
        <s v="61e7cbc17c6afc836a7c4514"/>
        <s v="60246d361bfca3a4a5e68f69"/>
        <s v="601465a6d22e224af9b5b0cc"/>
        <s v="60550c493c09376a40eb34c8"/>
        <s v="6096d8b5da616284e7bd406f"/>
        <s v="6047e164902bc62878df3dc9"/>
        <s v="604d2e728c32344fca1d5201"/>
        <s v="608aaeefafd96de5f9f7d1e6"/>
        <s v="610073a9f9c507bacb0c9ce5"/>
        <s v="607ed4dd191de08434a256da"/>
        <s v="614d94f8ab17adc200f820ff"/>
        <s v="61d4600ea9a9b1813dd48c21"/>
        <s v="60245facfdc8e11eea8c5833"/>
        <s v="6221c9de3d343f620fd3f770"/>
        <s v="6079ff3f117f7c13f20e0daf"/>
        <s v="622b19274652b9a748add630"/>
        <s v="602fbb2ff2a4ca7151c3afa7"/>
        <s v="60950a2402644c32578396a6"/>
        <s v="6005f7a7c795bd791541d984"/>
        <s v="62346d32af291d41349e80f3"/>
        <s v="6253e8f0b1c55fb67addf194"/>
        <s v="600b2677cf43c1340fbbf84e"/>
        <s v="6070c1c629574a72d853af9d"/>
        <s v="60c0affe6da71b74c9cb5dc7"/>
        <s v="60d98e5c8b7ca9ddf5de2173"/>
        <s v="603a8e61021990211d5b7914"/>
        <s v="6245820755b5dbd1df315adc"/>
        <s v="60b760396dda9e614ad2ae17"/>
        <s v="6045f429ee8c4a7f82a0b8f1"/>
        <s v="6037884c97e55125e31aad03"/>
        <s v="622b46cd1e182bd479ec9ea6"/>
        <s v="62421d17bc50d19a3233e5ae"/>
        <s v="6014b889998c1360f1873cc1"/>
        <s v="62454d23c596943541587d1d"/>
        <s v="602fa0cf6f409c5478d0d139"/>
        <s v="602f9c62aa09e00e872abbaf"/>
        <s v="6242090523bd1479792b26ed"/>
        <s v="60d0e85f70593e6c18852e60"/>
        <s v="60d0ec3e3b18f9ad6125eea2"/>
        <s v="60b774086dda9ef02cd2c25c"/>
        <s v="612157961b3481a47c60e7e8"/>
        <s v="60d0f33870291c8654424539"/>
        <s v="603f8a23430b925220620627"/>
        <s v="61c1b1e9dda99d6669a37a36"/>
        <s v="606180192eb4394778b59516"/>
        <s v="61b9c0f0388e9f4eed05361a"/>
        <s v="61e13d22fdedf347dd5cdc0a"/>
        <s v="60635df0b48e84d2bf443d9e"/>
        <s v="61b107e6c2a99942130da531"/>
        <s v="623b6d40551309ed3fbc3d81"/>
        <s v="62333251d5e74bc2d9413961"/>
        <s v="60b9ff93c01be0581d3cdff4"/>
        <s v="60ad5f311d89cd5c726cb194"/>
        <s v="61996c0bae699a6ca83ecfed"/>
        <s v="61d7f0eae8597f25a4a97aa4"/>
        <s v="6065c1a93bf9ca073feb1140"/>
        <s v="60cc9706f364a069e1a15826"/>
        <s v="624d2e093f13ad3009b15679"/>
        <s v="6026e63de70cee5859b95a1f"/>
        <s v="623adb56ecc8f77b8cd59df0"/>
        <s v="60be200989353644be0ba0fb"/>
        <s v="600482dab73db5795f990b8f"/>
        <s v="6014af9f6c1642019c90d947"/>
        <s v="6064f790f2765ebdcc9a11d2"/>
        <s v="60cf7df0d9f5754b4c382a14"/>
        <s v="608ff214f237b258a20cc74a"/>
        <s v="5fee09a82ccf25e5c42217d6"/>
        <s v="619977784cb7b369f7d2d751"/>
        <s v="61a4dd5ab50ef86686da4afd"/>
        <s v="600af6a3b19c485e84c27af8"/>
        <s v="60a7f9e99dde1084fd560e30"/>
        <s v="60893b511949c7198d258983"/>
        <s v="60f2930e3a193d9ac44fad6d"/>
        <s v="6149a9dc8bf47f5530ec0e06"/>
        <s v="6214ee228e6acf382a3464e0"/>
        <s v="6070cfc5c8d2652f172bef3f"/>
        <s v="6050e810808b162fddc1a26b"/>
        <s v="618cb6cf0d6e2e36beeae3d7"/>
        <s v="6026d50649e2e425a3f32424"/>
        <s v="61f2c4a0b91196ca9a36a4fc"/>
        <s v="6120e72e2641796ddf6f8657"/>
        <s v="61c1ac40ec3faf3e700e6656"/>
        <s v="61f7c1d8686ff66c9250c81a"/>
        <s v="602461b82789553436923002"/>
        <s v="602fb313a6bb73bd184e9fe5"/>
        <s v="5fea5e5e34586716d1460977"/>
        <s v="61d7ef450363bf471e3d213b"/>
        <s v="60099d43c795bd680d42a691"/>
        <s v="6144823c4897b03060839278"/>
        <s v="601478d34e3bdf5eed67385c"/>
        <s v="60af9c49acb5f582b2a41808"/>
        <s v="60047f2044f1b4f8beba62fd"/>
        <s v="617fc7f33870d0e000633d3e"/>
        <s v="6038eefb845e74543fb2b5e1"/>
        <s v="619f484b991db096365e35c1"/>
        <s v="5fde740739426c8e146236e4"/>
        <s v="5fde4e15e8c62402471ef69d"/>
        <s v="61daeae138902f173fadd1c9"/>
        <s v="60155dca998c13f968875764"/>
        <s v="6199726f11e446c3169a4093"/>
        <s v="5fe67a6e345867dc4a4584e9"/>
        <s v="617ffedb6fcd035e79b38435"/>
        <s v="6151d8d72745ff35d518dd9a"/>
        <s v="601580c4f55f40704fc9e352"/>
        <s v="5fe60d9e4f55ab5cfe9c707c"/>
        <s v="600607a335cc59bdcefd45d5"/>
        <s v="61406978d3f10dc578d490a7"/>
        <s v="60060a09056c7946b4bff3e4"/>
        <s v="600605867441fc14ff7f7c0a"/>
        <s v="60f371348ae949f18bb16e38"/>
        <s v="6229d9412dc7c91deb53547a"/>
        <s v="61138a86f7e0d79b5759f482"/>
        <s v="60149285d22e22bcc6b5b2b6"/>
        <s v="5fe5fabf58f3acdc83e4c316"/>
        <s v="61afb0465fb24bb08f7a5008"/>
        <s v="6051b74db45d10d4d871b55d"/>
        <s v="60b62b8b971eff2b3ce56d52"/>
        <s v="601454f76c1642d7e590d3a2"/>
        <s v="60c35a875e8c6967f46e0f5e"/>
        <s v="6049dce1dbe4c4826bda33d3"/>
        <s v="601453a594d17a8a5aa787bb"/>
        <s v="6149cf7872bade7cc1a46baa"/>
        <s v="60e4b52d20baee651a7f4e85"/>
        <s v="5fea5ab3cf33761e52b46203"/>
        <s v="60d63e04f2d80c0928254778"/>
        <s v="6229d5e850af6e81bfd83a1a"/>
        <s v="6079fbbec9d16189cf14238f"/>
        <s v="623ccecae589c00037eb1de8"/>
        <s v="606c70886fb1811cd1ce451a"/>
        <s v="617ff80602bc2814575dfbd0"/>
        <s v="618c1c3eeb4f889fd2b807a5"/>
      </sharedItems>
    </cacheField>
    <cacheField name="Restoran&#10;Adı" numFmtId="0">
      <sharedItems>
        <s v="01 Ada Dönercim , Çukurova (Yüzüncü Yıl mah.)"/>
        <s v="01 Bay Şef Döner (Sucuzade Mah.)"/>
        <s v="01 Cheff Döner Cafe, Seyhan (Kurtuluş Mah.)"/>
        <s v="01 Sarıçam Tantuni (Esentepe Mah.)"/>
        <s v="01 Servis Künefe, Ceyhan (Namık Kemal Mah.)"/>
        <s v="01 Urfa Sofrası, Yüreğir (Dadaloğlu Mah.)"/>
        <s v="112 Kaburgacı Kenan, Yüreğir (Kazım Karabekir Mah.)"/>
        <s v="27 Tat Cafe , Çukurova (Yurt Mah.)"/>
        <s v="5 Kardeşler Kebap Ve Izgara Çeşitleri (Gültepe Mah.)"/>
        <s v="5 Ocak Kebap (Kurtuluş Mah.)"/>
        <s v="7/C Ocakbaşı (Mahfesığmaz Mah.)"/>
        <s v="7/C Ocakbaşı Gazipaşa,(Cemalpaşa Mah.)"/>
        <s v="7/C Ocakbaşı, Çukurova (Mahfesığmaz Mah.)"/>
        <s v="Abdullah Usta Kebap, Seyhan (Pınar Mah.)"/>
        <s v="Acıktım Büfe, Seyhan (Kayalıbağ Mah.)"/>
        <s v="Adana Ateşi Mangalcı (Sümer Mah. - Barajyolu)"/>
        <s v="Adana Başkent Döner, Seyhan (Döşeme Mah.)"/>
        <s v="Adana Börekçilik (Selahattin Eyyubi Mah.)"/>
        <s v="Adana Döner Cafe (2000 Evler Mah.)"/>
        <s v="Adana Dürümcüsü , Çukurova (Toros Mah.)"/>
        <s v="Adana Erbey Döner (Tellidere Mah.)"/>
        <s v="Adana Gurmesi Tantuni Dünyası, Sarıçam (Yeşiltepe Mah.)"/>
        <s v="Adana Lezzet Durağı, Çukurova (Mahfesığmaz Mah.)"/>
        <s v="Adana Lezzet Sokağı, Seyhan (Yeşilyurt Mah.)"/>
        <s v="Adana Mercan Şaşlık Kebap (Toros Mah.)"/>
        <s v="Adana Nohut Dürüm, Seyhan (Cemalpaşa Mah.)"/>
        <s v="Adana Sofrası, Ceyhan (Namık Kemal Mah.)"/>
        <s v="Adana Taşköprü Közde Döner (Türkocağı Mah.)"/>
        <s v="Adana Tatlıcı Gönül Kardeşler, Çukurova (Yurt Mah.)"/>
        <s v="Adanas Çiğ Köfte &amp; Meze, Ceyhan (Burhaniye Mah.)"/>
        <s v="Adıyamanlı Çiğ Köfteci Ali Baba, Seyhan (Reşatbey Mah.)"/>
        <s v="Adıyamanlı Çiğ Köfteci Erdoğan Usta (Gürselpaşa Mah.)"/>
        <s v="Adıyörem Çiğ Köfte (Karacaoğlan Mah.)"/>
        <s v="Adıyörem Çiğ Köfte, Seyhan (İkibinevler Mah.)"/>
        <s v="Afilli Balık (Mahfesığmaz Mah.)"/>
        <s v="Afiyet Kebap (Huzurevleri Mah.)"/>
        <s v="Agah Restaurant, Seyhan (Kurtuluş Mah.)"/>
        <s v="Ağabey Döner (Yeşilyurt Mah. - İbo Osman Cad.)"/>
        <s v="Ağabey Döner, Seyhan (Sümer Mah.)"/>
        <s v="Ahmet Yıldızoğlu Künefe, Seyhan (Pınar Mah.)"/>
        <s v="Ailem Tavukçuluk, Çukurova (Yurt Mah.)"/>
        <s v="Akarsu Kebap &amp; Izgara , Çukurova (Yüzüncü Yıl Mah.)"/>
        <s v="Akdo , Çukurova (Güzelyalı Mah.)"/>
        <s v="Akdo, Seyhan (Pınar Mah.)"/>
        <s v="Akıllıoğlu El Yapımı Çiğ Köfte, Kozan (Karacaoğlan Mah.)"/>
        <s v="Akif Börekçioğlu, Çukurova (Mahfesığmaz Mah.)"/>
        <s v="Alâ Döner &amp; Pizza, Sarıçam (Çarkıpare Mah.)"/>
        <s v="Ala Mezze, (Güzelyalı Mah. - Süleyman Demirel Blv.)"/>
        <s v="Âlâ Ocakbaşı, Seyhan (Tellidere Mah.)"/>
        <s v="Alaçatı Muhallebicisi (Cemalpaşa Mah. - Gazipaşa Blv.)"/>
        <s v="Alaçatı Muhallebicisi,(Toros Mah. - Turgut Özal Blv.)"/>
        <s v="Algül Dondurma, Sarıçam (Şahintepe Mah.)"/>
        <s v="Ali Baba Cafe , Çukurova (Güzelyalı Mah.)"/>
        <s v="Ali Bey , (Mahfesığmaz Mah. - Turgut Özal Blv.)"/>
        <s v="Ali Şef Tavuk (Gültepe Mah.)"/>
        <s v="Alido Dondurma, Sarıçam (Osmangazi Mah.)"/>
        <s v="All Chicken Burn , Çukurova (Mahfesığmaz Mah.)"/>
        <s v="Alo Balık, Seyhan (Gürselpaşa Mah.)"/>
        <s v="Altın Cafe (Cemalpaşa Mah. - Atatürk Cad.)"/>
        <s v="Altıyol Çorba &amp; Yöresel Ev Yemekleri (Beyazevler Mah.)"/>
        <s v="American Chicken Box, Seyhan (Cemalpaşa Mah.)"/>
        <s v="An-takya Döner , Seyhan (Cemalpaşa Mah..)"/>
        <s v="Anadolu Çiğköfte, Seyhan (Hurmalı Mah.)"/>
        <s v="Anadolu Çiğköfte, Yüreğir (Anadolu Mah.)"/>
        <s v="Antakya Express Döner (Belediyeevleri Mah.)"/>
        <s v="Antakya Sos Döner, Çukurova (Yüzüncü Yıl Mah.)"/>
        <s v="Antakya Sos Döner, Seyhan (Pınar Mah.)"/>
        <s v="Antakyam Döner, Çukurova (Mahfesığmaz Mah.)"/>
        <s v="Antik Döner, Sarıçam (Gültepe Mah.)"/>
        <s v="Antiochia Döner , Çukurova (Güzelyalı Mah.)"/>
        <s v="Antiochia Döner, Seyhan (Gürselpaşa Mah.)"/>
        <s v="Antiochia Döner, Seyhan (Yenibaraj Mah. - Barajyolu)"/>
        <s v="Ara Döner 01, Çukurova (Toros Mah.)"/>
        <s v="Arada Biyer (Mahfesığmaz Mah.)"/>
        <s v="Argos Kebap , Seyhan (Cemalpaşa Mah.)"/>
        <s v="Arı Ekspress Döner, Seyhan (Sümer Mah. - Barajyolu)"/>
        <s v="Arı Ekspress Döner, Seyhan (Yeşiloba Mah.)"/>
        <s v="Arısoy Restaurant &amp; Catering, Sarıçam (Acıdere Osb Mah.)"/>
        <s v="Arifzade Organik Çiğ Köfte &amp; Meze, Çukurova (Beyazevler Mah.)"/>
        <s v="Aristone Cafe,(Kurtuluş Mah. - Atatürk Cad.)"/>
        <s v="Art City Pizza &amp; Burger, Seyhan (Reşatbey Mah.)"/>
        <s v="Artizan Burger, Seyhan (Gürselpaşa Mah.)"/>
        <s v="Arya Kebap Evi,Kozan (Cumhuriyet Mah.)"/>
        <s v="Asel Patisserie &amp; Cafe, Sarıçam (Gültepe Mah.)"/>
        <s v="Asil Börek, Çukurova (Yüzüncü Yıl Mah.)"/>
        <s v="Asil Fırın &amp; Pasta, Seyhan (Yeşilyurt Mah.)"/>
        <s v="Aslan Cafe, Seyhan (Sümer Mah.)"/>
        <s v="Asmaaltı Kebap (Gürselpaşa Mah.)"/>
        <s v="Aso Döner (Kurtuluş Mah. - Atatürk Cad.)"/>
        <s v="Aşık Döner, Çukurova (Belediyeevleri Mah.)"/>
        <s v="Ata Kumpir (Mahfesığmaz Mah.-Turgut Özal Blv.)"/>
        <s v="Atabey İskender (Güzelyalı Mah.)"/>
        <s v="Atahan Kebap, Yüreğir (Dadaloğlu Mah.)"/>
        <s v="Ateş Midye, Seyhan (Kurtuluş Mah.)"/>
        <s v="Ateş Sosis, Seyhan (Sümer Mah. - Barajyolu)"/>
        <s v="Atom Büfe, Çukurova (Toros Mah. - Turgut Özal Blv.)"/>
        <s v="Ayder Kebap, Çukurova (Güzelyalı Mah.)"/>
        <s v="Aydın Börekçilik, Sarıçam (Gültepe Mah.)"/>
        <s v="Aydın Gökçeli (Sümer Mah. - Barajyolu)"/>
        <s v="Aydın Gökçeli Döner Cafe, Seyhan (Kuruköprü Mah.)"/>
        <s v="Aydın Gökçeli Pizza (Yeşilyurt Mah.)"/>
        <s v="Aydın Gökçeli Pizza, Seyhan (Kuruköprü Mah.)"/>
        <s v="Aydoruk Döner (Pınar Mah.)"/>
        <s v="Ayman Tantuni, Seyhan (Sümer Mah. - Barajyolu)"/>
        <s v="Ayvalık Tostçusu, Seyhan (Sümer Mah. - Barajyolu)"/>
        <s v="Ayyıldız Kebap &amp; Lahmacun (Gültepe Mah.)"/>
        <s v="Ayyıldız Pizza, Kozan (Tufanpaşa Mah.)"/>
        <s v="Baba Kebap, Seyhan (Fevzipaşa Mah.)"/>
        <s v="Baba Onbaşılar Kebap &amp; Ciğer, Çukurova (Toros Mah.)"/>
        <s v="Bade Ocakbaşı &amp; Meze Evi, Seyhan (Sümer Mah.)"/>
        <s v="Bağrıyanık Ciğer &amp; Kebap, Yüreğir (Köprülü Mah.)"/>
        <s v="Bahçeşehir Kebap &amp; Lahmacun (Bahçeşehir Mah.)"/>
        <s v="Bak Tat Ye, Seyhan (Gürselpaşa Mah.)"/>
        <s v="Bake &amp; Brew Pizza, Çukurova (Beyazevler Mah.)"/>
        <s v="Bakery Loven, Çukurova (Güzelyalı Mah.)"/>
        <s v="Baklavacızade, Yüreğir (Serinevler Mah.)"/>
        <s v="Bal Aile Kasap &amp; Kebap, Kozan (Çanaklı Mah.)"/>
        <s v="Balıkçı Duran (Sümer Mah. - Barajyolu)"/>
        <s v="Balıkçı Şahin, Çukurova (Yüzüncü Yıl Mah.)"/>
        <s v="Balıkçı Veysel, Çukurova (Kurttepe Mah. - Süleyman Demirel Blv.)"/>
        <s v="Balım Pasta &amp; Cafe, Sarıçam (Şahintepe Mah.)"/>
        <s v="Ballıbaba Dondurma, Çukurova (Güzelyalı Mah.)"/>
        <s v="Barajyolu Döner (Sümer Mah.)"/>
        <s v="Barajyolu Pizza (Sümer Mah.)"/>
        <s v="Baran Etsiz Çiğköfte, Seyhan (Gülbahçesi Mah.)"/>
        <s v="Başkent Döner, Yüreğir (Dadaloğlu Mah.)"/>
        <s v="Battalbey Çiğ Köftecisi (İstiklal Mah.)"/>
        <s v="Battalbey Çiğ Köftecisi (Toros Mah.)"/>
        <s v="BayEmir Döner, Seyhan (Kocavezir Mah.)"/>
        <s v="Bayraklı Tantuni, Sarıçam (Mehmet Akif Ersoy Mah.)"/>
        <s v="Begonya Mantı Evi &amp; Ev Yemekleri, Seyhan (Sümer Mah.)"/>
        <s v="Begova Saray Pasta &amp; Cafe &amp; Unlu Mamüller (Döşeme Mah.)"/>
        <s v="Begoviç Börekçisi, Seyhan (Gürselpaşa Mah.)"/>
        <s v="Beğendik Döner, Çukurova (Beyazevler Mah.)"/>
        <s v="Bek Islak Hamburger (Beyazevler Mah.)"/>
        <s v="Bereket Sofrası Kebap &amp; Lahmacun (Gürselpaşa Mah.)"/>
        <s v="Bereket Sofrası Kebap &amp; Lahmacun &amp; Pide (Güzelyalı Mah.)"/>
        <s v="Best Burger,(Güzelyalı Mah. - Turgut Özal Blv.)"/>
        <s v="Best Chicken Döner &amp; İskender, Ceyhan (Cumhuriyet Mah.)"/>
        <s v="Bestem Döner &amp; İskender, Seyhan (Pınar Mah.)"/>
        <s v="Beyaz Mutfak, Seyhan (Yeşilyurt Mah.)"/>
        <s v="Beylerbeyi Cafe, Çukurova (Toros Mah.)"/>
        <s v="Beyzade Kebap &amp; Kasap &amp; Steakhouse, (Kabasakal Mah.)"/>
        <s v="Beyzade Kebap, (Mahfesığmaz. - Turgut Özal Blv.)"/>
        <s v="Beyzade Kebap, Çukurova (Güzelyalı Mah.)"/>
        <s v="Beyzade Kebap, Çukurova (Yüzüncü Yıl Mah.)"/>
        <s v="BIG-S Burger, Çukurova (Güzelyalı Mah.)"/>
        <s v="BIG-S Burger, Seyhan (Gürselpaşa Mah.)"/>
        <s v="Bi Tatlı Park, Seyhan (İsmetpaşa Mah.)"/>
        <s v="Bi Tepsi, Çukurova (Güzelyalı Mah. - Turgut Özal Blv.)"/>
        <s v="Bi Tepsi, Seyhan (Sümer Mah.)"/>
        <s v="Bi Yer Döner &amp; İskender Cafe, Seyhan (Yeşilyurt Mah.)"/>
        <s v="Bi'Tat Tantuni (Yeni Mah. - M1 AVM)"/>
        <s v="Bi'Tat Tantuni, Seyhan (Kurtuluş Mah. - Ziyapaşa Blv.)"/>
        <s v="Big Burger City, Çukurova ( Mahfesığmaz Mah.)"/>
        <s v="Bin Esved Kebap &amp; Döner (Gürselpaşa Mah.)"/>
        <s v="Bir Tat Restoran, Çukurova (Yüzüncü Yıl Mah.)"/>
        <s v="Birbiçer Ciğer,(Belediyeevleri Mah. - Türkmenbaşı Blv.)"/>
        <s v="Birbiçer Kebap , Çukurova (Güzelyalı Mah.-Adnan Menderes Bulv.)"/>
        <s v="Birbiçer Kebap , Çukurova (Güzelyalı Mah.-Süleyman Demirel Bul.)"/>
        <s v="Birbiçer Sokak Lezzetleri, Seyhan (Hurmalı Mah.)"/>
        <s v="Bizim Börekçilik (Gürselpaşa Mah.)"/>
        <s v="Bizim Börekçilik (Ziyapaşa Mah.)"/>
        <s v="Bizim Fırın Pasta &amp; Cafe, Seyhan (Döşeme Mah.)"/>
        <s v="Bizim Ocakbaşı, Seyhan (Yeşilyurt Mah. - Karaafat Cad.)"/>
        <s v="Blackbird Coffee &amp; Kitchen, Yüreğir (Serinevler Mah.)"/>
        <s v="Blackfish (Cemalpaşa Mah.)"/>
        <s v="Bloom Sweets, Seyhan (Sümer Mah.)"/>
        <s v="Bolulu Hasan Usta,(Kurtuluş Mah. - Ziyapaşa Blv.)"/>
        <s v="Botta Bloom (Cemalpaşa mah.)"/>
        <s v="Börek House, Çukurova (Yüzüncü Yıl Mah.)"/>
        <s v="Börekçi Kardeşler (Tahsilli Mah.)"/>
        <s v="Bullong Beef Burger, Çukurova (Huzurevleri Mah.)"/>
        <s v="Bun The Bun, Seyhan (Cemalpaşa Mah.)"/>
        <s v="Bun The Bun, Seyhan (Gürselpaşa Mah.)"/>
        <s v="Burger Bar, Çukurova (Güzelyalı Mah. - Turgut Özal Blv.)"/>
        <s v="Burger Bar, Seyhan (Cemalpaşa Mah.)"/>
        <s v="Burger Bar, Seyhan (Sümer Mah. - Barajyolu)"/>
        <s v="Burger Motto, Seyhan (Gürselpaşa Mah.)"/>
        <s v="Burger@, Kozan (Karacaoğlan Mah.)"/>
        <s v="Burgerhall, Seyhan (Gürselpaşa Mah.)"/>
        <s v="Burgerhome, Seyhan (Kurtuluş Mah.)"/>
        <s v="Burgerhome, Seyhan (Yeni Mah.)"/>
        <s v="Burgerhome,(Güzelyalı Mah. - Turgut Özal Blv.)"/>
        <s v="Burgerz, Çukurova (Toros Mah.)"/>
        <s v="Bus Stop Sokak Lezzetleri, Ceyhan (Namık Kemal Mah.)"/>
        <s v="Büyük Adana Kebap (Cemalpaşa Mah. - Gazipaşa Blv.)"/>
        <s v="By Ada Döner, Yüreğir (Serinevler Mah.)"/>
        <s v="By ÇD Döner, Çukurova (Yurt Mah. - Turgut Özal Blv.)"/>
        <s v="By Lookma Waffle (Yurt Mah. - Turgut Özal Blv.)"/>
        <s v="By Tombiş Cafe, Çukurova (Huzurevleri Mah.)"/>
        <s v="Cadde'S Döner &amp; Köfte, Ceyhan (Namık Kemal Mah.)"/>
        <s v="Cafe Inn , Çukurova (Huzurevleri Mah.)"/>
        <s v="Cafe Inn, Çukurova (Toros Mah.)"/>
        <s v="Cafe Kırmızı (Beyazevler Mah.)"/>
        <s v="Cafe's , Seyhan (Cemalpaşa Mah.)"/>
        <s v="Cafelim Börek ve Döner Salonu, Yüreğir (Ulubatlı Hasan Mah.)"/>
        <s v="Cajun Corner (Cemalpaşa Mah.)"/>
        <s v="Cajun Corner, Çukurova (Beyazevler Mah.)"/>
        <s v="Cajun Corner, Seyhan (Pınar Mah.)"/>
        <s v="Cajun Home , Çukurova (Güzelyalı Mah. - Turgut Özal Blv.)"/>
        <s v="California, Sarıçam (Gültepe Mah.)"/>
        <s v="Can Can Kebap (Gürselpaşa Mah.)"/>
        <s v="Can Döner, Seyhan (Hürriyet Mah.)"/>
        <s v="Can Kardeşler Kebap, Yüreğir (Kazım Karabekir Mah.)"/>
        <s v="Can Tatlı &amp; Dondurma, Çukurova (Huzurevleri Mah.)"/>
        <s v="Canım Döner İster, Çukurova (Yüzüncü Yıl Mah.)"/>
        <s v="Canoğlu Döner &amp; İskender, Seyhan (Karasoku Mah.)"/>
        <s v="Casco Pizzeria , Çukurova (Güzelyalı Mah.)"/>
        <s v="Cebrail Usta'nın Yeri, Yüreğir (Kiremithane Mah.)"/>
        <s v="Cemido Öz Dilek Pastanesi, Seyhan (Dumlupınar Mah.)"/>
        <s v="Cengiz Burger&amp;Taps (Cemalpaşa Mah.)"/>
        <s v="Center Stage, Seyhan (Cemalpaşa Mah.)"/>
        <s v="Cesur Pide, Yüreğir (Levent Mah.)"/>
        <s v="Ceyhan Balkaymak Dondurma (Cemalpaşa Mah.)"/>
        <s v="Ceyhan Balkaymak Dondurma (Mithatpaşa Mah.)"/>
        <s v="Ceywing's Chicken, Ceyhan (Cumhuriyet Mah.)"/>
        <s v="Chef Döner, Sarıçam (Yavuz Sultan Selim Mah.)"/>
        <s v="Chef Dürüm, Çukurova (Yurt Mah. - Turgut Özal Blv.)"/>
        <s v="Chef Mirdesli Çeşni Gurme, Seyhan (Çınarlı Mah.)"/>
        <s v="Chef's Burger House , Çukurova (Mahfesığmaz Mah.)"/>
        <s v="Chicken Crunchy (Mahfesığmaz Mah.)"/>
        <s v="Chicken Garage Cajun&amp;Burger, Çukurova (Mahfesığmaz Mah.)"/>
        <s v="Chocolabs Chocolate &amp; Coffee (Güzelyalı Mah. - Uğur Mumcu Blv.)"/>
        <s v="Chopstick (Mahfesığmaz Mah. - Turgut Özal Blv.)"/>
        <s v="Cızbız Cafe 01, Seyhan (Gürselpaşa Mah.)"/>
        <s v="Ciğerci Hadi (Döşeme Mah.)"/>
        <s v="Ciğerci Ulaş,(Güzelyalı Mah. - Turgut Özal Blv.)"/>
        <s v="Cihangir Dürümmatik, Seyhan (Kurtuluş Mah. - Ziyapaşa Blv.)"/>
        <s v="Cihangir Kebap &amp; Büryan, Seyhan (Pınar Mah.)"/>
        <s v="Cihangir Kebap, Çukurova (Güzelyalı Mah.)"/>
        <s v="Cihat Döner, Sarıçam (Gültepe Mah.)"/>
        <s v="Cimbilli Ocakbaşı Seyhan (Yeşilyuva Mah.)"/>
        <s v="Cool Koala Cafe, Seyhan (Cemalpaşa Mah.)"/>
        <s v="Cozy Burger (Reşatbey Mah.)"/>
        <s v="Creppy, Çukurova (Güzelyalı Mah. - Turgut Özal Blv.)"/>
        <s v="Cupid Burger, Çukurova (Mahfesığmaz Mah. - Turgut Özal Blv.)"/>
        <s v="Çağ Tatlı (Yeşilyurt Mah. - İbo Osman Cad.)"/>
        <s v="Çağlı Kebap, Çukurova (Huzurevleri Mah.)"/>
        <s v="Çağrı Büfe, Çukurova (Güzelyalı Mah.)"/>
        <s v="Çakıl Taşı Midye &amp; Kokoreç, (Güzelyalı Mah)"/>
        <s v="Çakın Et Ve Balık Restoran, Kozan (Tufanpaşa Mah.)"/>
        <s v="Çarşı Fırat Közde Döner, Seyhan (Fevzipaşa Mah.)"/>
        <s v="Çarşı Özgür Döner (Çınarlı Mah.)"/>
        <s v="ÇD Çukurova Döner , Çukurova (Huzurevleri Mah.)"/>
        <s v="ÇD Döner (Gazipaşa Mah.)"/>
        <s v="ÇD Döner (Selahattin Eyyubi Mah.)"/>
        <s v="ÇD Döner, Çukurova (Toros Mah.)"/>
        <s v="ÇD Döner, Çukurova (Yüzüncü Yıl Mah.)"/>
        <s v="ÇD Döner, Seyhan (Reşatbey Mah.)"/>
        <s v="ÇD Döner, Seyhan (Tellidere Mah.)"/>
        <s v="Çekbi Döner (Şahintepe Mah.)"/>
        <s v="Çelikler Lokantası, Sarıçam (Mehmet Akif Ersoy Mah.)"/>
        <s v="Çınar Fırın, Yüreğir (Atakent Mah.)"/>
        <s v="Çınarlı Lahmacun &amp; Pide, Seyhan (Çınarlı Mah.)"/>
        <s v="Çıtır Döner, Çukurova (Mahfesığmaz Mah.)"/>
        <s v="Çiğ Köfte Deryası , Çukurova (Belediye Evleri Mah.)"/>
        <s v="Çiğ Köfte Deryası, (Mahfesığmaz Mah. - Kenan Evren Blv.)"/>
        <s v="Çiğ Köfte Deryası, Çukurova (Güzelyalı Mah.Süleyman Demirel Blv)"/>
        <s v="Çiğ Köfte Deryası, Çukurova (Huzurevleri Mah.)"/>
        <s v="Çiğ Köfte Deryası, Çukurova (Toros Mah.)"/>
        <s v="Çiğ Köfte Dünyası (Pınar Mah.)"/>
        <s v="Çiğ Köfte Dünyası (Yenibaraj Mah.)"/>
        <s v="Çiğ Köfte Dünyası, Çukurova (Beyazevler Mah.)"/>
        <s v="Çiğ Köfte Dünyası, Çukurova (Kurttepe Mah.)"/>
        <s v="Çiğ Köfte Dünyası, Sarıçam (Gültepe Mah.)"/>
        <s v="Çiğ Köfte Dünyası, Seyhan (Ziyapaşa Mah.)"/>
        <s v="Çiğ Köfte Dünyası,(Yurt Mah. - Turgut Özal Blv.)"/>
        <s v="Çiğ Köfte Konağı (Atakent Mah.)"/>
        <s v="Çiğ Köfte Konağı (Belediyeevleri Mah.)"/>
        <s v="Çiğ Köfte Konağı (Gültepe Mah.)"/>
        <s v="Çiğ Köfte Konağı (Serinevler Mah.)"/>
        <s v="Çiğ Köfte Konağı (Yavuzlar Mah. - Kışla Cad.)"/>
        <s v="Çiğ Köfte Konağı, Yüreğir (Akıncılar Mah.)"/>
        <s v="Çiğ Köfte Türkiye (Dadaloğlu Mah.)"/>
        <s v="Çiğ Köfte Türkiye, Sarıçam (Yavuz Sultan Selim Mah.)"/>
        <s v="Çiğ Köfte Türkiye, Yüreğir (Ptt Evleri Mah.)"/>
        <s v="Çiğ Köfte Türkiyem, Seyhan (Pınar Mah.)"/>
        <s v="Çiğ Köfteci Ömer Usta, Sarıçam (Şahintepe Mah.)"/>
        <s v="Çiğ Köftem 02 (Dumlupınar Mah.)"/>
        <s v="Çiğköfteci Recep Usta, Yüreğir (Ulubatlı Hasan Mah.)"/>
        <s v="Çiğköftem (Toros Mah. - Kenan Evren Blv.)"/>
        <s v="Çoban Katık Döner (Cemalpaşa Mah.)"/>
        <s v="Çoban Katık Döner,Yurt Mah. - Turgut Özal Blv.)"/>
        <s v="Çukurova Börek Tatlı, Çukurova (Huzurevleri Mah.)"/>
        <s v="D- Life, Seyhan (Cemalpaşa Mah.)"/>
        <s v="Damak Baklava ( Güzelyalı Mah.)"/>
        <s v="Dante (Kurtuluş Mah. - Ziyapaşa Blv.)"/>
        <s v="Defne Kebap, Ceyhan (Ulus Mah.)"/>
        <s v="Demirel Lezzet Durağı, Seyhan (Fatih Mah.)"/>
        <s v="Dene@Gör Dönersin (Güzelyalı Mah. - Turgut Özal Blv.)"/>
        <s v="Deniz Cafe, Çukurova (Toros Mah. - Turgut Özal Blv.)"/>
        <s v="Deniz Kardeşler Közde Döner, Seyhan (Dumlupınar Mah.)"/>
        <s v="Deniz Kebap &amp; Lahmacun (Ptt Evleri Mah.)"/>
        <s v="Denizaltı Balık (Gürselpaşa Mah.)"/>
        <s v="Devran Döner, Ceyhan (Belediye Evleri Mah.)"/>
        <s v="Devran Pizza, Seyhan (Dağlıoğlu Mah.)"/>
        <s v="Deyişik Dürüm, Seyhan (Reşatbey Mah.)"/>
        <s v="Dillere Destan Ev Yemekleri, Çukurova (Toros Mah.)"/>
        <s v="Diva Pastaneleri (Gürselpaşa Mah.)"/>
        <s v="Diva Pastaneleri (Pınar Mah.)"/>
        <s v="Diva Pastaneleri, Çukurova (Huzurevleri Mah. - Türkmenbaşı Blv.)"/>
        <s v="Diyet Kapımda , Çukurova (Huzurevleri Mah.)"/>
        <s v="Diyet Kapımda , Seyhan(Cemalpaşa Mah.)"/>
        <s v="Diyet Kapımda, Seyhan (Gürselpaşa Mah.)"/>
        <s v="Diyet Zamanı , Seyhan (Cemalpaşa Mah.)"/>
        <s v="Dobos Food &amp; Drink , Çukurova (Güzelyalı Mah.)"/>
        <s v="Doğal Büfe (Cemalpaşa Mah. - Gazipaşa Blv.)"/>
        <s v="Doğal Yemek Evi, Seyhan (Gazipaşa Mah.)"/>
        <s v="Dolunay Cafe (Çınarlı Mah.)"/>
        <s v="Dost Çiğ Köfte Dünyası, Seyhan (İsmetpaşa Mah.)"/>
        <s v="Dostlar Börek &amp; Fast Food, Yüreğir (Akıncılar Mah.)"/>
        <s v="Doy Doy (Güzelyalı Mah. - Süleyman Demirel Blv.)"/>
        <s v="Doy Doy Döner &amp; Cafe, Sarıçam (Gültepe Mah.)"/>
        <s v="Doy Mix Döner, Ceyhan (Burhaniye Mah.)"/>
        <s v="Doyum Cafe, Çukurova (Belediye Evleri Mah.)"/>
        <s v="Doyum Döner Cafe, Sarıçam (Gültepe Mah.)"/>
        <s v="Döner Aşkı, Seyhan (Sümer Mah.)"/>
        <s v="Döner Vadisi, Seyhan (Yeşilyurt Mah. - Karaafat Cad.)"/>
        <s v="Döner-C, Yüreğir (Yavuzlar Mah.)"/>
        <s v="Dönergah (Yeşilevler Mah.)"/>
        <s v="Dönerhan, Seyhan (Telliedere Mah.)"/>
        <s v="Dönerland, Çukurova (Huzurevleri Mah.)"/>
        <s v="Dörtyol Çelik Döner, (Tepebağ Mah. - Çakmak Cad.)"/>
        <s v="Dörtyol Tantuni, Seyhan (Kurtuluş Mah. - Atatürk Cad.)"/>
        <s v="Dr. Makarna &amp; Burger, Çukurova (Yurt Mah. - Turgut Özal Blv.)"/>
        <s v="Dream House Cafe, Çukurova (Beyazevler Mah.)"/>
        <s v="Duygu Pizza, Seyhan (Sümer Mah. - Barajyolu)"/>
        <s v="Dünya Cafe &amp; Restaurant, Çukurova (Belediyeevleri Mah.)"/>
        <s v="Dünya Döner, Çukurova (Toros Mah.)"/>
        <s v="Dürümcü Baba (Sümer Mah. - Barajyolu)"/>
        <s v="Dürümcü, Çukurova (Güzelyalı Mah. - Turgut Özal Blv.)"/>
        <s v="Düsas, Seyhan (Yeni Mah.)"/>
        <s v="Ede Firik Dondurma , Çukurova (Güzelyalı Mah.)"/>
        <s v="Efe Közde Döner, Çukurova (Toros Mah.)"/>
        <s v="Ege Kebap, Seyhan (Cemalpaşa Mah.)"/>
        <s v="Ekrem Coşkun Döner, (Mahfesığmaz Mah. - Kenan Evren Blv.)"/>
        <s v="Ekrem Coşkun Döner, Çukurova (Güzelyalı Mah. - Turgut Özal Blv.)"/>
        <s v="Ekrem Coşkun Döner, Seyhan (Pınar Mah.)"/>
        <s v="Ekrem Coşkun Döner, Seyhan (Yenibaraj Mah. - Barajyolu)"/>
        <s v="El Mexico (Reşatbey Mah.)"/>
        <s v="Elibol Döner (Atakent Mah.)"/>
        <s v="Elif Közde Döner, Yüreğir (Sarıçam Mah.)"/>
        <s v="Elit Dostlar Kebap &amp; Lahmacun, (Güzelyalı Mah.)"/>
        <s v="Elit Fırın Pasta &amp; Cafe, Çukurova (Mahfesığmaz Mah.)"/>
        <s v="Elit Fırın Pasta &amp; Cafe, Seyhan (Cemalpaşa Mah.)"/>
        <s v="Elle Çiğ Köfte, Seyhan (Yenibaraj Mah.)"/>
        <s v="Emel'Ce Kebap, Seyhan (İsmetpaşa Mah.)"/>
        <s v="Emin Döner &amp; Kebap, Seyhan (İkibinevler Mah.)"/>
        <s v="Emin Kebap (Karasoku Mah.)"/>
        <s v="Enfes Fırın, (Güzelyalı Mah.)"/>
        <s v="Erdem Börek, Seyhan (Uçak Mah.)"/>
        <s v="Erdoğdu Kebap, Yüreğir (Levent Mah.)"/>
        <s v="Eren Döner, Seyhan (Pınar Mah.)"/>
        <s v="Eski Foça Balık (Gürselpaşa Mah.)"/>
        <s v="Essahlı Çiğ Köfte, Seyhan (Demetevler Mah.)"/>
        <s v="Eylül Büfe &amp; Fast Food, (Mahfesığmaz Mah.)"/>
        <s v="Eymen &amp; Ada Kebap , Çukurova (Belediyeevleri Mah.)"/>
        <s v="Eymen Kebap &amp; Lahmacun (Belediyeevleri Mah.)"/>
        <s v="Eyüp Can Döner, Seyhan (Dumlupınar Mah.)"/>
        <s v="Eyüp Can Kebap &amp; Lahmacun, Seyhan (Sümer Mah. - Barajyolu)"/>
        <s v="Eyvan Kebap, Çukurova (Güzelyalı Mah.)"/>
        <s v="Ezmeze, Çukurova (Mahfesığmaz Mah.)"/>
        <s v="Fa’ Mira Pasta &amp; Cafe, Çukurova (Belediyeevleri Mah.)"/>
        <s v="Federal Coffee, Seyhan (Gürselpaşa Mah.)"/>
        <s v="Federal Coffee, Seyhan (Kurtuluş Mah. - Ziyapaşa Blv.)"/>
        <s v="Federico Store , Seyhan (Cemalpaşa Mah.)"/>
        <s v="Fehmi Büfe , Çukurova (Yurt Mah.)"/>
        <s v="Fırat Cafe Barajyolu Şubesi, Mahfesığmaz Mah.)"/>
        <s v="Fırat Cafe Barajyolu Şubesi, Seyhan (Sümer Mah. - Barajyolu)"/>
        <s v="Fırat Cafe Pandora, Çukurova (Mahfesığmaz Mah.)"/>
        <s v="Fırat Cafe Pandora, Seyhan (Gürselpaşa Mah.)"/>
        <s v="Fırat Cafe Pandora, Seyhan (Kurtuluş Mah.)"/>
        <s v="Fırat Cafe Pandora,Yurt Mah. - Turgut Özal Blv.)"/>
        <s v="Fırat Keyifler Kebap, Çukurova (Toros Mah. - Turgut Özal Blv.)"/>
        <s v="Fırın Adana, Seyhan (Gürselpaşa Mah.)"/>
        <s v="Fırın Pastanya, Yüreğir (Atakent Mah.)"/>
        <s v="Fırıngo Pasta &amp; Cafe, Çukurova (Huzurevleri Mah.)"/>
        <s v="Fikr-Et, Çukurova (Belediyeevleri Mah. - Türkmenbaşı Blv.)"/>
        <s v="Fikr-Et, Seyhan (Yeşiloba Mah.)"/>
        <s v="Fix Döner (Barış Mah.)"/>
        <s v="Flavor Inn, Seyhan (Yenibaraj Mah.)"/>
        <s v="Fotografya Kare Pizza (Reşatbey Mah.)"/>
        <s v="Frame &amp; Box of Taste, Seyhan (Reşatbey Mah.)"/>
        <s v="Full Burger Cafe (Kurtuluş Mah.)"/>
        <s v="Füme Gurme (Cemalpaşa Mah.)"/>
        <s v="Game Of Hot Dog , Çukurova (Belediyeevleri Mah. )"/>
        <s v="Gaudi Dondurma, Çukurova (Mahfesığmaz Mah. - Turgut Özal Blv.)"/>
        <s v="Gaziantep Fıstık Bahçesi, (Güzelyalı Mah. - Turgut Özal Blv.)"/>
        <s v="Gaziantep Kebap &amp; Lahmacun (Yeşilyurt Mah. - Karaafat Cad.)"/>
        <s v="Gaziantep Mozaik Künefe &amp; Katmer, Ceyhan (Cumhuriyet Mah.)"/>
        <s v="Gazioğlu Döner (Ziyapaşa Mah.)"/>
        <s v="Gece Gündüz Döner, Yüreğir (Selahattin Eyyubi Mah.)"/>
        <s v="Gıyasbey Döner (Belediye Evleri Mah.)"/>
        <s v="Gizerler Çatı Restaurant, Seyhan (Reşatbey Mah.)"/>
        <s v="Gourmet Handmade Burger &amp; Pizza , Çukurova (Güzelyalı Mah.)"/>
      </sharedItems>
    </cacheField>
    <cacheField name="Satışa&#10;Açık Mı?" numFmtId="0">
      <sharedItems>
        <s v="DOĞRU"/>
        <s v="YANLIŞ"/>
      </sharedItems>
    </cacheField>
    <cacheField name="Mutfak" numFmtId="0">
      <sharedItems>
        <s v="Döner"/>
        <s v="Sokak Lezzetleri"/>
        <s v="Pasta &amp; Tatlı"/>
        <s v="Kebap"/>
        <s v="Tost &amp; Sandviç"/>
        <s v="Börek"/>
        <s v="Çiğ Köfte"/>
        <s v="Balık &amp; Deniz Ürünleri"/>
        <s v="Tavuk"/>
        <s v="Dünya Mutfağı"/>
        <s v="Kahvaltı"/>
        <s v="Deniz Ürünleri"/>
        <s v="Ev Yemekleri"/>
        <s v="Pizza"/>
        <s v="Burger"/>
        <s v="Menü"/>
        <s v="Köfte"/>
        <s v="Dondurma"/>
        <s v="Pide"/>
        <s v="İçecek"/>
        <s v="Lahmacun"/>
        <s v="Fit"/>
        <s v="Kahve"/>
        <s v="Steak"/>
      </sharedItems>
    </cacheField>
    <cacheField name="TOPLAM&#10;SİPARİŞ" numFmtId="0">
      <sharedItems containsString="0" containsBlank="1" containsNumber="1" containsInteger="1">
        <n v="557.0"/>
        <n v="4618.0"/>
        <n v="118.0"/>
        <n v="2130.0"/>
        <n v="21.0"/>
        <n v="411.0"/>
        <m/>
        <n v="103.0"/>
        <n v="1664.0"/>
        <n v="137.0"/>
        <n v="459.0"/>
        <n v="4029.0"/>
        <n v="9.0"/>
        <n v="520.0"/>
        <n v="953.0"/>
        <n v="1081.0"/>
        <n v="2713.0"/>
        <n v="2276.0"/>
        <n v="856.0"/>
        <n v="3613.0"/>
        <n v="1125.0"/>
        <n v="198.0"/>
        <n v="12.0"/>
        <n v="199.0"/>
        <n v="1088.0"/>
        <n v="88.0"/>
        <n v="220.0"/>
        <n v="3846.0"/>
        <n v="2344.0"/>
        <n v="52.0"/>
        <n v="2223.0"/>
        <n v="16.0"/>
        <n v="1637.0"/>
        <n v="241.0"/>
        <n v="379.0"/>
        <n v="2174.0"/>
        <n v="2420.0"/>
        <n v="629.0"/>
        <n v="2445.0"/>
        <n v="1799.0"/>
        <n v="108.0"/>
        <n v="1490.0"/>
        <n v="1719.0"/>
        <n v="438.0"/>
        <n v="2762.0"/>
        <n v="140.0"/>
        <n v="982.0"/>
        <n v="1077.0"/>
        <n v="1511.0"/>
        <n v="84.0"/>
        <n v="138.0"/>
        <n v="2272.0"/>
        <n v="688.0"/>
        <n v="549.0"/>
        <n v="954.0"/>
        <n v="49.0"/>
        <n v="543.0"/>
        <n v="1958.0"/>
        <n v="471.0"/>
        <n v="3192.0"/>
        <n v="54.0"/>
        <n v="35.0"/>
        <n v="3668.0"/>
        <n v="4320.0"/>
        <n v="9167.0"/>
        <n v="39663.0"/>
        <n v="728.0"/>
        <n v="9992.0"/>
        <n v="19750.0"/>
        <n v="20614.0"/>
        <n v="61.0"/>
        <n v="243.0"/>
        <n v="299.0"/>
        <n v="4464.0"/>
        <n v="95.0"/>
        <n v="38.0"/>
        <n v="2.0"/>
        <n v="615.0"/>
        <n v="311.0"/>
        <n v="5.0"/>
        <n v="32.0"/>
        <n v="201.0"/>
        <n v="761.0"/>
        <n v="2941.0"/>
        <n v="12117.0"/>
        <n v="7595.0"/>
        <n v="735.0"/>
        <n v="848.0"/>
        <n v="450.0"/>
        <n v="2042.0"/>
        <n v="376.0"/>
        <n v="4060.0"/>
        <n v="350.0"/>
        <n v="1229.0"/>
        <n v="879.0"/>
        <n v="2695.0"/>
        <n v="511.0"/>
        <n v="757.0"/>
        <n v="3108.0"/>
        <n v="3459.0"/>
        <n v="4713.0"/>
        <n v="700.0"/>
        <n v="2109.0"/>
        <n v="236.0"/>
        <n v="10.0"/>
        <n v="2552.0"/>
        <n v="6952.0"/>
        <n v="153.0"/>
        <n v="649.0"/>
        <n v="468.0"/>
        <n v="370.0"/>
        <n v="9748.0"/>
        <n v="3112.0"/>
        <n v="96.0"/>
        <n v="430.0"/>
        <n v="988.0"/>
        <n v="539.0"/>
        <n v="238.0"/>
        <n v="1251.0"/>
        <n v="523.0"/>
        <n v="114.0"/>
        <n v="1441.0"/>
        <n v="4452.0"/>
        <n v="537.0"/>
        <n v="4272.0"/>
        <n v="8182.0"/>
        <n v="10472.0"/>
        <n v="31.0"/>
        <n v="123.0"/>
        <n v="37.0"/>
        <n v="983.0"/>
        <n v="513.0"/>
        <n v="4756.0"/>
        <n v="7163.0"/>
        <n v="17677.0"/>
        <n v="4119.0"/>
        <n v="3886.0"/>
        <n v="1917.0"/>
        <n v="1676.0"/>
        <n v="19.0"/>
        <n v="490.0"/>
        <n v="447.0"/>
        <n v="916.0"/>
        <n v="3057.0"/>
        <n v="90.0"/>
        <n v="1239.0"/>
        <n v="518.0"/>
        <n v="4938.0"/>
        <n v="3157.0"/>
        <n v="348.0"/>
        <n v="47.0"/>
        <n v="119.0"/>
        <n v="111.0"/>
        <n v="2024.0"/>
        <n v="93.0"/>
        <n v="2459.0"/>
        <n v="992.0"/>
        <n v="155.0"/>
        <n v="204.0"/>
        <n v="544.0"/>
        <n v="327.0"/>
        <n v="638.0"/>
        <n v="929.0"/>
        <n v="4535.0"/>
        <n v="1685.0"/>
        <n v="2799.0"/>
        <n v="5649.0"/>
        <n v="4768.0"/>
        <n v="4061.0"/>
        <n v="505.0"/>
        <n v="225.0"/>
        <n v="1874.0"/>
        <n v="545.0"/>
        <n v="24528.0"/>
        <n v="237.0"/>
        <n v="7748.0"/>
        <n v="308.0"/>
        <n v="187.0"/>
        <n v="1528.0"/>
        <n v="312.0"/>
        <n v="11141.0"/>
        <n v="23382.0"/>
        <n v="20663.0"/>
        <n v="2116.0"/>
        <n v="3228.0"/>
        <n v="4279.0"/>
        <n v="42.0"/>
        <n v="1541.0"/>
        <n v="51.0"/>
        <n v="1217.0"/>
        <n v="107.0"/>
        <n v="2317.0"/>
        <n v="106.0"/>
        <n v="310.0"/>
        <n v="711.0"/>
        <n v="975.0"/>
        <n v="366.0"/>
        <n v="71.0"/>
        <n v="601.0"/>
        <n v="1500.0"/>
        <n v="64.0"/>
        <n v="719.0"/>
        <n v="634.0"/>
        <n v="1004.0"/>
        <n v="43.0"/>
        <n v="7134.0"/>
        <n v="5492.0"/>
        <n v="8.0"/>
        <n v="967.0"/>
        <n v="7339.0"/>
        <n v="265.0"/>
        <n v="3002.0"/>
        <n v="2231.0"/>
        <n v="786.0"/>
        <n v="2466.0"/>
        <n v="3557.0"/>
        <n v="41.0"/>
        <n v="632.0"/>
        <n v="868.0"/>
        <n v="249.0"/>
        <n v="4333.0"/>
        <n v="951.0"/>
        <n v="4664.0"/>
        <n v="8625.0"/>
        <n v="996.0"/>
        <n v="2743.0"/>
        <n v="640.0"/>
        <n v="1357.0"/>
        <n v="4205.0"/>
        <n v="652.0"/>
        <n v="723.0"/>
        <n v="3142.0"/>
        <n v="8717.0"/>
        <n v="1549.0"/>
        <n v="998.0"/>
        <n v="1.0"/>
        <n v="1552.0"/>
        <n v="2063.0"/>
        <n v="1693.0"/>
        <n v="2280.0"/>
        <n v="1671.0"/>
        <n v="1019.0"/>
        <n v="1159.0"/>
        <n v="600.0"/>
        <n v="1368.0"/>
        <n v="717.0"/>
        <n v="92.0"/>
        <n v="272.0"/>
        <n v="764.0"/>
        <n v="381.0"/>
        <n v="647.0"/>
        <n v="7704.0"/>
        <n v="20.0"/>
        <n v="254.0"/>
        <n v="83.0"/>
        <n v="3828.0"/>
        <n v="776.0"/>
        <n v="3689.0"/>
        <n v="122.0"/>
        <n v="533.0"/>
        <n v="1997.0"/>
        <n v="1537.0"/>
        <n v="1756.0"/>
        <n v="40.0"/>
        <n v="6596.0"/>
        <n v="1982.0"/>
        <n v="36.0"/>
        <n v="835.0"/>
        <n v="22.0"/>
        <n v="445.0"/>
        <n v="292.0"/>
        <n v="62.0"/>
        <n v="410.0"/>
        <n v="345.0"/>
        <n v="3055.0"/>
        <n v="188.0"/>
        <n v="302.0"/>
        <n v="251.0"/>
        <n v="277.0"/>
        <n v="497.0"/>
        <n v="28.0"/>
        <n v="473.0"/>
        <n v="186.0"/>
        <n v="50.0"/>
        <n v="304.0"/>
        <n v="2558.0"/>
        <n v="1823.0"/>
        <n v="11.0"/>
        <n v="1648.0"/>
        <n v="1678.0"/>
        <n v="342.0"/>
        <n v="5284.0"/>
        <n v="643.0"/>
        <n v="1410.0"/>
        <n v="1928.0"/>
        <n v="2135.0"/>
        <n v="86.0"/>
        <n v="865.0"/>
        <n v="3488.0"/>
        <n v="203.0"/>
        <n v="886.0"/>
        <n v="1197.0"/>
        <n v="1388.0"/>
        <n v="109.0"/>
        <n v="1372.0"/>
        <n v="160.0"/>
        <n v="1630.0"/>
        <n v="880.0"/>
        <n v="400.0"/>
        <n v="1315.0"/>
        <n v="2631.0"/>
        <n v="4777.0"/>
        <n v="2532.0"/>
        <n v="59.0"/>
        <n v="780.0"/>
        <n v="2052.0"/>
        <n v="408.0"/>
        <n v="9955.0"/>
        <n v="5992.0"/>
        <n v="2858.0"/>
        <n v="60.0"/>
        <n v="1485.0"/>
        <n v="436.0"/>
        <n v="566.0"/>
        <n v="208.0"/>
        <n v="15017.0"/>
        <n v="18733.0"/>
        <n v="8402.0"/>
        <n v="7113.0"/>
        <n v="5114.0"/>
        <n v="18194.0"/>
        <n v="1593.0"/>
        <n v="242.0"/>
        <n v="23.0"/>
        <n v="1737.0"/>
        <n v="3808.0"/>
        <n v="697.0"/>
        <n v="404.0"/>
        <n v="1261.0"/>
        <n v="1299.0"/>
        <n v="789.0"/>
        <n v="120.0"/>
        <n v="293.0"/>
        <n v="1241.0"/>
        <n v="3151.0"/>
        <n v="1659.0"/>
        <n v="184.0"/>
        <n v="579.0"/>
        <n v="1184.0"/>
        <n v="555.0"/>
      </sharedItems>
    </cacheField>
    <cacheField name="SON 2 &#10;HAFTA" numFmtId="0">
      <sharedItems containsString="0" containsBlank="1" containsNumber="1" containsInteger="1">
        <n v="3.0"/>
        <n v="21.0"/>
        <m/>
        <n v="41.0"/>
        <n v="67.0"/>
        <n v="62.0"/>
        <n v="35.0"/>
        <n v="7.0"/>
        <n v="11.0"/>
        <n v="38.0"/>
        <n v="131.0"/>
        <n v="68.0"/>
        <n v="30.0"/>
        <n v="169.0"/>
        <n v="63.0"/>
        <n v="9.0"/>
        <n v="12.0"/>
        <n v="8.0"/>
        <n v="69.0"/>
        <n v="49.0"/>
        <n v="188.0"/>
        <n v="84.0"/>
        <n v="5.0"/>
        <n v="15.0"/>
        <n v="59.0"/>
        <n v="66.0"/>
        <n v="83.0"/>
        <n v="143.0"/>
        <n v="194.0"/>
        <n v="13.0"/>
        <n v="221.0"/>
        <n v="10.0"/>
        <n v="91.0"/>
        <n v="4.0"/>
        <n v="29.0"/>
        <n v="26.0"/>
        <n v="80.0"/>
        <n v="46.0"/>
        <n v="23.0"/>
        <n v="6.0"/>
        <n v="161.0"/>
        <n v="304.0"/>
        <n v="92.0"/>
        <n v="256.0"/>
        <n v="409.0"/>
        <n v="1490.0"/>
        <n v="109.0"/>
        <n v="552.0"/>
        <n v="1110.0"/>
        <n v="2.0"/>
        <n v="136.0"/>
        <n v="14.0"/>
        <n v="31.0"/>
        <n v="71.0"/>
        <n v="39.0"/>
        <n v="883.0"/>
        <n v="205.0"/>
        <n v="18.0"/>
        <n v="99.0"/>
        <n v="197.0"/>
        <n v="74.0"/>
        <n v="70.0"/>
        <n v="44.0"/>
        <n v="61.0"/>
        <n v="16.0"/>
        <n v="153.0"/>
        <n v="198.0"/>
        <n v="42.0"/>
        <n v="1.0"/>
        <n v="578.0"/>
        <n v="55.0"/>
        <n v="33.0"/>
        <n v="37.0"/>
        <n v="95.0"/>
        <n v="24.0"/>
        <n v="96.0"/>
        <n v="314.0"/>
        <n v="151.0"/>
        <n v="334.0"/>
        <n v="278.0"/>
        <n v="27.0"/>
        <n v="43.0"/>
        <n v="123.0"/>
        <n v="270.0"/>
        <n v="537.0"/>
        <n v="112.0"/>
        <n v="147.0"/>
        <n v="77.0"/>
        <n v="53.0"/>
        <n v="25.0"/>
        <n v="295.0"/>
        <n v="87.0"/>
        <n v="65.0"/>
        <n v="60.0"/>
        <n v="75.0"/>
        <n v="81.0"/>
        <n v="56.0"/>
        <n v="20.0"/>
        <n v="47.0"/>
        <n v="185.0"/>
        <n v="115.0"/>
        <n v="73.0"/>
        <n v="193.0"/>
        <n v="114.0"/>
        <n v="886.0"/>
        <n v="122.0"/>
        <n v="228.0"/>
        <n v="739.0"/>
        <n v="844.0"/>
        <n v="795.0"/>
        <n v="110.0"/>
        <n v="34.0"/>
        <n v="181.0"/>
        <n v="125.0"/>
        <n v="72.0"/>
        <n v="102.0"/>
        <n v="32.0"/>
        <n v="93.0"/>
        <n v="237.0"/>
        <n v="130.0"/>
        <n v="201.0"/>
        <n v="124.0"/>
        <n v="142.0"/>
        <n v="349.0"/>
        <n v="160.0"/>
        <n v="149.0"/>
        <n v="583.0"/>
        <n v="22.0"/>
        <n v="128.0"/>
        <n v="50.0"/>
        <n v="19.0"/>
        <n v="76.0"/>
        <n v="17.0"/>
        <n v="225.0"/>
        <n v="183.0"/>
        <n v="275.0"/>
        <n v="106.0"/>
        <n v="52.0"/>
        <n v="167.0"/>
        <n v="40.0"/>
        <n v="288.0"/>
        <n v="86.0"/>
        <n v="36.0"/>
        <n v="250.0"/>
        <n v="64.0"/>
        <n v="89.0"/>
        <n v="107.0"/>
        <n v="166.0"/>
        <n v="51.0"/>
        <n v="54.0"/>
        <n v="88.0"/>
        <n v="121.0"/>
        <n v="163.0"/>
        <n v="210.0"/>
        <n v="48.0"/>
        <n v="155.0"/>
        <n v="510.0"/>
        <n v="156.0"/>
        <n v="1120.0"/>
        <n v="1317.0"/>
        <n v="218.0"/>
        <n v="373.0"/>
        <n v="231.0"/>
        <n v="570.0"/>
        <n v="113.0"/>
        <n v="78.0"/>
        <n v="90.0"/>
        <n v="139.0"/>
      </sharedItems>
    </cacheField>
    <cacheField name="RESİMLİ&#10;ÜRÜN" numFmtId="0">
      <sharedItems containsSemiMixedTypes="0" containsString="0" containsNumber="1" containsInteger="1">
        <n v="8.0"/>
        <n v="30.0"/>
        <n v="16.0"/>
        <n v="10.0"/>
        <n v="0.0"/>
        <n v="5.0"/>
        <n v="3.0"/>
        <n v="2.0"/>
        <n v="12.0"/>
        <n v="14.0"/>
        <n v="18.0"/>
        <n v="19.0"/>
        <n v="17.0"/>
        <n v="9.0"/>
        <n v="6.0"/>
        <n v="21.0"/>
        <n v="27.0"/>
        <n v="46.0"/>
        <n v="23.0"/>
        <n v="47.0"/>
        <n v="13.0"/>
        <n v="11.0"/>
        <n v="7.0"/>
        <n v="22.0"/>
        <n v="1.0"/>
        <n v="37.0"/>
        <n v="4.0"/>
        <n v="20.0"/>
        <n v="60.0"/>
        <n v="57.0"/>
        <n v="31.0"/>
        <n v="26.0"/>
        <n v="32.0"/>
        <n v="28.0"/>
        <n v="29.0"/>
        <n v="35.0"/>
        <n v="15.0"/>
        <n v="25.0"/>
        <n v="34.0"/>
        <n v="44.0"/>
        <n v="48.0"/>
        <n v="33.0"/>
        <n v="24.0"/>
      </sharedItems>
    </cacheField>
    <cacheField name="RESİMSİZ&#10;ÜRÜN" numFmtId="0">
      <sharedItems containsSemiMixedTypes="0" containsString="0" containsNumber="1" containsInteger="1">
        <n v="0.0"/>
        <n v="3.0"/>
        <n v="13.0"/>
        <n v="2.0"/>
        <n v="23.0"/>
        <n v="20.0"/>
        <n v="8.0"/>
        <n v="1.0"/>
        <n v="35.0"/>
        <n v="49.0"/>
        <n v="75.0"/>
        <n v="9.0"/>
        <n v="6.0"/>
        <n v="5.0"/>
        <n v="12.0"/>
        <n v="27.0"/>
        <n v="15.0"/>
        <n v="14.0"/>
        <n v="26.0"/>
        <n v="10.0"/>
        <n v="32.0"/>
        <n v="29.0"/>
        <n v="24.0"/>
        <n v="4.0"/>
        <n v="18.0"/>
        <n v="21.0"/>
        <n v="110.0"/>
        <n v="98.0"/>
        <n v="7.0"/>
        <n v="38.0"/>
        <n v="63.0"/>
        <n v="46.0"/>
        <n v="17.0"/>
        <n v="45.0"/>
        <n v="16.0"/>
        <n v="19.0"/>
        <n v="25.0"/>
        <n v="55.0"/>
        <n v="28.0"/>
        <n v="30.0"/>
        <n v="54.0"/>
        <n v="34.0"/>
        <n v="31.0"/>
        <n v="36.0"/>
        <n v="33.0"/>
        <n v="11.0"/>
        <n v="76.0"/>
        <n v="65.0"/>
        <n v="64.0"/>
        <n v="102.0"/>
        <n v="48.0"/>
        <n v="69.0"/>
        <n v="22.0"/>
        <n v="37.0"/>
        <n v="93.0"/>
        <n v="101.0"/>
        <n v="39.0"/>
        <n v="66.0"/>
        <n v="41.0"/>
        <n v="121.0"/>
        <n v="40.0"/>
        <n v="57.0"/>
        <n v="42.0"/>
        <n v="53.0"/>
        <n v="112.0"/>
        <n v="198.0"/>
        <n v="67.0"/>
        <n v="47.0"/>
        <n v="44.0"/>
        <n v="72.0"/>
        <n v="60.0"/>
        <n v="74.0"/>
        <n v="51.0"/>
        <n v="94.0"/>
      </sharedItems>
    </cacheField>
    <cacheField name="TOPLAM&#10;ÜRÜN" numFmtId="0">
      <sharedItems containsSemiMixedTypes="0" containsString="0" containsNumber="1" containsInteger="1">
        <n v="8.0"/>
        <n v="33.0"/>
        <n v="29.0"/>
        <n v="12.0"/>
        <n v="23.0"/>
        <n v="20.0"/>
        <n v="11.0"/>
        <n v="35.0"/>
        <n v="49.0"/>
        <n v="75.0"/>
        <n v="9.0"/>
        <n v="16.0"/>
        <n v="6.0"/>
        <n v="14.0"/>
        <n v="39.0"/>
        <n v="15.0"/>
        <n v="44.0"/>
        <n v="10.0"/>
        <n v="32.0"/>
        <n v="19.0"/>
        <n v="34.0"/>
        <n v="24.0"/>
        <n v="45.0"/>
        <n v="21.0"/>
        <n v="110.0"/>
        <n v="98.0"/>
        <n v="7.0"/>
        <n v="61.0"/>
        <n v="65.0"/>
        <n v="63.0"/>
        <n v="59.0"/>
        <n v="18.0"/>
        <n v="17.0"/>
        <n v="30.0"/>
        <n v="38.0"/>
        <n v="67.0"/>
        <n v="28.0"/>
        <n v="25.0"/>
        <n v="47.0"/>
        <n v="64.0"/>
        <n v="56.0"/>
        <n v="26.0"/>
        <n v="31.0"/>
        <n v="13.0"/>
        <n v="40.0"/>
        <n v="3.0"/>
        <n v="55.0"/>
        <n v="76.0"/>
        <n v="5.0"/>
        <n v="4.0"/>
        <n v="41.0"/>
        <n v="87.0"/>
        <n v="102.0"/>
        <n v="46.0"/>
        <n v="66.0"/>
        <n v="48.0"/>
        <n v="71.0"/>
        <n v="22.0"/>
        <n v="83.0"/>
        <n v="27.0"/>
        <n v="37.0"/>
        <n v="93.0"/>
        <n v="101.0"/>
        <n v="80.0"/>
        <n v="153.0"/>
        <n v="36.0"/>
        <n v="42.0"/>
        <n v="51.0"/>
        <n v="57.0"/>
        <n v="53.0"/>
        <n v="112.0"/>
        <n v="198.0"/>
        <n v="1.0"/>
        <n v="86.0"/>
        <n v="79.0"/>
        <n v="68.0"/>
        <n v="72.0"/>
        <n v="60.0"/>
        <n v="82.0"/>
        <n v="126.0"/>
        <n v="69.0"/>
        <n v="94.0"/>
      </sharedItems>
    </cacheField>
    <cacheField name="Ratio" numFmtId="9">
      <sharedItems containsSemiMixedTypes="0" containsString="0" containsNumber="1">
        <n v="1.0"/>
        <n v="0.91"/>
        <n v="0.55"/>
        <n v="0.83"/>
        <n v="0.0"/>
        <n v="0.63"/>
        <n v="0.43"/>
        <n v="0.38"/>
        <n v="0.14"/>
        <n v="0.31"/>
        <n v="0.7"/>
        <n v="0.41"/>
        <n v="0.85"/>
        <n v="0.82"/>
        <n v="0.75"/>
        <n v="0.89"/>
        <n v="0.62"/>
        <n v="0.6"/>
        <n v="0.9"/>
        <n v="0.72"/>
        <n v="0.22"/>
        <n v="0.56"/>
        <n v="0.57"/>
        <n v="0.2"/>
        <n v="0.92"/>
        <n v="0.5"/>
        <n v="0.26"/>
        <n v="0.18"/>
        <n v="0.21"/>
        <n v="0.76"/>
        <n v="0.84"/>
        <n v="0.71"/>
        <n v="0.16"/>
        <n v="0.39"/>
        <n v="0.95"/>
        <n v="0.78"/>
        <n v="0.1"/>
        <n v="0.77"/>
        <n v="0.8"/>
        <n v="0.93"/>
        <n v="0.67"/>
        <n v="0.13"/>
        <n v="0.42"/>
        <n v="0.45"/>
        <n v="0.23"/>
        <n v="0.58"/>
        <n v="0.24"/>
        <n v="0.11"/>
        <n v="0.05"/>
        <n v="0.64"/>
        <n v="0.46"/>
        <n v="0.79"/>
        <n v="0.51"/>
        <n v="0.44"/>
        <n v="0.32"/>
        <n v="0.29"/>
        <n v="0.3"/>
        <n v="0.03"/>
        <n v="0.36"/>
        <n v="0.86"/>
        <n v="0.97"/>
        <n v="0.94"/>
        <n v="0.65"/>
        <n v="0.69"/>
        <n v="0.73"/>
        <n v="0.33"/>
        <n v="0.61"/>
        <n v="0.09"/>
        <n v="0.53"/>
        <n v="0.35"/>
        <n v="0.27"/>
        <n v="0.87"/>
        <n v="0.88"/>
        <n v="0.07"/>
        <n v="0.15"/>
        <n v="0.81"/>
        <n v="0.04"/>
        <n v="0.52"/>
        <n v="0.28"/>
        <n v="0.68"/>
        <n v="0.49"/>
        <n v="0.96"/>
        <n v="0.17"/>
        <n v="0.4"/>
        <n v="0.74"/>
        <n v="0.08"/>
      </sharedItems>
    </cacheField>
    <cacheField name="Yetkili">
      <sharedItems containsMixedTypes="1" containsNumber="1" containsInteger="1">
        <s v="barbaros hayreddin gürsoy"/>
        <s v="mustafa altunkaynak"/>
        <s v="hanefi alp"/>
        <s v="pınar uysun"/>
        <s v="EMRAH ÖZER"/>
        <s v="ABDURRAHMAN TOPRAK"/>
        <s v="Onur Öncü Uyandı"/>
        <s v="zeynep topaloğlu"/>
        <s v="leyla kocaman"/>
        <s v="erisn şendoğan"/>
        <s v="soner sarp"/>
        <s v="ismail kılınç"/>
        <s v="memduh birdir"/>
        <s v="kemal sabancı"/>
        <s v="mustafa orhan"/>
        <s v="ersin kardaş"/>
        <s v="veysel zengin"/>
        <s v="Muhammet Belindir"/>
        <s v="serkan büyükocak"/>
        <s v="Taner Aksoy"/>
        <s v="Riber Ergün"/>
        <s v="Ali Miraç Aşık"/>
        <s v="murat bey"/>
        <s v="canan boğa"/>
        <s v="Gökhan Lak"/>
        <s v="osman bey"/>
        <s v="Nilüfer Erçelik"/>
        <s v="NİGAR UZUN"/>
        <s v="Serkan Kılıçarslan"/>
        <s v="erdoğan özer"/>
        <s v="adem kocatürk"/>
        <s v="mehmet kaya"/>
        <s v="doğukan idigük"/>
        <s v="erdoğan aksoyan"/>
        <s v="KADİR SİCİMOĞLU"/>
        <s v="osman bayer"/>
        <s v="ERCAN DOĞAN"/>
        <s v="ibrahim üstün"/>
        <s v="Alkan IŞIK"/>
        <s v="mekye akarsu"/>
        <s v="Fatih Şirin"/>
        <s v="EMRAH AKILLIOĞLU"/>
        <s v="melda aynalı"/>
        <s v="ferhat aslan"/>
        <s v="savaş savaş"/>
        <s v="ömer çelik"/>
        <s v="levent dağlı"/>
        <s v="önder çebiç"/>
        <s v="KÜRŞAT KOCAMAN"/>
        <s v="SENCER YILMAZ"/>
        <s v="ali akdeniz"/>
        <s v="metin can çapanoğlu"/>
        <s v="FATİH ÇAKMAK"/>
        <s v="ÖMER FARUK KÖRLÜ"/>
        <s v="BERDAN AKÇEKOCE"/>
        <s v="deniz can gülli"/>
        <s v="ismail aydoğdu"/>
        <s v="Mehmet Sayılık"/>
        <s v="çağlayan kocahan"/>
        <s v="muhammet şükrü özkarakaş"/>
        <s v="hasan özüş"/>
        <s v="adem topal"/>
        <s v="seda gönlü"/>
        <s v="uğur gönlü"/>
        <s v="tuncay bozkuş"/>
        <s v="SUAT İDEMER"/>
        <s v="züleyha hanım"/>
        <s v="ZÜLEYHA ATLAS"/>
        <s v="yasin atlas"/>
        <s v="Alp Ocak"/>
        <s v="levent tanrıverdi"/>
        <s v="gökhan acımış"/>
        <s v="badel avcılar"/>
        <s v="İLMETTİN ÇALPAN"/>
        <s v="azmi huzur yurtçu"/>
        <s v="Süleyman Ürek"/>
        <s v="onur kırıcı"/>
        <s v="ORHAN EMEN"/>
        <s v="Cem Polat"/>
        <s v="Kemal Örtlek"/>
        <s v="Rahime Avli"/>
        <s v="Ömer Yücesoylu"/>
        <s v="ömer yavuz"/>
        <s v="HELİN ASLAN"/>
        <s v="yunus alagöz"/>
        <s v="fehmi kardeşoğlu"/>
        <s v="ersan aşık"/>
        <s v="özlem öztürk"/>
        <s v="aziz altunkaynak"/>
        <s v="Hakan Emre Türksev"/>
        <s v="gökhan ateş"/>
        <s v="cihan ateş"/>
        <s v="yunus uçmak"/>
        <s v="UĞUR DERSİM DURAN"/>
        <s v="aydın alptekin"/>
        <s v="erkan barış gökçeli"/>
        <s v="barış gökçeli"/>
        <s v="aytaç limonkoparan"/>
        <s v="Haluk Ayman"/>
        <s v="gökhan birdir"/>
        <s v="mehmet fatih yıldız"/>
        <s v="Ebubekir akgedik"/>
        <s v="sabri gel"/>
        <s v="İLKEM YİĞİT KIYAN"/>
        <s v="TÜLİN AVCI"/>
        <s v="SAFİYE BAĞRIYANIK"/>
        <s v="selçuk odabaşı"/>
        <s v="Ömer Boğça"/>
        <s v="Hüseyin Çağlar"/>
        <s v="hanife geç"/>
        <s v="Fatma Arice"/>
        <s v="Nilgün Bal"/>
        <s v="duran parlak"/>
        <s v="vedat sinar"/>
        <s v="veysel demirtaş"/>
        <s v="Fevziye Biçer"/>
        <s v="nurullah gök"/>
        <s v="Ahmet Erbeyi"/>
        <s v="ALİ BALIK"/>
        <s v="ali gençer"/>
        <s v="abdullah turan"/>
        <s v="EMİRHAN ŞİMŞEKYILMAZ"/>
        <s v="kara pezen"/>
        <s v="yasemin tuştaş"/>
        <s v="necmettin alpboğa"/>
        <s v="yasin karagiydiren"/>
        <s v="muhammet hanifi sündük"/>
        <s v="anıl can bektaş"/>
        <s v="savaş süzgünol"/>
        <s v="esra erkiş"/>
        <s v="rahmetullah özdemir"/>
        <s v="Sedat Adıgüzel"/>
        <s v="hakan özkan"/>
        <s v="sema sakacalı"/>
        <s v="bilal yurduseven"/>
        <s v="orhan daşkıran"/>
        <n v="5.468810203E9"/>
        <s v="ömer daşkıran"/>
        <s v="ali daşkıran"/>
        <s v="nuriye ünal"/>
        <s v="TUĞBA AVCI"/>
        <s v="onur uludağ"/>
        <s v="tayfun turmuş"/>
        <s v="hakan canpolat"/>
        <s v="NURETTİN DAĞTEKİN"/>
        <s v="Nurullah Yılmaz"/>
        <s v="cuma çekirge"/>
        <s v="Doğuş Korkmaz"/>
        <s v="mahmut özçiftçi"/>
        <s v="ferhan ökmen"/>
        <s v="mehmet nuri şimşek"/>
        <s v="selçuk bayram"/>
        <s v="selim bey"/>
        <s v="resul inal"/>
        <s v="ŞERAFETTİN ÇAKMAK"/>
        <s v="CKM RESTORAN VE GIDA İŞLETMELERİ A.Ş."/>
        <s v="ibrahim kuş"/>
        <s v="eylem kaplan özcan"/>
        <s v="ismail baran"/>
        <s v="ümit kış"/>
        <s v="muzaffer özel"/>
        <s v="cemil kardaş"/>
        <s v="Nehir Altay"/>
        <s v="BERAT KIYAN"/>
        <s v="ali alkan akata"/>
        <s v="hüsamettin hüyük"/>
        <s v="taner tekin"/>
        <s v="orkun ölmez"/>
        <s v="berkay tutar"/>
        <s v="gamze gümüşay"/>
        <s v="adem bey"/>
        <s v="erman mutlu"/>
        <s v="Çağrı Demir"/>
        <s v="LAZGİN DÜNDAR"/>
        <s v="cesur oral"/>
        <s v="bünyamin arık"/>
        <s v="davut deletioğlu"/>
        <s v="ÖZGÜR ÇOPUR"/>
        <s v="abdullah uğar"/>
        <s v="Musa Köksal"/>
        <s v="ilhan öztürk"/>
        <s v="murat tekin"/>
        <s v="ömer kocahan"/>
        <s v="suat kanber"/>
        <s v="hamza abalı"/>
        <s v="aytaç çirkin"/>
        <s v="tunç karslı"/>
        <s v="hakan yüzbaş"/>
        <s v="aydın parlakbileker"/>
        <s v="MUSTAFA ZÜMRÜTYAPRAK"/>
        <s v="Samet Akdağ"/>
        <s v="Mustafa Cengiz"/>
        <s v="zülküf altun"/>
        <s v="abdulkadir aylık"/>
        <s v="Esef Doğru"/>
        <s v="orhan yıldız"/>
        <s v="ömer tunç"/>
        <s v="ural cenap çiftçi"/>
        <s v="Emircan gürdoğan"/>
        <s v="Mehmet Gerez"/>
        <s v="seyfi kurt"/>
        <s v="selçuk taşcı"/>
        <s v="songül dinçer"/>
        <s v="MERYEM ÖZASLAN"/>
        <s v="dilan adar"/>
        <s v="mehmet mustafa mirdesli"/>
        <s v="sibel andırır"/>
        <s v="çağatay yalçın"/>
        <s v="levent bey"/>
        <s v="leyla aydın"/>
        <s v="özkan kenanoğlu"/>
        <s v="şahin kot"/>
        <s v="hüseyin kıstak"/>
        <s v="Gökhan Korkmaz"/>
        <s v="İbrahim özer"/>
        <s v="yusuf karakoç"/>
        <s v="önder özel"/>
        <s v="remzi kılıç"/>
        <s v="uğur akın kavak"/>
        <s v="sami tekcan"/>
        <s v="yasin bey"/>
        <s v="mahmut çağlı"/>
        <s v="ÇAĞRI BEY"/>
        <s v="seda meler"/>
        <s v="BEŞİR ÇAKIN"/>
        <s v="YUSUF GÖKTAŞ"/>
        <s v="hüseyin yalçın"/>
        <s v="serdar atılan"/>
        <s v="mustafa seymen"/>
        <s v="Ayşe Gültekin"/>
        <s v="aslı görkem"/>
        <s v="bilgehan akcan"/>
        <s v="AYŞE GÜLTEKİN"/>
        <s v="Nadir Özdemir"/>
        <s v="gökhan bey"/>
        <s v="bekir cihan"/>
        <s v="servet kaya"/>
        <s v="ahmet orakci"/>
        <s v="ismail koştur"/>
        <s v="umut can tekin"/>
        <s v="tarık doğan"/>
        <s v="KADRİYE SILA ÜLKER"/>
        <s v="gökhan şık"/>
        <s v="zeki kaya"/>
        <s v="mizbah zengin"/>
        <s v="mehmet deniz"/>
        <s v="ercan kaya"/>
        <s v="elif turhan"/>
        <s v="Yakup Ohal"/>
        <s v="emre yonsul"/>
        <s v="esat tahiroğlu"/>
        <s v="cumali abucak"/>
        <s v="Zekiye Çırakoğlu"/>
        <s v="erdal çelik"/>
        <s v="emin gökalp"/>
        <s v="ENES DOĞAN"/>
        <s v="fatih mutlu"/>
        <s v="Fadime Yörük"/>
        <s v="yunus danış"/>
        <s v="İmdat Kocatürk"/>
        <s v="abdullah alyagut"/>
        <s v="nurettin karadal"/>
        <s v="celal tanrıöver"/>
        <s v="Hayati Yerlikaya"/>
        <s v="ÇAĞLA YILMAZ"/>
        <s v="metin kurtoğlu"/>
        <s v="sedat ocağ"/>
        <s v="halil sönmez"/>
        <s v="ibrahim demirel"/>
        <s v="özlem hanım"/>
        <s v="HÜSEYİN ESEN"/>
        <s v="celal deniz"/>
        <s v="hüseyin gürevin"/>
        <s v="ismail bey"/>
        <s v="Ramazan Esmeray"/>
        <s v="Serkan Emen"/>
        <s v="ahmet korkmaz"/>
        <s v="Hüsniye Arslan"/>
        <s v="seher hanım"/>
        <s v="SEHER ÇALIŞIR"/>
        <s v="yusuf onur ergezer"/>
        <s v="müzeyyen hanım"/>
        <s v="dorukhan bostancı"/>
        <s v="mustafa ağırman"/>
        <s v="ELİF HATİCE MUMCU"/>
        <s v="ramazan aslan"/>
        <s v="Ayhan Güler"/>
        <s v="AYTAÇ İSKAN"/>
        <s v="ali yıldırım"/>
        <s v="Hacı Sarıdoğan"/>
        <s v="SERCAN HAMARAT"/>
        <s v="Ayşegül Demir"/>
        <s v="hüseyin dike"/>
        <s v="celal sayman"/>
        <s v="dilber kızılboğa"/>
        <s v="ALİ CAN ÖZKAN"/>
        <s v="mustafa küçük"/>
        <s v="AZİZHAN KARAKUŞ"/>
        <s v="emrah şancı"/>
        <s v="cevdet çelik"/>
        <s v="MERT UYANIK"/>
        <s v="Yunus Emre Akdeniz"/>
        <s v="erkan katlav"/>
        <s v="büşra nur özgan"/>
        <s v="mehtap yücel"/>
        <s v="servet polat"/>
        <s v="mehmet yaycıoğlu"/>
        <s v="cengiz solmaz"/>
        <s v="Aliye Mankır"/>
        <s v="Mustafa Demirtaş"/>
        <s v="şelale alpçoğay"/>
        <s v="ömer bey"/>
        <s v="Hasan Denizhan"/>
        <s v="hulusi güneş"/>
        <s v="SEFA ARICI"/>
        <s v="arda hepsağ"/>
        <s v="burak elibol"/>
        <s v="cumali karaçalı"/>
        <s v="mehmet acar"/>
        <s v="kahraman demir"/>
        <s v="VEDAT ÖZKAN"/>
        <s v="EMEL PANCAR"/>
        <s v="mehmet emin özel"/>
        <s v="mahmut bey"/>
        <s v="ahmet yavuz"/>
        <s v="FİKRİYE KUŞCİ"/>
        <s v="Musa Erdoğdu"/>
        <s v="tarık özdüzenciler"/>
        <s v="azize burak"/>
        <s v="mürsel güler"/>
        <s v="hülya çelik"/>
        <s v="aykut mutugu"/>
        <s v="güllü uyarlar"/>
        <s v="HASAN TOPRAK"/>
        <s v="EYÜP GÜRLER"/>
        <s v="BEYHAN KORKMAZ"/>
        <s v="Gökhan Tuyğun"/>
        <s v="hakansafa unal"/>
        <s v="erinç oksal"/>
        <s v="Levent Yamaç"/>
        <s v="fehmi alişan"/>
        <s v="yusuf kölge"/>
        <s v="ömer argın"/>
        <s v="fırat nizam"/>
        <s v="Furkan Nizam"/>
        <s v="ferhat nizam"/>
        <s v="fethi çiçek"/>
        <s v="Taner Koçaklı"/>
        <s v="abdullah delen"/>
        <s v="ahmet hasan bozdemir"/>
        <s v="fikret taşkıran"/>
        <s v="ömer kızmaz"/>
        <s v="mehmet enser"/>
        <s v="İ.Selçuk Kadıoğlu"/>
        <s v="murat alp akkaya"/>
        <s v="tarık ışıkgün"/>
        <s v="ÜMİT KIŞ"/>
        <s v="Muhammet ALi Karcun"/>
        <s v="evrim kılıç özdemir"/>
        <s v="mehmet akcan"/>
        <s v="mustafa çakallıoğlu"/>
        <s v="MÜSLÜM BOZTEKE"/>
        <s v="maruf tekin"/>
        <s v="Caner Buldi"/>
        <s v="şahabettin arıkboğa"/>
        <s v="cüneyt gizer"/>
        <s v="yusuf uçar"/>
      </sharedItems>
    </cacheField>
    <cacheField name="Telefon" numFmtId="0">
      <sharedItems containsSemiMixedTypes="0" containsString="0" containsNumber="1" containsInteger="1">
        <n v="5.079724473E9"/>
        <n v="5.526590101E9"/>
        <n v="3.225033803E9"/>
        <n v="3.223418087E9"/>
        <n v="5.354791758E9"/>
        <n v="3.223281415E9"/>
        <n v="5.372339571E9"/>
        <n v="3.22232004E9"/>
        <n v="5.454013058E9"/>
        <n v="3.224582868E9"/>
        <n v="5.339298859E9"/>
        <n v="3.224546565E9"/>
        <n v="5.370509967E9"/>
        <n v="5.539373685E9"/>
        <n v="5.324989006E9"/>
        <n v="3.224362727E9"/>
        <n v="3.223283535E9"/>
        <n v="5.368944006E9"/>
        <n v="5.064670177E9"/>
        <n v="3.22262043E9"/>
        <n v="5.433741115E9"/>
        <n v="5.444024221E9"/>
        <n v="3.222257171E9"/>
        <n v="3.22227E9"/>
        <n v="5.322814079E9"/>
        <n v="5.41820921E8"/>
        <n v="5.382822213E9"/>
        <n v="5.457477171E9"/>
        <n v="5.01358837E9"/>
        <n v="5.49512194E9"/>
        <n v="5.425942705E9"/>
        <n v="5.377484554E9"/>
        <n v="5.421550201E9"/>
        <n v="5.449234554E9"/>
        <n v="3.228020818E9"/>
        <n v="3.225039888E9"/>
        <n v="3.222268444E9"/>
        <n v="3.222261998E9"/>
        <n v="3.222255139E9"/>
        <n v="5.41445694E9"/>
        <n v="3.224280708E9"/>
        <n v="3.222331717E9"/>
        <n v="3.226060099E9"/>
        <n v="5.30044405E9"/>
        <n v="5.42820487E9"/>
        <n v="5.388725516E9"/>
        <n v="3.224540407E9"/>
        <n v="3.222613589E9"/>
        <n v="5.314843223E9"/>
        <n v="5.447420101E9"/>
        <n v="3.223412928E9"/>
        <n v="5.306552464E9"/>
        <n v="5.345180408E9"/>
        <n v="5.360669364E9"/>
        <n v="5.423228201E9"/>
        <n v="5.457719101E9"/>
        <n v="3.225040424E9"/>
        <n v="3.224599062E9"/>
        <n v="5.399142636E9"/>
        <n v="5.413808788E9"/>
        <n v="5.321132332E9"/>
        <n v="5.447203988E9"/>
        <n v="5.426514067E9"/>
        <n v="5.316968522E9"/>
        <n v="3.222563333E9"/>
        <n v="3.22233005E9"/>
        <n v="3.227770303E9"/>
        <n v="3.223417385E9"/>
        <n v="3.222123101E9"/>
        <n v="3.222614242E9"/>
        <n v="3.222283535E9"/>
        <n v="5.425622401E9"/>
        <n v="5.06170727E9"/>
        <n v="3.224588606E9"/>
        <n v="3.228024172E9"/>
        <n v="5.334010274E9"/>
        <n v="5.365538673E9"/>
        <n v="5.456378305E9"/>
        <n v="3.22458606E9"/>
        <n v="5.399631427E9"/>
        <n v="3.229995768E9"/>
        <n v="5.467875797E9"/>
        <n v="5.529319485E9"/>
        <n v="5.335595801E9"/>
        <n v="5.525728209E9"/>
        <n v="5.464623593E9"/>
        <n v="3.22261122E9"/>
        <n v="3.225050501E9"/>
        <n v="3.222483353E9"/>
        <n v="3.222340706E9"/>
        <n v="5.32737764E9"/>
        <n v="3.223270403E9"/>
        <n v="5.309024909E9"/>
        <n v="5.357739631E9"/>
        <n v="3.222480025E9"/>
        <n v="5.314642805E9"/>
        <n v="5.52808363E9"/>
        <n v="3.222279292E9"/>
        <n v="3.224452554E9"/>
        <n v="3.222612186E9"/>
        <n v="3.222260666E9"/>
        <n v="3.222264654E9"/>
        <n v="5.32782292E9"/>
        <n v="3.22515677E9"/>
        <n v="5.337730238E9"/>
        <n v="5.434539356E9"/>
        <n v="5.331647115E9"/>
        <n v="5.516782663E9"/>
        <n v="5.075052939E9"/>
        <n v="5.393151444E9"/>
        <n v="3.222252601E9"/>
        <n v="5.321701373E9"/>
        <n v="5.51634499E9"/>
        <n v="5.457375539E9"/>
        <n v="3.22224224E9"/>
        <n v="3.222564656E9"/>
        <n v="5.528992233E9"/>
        <n v="5.452333073E9"/>
        <n v="5.42655553E9"/>
        <n v="3.222281214E9"/>
        <n v="5.434054198E9"/>
        <n v="5.362961416E9"/>
        <n v="5.414034497E9"/>
        <n v="5.352295989E9"/>
        <n v="5.435133717E9"/>
        <n v="5.357292874E9"/>
        <n v="5.467361116E9"/>
        <n v="3.224561E9"/>
        <n v="3.222620063E9"/>
        <n v="5.303954809E9"/>
        <n v="5.453097068E9"/>
        <n v="3.222610445E9"/>
        <n v="3.222151515E9"/>
        <n v="3.222349404E9"/>
        <n v="3.226132524E9"/>
        <n v="5.327656584E9"/>
        <n v="5.4161301E9"/>
        <n v="3.222250021E9"/>
        <n v="3.222566162E9"/>
        <n v="3.22235586E9"/>
        <n v="3.222344387E9"/>
        <n v="3.222563042E9"/>
        <n v="5.426752656E9"/>
        <n v="5.49199919E9"/>
        <n v="5.414301077E9"/>
        <n v="3.22234303E9"/>
        <n v="3.222241111E9"/>
        <n v="5.446864047E9"/>
        <n v="3.2233327E9"/>
        <n v="3.2245977E9"/>
        <n v="5.434315977E9"/>
        <n v="3.222610506E9"/>
        <n v="3.222566554E9"/>
        <n v="3.222615959E9"/>
        <n v="3.222340102E9"/>
        <n v="3.222570505E9"/>
        <n v="5.491750101E9"/>
        <n v="3.2250381E9"/>
        <n v="3.224547537E9"/>
        <n v="5.380510547E9"/>
        <n v="3.223210202E9"/>
        <n v="3.223297686E9"/>
        <n v="5.32604642E9"/>
        <n v="5.444425329E9"/>
        <n v="3.224593555E9"/>
        <n v="8.508087235E9"/>
        <n v="3.222563356E9"/>
        <n v="3.223244901E9"/>
        <n v="5.465040101E9"/>
        <n v="5.535782194E9"/>
        <n v="5.33029133E9"/>
        <n v="3.222332334E9"/>
        <n v="3.224544542E9"/>
        <n v="3.222242242E9"/>
        <n v="8.50939909E9"/>
        <n v="5.459557E9"/>
        <n v="3.224441476E9"/>
        <n v="3.222354462E9"/>
        <n v="3.222710561E9"/>
        <n v="3.227770003E9"/>
        <n v="5.36718812E9"/>
        <n v="5.321361603E9"/>
        <n v="5.457444052E9"/>
        <n v="3.223285454E9"/>
        <n v="5.326621653E9"/>
        <n v="3.229997899E9"/>
        <n v="3.222420003E9"/>
        <n v="3.226122826E9"/>
        <n v="3.222486254E9"/>
        <n v="3.222331473E9"/>
        <n v="5.433483411E9"/>
        <n v="3.22454545E9"/>
        <n v="5.428207683E9"/>
        <n v="3.224541122E9"/>
        <n v="3.223111111E9"/>
        <n v="5.528720303E9"/>
        <n v="3.225025555E9"/>
        <n v="5.397955905E9"/>
        <n v="5.379872559E9"/>
        <n v="5.537900201E9"/>
        <n v="3.222484649E9"/>
        <n v="5.426944424E9"/>
        <n v="3.223518772E9"/>
        <n v="5.34290623E9"/>
        <n v="5.307622401E9"/>
        <n v="3.224365967E9"/>
        <n v="5.439091982E9"/>
        <n v="3.224576565E9"/>
        <n v="5.31294931E9"/>
        <n v="3.22458252E9"/>
        <n v="3.226115555E9"/>
        <n v="5.433458804E9"/>
        <n v="5.388599888E9"/>
        <n v="3.222346161E9"/>
        <n v="5.393630276E9"/>
        <n v="5.444352433E9"/>
        <n v="5.348557485E9"/>
        <n v="5.38924585E9"/>
        <n v="3.229995456E9"/>
        <n v="5.388219166E9"/>
        <n v="3.22255E9"/>
        <n v="3.222328486E9"/>
        <n v="3.222614142E9"/>
        <n v="3.22233606E9"/>
        <n v="5.424459547E9"/>
        <n v="5.525286501E9"/>
        <n v="5.444581939E9"/>
        <n v="3.224593333E9"/>
        <n v="3.229995439E9"/>
        <n v="5.385448391E9"/>
        <n v="5.366082975E9"/>
        <n v="3.222483354E9"/>
        <n v="5.334496019E9"/>
        <n v="5.412402012E9"/>
        <n v="3.225162062E9"/>
        <n v="3.222256666E9"/>
        <n v="3.223633282E9"/>
        <n v="5.356727336E9"/>
        <n v="5.54136716E9"/>
        <n v="3.223293857E9"/>
        <n v="3.222279E9"/>
        <n v="5.445054581E9"/>
        <n v="3.224587888E9"/>
        <n v="5.431873301E9"/>
        <n v="5.443852626E9"/>
        <n v="5.453903078E9"/>
        <n v="5.414020104E9"/>
        <n v="5.075938347E9"/>
        <n v="3.222030505E9"/>
        <n v="5.364403889E9"/>
        <n v="5.464493179E9"/>
        <n v="5.4242699E9"/>
        <n v="3.222391019E9"/>
        <n v="5.434926455E9"/>
        <n v="3.222241818E9"/>
        <n v="3.229995252E9"/>
        <n v="5.45499485E9"/>
        <n v="5.4222401E9"/>
        <n v="3.229995251E9"/>
        <n v="3.22323001E9"/>
        <n v="3.228810181E9"/>
        <n v="3.225026461E9"/>
        <n v="3.2232816E8"/>
        <n v="5.549913304E9"/>
        <n v="5.541112772E9"/>
        <n v="5.388448763E9"/>
        <n v="5.308208545E9"/>
        <n v="5.46663561E9"/>
        <n v="5.449273756E9"/>
        <n v="5.356562284E9"/>
        <n v="5.433956218E9"/>
        <n v="5.076800877E9"/>
        <n v="5.059641491E9"/>
        <n v="3.224597279E9"/>
        <n v="3.222471002E9"/>
        <n v="5.321382164E9"/>
        <n v="5.422344417E9"/>
        <n v="5.414119713E9"/>
        <n v="3.222397878E9"/>
        <n v="3.226111126E9"/>
        <n v="3.22261313E9"/>
        <n v="5.32540434E9"/>
        <n v="5.39310404E9"/>
        <n v="5.345768601E9"/>
        <n v="3.223271701E9"/>
        <n v="3.222613008E9"/>
        <n v="5.532102388E9"/>
        <n v="5.539481768E9"/>
        <n v="5.384908098E9"/>
        <n v="3.222346702E9"/>
        <n v="5.323997992E9"/>
        <n v="5.325965456E9"/>
        <n v="5.433623122E9"/>
        <n v="5.326593191E9"/>
        <n v="5.343934669E9"/>
        <n v="3.228880809E9"/>
        <n v="5.365107781E9"/>
        <n v="5.3021107E9"/>
        <n v="3.224363612E9"/>
        <n v="3.223220509E9"/>
        <n v="3.2223949E9"/>
        <n v="5.52354512E9"/>
        <n v="3.226124222E9"/>
        <n v="5.428220156E9"/>
        <n v="5.55097175E9"/>
        <n v="5.526615101E9"/>
        <n v="5.306338107E9"/>
        <n v="5.42323909E9"/>
        <n v="3.224333636E9"/>
        <n v="3.222270055E9"/>
        <n v="5.45425034E9"/>
        <n v="5.435444525E9"/>
        <n v="3.223633363E9"/>
        <n v="5.426969856E9"/>
        <n v="3.229998498E9"/>
        <n v="5.528864601E9"/>
        <n v="3.22247202E9"/>
        <n v="5.013240555E9"/>
        <n v="3.222273575E9"/>
        <n v="3.229992224E9"/>
        <n v="3.222710808E9"/>
        <n v="5.335120969E9"/>
        <n v="3.22232103E9"/>
        <n v="5.434573628E9"/>
        <n v="3.222358168E9"/>
        <n v="3.222323232E9"/>
        <n v="5.305849901E9"/>
        <n v="3.222261006E9"/>
        <n v="3.222710404E9"/>
        <n v="5.525300528E9"/>
        <n v="3.223210486E9"/>
        <n v="5.422211671E9"/>
        <n v="5.443125823E9"/>
        <n v="5.443125833E9"/>
        <n v="5.331528808E9"/>
        <n v="3.224331414E9"/>
        <n v="5.447491034E9"/>
        <n v="5.432078889E9"/>
        <n v="5.376237336E9"/>
        <n v="5.421944001E9"/>
        <n v="3.223463617E9"/>
        <n v="3.222610162E9"/>
        <n v="5.535913791E9"/>
        <n v="5.526349152E9"/>
        <n v="3.229993032E9"/>
        <n v="5.337948178E9"/>
        <n v="5.342473198E9"/>
        <n v="5.374890805E9"/>
        <n v="3.22281E9"/>
        <n v="3.222325686E9"/>
        <n v="5.442395058E9"/>
        <n v="5.530893212E9"/>
        <n v="5.534280872E9"/>
        <n v="3.229990121E9"/>
        <n v="3.224020072E9"/>
        <n v="5.413269998E9"/>
        <n v="3.222070707E9"/>
        <n v="3.222248082E9"/>
        <n v="3.222340052E9"/>
        <n v="3.225032525E9"/>
        <n v="3.224535721E9"/>
        <n v="3.222398595E9"/>
        <n v="3.222343621E9"/>
        <n v="5.412271725E9"/>
        <n v="5.318947684E9"/>
        <n v="5.079163835E9"/>
        <n v="5.395765777E9"/>
        <n v="3.224288811E9"/>
        <n v="3.224217878E9"/>
        <n v="3.222276767E9"/>
        <n v="3.224570065E9"/>
        <n v="5.466901923E9"/>
        <n v="3.224592058E9"/>
        <n v="3.229992212E9"/>
        <n v="5.307004263E9"/>
        <n v="5.057596938E9"/>
        <n v="3.222340127E9"/>
        <n v="3.222282821E9"/>
        <n v="3.226115381E9"/>
        <n v="3.224532529E9"/>
        <n v="5.3559597E9"/>
        <n v="3.222471199E9"/>
        <n v="3.224583355E9"/>
        <n v="5.365110118E9"/>
      </sharedItems>
    </cacheField>
    <cacheField name="İLÇE" numFmtId="0">
      <sharedItems>
        <s v="Çukurova"/>
        <s v="Seyhan"/>
        <s v="Sarıçam"/>
        <s v="Ceyhan"/>
        <s v="Yüreğir"/>
        <s v="Kozan"/>
      </sharedItems>
    </cacheField>
    <cacheField name="MAHALLE" numFmtId="0">
      <sharedItems>
        <s v="Yüzüncüyıl"/>
        <s v="Sucuzade"/>
        <s v="Kurtuluş"/>
        <s v="Şahintepe"/>
        <s v="Namık Kemal"/>
        <s v="Dadaloğlu"/>
        <s v="Kazım Karabekir"/>
        <s v="Yurt"/>
        <s v="Gültepe"/>
        <s v="Mahfesığmaz"/>
        <s v="Cemalpaşa"/>
        <s v="Pınar"/>
        <s v="Kayalıbağ"/>
        <s v="Sümer"/>
        <s v="Döşeme"/>
        <s v="Serinevler"/>
        <s v="2000 Evler"/>
        <s v="Toros"/>
        <s v="Tellidere"/>
        <s v="Yeşiltepe"/>
        <s v="Yeşilyurt"/>
        <s v="Türkocağı"/>
        <s v="Güzelyalı"/>
        <s v="Burhaniye"/>
        <s v="Reşatbey"/>
        <s v="Karacaoğlan"/>
        <s v="Huzurevleri"/>
        <s v="Gürselpaşa"/>
        <s v="Çarkıpare"/>
        <s v="Osmangazi"/>
        <s v="Beyazevler"/>
        <s v="Güneşli"/>
        <s v="Belediye Evleri"/>
        <s v="Yenibaraj"/>
        <s v="Yeşiloba"/>
        <s v="Acıdereosb"/>
        <s v="Kuruköprü"/>
        <s v="Tufanpaşa"/>
        <s v="Fevzipaşa"/>
        <s v="Köprülü"/>
        <s v="Bahçeşehir"/>
        <s v="Varsaklar"/>
        <s v="Beyceli"/>
        <s v="Gülbahçesi"/>
        <s v="İstiklal"/>
        <s v="Kocavezir"/>
        <s v="Mehmet Akif Ersoy 1. Bölge"/>
        <s v="Cumhuriyet"/>
        <s v="Kabasakal"/>
        <s v="İsmetpaşa"/>
        <s v="Yeni"/>
        <s v="Hurmalı"/>
        <s v="Ziyapaşa"/>
        <s v="Dervişler"/>
        <s v="Mithat Paşa"/>
        <s v="Ulubatlı Hasan"/>
        <s v="Sarıçam"/>
        <s v="Hürriyet"/>
        <s v="Karasoku"/>
        <s v="Kiremithane"/>
        <s v="Dumlupınar"/>
        <s v="Levent"/>
        <s v="Yavuz Sultan Selim"/>
        <s v="Çınarlı"/>
        <s v="Gazipaşa"/>
        <s v="Selahattin Eyyubi"/>
        <s v="Atakent"/>
        <s v="Yavuzlar"/>
        <s v="Akıncılar"/>
        <s v="Ulus"/>
        <s v="Dağlıoğlu"/>
        <s v="Yeşilevler"/>
        <s v="Tepebağ"/>
        <s v="Şakirpaşa"/>
        <s v="Demetevler"/>
        <s v="Barış"/>
      </sharedItems>
    </cacheField>
    <cacheField name="ADRES" numFmtId="0">
      <sharedItems>
        <s v="yüzüncü yıl mah 85062 sk d blok no 60/2 iç kapı no 4 çukurova adana"/>
        <s v="sucuzade mah obalar cad no:95/b seyhan adana"/>
        <s v="kurtuluş mah atatürk cd gülbahçesi sitesi seyhan adana"/>
        <s v="esentepe mah kozan caddesi 161 d sarıçam adana"/>
        <s v="namık kemal mah. orhan ekinci bul. no 66 iç kapı no z3 ceyhan adana"/>
        <s v="DADALOĞLU MAH ŞEHİT JAN. ER MUSTAFA GÖKSAL CAD NO 14 YÜREĞİR ADANA"/>
        <s v="kazım karabekir mah. 4192 sok. no 4 iç kapı no 201"/>
        <s v="yurt mah 71445 sok no 5 d çukurova adana"/>
        <s v="gültepe mah. çatalan cd. no 31 sarıçam adana"/>
        <s v="kurtuluş mah şinasi efendi cd suphi ramazanoğlu apt b girişi no 22 d seyhan adana"/>
        <s v="MAHFESIĞMAZ MAH. 79019 sk no 23/A ÇUKUROVA/ ADANA"/>
        <s v="cemalpaşa mah toros cad yeşil apt no:19/a seyhan adana"/>
        <s v="Mahfesığmaz mh, 79019. Sk 23/A, 01150 Çukurova/Adana"/>
        <s v="pınar mah semt 74052sk seyhan adana"/>
        <s v="KAYALIBAĞ MAH. 26001 SK. NO: 1 E SEYHAN/ ADANA"/>
        <s v="sümer mh 69077 sk gökhan apartmanı 3 E seyhan adana"/>
        <s v="döşeme mah cumhuriyet cad çolpan apt no:71/d1 seyhan adana"/>
        <s v="serinevler mh Mustafa Kemal Paşa Blv. No:108, 01240 Yüreğir/Adana"/>
        <s v="2000 evler mah 76067 sk göksu apt er-as inşaat no 1a seyhan adana"/>
        <s v="TOROS MAH. ALİ SEPİCİ BLV. NO: 7 B ÇUKUROVA/ ADANA"/>
        <s v="pınar mah mücahitler cd 305/b seyhan adana"/>
        <s v="YEŞİLTEPE MAH. ÇATALAN CAD. NO: 2 B SARIÇAM/ ADANA"/>
        <s v="mahfesığmaz mah. damar arıkoğlu bul. no 22 a çukurova adana"/>
        <s v="yeşilyurt mah ibo osman cd no 3/A seyhan adana"/>
        <s v="Toros mah Özkan Apt. D:No. 8/B, A Blok, 78195. Sk., 01170 Çukurova"/>
        <s v="cemalpaşa mah 63005 sok gonca apt no 19 b seyhan adana"/>
        <s v="NAMIK KEMAL MAHALLESİ AHMET URAL SOKAK NO:54/ZA"/>
        <s v="türkocağı mh debboy cd no 22 a seyhan adana"/>
        <s v="yurt mah anadolu Lisesi cd. Cem Atasever apt. altı Ablok No:17/C Çukurova Adana"/>
        <s v="burhaniye mah kızılay cad no 72 ceyhan adana"/>
        <s v="Reşatbey Mahallesi 62005 sokak no:18/A KVK karşısı Seyhan/ADANA"/>
        <s v="pınar mah mavi bulvar üzeri al sitesi b blok no 79/2 seyhan adana"/>
        <s v="karacaoğlan mah turgut özal blv sultan hatun apt no 115 c kozan adana"/>
        <s v="2000 evler mah 76067 sk no 1 a seyhan adana"/>
        <s v="mahfesıgmaz mah 79079 sok no: 1/2a çukurova adana"/>
        <s v="HUZUREVLERİ MAH. 77088 SK. GİRİCİLER APT. NO: 2 İÇ KAPI NO: 02 ÇUKUROVA/ ADANA"/>
        <s v="Kurtuluş mahallesi Ramazanoğlu caddesi 64003 sokak No:27/A Seyhan/ADANA"/>
        <s v="yeşilyurt mh iboosman cd küpeli apt no 137/E seyhan adana"/>
        <s v="sümer mah ibo osman cd seyhan adana"/>
        <s v="pınar mha ali bozdoğanoğlu bulv. demirkol plaza 2 no:8/b seyhan adana"/>
        <s v="Süleyman Demirel bulvarı Yurt mahallesi 71549 sokak no 1/H Çukurova/Adana"/>
        <s v="yüzüncü yıl mah fazlı metro bulvarı gülbahar gruop apt altı a blok 53/c a101 marlet karşısı çukurova adana"/>
        <s v="Güzelyalı, Turgut Özal Blv. NO.98/B, 01170 Çukurova/Adana"/>
        <s v="PINAR MAH, Ali Bozdoğanoğlu Blv NO:54/D, 01010 Seyhan/Adana"/>
        <s v="karacaoğlan mah goncagül sokak no 6 sultan hatun apt kozan adana"/>
        <s v="mahfesığmaz mah 79088 sok no 9 a çukurova adana"/>
        <s v="çarkıpare mah çatalan cad no 214 a sarıçam adana"/>
        <s v="güzelyalı mah süleyman demirel bulv no:19/e başer sitesi b blok çukurova adana"/>
        <s v="pınar mah mücahitler cad no:313 / a seyhan adana"/>
        <s v="cemalpaşa mah mustafa gümüşdamla sk gül apt no 7 c seyhan adana"/>
        <s v="yurt mah turgut özal bulv no 158-1a/1 çukurova adana"/>
        <s v="şahintepe mah. kozan bul. 374/B Sarıçam adana"/>
        <s v="Güzelyalı, Turgut Özal Blv. 82/A, 01170 Çukurova/Adana"/>
        <s v="toros mah şehitler blv no 35 a çukurova adana"/>
        <s v="gültepe mh çatalan cd no 136 F sarıçam adana"/>
        <s v="Osmangazi Mah. 1966 Sk. No:10D (Osmangazi İş Merk. Karşısı, 01790 Sarıçam/Adana"/>
        <s v="mahfesıgmaz mah 79154 sok yüzüncü apt no 8/a çukurova adana"/>
        <s v="GÜRSELPAŞA MAH. ALİYA İZZET BEGOVİÇ BLV. NO: 102 B SEYHAN/ ADANA"/>
        <s v="cemalpaşa mh e.ekin sok öğretmenler st. b blok no 13 iç kapı no e seyhan adana"/>
        <s v="beyazevler mah 80003 sok no 10/a çukurova adana"/>
        <s v="cemalpaşa mah 63012 sok özdemir sit no 5/b seyhan adana"/>
        <s v="CEMALPAŞA MAH. BAHAR CAD. ERTAN APT NO: 15 A SEYHAN/ ADANA"/>
        <s v="hurmalı mah kurtuluş cd no 73 seyhan adana"/>
        <s v="anadolu mah süleyman vahit cad no 235 iç kapı no a yüreğir adana"/>
        <s v="belediye evleri mh hilmi küklü blv yasemen apt no 65 - 2 A çukurova adana"/>
        <s v="YÜZÜNCÜYIL MAH. HACI BEKTAŞ VELİ BLV. MANOLYA SİT. B BLOK ALTI NO: 10 A ÇUKUROVA/ ADANA"/>
        <s v="pınar mah 74151 sk no 11/1 A seyhan adana"/>
        <s v="mahfesığmaz mah turgut özal bulv abbas bilir apt b blok no:59/a çukurova adana"/>
        <s v="GÜLTEPE MAH ÇATALAN CAD NO 59 A SARIÇAM ADANA"/>
        <s v="güzelyalı mah t. özal bulv.dr. ibrahim keskin sit c blok no:52/1c çukurova adana"/>
        <s v="gürselpaşa mah 75646 sok no 2 seyhan adana"/>
        <s v="yeni baraj mah. 68047 sk gülkent apt a blok no2/a seyhan adana"/>
        <s v="toros mah barış manço bulvarı no 2 c çukurova adana"/>
        <s v="Mahfesığmaz mah.79112 sokak no:14/A Çukurova ADANA"/>
        <s v="cemalpaşa mah 63009 sok akaltun apt no 4 b seyhan adana"/>
        <s v="Sümer, mah Altun Blv. 1 B D:3, 01140 Seyhan/Adana"/>
        <s v="YEŞİLOBA MAH. 46120 SK. NO: 77 İÇ KAPI NO: 1 SEYHAN/ ADANA"/>
        <s v="acıdere osb mah inönü blv no 8 sarıçam adana"/>
        <s v="Beyazevler mah. 80003 sok 16/B Çukurova adana"/>
        <s v="reşatbey mah arı apt altı no:20 seyhan adana"/>
        <s v="reşatbey mah gazeteci sinan tanyıldız sk hazer apt no 21 seyhan adana"/>
        <s v="gürselpaşa mah a. izzet begoviç bulv 25/b seyhan adana"/>
        <s v="Cumhuriyet mah. andıl cad. no 167 d kozan adana"/>
        <s v="Gültepe Mah. Erguvan Cad. Pınar B No:22 A Sarıçam Adana"/>
        <s v="yüzüncü yıl mah 85054 sk b blok no 11 / 2a çukurova adana"/>
        <s v="yeşilyurt mah 70001 sk no 6 a seyhan adana"/>
        <s v="sümer mah. 69071 sok. tüzün apt. b girişi no 9 a seyhan adana"/>
        <s v="Gürselpaşa Mah. 75268 Sok. 58 Seyhan, Adana"/>
        <s v="kayalıbağ mah turhan cemal beriker blv kaloğlu işhanı no 27 / c seyhan adana"/>
        <s v="belediye evleri mah 84081 sk no 35/a-1 cukurova adana"/>
        <s v="mahfesıgmaz mah turgut özal bulv selamet apt no:101 e çukurova adana"/>
        <s v="güzelyalı mah turgut özal blv no 42 a çukurova adana"/>
        <s v="dadaloğlu mah. kozan cad. no 371 iç kapı no Z01 yüreğir adana"/>
        <s v="kurtuluş mah m. sabuncu blv. no:58/a seyhan adana"/>
        <s v="YENİBARAJ MAH. 68053 SK. AYDIN 6 APT NO: 8 A SEYHAN/ ADANA"/>
        <s v="huzurevleri mah 77235 sok inkaya apt no:2/c cukurova adana"/>
        <s v="güzelyalı mah. 81201 sok. no 1-1A Çukurova Adana"/>
        <s v="gültepe mah çatalan cd no 176 d sarıçam adana"/>
        <s v="Sümer, 69071. Sk. No:2, 01140 Seyhan/Adana"/>
        <s v="kuruköprü mah sefa özler cad no 16 b seyhan adana"/>
        <s v="yeşilyurt mah ibo osman cd imta apt a blok no 129 A seyhan adana"/>
        <s v="Pınar Mah. 74004. Sk (4. Sk.) Seyhan, Adana"/>
        <s v="Sümer mah. Bülent Angın Bulv. Dostlar apt. No:17/C Seyhan/ADANA"/>
        <s v="yenibaraj mah 68046 sk dilek apt a blok no:3/f seyhan adana"/>
        <s v="gültepe mh çatalan cd no 92 a sarıçam adana"/>
        <s v="tufanpaşa mah üstün sokak no 113 kozan adana"/>
        <s v="FEVZİPAŞA MAH. 48056 SK. NO: 136 A SEYHAN/ ADANA"/>
        <s v="TOROS MAH. 78195 SK. CİĞERCİ CİĞERCİ NO: 3 F ÇUKUROVA/ ADANA"/>
        <s v="SÜMER MAH 69077 SK NO 8 SEYHAN ADANA"/>
        <s v="KÖPRÜLÜ MAH MİTHAT ÖZHAN BLV NO 6 YÜREĞİR ADANA"/>
        <s v="bahçeşehir mh mehmet fuat dıblan blv no 140 a seyhan adana"/>
        <s v="Gürselpaşa mah. 6. cad. c blok no 113/1A seyhan adana"/>
        <s v="Beyazevler mahallesi 80044 sokak no.3 koza apt. Çukurova-Adana"/>
        <s v="GÜZELYALI MAH. 81150 SK. A BLOK NO: 3 /1A ÇUKUROVA/ ADANA"/>
        <s v="serinevler mah. 3714 sok no 30 iç kapı no A yüreğir/adana"/>
        <s v="çanaklı mah güneri cd no 134 kozan adana"/>
        <s v="sümer mah ş.yüzbaşı bülent angın blv no 81 b seyhan adana"/>
        <s v="Yüzüncüyıl, Hacı Bektaş Veli Blv 93 A, 01170 Çukurova/Adana"/>
        <s v="kurttepe mah süleyman demirel bulv no 82 e çukurova adana"/>
        <s v="beyceli mah. tufanbeyli cad. no 43 adana sarıçam"/>
        <s v="güzelyalı mah. turgut özal bul. anıl apt b blok no 10 m çukurova adana"/>
        <s v="Sümer mah Bülent angın Bulvarı site apt seyhan adana"/>
        <s v="gülbahçesi mah 13082 sok no 11 seyhan adana"/>
        <s v="DADALOĞLU MAH 2567 SK NO 1 YÜREĞİR ADANA"/>
        <s v="istiklal mh bakımyurdu cd no 180 a seyhan adana"/>
        <s v="TOROS MAH. MAVİ BLV. NO: 24 A ÇUKUROVA/ ADANA"/>
        <s v="kocavezir mah obalar cad no 70 iç kapı no 101 seyhan adana"/>
        <s v="mehmet akif ersoy mah kozan yeni sokak no 32 c sarıçam adana"/>
        <s v="SÜMER MAH. BARAJ CAD. M.ULUTAŞ APT NO: 41 C SEYHAN/ ADANA"/>
        <s v="döşeme mah 60075 sk baysan iş merkezi a blok seyhan adana"/>
        <s v="Gürselpaşa, Aliya İzzet Begoviç Blv, 01200 Seyhan/Adana"/>
        <s v="beyazevler mah 80003 sk mustafa kulak apt no 6 a çukurova adana"/>
        <s v="beyazevler mah 80003 sokak no 12 a çukurova adana"/>
        <s v="gürselpaşa mh 75066 sk no 6 seyhan adana"/>
        <s v="güzelyalı mah 81173 sok açelya apt no 3 a çukurova adana"/>
        <s v="güzelyalı mah 81106 sok sefa parlak apt no:1/a çukurova adana"/>
        <s v="Cumhuriyet mah orhan ekici bulv atakent a no 29 ceyhan adana"/>
        <s v="pınar mah 75174 sok no 16 seyhan adana"/>
        <s v="yeşilyurt mah 70166 sk no 4 a seyhan adana"/>
        <s v="toros mah mavi bulvar no 26 a çukurova adana"/>
        <s v="Prof. Necmettin Erbakan Bulvarı, Semiramis Köy Yolu, 01170 Çukurova"/>
        <s v="Mahfesığmaz, 01170 Çukurova/Adana"/>
        <s v="Güzelyalı, 81185. Sk. 14/A, 01170 Çukurova/Adana"/>
        <s v="100.YIL M. 85112 S. NO: 87 İÇ KAPI NO: A ÇUKUROVA/ ADANA"/>
        <s v="güzelyalı mah turgut özal blv. aksa gaz karşısı sturbacks yanı kenanaoğlu apt altı çukurova adana"/>
        <s v="gürselpaşa mah aliya izzet begoviç blv. 75322 üçgül cadde iş merk. a blok no 2 seyhan adana"/>
        <s v="ismetpaşa mah 51229 sk kıyıkent evleri a blok no 8 seyhan adana"/>
        <s v="güzelyalı mah 81118 sok no:48/a çukurova adana"/>
        <s v="sümer mah abdi ipekçi cad no :48/a seyhan adana"/>
        <s v="YEŞİLYURT MAH. KARAAFAT CAD. NO: 52 A SEYHAN/ ADANA"/>
        <s v="yeni mah 87071 sk M1 Avm seyhan adana"/>
        <s v="Seyhan, Kurtuluş Mahallesi, Göksel Tantuni, Ziyapaşa Bulvarı, Seyhan/Adana, 01120 Adana"/>
        <s v="mahfessığmaz mah. turgut özal bul. egemen apt. no 35 iç kapı no 1 çukurova adana"/>
        <s v="gürselpaşa mh 75266 sk no 20/c seyhan adana"/>
        <s v="yüzüncü yıl mah hacı bektaş veli bulv no 57/a çukurova adana"/>
        <s v="pınar mah ayhan güngör sk royal evleri b blok no:19/a seyhan adana"/>
        <s v="güzelyalı mah adnan menderes bulv no 43 a çukurova adana"/>
        <s v="Güzelyalı, Süleyman Demirel bulvarı Zirve Apartman Altı C blok 43/A, 01170 Çukurova/Adana"/>
        <s v="Hurmalı Mahallesi Bakımyurdu Caddesi, 34003. Sk. No 1, 01030 Seyhan/Adana"/>
        <s v="Gürselpaşa, Gold Plaza, Aliya İzzet Begoviç Blv, 01170 Çukurova/Adana"/>
        <s v="Ziyapaşa mh Kasım Gülek Bulvarı Nadirler Apt, D:109/A, 01140 Seyhan/Adana"/>
        <s v="döşeme mah m. nuri sabuncu blv kayalı apt no 99 a seyhan adana"/>
        <s v="YEŞİLYURT MAH KARAAFAT CADDESİ NO 138 SEYHAN ADANA"/>
        <s v="Serinevler Mahallesi, Mustafa Kemal Paşa Blv. no: 101, 01240 Yüreğir/Adana"/>
        <s v="cemalpaşa mah 63012 sok no 5 b seyhan adana"/>
        <s v="sümer mah 69077 sk gül apt zemin kat 4/A seyhan adana"/>
        <s v="mithat saraçoğlu cad kurtulus mah gökkuşagı apt no:416 seyhan adana"/>
        <s v="Cemalpaşa, Toros Cd. Çiğdem Apt D:6-C Seyhan/Adana"/>
        <s v="Yüzüncüyıl, Hacı Bektaş Veli Blv No:17, 01170 Çukurova/Adana"/>
        <s v="tahsilli mah kozan cd 329 yüreğir adana"/>
        <s v="HUZUREVLERİ MAH. 77140 SK. NO: 8 A ÇUKUROVA/ ADANA"/>
        <s v="Cemalpasa mah 3Sk Karabucak apt altı no 14 seyhan adana"/>
        <s v="Gürselpaşa Mah., Aliya İzzet Begoviç Blv., No:25B, Seyhan, Adana, Türkiye,"/>
        <s v="güzelyalı mah Turgut Özal Blv. İnci Evler Sitesi D:86 B، 01170 Çukurova/Adana"/>
        <s v="Cemalpaşa, Ethem Ekin Sk. No:26, 01120 Seyhan/Adana"/>
        <s v="Yenibaraj, Gülkent apt, 68047. Sk. No:2/B D:A Blok, 01150 Seyhan/Adana"/>
        <s v="gürselpaşa mah aliya izzet begoviç bulv. medlife apt b blok no:29/1a seyhan adana"/>
        <s v="karacaoğlan mah şehit hüseyin soydan cd bora açar sitesi b blok 31 a kozan adana"/>
        <s v="gürselpaşa mah ali bozdoğanoğlu bulv dinçerler plaza no:77/a seyhan adana"/>
        <s v="kurtuluş mah şinasi efendi cad ikizler apt no 15 a seyhan adana"/>
        <s v="Yeni, 87071. Sk. No:5, 01200 Seyhan/Adana"/>
        <s v="mahfesığmaz mah turgut özal bulv 55/d çukurova adana"/>
        <s v="toros mah 78195 sok no 5 a çukurova adana"/>
        <s v="Ebülfeyz Elçibey Caddesi, 01960, 01950 Ceyhan/Adana"/>
        <s v="cemalpaşa mahallesi toros caddesi no:33/b seyhan /ADANA"/>
        <s v="serinevler mah şehit mustafa köksal caddesi no 139 yüreğir adana"/>
        <s v="YURT MAH. TURGUT ÖZAL BLV. NO: 160 A ÇUKUROVA/ ADANA"/>
        <s v="Yurt Mah. Turgut Özal Blv. No:166 A Çukurova/ADANA"/>
        <s v="huzurevleri mah 77215 sok no6/d çukurova adana"/>
        <s v="namık kemal mah. seyid ahmet arvasi bul. no 69 ceyhan adana"/>
        <s v="huzurevleri mah suleyman demirel bulvarı osman dikici apt no 105 a çukurova adana"/>
        <s v="toros Mahallesi Ali Sepici Bulv Özen Apt. 9/C, 01170 Çukurova/Adana"/>
        <s v="beyazevler mah devlet bahçeli blv no 30 d çukurova adana"/>
        <s v="cemalpaşa mah 63009 sok as apt no 2 iç kapı no 3 seyhan adana"/>
        <s v="ulubatlı hasan mh kozan blv 658/C yüreğir adana"/>
        <s v="cemalpaşa mah 63005 sok no 1 a seyhan adana"/>
        <s v="beyazevler mah 80005 sokak no:3/b çukurova adana"/>
        <s v="pınar mah 74097 sok a blok no 3/c seyhan adana"/>
        <s v="gültepe mh çatalan cd no 222/d sarıçam adana"/>
        <s v="gürselpaşa mh 75268 sk no 13 seyhan adana"/>
        <s v="HÜRRİYET MAH. 20045 SK. MODA RENGARENK NO: 2 SEYHAN/ ADANA"/>
        <s v="kazım karabekir mah. mustafa kemal paşa bul. no 24 iç kapı no 201 yüreğir adana"/>
        <s v="Huzurevleri mah şehit jandarma sefa izbudak sokak seçkin Sitesi Ablok no 28 iç kapı no k çukurova adana"/>
        <s v="yüzüncü yıl mah 85035 sk no 21 a çukurova adana"/>
        <s v="karasoku mah postane cd no 9 A seyhan adana"/>
        <s v="Güzelyalı mah Süleyman Demirel Bulv. no 3/C Çukurova Adana"/>
        <s v="kiremithane mah haşim dalgıç caddesi no 106 yüreğir adana"/>
        <s v="dumlupınar mah kıbrıs cad no 97/A seyhan adana"/>
        <s v="cemalpaşa mah 63007 sok. özeller apt no:22/d seyhan adana"/>
        <s v="Toros caddesi barış apartmanı altı no 92/1 01120 seyhan adana"/>
        <s v="levent mah levent cd no 41 yüreğir adana"/>
        <s v="cemalpaşa mah 63010 sk anı apt no 14/1 seyhan adana"/>
        <s v="mithat paşa mah inönü blv no 50 iç kapı no 01 ceyhan adana"/>
        <s v="Cumhuriyet Mahallesi M.Sepetçioğlu Bulvarı No:62 Ceyhan/ADANA"/>
        <s v="YAVUZ SULTAN SELİM MAH KOZAN BULVARI NO 275 D SARIÇAM ADANA"/>
        <s v="yurt mah şair hasibe hatun cad ispir apt no 83 a çukurova adana"/>
        <s v="çınarlı mah 61020 sk no 3 a seyhan adana"/>
        <s v="MAHFESIĞMAZ MAH. 79015 SK. NO: 3 A ÇUKUROVA/ ADANA"/>
        <s v="MAHFESIĞMAZ MAH. TURGUT ÖZAL BLV. NO: 23 B ÇUKUROVA/ ADANA"/>
        <s v="GÜZELYALI MAHALallesi Uğur Mumcu Blv. NO:2/B, 01170 Çukurova/Adana"/>
        <s v="mahfesığmaz mah 79142 sk no 2 e çukurova adana"/>
        <s v="Gürselpaşa Mah. Yzb. Pilot Mehmet Ali Kurçer Cad. Dreamtown 2 Sitesi B Blok 32/A, 01200"/>
        <s v="Döşeme mah 60054. Sk. No:2, 01130 Seyhan/Adana"/>
        <s v="güzelyalı mah turgut özal bulv akçeli 1 apt no:74/a çukurova adana"/>
        <s v="KURTULUŞ MAH. ZİYAPAŞA BLV. NO: 6 A SEYHAN/ ADANA"/>
        <s v="PINAR MAH. ALİ BOZDOGANOĞLU BLV. NO: 30 B SEYHAN/ ADANA"/>
        <s v="güzelyalı mah devlet bahçeli bulv no41 a çukurova adana"/>
        <s v="GÜLTEPE MAH. KANUNİ SULTAN SÜLEYMAN BLV. NO: 61 B SARIÇAM/ ADANA"/>
        <s v="yeşilyuva mah.36006 sok. no 2 iç kapı no 1 seyhan adana"/>
        <s v="cemalpaşa mah bahar cad adanus perla alp altı seyhan adana"/>
        <s v="reşatbey mah 62031 sk no 3A seyhan adana"/>
        <s v="mahfesığmaz mah 79154 sok no:2a çukurova adana"/>
        <s v="mahfesığmaz mah turgut özal bulv no 53 c çukurova adana"/>
        <s v="yeşilyurt mh ibo osman cd münire fidancı apt d blok no 177 d seyhan adana"/>
        <s v="Huzurevleri, 77150. Sk. 7/A, 01360 Çukurova/Adana"/>
        <s v="GÜZELYALI MH. 52 SK. ŞENGEL AP.ALTI NO: 1 SEYHAN/ ADANA"/>
        <s v="güzelyalı mah süleyman demirel blv başer sitesi no:21/a 01000 çukurova adana"/>
        <s v="TUFANPAŞA MAH ANDIL CD NO 70 KOZAN ADANA"/>
        <s v="FEVZİPAŞA MAH VEFA CD NO 289 SEYHAN ADANA"/>
        <s v="kuruköprü mh inönü cd 71/a seyhan adana"/>
        <s v="huzurevleri mah ismet atlı bulv metro sitesi b blok no 13/2b çukurova adana"/>
        <s v="GAZİPAŞA MAH. BARAJ CAD. NO: 23 A SEYHAN/ ADANA"/>
        <s v="selahattin eyyübi mah. m.kemal paşa blv. no 125 iç kapı no a yüreğir adana"/>
        <s v="toros mah ahmet sapmaz bulv ata apt no 28/a çukurova adana"/>
        <s v="yüzüncü yıl mah 85112 sok a blok no 42 a çukurova adana"/>
        <s v="reşatbey mahallesi gazeteci Sinan tanyıldız sokak no 30/B"/>
        <s v="TELLİDERE MAH. 72137 SK. SERAPARK 8 APT A BLOK NO: 1 B SEYHAN/ ADANA"/>
        <s v="şahintepe mh kozan blv b no 10 b iç kapı no 42 sarıçam adana"/>
        <s v="mehmet akif ersoy cad kozan bulvarı no 764 sarıçam adana"/>
        <s v="atakent mah afetevleri cd no 43 yüreğir adana"/>
        <s v="çınarlı mah 61030 sk no 5 b seyhan adana"/>
        <s v="mahfesığmaz mah damar arıkoğlu bulv ekin apt 21/b çukurova adana"/>
        <s v="belediye evleri mah 84172 sok no 4 b iç kapı no 1 çukurova adana"/>
        <s v="Mahfesığmaz, Yusuf Gizir, Kenan Evren, 79077. Sk. D:Apt No:7, 01250 Çukurova/Adana"/>
        <s v="Güzelyalı Mah. 811185 Sok. No:24C Çukurova/Adana"/>
        <s v="huzurevleri mah 77150 sok no 11 çağatay apt çukurova adana"/>
        <s v="TOROS MAH. ŞEHİT MUSTAFA ÖZBEK SK. ESEN APT. A BLOK NO: 6 İÇ KAPI NO: 01 ÇUKUROVA/ ADANA"/>
        <s v="pınar mah nazım hikmet cd no 59 a seyhan adana"/>
        <s v="yenibaraj mh şehit yüzbaşı bülent angın blv no 18 F seyhan adana"/>
        <s v="Beyazevler Mah Devlet baçeli bulvarı ali genç giyen Apt 18/s Çukurova Adana"/>
        <s v="huzurevleri mah kurttepe cad no 5 b çukurova adana"/>
        <s v="ziyapaşa mah baraj cad no 16 seyhan adana"/>
        <s v="yurt mah barıs manco bulv muge apt zemin kat cukurova adana"/>
        <s v="atakent mh yaşar doğu cd A101 yanı no 105/B yüreğir adana"/>
        <s v="belediye evleri mah zahit akdağ bulv sametcan apt no:7-1 çukurova adana"/>
        <s v="gültepe mah 1979 sk birlik sağlam apt altı sarıçam adana"/>
        <s v="serinevler mh m.kemalpaşa blv no 106 yüreğir adana"/>
        <s v="yavuzlar mah kışla cad no 208 b yüreğir adana"/>
        <s v="YAVUZLAR MAH. İLİM YOLU BLV. 165/A YÜREĞİR/ADANA"/>
        <s v="dadaloğlu mah kozan cd no 347 iç kapı no a yüreğir adana"/>
        <s v="yavuz sultan selim mah kozan blv no 221 a sarıçam adana"/>
        <s v="ptt evleri mah mimoza cd no 2 B yüreğir adana"/>
        <s v="PINAR MAH. NAZIM HİKMET CAD. PINAR SİTESİ C BLOK NO: 53 B SEYHAN/ ADANA"/>
        <s v="şahintepe mah. 3170 sok. no 40 iç kapı no 1 sarıçam adana"/>
        <s v="dumlupınar mah kıbrıs cd no 98 a seyhan adana"/>
        <s v="ulubatlı hasan mah. kozan cad. no 582 iç kapı no b yüreğir adana"/>
        <s v="toros mh şehitler blv erol şayan apt no 21 d çukurova adana"/>
        <s v="Cemalpaşa Mahallesi 63006 Sokak No:21/A Sabahlar Apt Seyhan adana"/>
        <s v="yurt mah turgut özal bulv tuna sitesi no:176/a çukurova adana"/>
        <s v="Güzelyalı mahallesi Süleyman Demirel BLV Burak apartmanı altı no 27 A çukurova adana"/>
        <s v="cemalpaşa mah. 63004 sok. karsal apt no 18 a seyhan adana"/>
        <s v="güzelyalı mah anadolu lisesi cad merve apt altı no:20/b çukurova adana"/>
        <s v="kurtuluş mah ziyapaşa blv no 14 b seyhan adana"/>
        <s v="Ulus, İnönü Blv., 01940 Ceyhan/Adana"/>
        <s v="Fatih, Mücahitler Cd. 183/A, 01160 Seyhan/Adana"/>
        <s v="güzelyalı mh şehitler blv özdilek apt no 107 c çukurova adana"/>
        <s v="toros mah. turgut özal bulvarı no 193 a çukurova adana"/>
        <s v="Gülbahçesi Dumlupınar mahallesi, Obalar Cd no 390/a, 01050 Seyhan/Adana"/>
        <s v="Karacaoğlan, Mimoza Cd. No:27, 01240 Yüreğir/Adana"/>
        <s v="GÜRSELPAŞA MAH. ALİ BOZDOGANOĞLU BLV. NO: 81 A SEYHAN/ ADANA"/>
        <s v="yarsuat mah. orhan kemal bul. no 42 iç kapı no b ceyhan adana"/>
        <s v="Dağlıoğlu mah. Obalar Cad. No 387 A Seyhan Adana"/>
        <s v="Reşatbey, 62010. Sk. 37 C, 01120 Seyhan/Adana"/>
        <s v="toros mah. ali sepici bul. no 42 b çukurova adana"/>
        <s v="GÜRSELPAŞA MAH. ALİYA İZZET BEGOVİÇ BLV. NO: 19 A SEYHAN/ ADANA"/>
        <s v="pınar mh mücahitler cd no 307 a seyhan adana"/>
        <s v="Huzurevleri Mahallesi Türkmenbaşı Bulvarı No :70/A Çukurova/Adana"/>
        <s v="Huzurevleri Mah. 77060 Sk. No:9/A Çukurova / ADANA"/>
        <s v="cemalpaşa mah toros cad no 15/4 seyhan adana"/>
        <s v="gürselpaşa mah aliya izzet begoviç bulvarı no 25/B üçgül cadde go ofis seyhan adana"/>
        <s v="cemalpaşa mah atatürk caddesi behice yazgan apt zemin kat no 2 seyhan adana"/>
        <s v="güzelyalı mah 81106 sok no 1 d çukurova adana"/>
        <s v="Cemal paşa mahallesi Ethem ekin sokak askı sokağı no 20 c seyhan adana"/>
        <s v="GAZİPAŞA MAH. 66036 SK. B BLOK NO: 22 /1 İÇ KAPI NO: 58 SEYHAN/ ADANA"/>
        <s v="çınarlı mh 61009 sk no 7/a seyhan adana"/>
        <s v="ismetpaşa mah mehmet akif ersoy cd no 128 b seyhan adana"/>
        <s v="AKINCILAR MAH. İLİM YOLU BLV. NO: 166 A YÜREĞİR/ ADANA"/>
        <s v="kurttepe mah süleyman demirel bulv no 84 c çukurova adana"/>
        <s v="gültepe mah reyyan cd 841 sk no 9 sarıçam adana"/>
        <s v="BURHANİYE MAH. İNÖNÜ BLV. HUZUR APARTMANI NO: 13 İÇ KAPI NO: 1 CEYHAN/ ADANA"/>
        <s v="belediye evleri mah. 84282 sok. sazlıdere sitesi a blok no 2 -1 iç kapı no 02 çukurova adana"/>
        <s v="gültepe mah 611 sk no 3 iç kapı no a sarıçam adana"/>
        <s v="sümer mah ibo osman cd no 220 A seyhan adana"/>
        <s v="yeşilyurt mah karaafat cd 134 b seyhan adana"/>
        <s v="YAVUZLAR MAH ORHAN KEMAL BLV NO 155 A YÜREĞİR ADANA"/>
        <s v="Bahçelievler Mahallesi Mehmet Akif Ersoy Caddesi Petek Pastanesi Karşısı no:120/B Seyhan ADANA"/>
        <s v="TELLİDERE MAH. MÜCAHİTLER CAD. NO: 192 B SEYHAN/ ADANA"/>
        <s v="huzurevleri mah. 77079 sok. yenigün sitesi b blok no 1/2 iç kapı no 01 çukurova adana"/>
        <s v="tepebağ mah çakmak cad cevdet tuğberk işhanı no:90 a seyhan adana"/>
        <s v="Kayalıbağ mah Atatürk cad özel sancak apt No:4 iç kapı no: 201 Seyhan/ADANA"/>
        <s v="yurt mah turgut özal bulv no 178 c iç kapı no çukurova adana"/>
        <s v="beyazevler mah 80062 sk onur apt b blok altı çukurova adana"/>
        <s v="sümer mah mavi bulvar muhtar sitesi no1 seyhan adana"/>
        <s v="belediye evleri mah zahit akdağ bulv no 8 a çukurova adana"/>
        <s v="toros mah ahmet sapmaz bulv no 20 b çukurova adana"/>
        <s v="sümer mah 69081 sk gül apt 3/a seyhan adana"/>
        <s v="Güzelyalı Mah., Turgut Özal Blv., No:70, Çukurova, Adana"/>
        <s v="yeni mahalle m1 avm seyhan adana"/>
        <s v="güzelyalı mah turgut özal bulv no 20 d çukurova adana"/>
        <s v="Toros Mahallesi 78190 Sok. Baskın Safir Apt. Altı, D:2/C, 01170 Çukurova/Adana"/>
        <s v="CEMALPAŞA MAH. VALİYOLU CAD. EGE TAKSİ NO: 29 A SEYHAN/ ADANA"/>
        <s v="mahfesıgmaz mah şehitler bulv birsen dikici apt 32 f çukurova adana"/>
        <s v="GÜZELYALI MH. TURGUT ÖZAL BLV. NO:142/A ÇUKUROVA / ADANA"/>
        <s v="Pınar, Huzurevleri, Türkmenbaşı Blv. No:42 D:2D, 01160 Seyhan/Adana"/>
        <s v="Yenibaraj, Köseli Apartmanı, Bülent Angın Blv., 01150 Seyhan/Adana"/>
        <s v="reşatbey mah. 62031 sk yıldız has apt no 4 b seyhan adana"/>
        <s v="Atakent mah. 2245. Sk. 01260 Yüreğir/Adana"/>
        <s v="sarıçam mah kozan cd no 228 iç kapı no b yüreğir adana"/>
        <s v="güzelyalı mah 81177 sok no 5 çukurova adana"/>
        <s v="mahfesığmaz mah turgut özal bulv 79088 sok no 61/c çukurova adana"/>
        <s v="Cemalpaşa MAH cevatyurdakul cad no 41 b seyhan adana"/>
        <s v="yenibaraj mah 68046 sk hatıra apt no 1 d seyhan adana"/>
        <s v="ismetpaşa mah mehmet akif ersoy cd no 138 seyhan adana"/>
        <s v="ikibin evler mah bülent ecevit bulv serkan apt no 39 seyhan adana"/>
        <s v="Karasoku Mah. 28026 Sk no 4 A Seyhan/Adana"/>
        <s v="güzelyalı mah anadolu lisesi cad a. kibritoğlu apt no:18/a çukurova adana"/>
        <s v="uçak mah şakirpaşa cd no 47 a seyhan adana"/>
        <s v="levent mah 1830 sk no :2 iç kapı a yüreğir adana"/>
        <s v="pınar mah nazım hikmet cd no 20 b seyhan adana"/>
        <s v="Gürselpaşa, Aliya İzzet Begoviç Blv No:24 D:F, 01200 Seyhan/Adana"/>
        <s v="demetevler mah mehmet akif ersoy caddesi no 47 seyhan adana"/>
        <s v="mahfesığmaz mah 79019 sk no:4-2b çukurova adana"/>
        <s v="BELEDİYE EVLERİ MAH. 84273 SK. NO:16 ÇUKUROVA / ADANA"/>
        <s v="belediye evleri mh 84029 sk yıldız sitesi altı no 2 f çukurova adana"/>
        <s v="DUMLUPINAR MAH. 38059 SK. NO: 3 SEYHAN/ ADANA"/>
        <s v="Sümer Mah necip fazıl kısakürek cd arma vera sitesi b blok no 10 /a seyhan adana"/>
        <s v="Güzelyalı Mah. 81075 No:2/A Çukurova Adana"/>
        <s v="mahfesığmaz mah 79133 sk no 13 çukurova adana"/>
        <s v="belediye evleri mah turgut özal bulv no 279 a çukurova adana"/>
        <s v="gürselpaşa mah aliya izzet begoviç blv üçgül cadde iş merkezi seyhan adana"/>
        <s v="kurutulus mah ziyapaşa cd no:3/a özbey apt seyhan adana"/>
        <s v="Cemalpaşa mahallesi toros cad. no:24/b seyhan adana"/>
        <s v="yurt mah turgut özal bulv no 160 d çukurova adana"/>
        <s v="mahfesığmaz mah turgut özal bulv karlıdağ apt b blok no 19 a çukurova adana"/>
        <s v="yenibaraj mah b. angın bulv. uyanık apt no:78/e seyhan adana"/>
        <s v="mahfesığmaz mah turgut özal blv akın apt no:97/c çukurova adana"/>
        <s v="Gürselpaşa Mah Aliya İzzet begoviç blv 106 anıl plaza seyhan adana"/>
        <s v="kurtuluş mah 64022 sk avşar apt altı 9/c seyhan adana"/>
        <s v="yurt mah turgut özal bulvarı no:178 / a çukurova adana"/>
        <s v="Toros Mah. Turgut Özal Blv. 78192 Sok. 2/G Çukurova, Adana"/>
        <s v="gürselpaşa mah 75268 sk no 2 seyhan adana"/>
        <s v="atakent mah yaşar doğu cd no 139/A yüreğir adana"/>
        <s v="Huzurevleri Mh. Turgut Özal Blv. Elit Apt. Zemin Kat No:210/B, 01360 Çukurova/Adana"/>
        <s v="Huzurevleri Mah Türkmenbaşı bulv. No 24/a 01360 çukurova adana"/>
        <s v="fatma esma nayman cad no: 3/17a seyhan adana"/>
        <s v="barış mah vefa cd no 110 a seyhan adana"/>
        <s v="Yenibaraj, 68070. Sk. No:7 01150, 01150 Seyhan/Adana"/>
        <s v="Reşatbey Mah Beş Ocak Cad No:36/A&#10; Seyhan/ADANA"/>
        <s v="reşatbey mah 62030 sk no 6/B seyhan adana"/>
        <s v="kurtuluş mh 14 sk avukatlar apt no 17/B seyhan adana"/>
        <s v="CEMALPAŞA MAH TOROS CADDESİ ÖZDEMİR ÖZLER APT NO21/A SEYHAN ADANA"/>
        <s v="Belediye Evleri, 84002. Sk. 36 A, 01170 Çukurova/Adana"/>
        <s v="mahfesığmaz mah turgut özal bulvarı no 95 a çukurova adana"/>
        <s v="Güzelyalı, Turgut Özal Blv. No:68, 01170 Çukurova/Adana"/>
        <s v="Yeşilyurt, Karaafat Cd 80/B, 01150 Seyhan/Adana"/>
        <s v="CUMHURİYET MAH. HASAN CERİT BLV. NO: 9 İÇ KAPI NO: Z1 CEYHAN/ ADANA"/>
        <s v="ziyapaşa mah baraj cd teymenler apt no 22 b seyhan adana"/>
        <s v="selahattin eyyubi mah. şehit j.er mustafa göksal cad. no 38 iç kapı no z01 yüreğir adana"/>
        <s v="Belediye Evleri, mahlesi, 84165. Sk. no 13, 01170 Çukurova/Adana"/>
        <s v="Çınarlı, 01060 Seyhan/Adana"/>
        <s v="GÜZELYALI MAH. 81029 SK. NO: 1 İÇ KAPI NO: 57 ÇUKUROVA/ ADANA"/>
      </sharedItems>
    </cacheField>
    <cacheField name="Geleneksel&#10;Zincir" numFmtId="0">
      <sharedItems>
        <s v="Geleneksel"/>
        <s v="Key"/>
      </sharedItems>
    </cacheField>
    <cacheField name="FOTOĞRAF SEGMENT" numFmtId="0">
      <sharedItems containsString="0" containsBlank="1">
        <m/>
      </sharedItems>
    </cacheField>
    <cacheField name="Aradık Mı?" numFmtId="0">
      <sharedItems>
        <b v="1"/>
        <b v="0"/>
      </sharedItems>
    </cacheField>
    <cacheField name="Kendi Fotosu&#10;Var" numFmtId="0">
      <sharedItems>
        <b v="0"/>
        <b v="1"/>
      </sharedItems>
    </cacheField>
    <cacheField name="Randevu &#10;Durumu" numFmtId="0">
      <sharedItems containsBlank="1">
        <s v="Randevu Alındı"/>
        <m/>
        <s v="İleride Randevu Alınacak"/>
        <s v="Başka Şubeden Çekilecek"/>
        <s v="Çekim İstemiyor"/>
        <s v="Randevu İptal"/>
        <s v="Franchise"/>
        <s v="Lokasyon Uzak"/>
        <s v="Tadilat Var"/>
        <s v="Ulaşılamadı"/>
        <s v="Sistemden Çıkmak İstiyor"/>
        <s v="Restoran Silindi"/>
        <s v="Dönüş Yapacak"/>
        <s v="BlackList"/>
        <s v="Devir"/>
        <s v="Menü Güncellemesi Yapılacak"/>
      </sharedItems>
    </cacheField>
    <cacheField name="Randevu&#10;Alan" numFmtId="0">
      <sharedItems containsBlank="1">
        <s v="Ezgi Turan"/>
        <s v="Ferhat Köksal"/>
        <m/>
        <s v="Nazlıcan Dinçer"/>
        <s v="Mertcan karaman"/>
        <s v="Serap Apaydın"/>
        <s v="Derya Tatlı"/>
        <s v="Sezer Arslan"/>
        <s v="Zeliha Özer"/>
        <s v="Deneme"/>
        <s v="Gül Değirmenci"/>
        <s v="Duygu Telli"/>
        <s v="Tutku Erdoğan"/>
        <s v="Ayşegül Kır"/>
        <s v="Tuğba Buyur"/>
        <s v="Özlem arslan"/>
        <s v="Selcan Topçu"/>
        <s v="Hatem Soyaslan"/>
        <s v="Sude Alkan"/>
        <s v="ezgi"/>
        <s v="emel yılmaz"/>
        <s v="Betül Demir"/>
        <s v="Nurhayat Kabataş"/>
        <s v="Dicle Harmancı"/>
        <s v="Kübra Toprak"/>
        <s v="Mertcan"/>
        <s v="Ayşegül Dulkadir"/>
        <s v="Eda Cıbır"/>
        <s v="Özlem gümüş"/>
      </sharedItems>
    </cacheField>
    <cacheField name="Fotoğrafçı" numFmtId="0">
      <sharedItems containsBlank="1">
        <s v="Berat Altunkaya"/>
        <m/>
        <s v="BERAT"/>
        <s v="Abdulhenan Doğan"/>
        <s v="Özhan Oruç"/>
        <s v="Nazmi Okbaz "/>
        <s v="abdulhenan"/>
        <s v="Nurattin Yücesoy"/>
      </sharedItems>
    </cacheField>
    <cacheField name="Not">
      <sharedItems containsBlank="1" containsMixedTypes="1" containsNumber="1" containsInteger="1">
        <s v="musaıt degıl 5ten sonra arancak"/>
        <m/>
        <s v="ULAŞILMADI"/>
        <s v="yetkililere ezgi hanımın numarasını iletecekler- ulasılamadı - randevu oluşturuldu /teyit için arandı yetkili yok no iletildi"/>
        <n v="5.416304677E9"/>
        <n v="5.452370127E9"/>
        <s v="yarın 4 de aranacak"/>
        <s v="5324412251 ersin bey mail verildi bayramdan sonra gönderimini sağlayacaklar-bır saate aranacak- yüzüme kapattı "/>
        <s v="5ffe23ee4a4dfa3a5caba607        7/C Ocakbaşı Gazipaşa,(Cemalpaşa Mah.) ızgara ürünleri buradan yüklenecek"/>
        <s v="5ffe23ee4a4dfa3a5caba607        7/C Ocakbaşı Gazipaşa,(Cemalpaşa Mah.) izgara ürünleri buradan yüklenecek"/>
        <s v="fotograflarımı bugun çekecegim sizlere gönderirim dedi mail verildi.(bügün atcaz dedİ)/ açmadı- ulasılamadı "/>
        <s v="HAFTAYA "/>
        <s v="dç için arandı yalnızca su boregı urunlerı eksık"/>
        <s v="çekim yapıldı ."/>
        <s v="yetkili müsait degil. yarım saat sonra arayın dediler./mail verildi (musait oldugumda göndercem dedi)-yetkili iki saate gelir dedi- yanlış numara "/>
        <s v="donus yapılacak"/>
        <s v="2 kere randevu alınmış gidilmemiş./yetkili yoktu(istemiyor "/>
        <s v="açıp yüzüme kapattı  "/>
        <s v="5379682594 bütün ürünlerin çekimleri gerçekleştirilmiş"/>
        <s v="salı çarşamba randevu verilebilir"/>
        <s v="açmadı "/>
        <s v="2 saat sonra aranacak/haftaya cuma günü için aranacak-randevu olusturuldu"/>
        <s v="mail olarak gönderilmiş.(göndermiş 15 gün olmuş / yarın ara /yt yok 1 saat sonra/Profesyonel çekimleri varmış mail verildi"/>
        <n v="5.444760172E9"/>
        <s v="yetkili 1 saate gelir dedi tekrar aranack "/>
        <s v="5372431001 cuma arayacak pazartesiye randevu yazılacak/tüm ürünleri çekildi aranmayacak "/>
        <s v="ÇEKİM YAPILMIŞ. BİLGİLERİ YOK"/>
        <s v="geçen de aradınız istemiyorum şuan dedi/ istemedi "/>
        <s v="yetkili izinde salı veya çrş gelecek "/>
        <s v="yetkili diğer şubede dedi "/>
        <s v="tadilat 6 eylüle kadar sürebilirmiş/5362515158 NIHAL HAFTAYA RANDEVU OLUŞTURULABİLİR ARANSIN. dükkan müsait degil tadilatta dedi..//aranıp randevu verilsin/kendisi dönüş yapcak // 6 eylüle kadar aranmasın çok aramışız- tatile gitmişler gelsin arıyacaklar "/>
        <s v="eksık olarak pızza urunlerı kalmıs onların da satısı yok"/>
        <s v="5054401444 HAFTAYA ARA "/>
        <s v="fotografları var mı yokmu inceleyecek dönecek// yok iftardan sonra dediler fotografları inceledimi ögrenilmedi(geitr yemegi kunlanmıyorum dedi"/>
        <s v="devam çekimi talep edermi diye aradık ulaşamadık./devam çekimi alındı / açmadı."/>
        <s v="franchise  olup olmadığını teyit amaçlı arandı ulaşılamadı"/>
        <s v="kendi fotoğraflarını mail olarak atıcak kalan ürünleri için çekim istiyor randevu oluşturuldu "/>
        <s v="mahfesığmaz mah. turgut özal bulv. no 115/d "/>
        <s v="personel eksikk ve çekim düşünmüyorum dedi.15 kere aradınız istemiyorum dedi aranmasın "/>
        <s v="TEK ÜRÜN VAR./ hala tek ürünü var ayrıca çekim yapılmış fakat fotoğraflar çalındı denmiş doğruluğunu teyit istiyor "/>
        <s v="tadilat varmış 3 hafta sonra bitermiş/çekim için randevu verilmesini istiyor/5367492062/işletme 12 de aransın/ tüm ürünler çekilmiş"/>
        <s v="YT YOK OGLEDEN SONRA ARANILACAKrandevu alındı sonra devasm çekimi de olabilir sabah saatleri için alınsın randevu"/>
        <s v="kayıtlı böyle bir numara yokm- numara yanlış "/>
        <s v="ÇEKİM YAPILDI DENİLİYOR."/>
        <s v="mail atacak"/>
        <s v="Devam çekimi randevusu. alındı"/>
        <s v="pınar mah seyhan "/>
        <s v="Ali Bey/5432412147(05458781954/ mail verildi"/>
        <s v="5354601623 tüm ürünler çekildi sisteme yüklenmemiş dedi/esat beyden devam çekimi randevusu aldık"/>
        <s v="numara eksik (0322) 212 01 31&#10;("/>
        <s v="randevu alındı"/>
        <s v="kendi fotoğraflarını mail olarak atıcak- yetkili yok - ULASILAMADI - ulasılamadı "/>
        <s v="tel kapalı"/>
        <s v="pazartesi günleri ulaşılabilir / GETİR YEMEK İLE TELEFON SIKINTISI VAR BU DÜZELMEDEN ÇALIŞMAK İSTEMİYOR.- ulasılamadı- levent bey saat 4-5 de gelir dedi / getir yemek deyince suratıma kapttı "/>
        <s v="ulaşılamadı "/>
        <s v="mesgul"/>
        <s v="5435081205 Hasret Hanım onur bey ile görüşecek anlatacak. geri dönüş yapacaklar-3 de aranacak . MAİL ATACAK "/>
        <s v="ben geri dönüş sağlarım dedi tadilat var dedi "/>
        <s v="5052293441 öğleden sonra aranacak"/>
        <s v="yapmayalım dedi "/>
        <s v="Mutlaka istiyor 1 hafta sonrasına ürünlerini tedarik edecek pazartesi ya da salıya randevu oluşturulacak"/>
        <s v="meıl verıldı/20 sindan sonra- ben sizlere atarım dedi-3 gün sonra dönüş saglanacak - ogleden sonra aranacak - hocam yunus bey yarın burda olur dedi suan yok dedi yarın bu saatlerde arıyabilirsiniz dedi - meşgul - yetkili 1 gibi gelir dedi "/>
        <s v="reklamcısı attıgı zaman atıcakmış(05424092592-bulent beyın numarası verıldı ulasılamadı- ulasılmadı "/>
        <s v="meşgul-AÇMADI."/>
        <s v="annesiymiş açan akşam 6 gibi arayın dedi"/>
        <s v="yetkili ezgi hanıma dönüş yapacak /ARANMASIN ÇOK ARANMIŞ- yüzüme kapattı "/>
        <s v="devam cekımı"/>
        <n v="5.332839783E9"/>
        <s v="ulasılamadı"/>
        <s v="5531137373- ulasılamadı "/>
        <s v="5531137373/Kuruköprü mah. özler cad no 16/B aydın gökçeli  kafe sistemdeki adres yanlış"/>
        <s v="iş yoğunluğundan daha hazır hale gelemedik 1 ay sonra aransın dedi. saat 14.00 aranacak/05422345464"/>
        <n v="5.324084541E9"/>
        <s v="getirle ilgili aranmyacak. fiyat güncellemesi ypılmamış 1 ydır "/>
        <s v="5059826794 amatör çekimlri varmış yollayacak yolucak en kısa zamanda/Devam çekimi istemez"/>
        <s v="maile atıcak fotoğrafları(yarın atcak - randevu oluşturuldu"/>
        <s v="deniz bey yetkili"/>
        <s v="bayramdan sonra devam çekimi istiyor./devam çekimi"/>
        <s v="5357718204/randevu alındı yazıyor nisanda ama fotoğraf oranı 0 teyit amacıyla aradım açmadı tekrar aranıp çekim yapılıp yapılmadığı sorulsun yapıldıysa eğer merkeze iletilsin - ÇEKİM YAPILMIŞ."/>
        <s v="bu hafta göndericek- ben sizi arıyacam dedi kapattı - yüzüme kapattı - ulasılamadı / fotoğraflar için arandı açmadı."/>
        <s v="tadilat yapacakmış beyefendi/tadilat muhtemelen bitmiş ama yetkili yok/açmadı"/>
        <s v="EYLÜL ORTASINDA TEKRAR ARANACAK"/>
        <s v="RANDEVU ISTEDILER GÖRÜŞME SAGLANDI YOGUN OLURSAM GELSİN YOKSA GELMESİN DİYOR AMA RANDEVUSU OLUSTURULABİLİR"/>
        <s v="5527141214 fotografcıma mailinizi verdim o gönderecekti sorayım gönderdigi mail adresini vereyim dedi/çaldı açmadı- ulasilmadı "/>
        <s v="05536400973 Nurullah bey"/>
        <s v="kısmet apt altı / 5373694216"/>
        <s v="Başka şubesinde fotoğraf yok!"/>
        <s v="Mustafa Bey"/>
        <s v="henüz faaliyete geçmemişler/kendisi dönüş yapıcak"/>
        <s v="RANDEVU İSTEDILER"/>
        <s v="kontrol edip arayacaklar/kendisinin bilgisi yoktu görüşüp dönüş sağlayacak,//SEYYAT BEYLE GÖRÜŞME SAĞLANDI KENDİSİ ŞEHİR DIŞINDA 1 HAFTA SONRA DÖNÜŞ YAPICAK O ZAMN ARANSIN- RANDEVU OLUSTURULDU"/>
        <s v="kampanya günü 1inden sonra belli olur dedi ileride uygunluga göre aransın./yoğunluk var 2 hafta sonra aranmasını talep ediyor.-05370282322// 05370282322 esra hanımın numarası şehir dışındaymıi 2 hafta sonra aransın/devam çekimide olacak büyük ihtimalle/ön"/>
        <s v="devam çekimi için arandı yetkili yok/yarım saat sonra gelir dendi."/>
        <s v="sistemi tablette kullanıyordum sıkıntı oldu bende sistemi sildim der"/>
        <s v="5343526636 suan istemiyorum dedi çekim istemiyora yakın tadilat var dedi 2 hafta sonra aranıp son durum ögrenilsin./1 hafta sonra aransın/ ISRALA İSTEMEDİ/ yarın sabah 10 gibi aranacak - 2 HAFTA BİTER SUAN DOĞALGAZI BEKLİYORUM DEDİ / yarın sabah 10 gibi a"/>
        <s v="/FOTOĞRAFI VAR DAHA SONRA ATACAK.05334053571- ulasılamadı/ Fotoğraflar için arandı yetkili yok, çalışanlardan biri yetkiliye dönüş yaptıracak."/>
        <s v="güzelyalı subesinde ömer bey ile görüşülecek fotograflar var mı yok mu gönderdimi ögrenilecek o dogrultuda ilerlenecek/ öme bey arandı açmadı(2344387/ fotoğraflar için arandı açmadı."/>
        <s v="5303753921 kendi fotoğrafları var mail adresi verildi.// başım yogun ilgilenemedim ilgilenip gönderecegim der//4 şube içinde görüşülecek/mail tekrar verildli. ogleden sonra saat üc gibi aranacak/ Fotoğraflar için arandı ömer bey cuma namazında daha sonra "/>
        <s v="5305430371/ MAİLE ATACAK-numara yanlıs / fotoğraflar için arandı mail adresi verildi."/>
        <s v="mail verildi//teyit için arandı ytk yok(05343845905-numara yanlış"/>
        <s v="mail verildi/ gönderdik dediler/eksikler için aradık yetkili yok."/>
        <s v="mevcut resimleri yoladı uygun görülmedi randevu alındı"/>
        <s v="çalışanı eray bey 10 dk ya ben sizlere dönüş sağlarım dedş "/>
        <s v="haftaya cuma ara "/>
        <s v="Diğer şubede fotoğraf çekimi gerçekleşmemiş // diğer şubeden fotoğraf çekilcek aranmasın"/>
        <s v="11:15 de geliyormuş yetkili  / fotoğraf çekimi yapıldı dedi sedat bey "/>
        <s v="haftaya randevu alınacak bu hafta sonu açılışları var"/>
        <s v="GEREK DUYMUYORMUŞ."/>
        <n v="5.520029255E9"/>
        <s v="sistemde sorun yaşıyoruz dedi önce bunları halletmek isterim dedi hallettikten sonra arayacak aranırsa 2 hafta sonra aransın / özel numarasını vermiyorlar "/>
        <s v="5322376077/5432345644 gökhan "/>
        <n v="5.415101212E9"/>
        <s v="5323084713 Kadir bey /maıl paylascak"/>
        <s v="5323084713 Kadir bey "/>
        <n v="5.537141202E9"/>
        <s v="eksık urunlerın cekımını ıstemez"/>
        <s v="yanlış numara - işletme kapalı "/>
        <s v="ŞUAN ÇOK YOĞUN OLDUKLARI İÇİN DAHA SONRA DEDİ/ Yelda Hanım 05448262781/yarım saat sonra ara- müsait degilim dedi - ben sizlere donus saglarım dedi "/>
        <s v="sabah saatleri aransın"/>
        <s v="kendisi dönüş yapacak gün ayarlayacak"/>
        <s v="Teyit için arandı ulaşılamadı/5326274662/sisteme yüklenmemi,ş fotograflar 1 aydır. Güneş Beye iletildi- daha once cekılmis begenmedik dedi istemiyoruz dedi/GAZİ PAŞA SUBESINDE CEKIM ISTERLER "/>
        <s v="mail verıldı kendı fotografları var -husammettın bey yok kardesı bır saate gelir dedi- yetkili yok dedi suan dedi öğlen saat 2 gibi gelir dedi "/>
        <s v="aynı şube"/>
        <s v="zulkuf.tekin97@gmail.com/tekrardan meil verildi"/>
        <s v="Başka şubesi neresi? Fotoğraflı başka şube yok // 444 1 466 numarada sıkıntı var merkez numarası sıkıntılı"/>
        <s v="5325144670// çekimler sağlanmış çoğu yüklenmemiş  - 60152799d9ee3cc853043f46 güzelyalı işletmesindeki ürünlerin fotoğrafları kullanılacak "/>
        <s v="5538520799- 5533446651 öznür hanım mail adresi veridi - 60152799d9ee3cc853043f46 güzelyalı işletmesindeki ürünlerin fotoğrafları kullanılacak "/>
        <s v="bizim müşterilerimiz zaten belli gerek yok der"/>
        <s v="GÖNDERİCEK - ulasılamadı "/>
        <s v="yetkilinin numarasını verdiler,arandı ama açmadı"/>
        <s v="Başka şube yok!? // BEN DÜŞÜNÜRSEM SİZE DÖNÜŞ YAPARIM DEDİ. -haftaya cuma gününe istiyor randevu/Yarın arayın dedi Cihan Bey abisi"/>
        <s v="BAŞKA ŞUBE YOK, HANGİ ŞUBEYMİŞ DETAY ALALIM LÜTFEN // restoran ismi Tombiş Cafe/Yetkili ismi doğru numarası 5317190186 adres hatalı yetkilinin verdiği adres:Toros mah. Barış Manço Bulv.Öztürk Ap. Çukurova/Adana // ilgilenmiyormuş/ başka şubelermiş "/>
        <s v="yetkili şehir dışındaymış/10 gün sonra yapalım işler açılsın dediler/ USTALARI İLE KONUŞUP GÜN İÇİN DÖNÜŞ YAPACAK // eylül 15 gibi istiyor okulların açılmasını bekliyomuş ezginin no verildi -Yetkili murat bey sehir dısındaymıs no: 05384522155- müsait olun"/>
        <s v="mail verildi//teyit için arandı gönderilmiş- numara mesgul "/>
        <s v="5323087500  /    cemalpaşa mah doktorlar sitesi C blok no 21/A   // yetkili yok / yetkili yok şehir dışında aradım açmadı."/>
        <s v="bayramdan sonra"/>
        <s v="franchise olduğu için çekimler merkezden yapılıyormuş.- yetkili yok "/>
        <s v="çrş günü aranacak yetkili prş gelecek o zaman eksik ürünümüz kalmaz dedi  - ulaşılamadı "/>
        <s v="tunç bey no : 05368304467 mail adresi verildi şuan işletmede değilim mersinde  işletme açtık dedi - ulaşılamadı "/>
        <s v="5073888888 Devam çekimi"/>
        <s v="RANDEVU ALINDI"/>
        <n v="5.065252385E9"/>
        <s v="5346775925 cep no"/>
        <s v="ulasılamadı "/>
        <n v="5.5541296717E10"/>
        <s v="hepsi tamamlanmadım tamamlayınca gönderirim dedi gönderince arayıp kndimailinide verecek"/>
        <s v="kendi fotoğ. kullancak- 1 saat sonra aranacak - ulaşılamadı "/>
        <s v="yarın saat beste aranacak"/>
        <n v="5.438562291E9"/>
        <s v="devam çekimi alındı eda hanımdan "/>
        <s v="kendi fotoğraflarım var mail adresi verildi bir hafta sonra teyit amaçlı aranacak "/>
        <s v="diğer panelı ıcın cekılmıs bu panelı zaten tek urun cıkartıyormus"/>
        <s v="SİTEM ETTİ MEMNUN DEĞİLMİŞ."/>
        <s v="ben irtibata geçerim dedi ezgi hanımın numarası verildi- İSTEMİYORUM DEDİ - İSTEMİYORUM dedi "/>
        <s v="şuan düşünmüyor "/>
        <s v="devam çekimi  istemiyor  "/>
        <s v="akşam 5 ten sonra gelirmiş yetkili/devam çekimi çin arandı yetkili yok/kasiyere durum anlatıldı yetkili yok. o anlatacak bizi arıycaklar yetkili akşam geliyormuş./ytk gelmemiş/devam alınmış zaten"/>
        <s v="gökhan bey ilgilenmez böyle şeylerle muhasebeyle görüşün der görüşemedim "/>
        <s v="Başak Hanım Gökhan Beyle görüşmemizi istedi/05327007525 Gkhan bey Açmıyor  -İSTEMİYORUZ DEDİ SEBEBİNİ SORDUĞUMDA/zamanı yokmuş olursa bölge sorumlusu ile iletişime geçecekmş"/>
        <s v=" kendım donus yaparım dedı çekim istemiyor / fotoğraflar için arandı yetkili yok yetkili no açmadı."/>
        <s v="kendisi çekim yapıp gönderecek/ezgi hanımı arıyacaklar - bir saate aranacak- 6 da aranacak - 1 saate aranacak yetkili yok dedi / Fotoğraflar için arandı mail adresi verildi."/>
        <s v="prof fotograflarım var dendi//teyit için arandı merkezi arayın dedi"/>
        <s v="sistemdeki numara aranmıyacak isletme numarası 3222354494"/>
        <s v="mail atacak- ulasılamadı - mail adresi tekrardan verildi bu hafta içi yüklerim dedi - resimleri toparlayayım atarım bu aralar çok yoğun oluyorum dedi "/>
        <s v="mail adresi verildi fotoğrafları gönderecek mehmet bey"/>
        <s v="öğlen saati olduğu için sonra ara der"/>
        <s v="dönüş yapıcam dedi-ŞUAN DÜŞÜNMÜYOR DÜŞÜNÜRSEK DÖNÜŞ YAPICAM DEDİ/son kez geliyoruz civar restoranlar çekildi sizin menünüzüde çekilim dedik. eşimle görüşüp 1 2 saate sizi tekrara ararım dediler// mail adresimize atıcak mail adresi tekrar iletildi -ulasıla"/>
        <s v="6-7 gibi aranacak yoğunmuş"/>
        <s v="05074429224 hüseyin bey"/>
        <s v="ulasılamadı - öbür işletmesinde çekim saglanmıs ama yükleme saglanmamış yetkili yok dedi öğlen sonra saat 2 gibi aranacak "/>
        <s v="gerek yok dedi defalarca aranmış."/>
        <s v="bayramdan sonra aranmak istedi haziran 10 dan sonra ara/SITEDE RESMIMIZIN OLMASINI ISTEMIYORUZ - RANDEVU OLUSTURULDU / ortağı ile görüşüp dönüş sağlayacak "/>
        <s v="fotografları paylaşmadıgımız için çekim istemiyor- Bilgehan bey no : 05352655069 ulasılamadı "/>
        <n v="5.45625986E9"/>
        <s v="kendı çekımlerını gondercekler"/>
        <s v="PANALDE FOTOGRAFLAR MEVCUT DEVAM CEKIMI OLUSTURULABILIR"/>
        <s v="hafta sonu gönderimini sağlayacak- randevu olusturuldu/ randevu alındı ahmet beyden."/>
        <s v="MAİL ATACAKMIŞmeşguk fotografcım var dedi - ismail bey no : 05412637383 ulaşılamadı "/>
        <s v="Açmadı."/>
        <s v="huzurevler subesınde cekılmıs"/>
        <n v="5.464493179E9"/>
        <s v="2 ay sonra çekim yaptırırım dedi 2 aya çekim yapılabilir mi bilmiyorum dedim o zaman istemiyorum dedi/1-2 ay müsait olamam diyor- sehir dısındayım dedi 2-3 haftaya aranacak  - ULASILAMADI "/>
        <s v="merkeze bağlı ordan alınacak"/>
        <s v="franchise ama bireysel işletiyor. akşam bir arkadaşı daha gelecekmiş beni tekrar arayacaklar.- Daha önce de randevu alınmış ama gitmemişler- 6014512d998c13d1848730 bu subesindeki  ürünlerin fotoğrafları kullanılacak "/>
        <s v="SADECE ÇİĞKÖFTE SATIŞI VAR."/>
        <s v="açmadı  "/>
        <s v="10 gün sonra ulaşım sağlansın"/>
        <s v="10 dakika sonra aranacak/5319368254 yakup bey emre yonsul bi altta ki yani merkez şubeymiş orasıyla görüşülcek çekim yapılırsa buraya da kullanılacak"/>
        <s v="5466600908 suan tadilat falan var 10 gün sonra aransın oluşturalım dediler /yüreğir şubesine randevu alındı buraya da kullanılacak"/>
        <n v="5.522997838E9"/>
        <s v="5466600908 emre bey tatildeymiş 4-5 gün sonra görüşelim dedi"/>
        <s v="MENÜ GÜNCELLEMESİ YAPACAKMIŞ.- 2 hafta falan sürer dedi menü güncellemesi - tadilatım var dedi"/>
        <s v="no 343/B"/>
        <s v="15 dk sonra aranacak ama açmadı/yarın ısletmede olmayacakmıs daha sonra gorusulcek/hazırlığım yok yapamayız hiç müsait olmuyorum"/>
        <s v="İş yeri sahibi ile kira konusunda anlaşamıyoruz tamamen kapatma olasılığımız var ne olacağı belli olmadığı için istemiyorum der"/>
        <s v="SAAT 15:01 DE ARANCAK- RANDEVU OLUSTURULDU "/>
        <s v="mail atacak//bilgisayardaydı bilgisayara suan erişimim yok olunca hemen gönderirim olmaz derseniz sizler çekime gelirsiniz der/aradık motor üstündeymiş daha sonra dedi- ben sizlere dönüs saglıyacam dedi simdi "/>
        <n v="5.323470131E9"/>
        <s v="mail gönderecekmiş//teyit için arandı gönderilcek- randevu alındı"/>
        <s v="geri dönüş yapıcak-MAİL VERİLDİ./tekrar arandı ses kalitesi çok kötü. metin bey yoktu.-suan ulasılamıyor- yetkili yok bir - bir buçuk saate gelir dedi  gelir dedi "/>
        <s v="3222397878sema hanım 05393179760 elimizde fotoğraflarımız var zaten ben mail atınca haber veririm dedi- sosyal medyacımız var dedi ondan alayım atarım dedi menüm güncellendi güncel olanlarla beraber atarım dedi ben donus saglarım dedi "/>
        <n v="5.365474377E9"/>
        <s v="fotograflarım var dedi ankatte hata var dedi/ - reklamcımla konusayım sızlere yarın donus yapayım dedi- ulaşılamadı / Fotoğraflar için arandı meşgule attı."/>
        <n v="5.367980149E9"/>
        <s v="5443520123 hüseyin beye mail adresimiz gönderildi- yok gerek yok dedi kapattı "/>
        <s v="devam çekimi istemiyor "/>
        <s v="üyeligi iptal edecekmiş."/>
        <s v="5325965456 seher hanım hastanedeymiş 1 saat sonra dedi"/>
        <s v="ÇEKİİM YAPILMIŞ. "/>
        <s v="PANELDE FOTOGRAFLAR MEVCUT"/>
        <s v="tuğçe hanıma göndereceklermiş.kapalı"/>
        <s v="dönecek "/>
        <s v="ÇEKIM GERCEKLESMIS"/>
        <s v="5332983591/ fotoğrafcı kendisi çekim yapmış"/>
        <s v="mail adresi verildi. mail adresi verildi tekrardan-ulasılamadı-ben mail adresinize atarım dedı kapattı- öbür işletmede fotograflar var dedi ordan gönderim saglarım mail adresi tekrardan verildi  - 60144a7015c659f7cfa3182d burdaki işletmesindeki fotoğrafla"/>
        <s v="açmadı"/>
        <n v="5.336314701E9"/>
        <s v="NİŞANLISIYLA KONUŞUP DÖNÜŞ YAPACKa-istemiyorum dedi "/>
        <n v="5.323617055E9"/>
        <s v="Ali can bey 5456117166"/>
        <n v="5.335936822E9"/>
        <s v="5348792411- 4-5 gibi aranacak - numara mesgul /Fotoğraflar için arandı  ben fotoğraf istemiyorum gerek yok dedi."/>
        <s v="5326001206 tolga bey/tolga bey ilgileniyor dediler ulaşılamadı"/>
        <s v="mail atıcak"/>
        <s v="5395745454-suan musaıt degılım dedı yarın bu saate aranırsa sevınırım dedı"/>
        <s v="Bu şubede de fotoğraf yok // 6082bb575d77c0461ade6800        Pizza Max (Sümer Mah.)"/>
        <s v="İbrahim Bey ; 5526881340 /devam çekimini eylül ayında istiyor aynı şeyleri tekrarlıyo"/>
        <s v="Fotoğrafları yok, başka şubede ızgara vs çekilmiş döner yok // 5357065729/çalıyor ama sürekli meşgule düşüyor."/>
        <s v="servet bey şuan istemiyorum gerek yok dedi"/>
        <n v="5.308796159E9"/>
        <s v="simit sarayı yanı - 05466465963 "/>
        <s v="meşgul"/>
        <s v="randevu gerçekleşmemiş fakat randevu talepleri var aransın/kesinlikle aranmasın randevuyu iptal etti maliyeti karşılayamayacağpı için istemedi-bir saate arayın dedi mahmut beyle gorusecun dedi - istemiyorum dedi "/>
        <s v="Kamil Bey ile görüşüldü hasan bey yetkili değilmiş kamil bey genel merkezden alalım gönderelim kafamıza göre fotograf koyamayız biz biyere dedi.- 60893b511949c7198d258983"/>
        <s v="kendi fotografları var  mail adresi verildi1 hafta sonra teyit amaçlı aranacak  - 60893b511949c7198d258983"/>
        <n v="5.364000969E9"/>
        <s v="5347856518 /dç istemiyor/ açmadı."/>
        <s v="panelle alakalı fazla sorun yaşıyormuş bayramdan sonra oluşturalım rand dedi/ devam çekimi istemiyor"/>
        <s v=" /FOTOĞRAFI VARMIŞ MAİL ATACAK rahatsızlıgı varmıs bır haftaya aransın dedi- haftaya aranacak - sehir dısındayım dedi suan 1 hafta sonra teyit amaclı aranacak - ulasılamadı"/>
        <s v="yanlıs numara"/>
        <n v="5.43350939E9"/>
        <s v="5531662926  bu numara aransın/açmadı"/>
        <s v="devam çekimi istemiyor./ikna edilmek üzere arandı ama ürünler fotoğrafta ki gibi müşteriye gitmediği için gerek yok diğer ürünlerin fotoğrafına der"/>
        <s v="05452506101 şefket bey ulaşılamadı "/>
        <s v="DÇ ALINDI,"/>
        <s v="açıklama ypmadan istemiyorum dedi dinlemedi "/>
        <s v="devam çekimi rand alındı"/>
        <s v="aykut bey no : 05541157851 kendi fotoğrafları var mail adresimiz paylaşıldı gönderim sağlayacaklar."/>
        <s v="hepsi çekilmiş"/>
        <s v="5070955855 fotograflarım vardı bi bakayım varsa gönderirim yoksa sizi ararım dedi- ben sıze gerı donus saglarım dedı- randevu olusturuldu"/>
        <s v="OLUR DEDİLER TEKRAR ORTAĞI İLE GÖRÜŞÜP DÖNÜŞ YAPACAKLAR EZGİ HANIMA / çekimleri yapılmış yüklenmemiş/ beyhan bey akşam 6 da geliyor."/>
        <s v="TEYİT İÇİN ARANDI DEVAM ÇEKİMİ İSTİYOR/nazmi bey devam çekimi 5387767080"/>
        <s v="05319144852  fotografların oldugu kişiymiş adıselim bu kişi arancak ardım meşgule atıyo//numara kullanılmamakta sistemdeki numarayıda kimse açmıyor"/>
        <s v="Kullanıcı meşgul "/>
        <s v="çekim istemiyor ben ilerki zamanlarda geri donus saglarım dedi "/>
        <s v="5435906001 / 5364962832 yusuf bey"/>
        <s v="5414191701 burak bey"/>
        <s v="çalmıyor /3224592119 bu nodan ulaşıldı. Fırat Bey;5340326541 açmadı "/>
        <s v="Teyit için arandı yetkili yokdendi"/>
        <s v="devam çekimi için biraz düşünüyor ürünler çöpe gidecek diye 5412035865/Kalan ürünleri için devam çekimi talep etti uygun olduğunda aransın/devam çekimi"/>
        <s v="doğal park sokak / dç alındı"/>
        <s v="emel hanım ile iletişime geçildi"/>
        <s v="ogleden sonra dort gıbı ara dedi  istemiyorum dedi "/>
        <s v="5385411313- düşünmüyoruz dedi "/>
        <s v="dükkan benim üzerime ama arkadaşım işletiyo o gerek yok dedi diyerek rand iptal etti arkadaşının numarasını vermedi-ben size donus yaparım dedi kapattı "/>
        <s v="5327445906 bayramdan sonra aranacak cep nosunu arayın/1 hafta sonra guncelleme var"/>
        <s v="5324848068-tatile cıkmıs 2 hafta sonra aranacak// açmadı  "/>
        <s v="Teyit için arandı yetkili yok dendi-devam çekimi için arandı restorantdakilerle görüşme sağlayıp dönüş sağlıycak arayalım.ümit hanım menü değişikliğinden sonra gelin dedi."/>
        <s v="Mailden gönderecek mevcut fotoğrafları varmış. Akşam açıyorlarmış sadece o yüzden de çekim istemiyor."/>
        <s v="teyit için arandı reklamcım bana gönderince gönderirim dedi-ulasılamadı/bilgiler var reklamcımdan alamadım alayım göndereyim dedi.- ulasılamadı - numara mesgul"/>
        <s v="salıya randevu istiyor"/>
        <s v="KENDİ FOTOĞRAFLARI VAR - mail adresi verildi yemek sepetınden alıp gonderim saglayacak "/>
        <s v="okullar açıldığı için çok yoğunluk yaşıyoruz dedi. kendisi dönüş sağlayacak/yetkili şehir dışında hafta sonu gelir- çok yoğunuz dedi müsait olamıyoruz dedi çekim istemiyor - şuan musait değilim biz müşteri hizmetlerini ararız dedi kapattı "/>
        <s v="AYKUT BEY RESTORAN SORUMLUSU 05377481126 mail adresi verildi"/>
      </sharedItems>
    </cacheField>
    <cacheField name="Randevu Alma &#10;Tarihi" numFmtId="168">
      <sharedItems containsDate="1" containsString="0" containsBlank="1">
        <d v="2021-10-01T00:00:00Z"/>
        <d v="2021-07-09T00:00:00Z"/>
        <d v="2021-11-15T00:00:00Z"/>
        <d v="2021-09-20T00:00:00Z"/>
        <m/>
        <d v="2021-07-05T00:00:00Z"/>
        <d v="2021-08-20T00:00:00Z"/>
        <d v="2021-12-20T00:00:00Z"/>
        <d v="2021-07-01T00:00:00Z"/>
        <d v="2021-09-30T00:00:00Z"/>
        <d v="2021-08-24T00:00:00Z"/>
        <d v="2021-09-21T00:00:00Z"/>
        <d v="2021-10-14T00:00:00Z"/>
        <d v="2021-09-11T00:00:00Z"/>
        <d v="2021-06-08T00:00:00Z"/>
        <d v="2021-10-29T00:00:00Z"/>
        <d v="2021-08-06T00:00:00Z"/>
        <d v="2021-08-04T00:00:00Z"/>
        <d v="2021-08-26T00:00:00Z"/>
        <d v="2021-10-07T00:00:00Z"/>
        <d v="2021-10-11T00:00:00Z"/>
        <d v="2021-07-07T00:00:00Z"/>
        <d v="2021-04-23T00:00:00Z"/>
        <d v="2021-12-17T00:00:00Z"/>
        <d v="2021-08-07T00:00:00Z"/>
        <d v="2021-07-30T00:00:00Z"/>
        <d v="2021-08-19T00:00:00Z"/>
        <d v="2021-07-16T00:00:00Z"/>
        <d v="2021-08-28T00:00:00Z"/>
        <d v="2021-10-12T00:00:00Z"/>
        <d v="2021-07-27T00:00:00Z"/>
        <d v="2021-10-05T00:00:00Z"/>
        <d v="2021-08-13T00:00:00Z"/>
        <d v="2021-07-02T00:00:00Z"/>
        <d v="2022-03-08T00:00:00Z"/>
        <d v="2021-09-01T00:00:00Z"/>
        <d v="2021-06-25T00:00:00Z"/>
        <d v="2021-03-31T00:00:00Z"/>
        <d v="2021-10-27T00:00:00Z"/>
        <d v="2021-04-20T00:00:00Z"/>
        <d v="2021-08-05T00:00:00Z"/>
        <d v="2021-10-26T00:00:00Z"/>
        <d v="2021-09-07T00:00:00Z"/>
        <d v="2021-05-19T00:00:00Z"/>
        <d v="2021-05-25T00:00:00Z"/>
        <d v="2022-03-10T00:00:00Z"/>
        <d v="2022-03-01T00:00:00Z"/>
        <d v="2021-04-06T00:00:00Z"/>
        <d v="2021-09-06T00:00:00Z"/>
        <d v="2021-12-14T00:00:00Z"/>
        <d v="2021-08-23T00:00:00Z"/>
        <d v="2022-02-25T00:00:00Z"/>
        <d v="2021-11-09T00:00:00Z"/>
        <d v="2021-05-24T00:00:00Z"/>
        <d v="2021-08-27T00:00:00Z"/>
        <d v="2021-09-27T00:00:00Z"/>
        <d v="2021-09-23T00:00:00Z"/>
        <d v="2021-04-01T00:00:00Z"/>
        <d v="2021-12-08T00:00:00Z"/>
        <d v="2021-07-13T00:00:00Z"/>
        <d v="2022-03-14T00:00:00Z"/>
        <d v="2021-12-16T00:00:00Z"/>
        <d v="2022-01-05T00:00:00Z"/>
        <d v="2021-10-25T00:00:00Z"/>
        <d v="2021-10-21T00:00:00Z"/>
        <d v="2021-09-24T00:00:00Z"/>
        <d v="2021-09-16T00:00:00Z"/>
        <d v="2021-06-02T00:00:00Z"/>
        <d v="2021-08-09T00:00:00Z"/>
        <d v="2021-06-15T00:00:00Z"/>
        <d v="2021-11-01T00:00:00Z"/>
        <d v="2021-07-26T00:00:00Z"/>
        <d v="2021-10-06T00:00:00Z"/>
        <d v="2021-07-12T00:00:00Z"/>
        <d v="2022-03-12T00:00:00Z"/>
        <d v="2021-07-06T00:00:00Z"/>
        <d v="2021-10-22T00:00:00Z"/>
        <d v="2021-04-15T00:00:00Z"/>
        <d v="2021-06-18T00:00:00Z"/>
        <d v="2021-12-25T00:00:00Z"/>
        <d v="2022-01-03T00:00:00Z"/>
        <d v="2021-10-20T00:00:00Z"/>
        <d v="2021-11-04T00:00:00Z"/>
        <d v="2021-09-14T00:00:00Z"/>
        <d v="2022-02-28T00:00:00Z"/>
        <d v="2021-11-10T00:00:00Z"/>
        <d v="2021-04-07T00:00:00Z"/>
        <d v="2021-09-28T00:00:00Z"/>
        <d v="2021-06-16T00:00:00Z"/>
        <d v="2021-05-26T00:00:00Z"/>
        <d v="2021-07-15T00:00:00Z"/>
        <d v="2021-10-18T00:00:00Z"/>
        <d v="2021-11-03T00:00:00Z"/>
        <d v="2021-06-28T00:00:00Z"/>
        <d v="2021-07-29T00:00:00Z"/>
        <d v="2021-12-09T00:00:00Z"/>
        <d v="2021-11-30T00:00:00Z"/>
        <d v="2021-05-20T00:00:00Z"/>
        <d v="2021-11-11T00:00:00Z"/>
        <d v="2022-03-18T00:00:00Z"/>
        <d v="2021-04-21T00:00:00Z"/>
        <d v="2021-11-02T00:00:00Z"/>
        <d v="2021-06-01T00:00:00Z"/>
        <d v="2021-04-16T00:00:00Z"/>
        <d v="2021-04-13T00:00:00Z"/>
        <d v="2021-06-24T00:00:00Z"/>
        <d v="2021-05-27T00:00:00Z"/>
        <d v="2021-08-16T00:00:00Z"/>
        <d v="2021-04-24T00:00:00Z"/>
        <d v="2021-08-12T00:00:00Z"/>
        <d v="2022-03-17T00:00:00Z"/>
        <d v="2021-07-08T00:00:00Z"/>
        <d v="2021-04-22T00:00:00Z"/>
      </sharedItems>
    </cacheField>
    <cacheField name="Randevu &#10;Tarihi" numFmtId="168">
      <sharedItems containsDate="1" containsString="0" containsBlank="1">
        <d v="2021-10-04T00:00:00Z"/>
        <d v="2021-07-13T00:00:00Z"/>
        <d v="2021-11-17T00:00:00Z"/>
        <d v="2021-09-21T00:00:00Z"/>
        <m/>
        <d v="2021-07-06T00:00:00Z"/>
        <d v="2021-08-26T00:00:00Z"/>
        <d v="2021-12-30T00:00:00Z"/>
        <d v="2021-10-05T00:00:00Z"/>
        <d v="2021-08-27T00:00:00Z"/>
        <d v="2021-09-23T00:00:00Z"/>
        <d v="2021-10-15T00:00:00Z"/>
        <d v="2021-09-13T00:00:00Z"/>
        <d v="2021-06-10T00:00:00Z"/>
        <d v="2021-11-01T00:00:00Z"/>
        <d v="2021-08-12T00:00:00Z"/>
        <d v="2021-08-05T00:00:00Z"/>
        <d v="2021-08-31T00:00:00Z"/>
        <d v="2021-10-11T00:00:00Z"/>
        <d v="2021-10-12T00:00:00Z"/>
        <d v="2021-07-09T00:00:00Z"/>
        <d v="2021-04-28T00:00:00Z"/>
        <d v="2021-12-22T00:00:00Z"/>
        <d v="2021-08-25T00:00:00Z"/>
        <d v="2021-08-13T00:00:00Z"/>
        <d v="2021-11-18T00:00:00Z"/>
        <d v="2021-07-07T00:00:00Z"/>
        <d v="2021-08-03T00:00:00Z"/>
        <d v="2021-08-23T00:00:00Z"/>
        <d v="2021-07-27T00:00:00Z"/>
        <d v="2021-09-01T00:00:00Z"/>
        <d v="2021-10-13T00:00:00Z"/>
        <d v="2021-07-29T00:00:00Z"/>
        <d v="2021-10-06T00:00:00Z"/>
        <d v="2021-08-19T00:00:00Z"/>
        <d v="2022-03-09T00:00:00Z"/>
        <d v="2021-09-06T00:00:00Z"/>
        <d v="2021-06-29T00:00:00Z"/>
        <d v="2021-04-01T00:00:00Z"/>
        <d v="2021-11-04T00:00:00Z"/>
        <d v="2021-04-21T00:00:00Z"/>
        <d v="2021-08-10T00:00:00Z"/>
        <d v="2021-10-27T00:00:00Z"/>
        <d v="2021-09-08T00:00:00Z"/>
        <d v="2021-05-24T00:00:00Z"/>
        <d v="2021-06-09T00:00:00Z"/>
        <d v="2021-09-02T00:00:00Z"/>
        <d v="2021-05-27T00:00:00Z"/>
        <d v="2022-03-11T00:00:00Z"/>
        <d v="2022-03-02T00:00:00Z"/>
        <d v="2021-08-18T00:00:00Z"/>
        <d v="2021-04-07T00:00:00Z"/>
        <d v="2021-09-07T00:00:00Z"/>
        <d v="2021-12-16T00:00:00Z"/>
        <d v="2021-08-24T00:00:00Z"/>
        <d v="2022-02-28T00:00:00Z"/>
        <d v="2021-11-10T00:00:00Z"/>
        <d v="2021-05-28T00:00:00Z"/>
        <d v="2021-08-30T00:00:00Z"/>
        <d v="2021-09-28T00:00:00Z"/>
        <d v="2021-04-22T00:00:00Z"/>
        <d v="2021-02-06T00:00:00Z"/>
        <d v="2021-09-24T00:00:00Z"/>
        <d v="2021-04-05T00:00:00Z"/>
        <d v="2021-11-11T00:00:00Z"/>
        <d v="2021-12-15T00:00:00Z"/>
        <d v="2021-07-15T00:00:00Z"/>
        <d v="2022-03-15T00:00:00Z"/>
        <d v="2022-01-06T00:00:00Z"/>
        <d v="2021-10-26T00:00:00Z"/>
        <d v="2021-10-22T00:00:00Z"/>
        <d v="2021-04-06T00:00:00Z"/>
        <d v="2021-09-27T00:00:00Z"/>
        <d v="2021-09-17T00:00:00Z"/>
        <d v="2021-06-04T00:00:00Z"/>
        <d v="2021-08-17T00:00:00Z"/>
        <d v="2021-06-17T00:00:00Z"/>
        <d v="2021-11-02T00:00:00Z"/>
        <d v="2021-07-28T00:00:00Z"/>
        <d v="2021-10-07T00:00:00Z"/>
        <d v="2021-07-14T00:00:00Z"/>
        <d v="2021-07-08T00:00:00Z"/>
        <d v="2021-10-25T00:00:00Z"/>
        <d v="2021-04-19T00:00:00Z"/>
        <d v="2021-06-24T00:00:00Z"/>
        <d v="2022-01-05T00:00:00Z"/>
        <d v="2021-08-09T00:00:00Z"/>
        <d v="2021-10-21T00:00:00Z"/>
        <d v="2021-11-05T00:00:00Z"/>
        <d v="2021-09-15T00:00:00Z"/>
        <d v="2022-03-01T00:00:00Z"/>
        <d v="2021-11-12T00:00:00Z"/>
        <d v="2021-09-20T00:00:00Z"/>
        <d v="2021-04-09T00:00:00Z"/>
        <d v="2021-09-29T00:00:00Z"/>
        <d v="2021-06-21T00:00:00Z"/>
        <d v="2021-06-23T00:00:00Z"/>
        <d v="2021-07-26T00:00:00Z"/>
        <d v="2021-07-05T00:00:00Z"/>
        <d v="2021-10-19T00:00:00Z"/>
        <d v="2021-09-22T00:00:00Z"/>
        <d v="2021-06-30T00:00:00Z"/>
        <d v="2021-08-02T00:00:00Z"/>
        <d v="2021-12-01T00:00:00Z"/>
        <d v="2022-03-21T00:00:00Z"/>
        <d v="2021-11-03T00:00:00Z"/>
        <d v="2021-06-03T00:00:00Z"/>
        <d v="2021-04-20T00:00:00Z"/>
        <d v="2021-07-16T00:00:00Z"/>
        <d v="2021-04-15T00:00:00Z"/>
        <d v="2021-06-28T00:00:00Z"/>
        <d v="2021-06-02T00:00:00Z"/>
        <d v="2021-10-01T00:00:00Z"/>
        <d v="2021-04-27T00:00:00Z"/>
        <d v="2022-03-18T00:00:00Z"/>
        <d v="2021-07-12T00:00:00Z"/>
        <d v="2021-04-26T00:00:00Z"/>
      </sharedItems>
    </cacheField>
    <cacheField name="Anket&#10;Durum" numFmtId="0">
      <sharedItems containsBlank="1">
        <m/>
        <s v="Fotoğraflarım Var"/>
        <s v="Hemen Randevu İstiyorum"/>
        <s v="İleride Randevu İstiyorum"/>
      </sharedItems>
    </cacheField>
    <cacheField name="1. Arama" numFmtId="0">
      <sharedItems containsBlank="1">
        <s v="Ulaşılamadı"/>
        <s v="Görüşüldü"/>
        <m/>
        <s v="Tekrar Aranacak"/>
        <s v="Yetkili Yok"/>
        <s v="Dönüş Yapacak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özet" cacheId="0" dataCaption="" compact="0" compactData="0">
  <location ref="U1:X163" firstHeaderRow="0" firstDataRow="1" firstDataCol="1"/>
  <pivotFields>
    <pivotField name="Restaurant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t="default"/>
      </items>
    </pivotField>
    <pivotField name="Restoran&#10;Adı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t="default"/>
      </items>
    </pivotField>
    <pivotField name="Satışa&#10;Açık Mı?" compact="0" outline="0" multipleItemSelectionAllowed="1" showAll="0">
      <items>
        <item x="0"/>
        <item x="1"/>
        <item t="default"/>
      </items>
    </pivotField>
    <pivotField name="Mutfa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OPLAM&#10;SİPARİŞ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t="default"/>
      </items>
    </pivotField>
    <pivotField name="SON 2 &#10;HAF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t="default"/>
      </items>
    </pivotField>
    <pivotField name="RESİMLİ&#10;ÜRÜ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RESİMSİZ&#10;ÜRÜ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TOPLAM&#10;ÜRÜ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name="Ratio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Yetkil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t="default"/>
      </items>
    </pivotField>
    <pivotField name="Telef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t="default"/>
      </items>
    </pivotField>
    <pivotField name="İLÇ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AHAL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name="AD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t="default"/>
      </items>
    </pivotField>
    <pivotField name="Geleneksel&#10;Zincir" compact="0" outline="0" multipleItemSelectionAllowed="1" showAll="0">
      <items>
        <item x="0"/>
        <item x="1"/>
        <item t="default"/>
      </items>
    </pivotField>
    <pivotField name="FOTOĞRAF SEGMENT" axis="axisCol" compact="0" outline="0" multipleItemSelectionAllowed="1" showAll="0" sortType="ascending">
      <items>
        <item x="0"/>
        <item x="1"/>
        <item t="default"/>
      </items>
    </pivotField>
    <pivotField name="Aradık Mı?" compact="0" outline="0" multipleItemSelectionAllowed="1" showAll="0">
      <items>
        <item x="0"/>
        <item x="1"/>
        <item t="default"/>
      </items>
    </pivotField>
    <pivotField name="Kendi Fotosu&#10;Var" compact="0" outline="0" multipleItemSelectionAllowed="1" showAll="0">
      <items>
        <item x="0"/>
        <item x="1"/>
        <item x="2"/>
        <item t="default"/>
      </items>
    </pivotField>
    <pivotField name="Randevu &#10;Durum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Randevu&#10;A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Fotoğrafçı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No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t="default"/>
      </items>
    </pivotField>
    <pivotField name="Randevu Alma &#10;Tarihi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t="default"/>
      </items>
    </pivotField>
    <pivotField name="Randevu &#10;Tarihi" axis="axisRow" compact="0" numFmtId="168" outline="0" multipleItemSelectionAllowed="1" showAll="0" sortType="ascending">
      <items>
        <item x="4"/>
        <item x="61"/>
        <item x="125"/>
        <item x="38"/>
        <item x="63"/>
        <item x="71"/>
        <item x="51"/>
        <item x="137"/>
        <item x="93"/>
        <item x="109"/>
        <item x="83"/>
        <item x="107"/>
        <item x="40"/>
        <item x="60"/>
        <item x="116"/>
        <item x="113"/>
        <item x="21"/>
        <item x="152"/>
        <item x="153"/>
        <item x="138"/>
        <item x="159"/>
        <item x="44"/>
        <item x="154"/>
        <item x="123"/>
        <item x="47"/>
        <item x="57"/>
        <item x="120"/>
        <item x="121"/>
        <item x="111"/>
        <item x="106"/>
        <item x="74"/>
        <item x="151"/>
        <item x="45"/>
        <item x="13"/>
        <item x="127"/>
        <item x="129"/>
        <item x="76"/>
        <item x="139"/>
        <item x="95"/>
        <item x="155"/>
        <item x="96"/>
        <item x="84"/>
        <item x="110"/>
        <item x="37"/>
        <item x="101"/>
        <item x="145"/>
        <item x="149"/>
        <item x="98"/>
        <item x="5"/>
        <item x="26"/>
        <item x="81"/>
        <item x="20"/>
        <item x="115"/>
        <item x="1"/>
        <item x="80"/>
        <item x="66"/>
        <item x="108"/>
        <item x="97"/>
        <item x="29"/>
        <item x="78"/>
        <item x="32"/>
        <item x="102"/>
        <item x="27"/>
        <item x="156"/>
        <item x="16"/>
        <item x="86"/>
        <item x="41"/>
        <item x="117"/>
        <item x="15"/>
        <item x="24"/>
        <item x="75"/>
        <item x="50"/>
        <item x="34"/>
        <item x="142"/>
        <item x="28"/>
        <item x="54"/>
        <item x="23"/>
        <item x="6"/>
        <item x="9"/>
        <item x="58"/>
        <item x="17"/>
        <item x="30"/>
        <item x="46"/>
        <item x="122"/>
        <item x="36"/>
        <item x="52"/>
        <item x="43"/>
        <item x="124"/>
        <item x="132"/>
        <item x="12"/>
        <item x="141"/>
        <item x="89"/>
        <item x="136"/>
        <item x="73"/>
        <item x="92"/>
        <item x="3"/>
        <item x="100"/>
        <item x="10"/>
        <item x="62"/>
        <item x="72"/>
        <item x="59"/>
        <item x="94"/>
        <item x="112"/>
        <item x="0"/>
        <item x="8"/>
        <item x="33"/>
        <item x="79"/>
        <item x="118"/>
        <item x="18"/>
        <item x="19"/>
        <item x="31"/>
        <item x="144"/>
        <item x="11"/>
        <item x="146"/>
        <item x="99"/>
        <item x="133"/>
        <item x="87"/>
        <item x="70"/>
        <item x="82"/>
        <item x="69"/>
        <item x="42"/>
        <item x="148"/>
        <item x="14"/>
        <item x="77"/>
        <item x="105"/>
        <item x="39"/>
        <item x="88"/>
        <item x="130"/>
        <item x="119"/>
        <item x="56"/>
        <item x="64"/>
        <item x="91"/>
        <item x="2"/>
        <item x="25"/>
        <item x="147"/>
        <item x="158"/>
        <item x="103"/>
        <item x="135"/>
        <item x="140"/>
        <item x="143"/>
        <item x="128"/>
        <item x="65"/>
        <item x="53"/>
        <item x="22"/>
        <item x="126"/>
        <item x="7"/>
        <item x="85"/>
        <item x="68"/>
        <item x="55"/>
        <item x="90"/>
        <item x="49"/>
        <item x="150"/>
        <item x="35"/>
        <item x="48"/>
        <item x="67"/>
        <item x="134"/>
        <item x="114"/>
        <item x="104"/>
        <item x="131"/>
        <item x="157"/>
        <item t="default"/>
      </items>
    </pivotField>
    <pivotField name="Anket&#10;Durum" compact="0" outline="0" multipleItemSelectionAllowed="1" showAll="0">
      <items>
        <item x="0"/>
        <item x="1"/>
        <item x="2"/>
        <item x="3"/>
        <item t="default"/>
      </items>
    </pivotField>
    <pivotField name="1. Aram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24"/>
  </rowFields>
  <colFields>
    <field x="16"/>
  </colFields>
  <dataFields>
    <dataField name="COUNTA of Restaurant ID" fld="0" subtotal="count" baseField="0"/>
  </dataFields>
</pivotTableDefinition>
</file>

<file path=xl/pivotTables/pivotTable2.xml><?xml version="1.0" encoding="utf-8"?>
<pivotTableDefinition xmlns="http://schemas.openxmlformats.org/spreadsheetml/2006/main" name="özet 2" cacheId="1" dataCaption="" compact="0" compactData="0">
  <location ref="G21:H22" firstHeaderRow="0" firstDataRow="1" firstDataCol="0" rowPageCount="5" colPageCount="1"/>
  <pivotFields>
    <pivotField name="Restauran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t="default"/>
      </items>
    </pivotField>
    <pivotField name="Restoran&#10;Adı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t="default"/>
      </items>
    </pivotField>
    <pivotField name="Satışa&#10;Açık Mı?" axis="axisPage" compact="0" outline="0" multipleItemSelectionAllowed="1" showAll="0">
      <items>
        <item h="1" x="0"/>
        <item h="1" x="1"/>
        <item t="default"/>
      </items>
    </pivotField>
    <pivotField name="Mutfa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OPLAM&#10;SİPARİŞ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t="default"/>
      </items>
    </pivotField>
    <pivotField name="SON 2 &#10;HAF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t="default"/>
      </items>
    </pivotField>
    <pivotField name="RESİMLİ&#10;ÜRÜ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RESİMSİZ&#10;ÜRÜ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TOPLAM&#10;ÜRÜ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Ratio" axis="axisPage" compact="0" numFmtId="9" outline="0" multipleItemSelectionAllowed="1" showAll="0">
      <items>
        <item h="1" x="0"/>
        <item h="1" x="1"/>
        <item h="1" x="2"/>
        <item h="1" x="3"/>
        <item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t="default"/>
      </items>
    </pivotField>
    <pivotField name="Yetkil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t="default"/>
      </items>
    </pivotField>
    <pivotField name="Telef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t="default"/>
      </items>
    </pivotField>
    <pivotField name="İLÇE" axis="axisRow" dataField="1" compact="0" outline="0" multipleItemSelectionAllowed="1" showAll="0" sortType="descending">
      <items>
        <item x="0"/>
        <item x="1"/>
        <item x="2"/>
        <item x="3"/>
        <item x="4"/>
        <item x="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MAHAL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AD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t="default"/>
      </items>
    </pivotField>
    <pivotField name="Geleneksel&#10;Zincir" axis="axisPage" compact="0" outline="0" multipleItemSelectionAllowed="1" showAll="0">
      <items>
        <item x="0"/>
        <item h="1" x="1"/>
        <item t="default"/>
      </items>
    </pivotField>
    <pivotField name="FOTOĞRAF SEGMENT" compact="0" outline="0" multipleItemSelectionAllowed="1" showAll="0">
      <items>
        <item x="0"/>
        <item t="default"/>
      </items>
    </pivotField>
    <pivotField name="Aradık Mı?" compact="0" outline="0" multipleItemSelectionAllowed="1" showAll="0">
      <items>
        <item x="0"/>
        <item x="1"/>
        <item t="default"/>
      </items>
    </pivotField>
    <pivotField name="Kendi Fotosu&#10;Var" axis="axisPage" compact="0" outline="0" multipleItemSelectionAllowed="1" showAll="0">
      <items>
        <item x="0"/>
        <item h="1" x="1"/>
        <item t="default"/>
      </items>
    </pivotField>
    <pivotField name="Randevu &#10;Durumu" axis="axisPage" compact="0" outline="0" multipleItemSelectionAllowed="1" showAll="0">
      <items>
        <item h="1" x="0"/>
        <item x="1"/>
        <item x="2"/>
        <item x="3"/>
        <item h="1" x="4"/>
        <item x="5"/>
        <item h="1" x="6"/>
        <item x="7"/>
        <item x="8"/>
        <item x="9"/>
        <item x="10"/>
        <item h="1" x="11"/>
        <item x="12"/>
        <item h="1" x="13"/>
        <item x="14"/>
        <item x="15"/>
        <item t="default"/>
      </items>
    </pivotField>
    <pivotField name="Randevu&#10;A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Fotoğrafçı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No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t="default"/>
      </items>
    </pivotField>
    <pivotField name="Randevu Alma &#10;Tarihi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t="default"/>
      </items>
    </pivotField>
    <pivotField name="Randevu &#10;Tarihi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name="Anket&#10;Durum" compact="0" outline="0" multipleItemSelectionAllowed="1" showAll="0">
      <items>
        <item x="0"/>
        <item x="1"/>
        <item x="2"/>
        <item x="3"/>
        <item t="default"/>
      </items>
    </pivotField>
    <pivotField name="1. Aram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12"/>
  </rowFields>
  <pageFields>
    <pageField fld="2"/>
    <pageField fld="9"/>
    <pageField fld="15"/>
    <pageField fld="19"/>
    <pageField fld="18"/>
  </pageFields>
  <dataFields>
    <dataField name="COUNTA of İLÇE" fld="12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pt.no:39/a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google.com/search?q=Riva+De%C4%9Firmen+(Huzurevleri+Mah.)&amp;oq=Riva+De%C4%9Firmen+(Huzurevleri+Mah.)&amp;aqs=chrome..69i57j0i333.1235j0j7&amp;sourceid=chrome&amp;ie=UTF-8" TargetMode="External"/><Relationship Id="rId3" Type="http://schemas.openxmlformats.org/officeDocument/2006/relationships/hyperlink" Target="https://www.google.com/search?q=Tantunici+Adem+(%C3%87ark%C4%B1pare+Mah.)&amp;oq=Tantunici+Adem+(%C3%87ark%C4%B1pare+Mah.)&amp;aqs=chrome..69i57j0i333l3.698j0j4&amp;sourceid=chrome&amp;ie=UTF-8" TargetMode="Externa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63"/>
    <col customWidth="1" min="2" max="2" width="13.75"/>
    <col customWidth="1" min="3" max="3" width="15.25"/>
    <col customWidth="1" min="5" max="5" width="10.75"/>
    <col customWidth="1" min="6" max="6" width="29.0"/>
    <col customWidth="1" min="7" max="7" width="10.0"/>
    <col customWidth="1" min="8" max="8" width="16.75"/>
    <col customWidth="1" min="9" max="9" width="31.5"/>
    <col customWidth="1" min="10" max="10" width="54.88"/>
    <col customWidth="1" min="13" max="13" width="11.5"/>
  </cols>
  <sheetData>
    <row r="1" ht="24.75" customHeight="1">
      <c r="A1" s="1" t="s">
        <v>0</v>
      </c>
      <c r="B1" s="1"/>
      <c r="C1" s="2" t="s">
        <v>1</v>
      </c>
      <c r="D1" s="3" t="s">
        <v>2</v>
      </c>
      <c r="E1" s="4" t="s">
        <v>3</v>
      </c>
      <c r="F1" s="4" t="s">
        <v>4</v>
      </c>
      <c r="G1" s="5" t="s">
        <v>5</v>
      </c>
      <c r="H1" s="4" t="s">
        <v>6</v>
      </c>
      <c r="I1" s="4" t="s">
        <v>7</v>
      </c>
      <c r="J1" s="4" t="s">
        <v>8</v>
      </c>
      <c r="K1" s="6" t="s">
        <v>9</v>
      </c>
      <c r="L1" s="7" t="s">
        <v>10</v>
      </c>
      <c r="M1" s="8" t="s">
        <v>11</v>
      </c>
      <c r="N1" s="4" t="s">
        <v>12</v>
      </c>
      <c r="O1" s="4" t="s">
        <v>13</v>
      </c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hidden="1">
      <c r="A2" s="10"/>
      <c r="B2" s="10"/>
      <c r="C2" s="10">
        <v>44285.0</v>
      </c>
      <c r="D2" s="11"/>
      <c r="E2" s="12"/>
      <c r="F2" s="13"/>
      <c r="G2" s="13"/>
      <c r="H2" s="13"/>
      <c r="I2" s="13"/>
      <c r="J2" s="13"/>
      <c r="K2" s="13"/>
      <c r="L2" s="14"/>
      <c r="M2" s="15"/>
      <c r="N2" s="15"/>
      <c r="O2" s="15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</row>
    <row r="3" hidden="1">
      <c r="A3" s="17"/>
      <c r="B3" s="18" t="s">
        <v>14</v>
      </c>
      <c r="C3" s="19"/>
      <c r="D3" s="20"/>
      <c r="E3" s="21"/>
      <c r="F3" s="21"/>
      <c r="G3" s="22"/>
      <c r="H3" s="21"/>
      <c r="I3" s="21"/>
      <c r="J3" s="21"/>
      <c r="K3" s="23"/>
      <c r="L3" s="23"/>
      <c r="M3" s="15"/>
      <c r="N3" s="15" t="b">
        <v>0</v>
      </c>
      <c r="O3" s="15" t="b">
        <v>0</v>
      </c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</row>
    <row r="4" hidden="1">
      <c r="A4" s="24" t="str">
        <f t="shared" ref="A4:A53" si="1">E4</f>
        <v>5ff302a74f55ab6f4e9ea62f</v>
      </c>
      <c r="B4" s="25"/>
      <c r="C4" s="26" t="s">
        <v>15</v>
      </c>
      <c r="D4" s="27" t="s">
        <v>16</v>
      </c>
      <c r="E4" s="28" t="s">
        <v>17</v>
      </c>
      <c r="F4" s="28" t="s">
        <v>18</v>
      </c>
      <c r="G4" s="29">
        <v>0.4583333333333333</v>
      </c>
      <c r="H4" s="30" t="s">
        <v>19</v>
      </c>
      <c r="I4" s="30" t="s">
        <v>20</v>
      </c>
      <c r="J4" s="28" t="s">
        <v>21</v>
      </c>
      <c r="K4" s="31" t="s">
        <v>22</v>
      </c>
      <c r="L4" s="23"/>
      <c r="M4" s="15">
        <f>VLOOKUP(E4,'hedef liste'!A:I,8,false)</f>
        <v>46</v>
      </c>
      <c r="N4" s="15" t="b">
        <v>0</v>
      </c>
      <c r="O4" s="15" t="b">
        <v>0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</row>
    <row r="5" hidden="1">
      <c r="A5" s="24" t="str">
        <f t="shared" si="1"/>
        <v>604538b0075e9b5c86b52986</v>
      </c>
      <c r="B5" s="25"/>
      <c r="C5" s="26" t="s">
        <v>15</v>
      </c>
      <c r="D5" s="20" t="s">
        <v>16</v>
      </c>
      <c r="E5" s="32" t="s">
        <v>23</v>
      </c>
      <c r="F5" s="32" t="s">
        <v>24</v>
      </c>
      <c r="G5" s="33">
        <v>0.5208333333333334</v>
      </c>
      <c r="H5" s="34" t="s">
        <v>25</v>
      </c>
      <c r="I5" s="34" t="s">
        <v>26</v>
      </c>
      <c r="J5" s="35" t="s">
        <v>27</v>
      </c>
      <c r="K5" s="23"/>
      <c r="L5" s="23"/>
      <c r="M5" s="15">
        <f>VLOOKUP(E5,'hedef liste'!A:I,8,false)</f>
        <v>9</v>
      </c>
      <c r="N5" s="36" t="b">
        <v>0</v>
      </c>
      <c r="O5" s="15" t="b">
        <v>0</v>
      </c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</row>
    <row r="6" hidden="1">
      <c r="A6" s="24" t="str">
        <f t="shared" si="1"/>
        <v>600605867441fc14ff7f7c0a</v>
      </c>
      <c r="B6" s="25"/>
      <c r="C6" s="26" t="s">
        <v>15</v>
      </c>
      <c r="D6" s="20" t="s">
        <v>16</v>
      </c>
      <c r="E6" s="32" t="s">
        <v>28</v>
      </c>
      <c r="F6" s="32" t="s">
        <v>29</v>
      </c>
      <c r="G6" s="37" t="s">
        <v>30</v>
      </c>
      <c r="H6" s="34" t="s">
        <v>31</v>
      </c>
      <c r="I6" s="32" t="s">
        <v>32</v>
      </c>
      <c r="J6" s="32" t="s">
        <v>33</v>
      </c>
      <c r="K6" s="23"/>
      <c r="L6" s="23"/>
      <c r="M6" s="15">
        <f>VLOOKUP(E6,'hedef liste'!A:I,8,false)</f>
        <v>7</v>
      </c>
      <c r="N6" s="36" t="b">
        <v>0</v>
      </c>
      <c r="O6" s="15" t="b">
        <v>0</v>
      </c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7" hidden="1">
      <c r="A7" s="24" t="str">
        <f t="shared" si="1"/>
        <v>603a1b3f717836115614220d</v>
      </c>
      <c r="B7" s="25"/>
      <c r="C7" s="26" t="s">
        <v>15</v>
      </c>
      <c r="D7" s="38" t="s">
        <v>16</v>
      </c>
      <c r="E7" s="32" t="s">
        <v>34</v>
      </c>
      <c r="F7" s="32" t="s">
        <v>35</v>
      </c>
      <c r="G7" s="37" t="s">
        <v>36</v>
      </c>
      <c r="H7" s="34" t="s">
        <v>37</v>
      </c>
      <c r="I7" s="35" t="s">
        <v>38</v>
      </c>
      <c r="J7" s="32" t="s">
        <v>39</v>
      </c>
      <c r="K7" s="23"/>
      <c r="L7" s="23"/>
      <c r="M7" s="15">
        <f>VLOOKUP(E7,'hedef liste'!A:I,8,false)</f>
        <v>19</v>
      </c>
      <c r="N7" s="36" t="b">
        <v>0</v>
      </c>
      <c r="O7" s="15" t="b">
        <v>0</v>
      </c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</row>
    <row r="8" hidden="1">
      <c r="A8" s="24" t="str">
        <f t="shared" si="1"/>
        <v>60155dca998c13f968875764</v>
      </c>
      <c r="B8" s="39"/>
      <c r="C8" s="26" t="s">
        <v>15</v>
      </c>
      <c r="D8" s="20" t="s">
        <v>40</v>
      </c>
      <c r="E8" s="32" t="s">
        <v>41</v>
      </c>
      <c r="F8" s="32" t="s">
        <v>42</v>
      </c>
      <c r="G8" s="40" t="s">
        <v>43</v>
      </c>
      <c r="H8" s="34" t="s">
        <v>37</v>
      </c>
      <c r="I8" s="35" t="s">
        <v>44</v>
      </c>
      <c r="J8" s="32" t="s">
        <v>45</v>
      </c>
      <c r="K8" s="23"/>
      <c r="L8" s="23"/>
      <c r="M8" s="15"/>
      <c r="N8" s="36" t="b">
        <v>0</v>
      </c>
      <c r="O8" s="15" t="b">
        <v>0</v>
      </c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</row>
    <row r="9" hidden="1">
      <c r="A9" s="24" t="str">
        <f t="shared" si="1"/>
        <v/>
      </c>
      <c r="B9" s="10"/>
      <c r="C9" s="10">
        <v>44286.0</v>
      </c>
      <c r="D9" s="11"/>
      <c r="E9" s="12"/>
      <c r="F9" s="13"/>
      <c r="G9" s="13"/>
      <c r="H9" s="13"/>
      <c r="I9" s="13"/>
      <c r="J9" s="13"/>
      <c r="K9" s="13"/>
      <c r="L9" s="14"/>
      <c r="M9" s="15"/>
      <c r="N9" s="15"/>
      <c r="O9" s="15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</row>
    <row r="10" hidden="1">
      <c r="A10" s="24" t="str">
        <f t="shared" si="1"/>
        <v/>
      </c>
      <c r="B10" s="18" t="s">
        <v>14</v>
      </c>
      <c r="C10" s="19"/>
      <c r="D10" s="20"/>
      <c r="E10" s="21"/>
      <c r="F10" s="21"/>
      <c r="G10" s="22"/>
      <c r="H10" s="21"/>
      <c r="I10" s="21"/>
      <c r="J10" s="21"/>
      <c r="K10" s="23"/>
      <c r="L10" s="23"/>
      <c r="M10" s="15"/>
      <c r="N10" s="15" t="b">
        <v>0</v>
      </c>
      <c r="O10" s="15" t="b">
        <v>0</v>
      </c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</row>
    <row r="11" hidden="1">
      <c r="A11" s="24" t="str">
        <f t="shared" si="1"/>
        <v/>
      </c>
      <c r="B11" s="25"/>
      <c r="C11" s="41"/>
      <c r="D11" s="20"/>
      <c r="E11" s="21"/>
      <c r="F11" s="42"/>
      <c r="G11" s="33"/>
      <c r="H11" s="42"/>
      <c r="I11" s="21"/>
      <c r="J11" s="21"/>
      <c r="K11" s="23"/>
      <c r="L11" s="23"/>
      <c r="M11" s="15" t="str">
        <f>VLOOKUP(E11,'hedef liste'!A:I,8,false)</f>
        <v>#N/A</v>
      </c>
      <c r="N11" s="15" t="b">
        <v>0</v>
      </c>
      <c r="O11" s="15" t="b">
        <v>0</v>
      </c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</row>
    <row r="12" hidden="1">
      <c r="A12" s="24" t="str">
        <f t="shared" si="1"/>
        <v>5feb8f7237c1dbf256558540</v>
      </c>
      <c r="B12" s="25"/>
      <c r="C12" s="26" t="s">
        <v>15</v>
      </c>
      <c r="D12" s="20" t="s">
        <v>16</v>
      </c>
      <c r="E12" s="32" t="s">
        <v>46</v>
      </c>
      <c r="F12" s="32" t="s">
        <v>47</v>
      </c>
      <c r="G12" s="33">
        <v>0.5416666666666666</v>
      </c>
      <c r="H12" s="34" t="s">
        <v>48</v>
      </c>
      <c r="I12" s="34" t="s">
        <v>49</v>
      </c>
      <c r="J12" s="32" t="s">
        <v>50</v>
      </c>
      <c r="K12" s="23"/>
      <c r="L12" s="23"/>
      <c r="M12" s="15" t="str">
        <f>VLOOKUP(E12,'hedef liste'!A:I,8,false)</f>
        <v>#N/A</v>
      </c>
      <c r="N12" s="36" t="b">
        <v>0</v>
      </c>
      <c r="O12" s="15" t="b">
        <v>0</v>
      </c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</row>
    <row r="13" hidden="1">
      <c r="A13" s="24" t="str">
        <f t="shared" si="1"/>
        <v>5ff39882ee0f72652ca8f3a6</v>
      </c>
      <c r="B13" s="25"/>
      <c r="C13" s="26" t="s">
        <v>15</v>
      </c>
      <c r="D13" s="20" t="s">
        <v>40</v>
      </c>
      <c r="E13" s="32" t="s">
        <v>51</v>
      </c>
      <c r="F13" s="32" t="s">
        <v>52</v>
      </c>
      <c r="G13" s="37" t="s">
        <v>30</v>
      </c>
      <c r="H13" s="34" t="s">
        <v>48</v>
      </c>
      <c r="I13" s="43"/>
      <c r="J13" s="32" t="s">
        <v>53</v>
      </c>
      <c r="K13" s="23"/>
      <c r="L13" s="23"/>
      <c r="M13" s="15">
        <f>VLOOKUP(E13,'hedef liste'!A:I,8,false)</f>
        <v>26</v>
      </c>
      <c r="N13" s="36" t="b">
        <v>0</v>
      </c>
      <c r="O13" s="15" t="b">
        <v>0</v>
      </c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</row>
    <row r="14" hidden="1">
      <c r="A14" s="24" t="str">
        <f t="shared" si="1"/>
        <v>5ffafe0efd88ae2c276c1a8b</v>
      </c>
      <c r="B14" s="25"/>
      <c r="C14" s="26" t="s">
        <v>15</v>
      </c>
      <c r="D14" s="38" t="s">
        <v>16</v>
      </c>
      <c r="E14" s="28" t="s">
        <v>54</v>
      </c>
      <c r="F14" s="28" t="s">
        <v>55</v>
      </c>
      <c r="G14" s="44" t="s">
        <v>56</v>
      </c>
      <c r="H14" s="31" t="s">
        <v>48</v>
      </c>
      <c r="I14" s="31" t="s">
        <v>57</v>
      </c>
      <c r="J14" s="28" t="s">
        <v>58</v>
      </c>
      <c r="K14" s="31" t="s">
        <v>59</v>
      </c>
      <c r="L14" s="23"/>
      <c r="M14" s="15" t="str">
        <f>VLOOKUP(E14,'hedef liste'!A:I,8,false)</f>
        <v>#N/A</v>
      </c>
      <c r="N14" s="15" t="b">
        <v>0</v>
      </c>
      <c r="O14" s="15" t="b">
        <v>0</v>
      </c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</row>
    <row r="15" hidden="1">
      <c r="A15" s="24" t="str">
        <f t="shared" si="1"/>
        <v>600478050d6f591a059c2f51</v>
      </c>
      <c r="B15" s="39"/>
      <c r="C15" s="26" t="s">
        <v>15</v>
      </c>
      <c r="D15" s="20" t="s">
        <v>16</v>
      </c>
      <c r="E15" s="32" t="s">
        <v>60</v>
      </c>
      <c r="F15" s="32" t="s">
        <v>61</v>
      </c>
      <c r="G15" s="33">
        <v>0.6875</v>
      </c>
      <c r="H15" s="35" t="s">
        <v>48</v>
      </c>
      <c r="I15" s="35" t="s">
        <v>62</v>
      </c>
      <c r="J15" s="32" t="s">
        <v>63</v>
      </c>
      <c r="K15" s="23"/>
      <c r="L15" s="23"/>
      <c r="M15" s="15">
        <f>VLOOKUP(E15,'hedef liste'!A:I,8,false)</f>
        <v>16</v>
      </c>
      <c r="N15" s="36" t="b">
        <v>0</v>
      </c>
      <c r="O15" s="15" t="b">
        <v>0</v>
      </c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</row>
    <row r="16" hidden="1">
      <c r="A16" s="24" t="str">
        <f t="shared" si="1"/>
        <v/>
      </c>
      <c r="B16" s="10"/>
      <c r="C16" s="10">
        <v>44287.0</v>
      </c>
      <c r="D16" s="11"/>
      <c r="E16" s="12"/>
      <c r="F16" s="13"/>
      <c r="G16" s="13"/>
      <c r="H16" s="13"/>
      <c r="I16" s="13"/>
      <c r="J16" s="13"/>
      <c r="K16" s="13"/>
      <c r="L16" s="14"/>
      <c r="M16" s="15"/>
      <c r="N16" s="15"/>
      <c r="O16" s="15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</row>
    <row r="17" hidden="1">
      <c r="A17" s="24" t="str">
        <f t="shared" si="1"/>
        <v/>
      </c>
      <c r="B17" s="18" t="s">
        <v>14</v>
      </c>
      <c r="C17" s="19"/>
      <c r="D17" s="20"/>
      <c r="E17" s="21"/>
      <c r="F17" s="21"/>
      <c r="G17" s="22"/>
      <c r="H17" s="21"/>
      <c r="I17" s="21"/>
      <c r="J17" s="21"/>
      <c r="K17" s="23"/>
      <c r="L17" s="23"/>
      <c r="M17" s="15"/>
      <c r="N17" s="15" t="b">
        <v>0</v>
      </c>
      <c r="O17" s="15" t="b">
        <v>0</v>
      </c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</row>
    <row r="18" hidden="1">
      <c r="A18" s="24" t="str">
        <f t="shared" si="1"/>
        <v/>
      </c>
      <c r="B18" s="25"/>
      <c r="C18" s="26" t="s">
        <v>15</v>
      </c>
      <c r="D18" s="38"/>
      <c r="E18" s="45"/>
      <c r="F18" s="45"/>
      <c r="G18" s="46">
        <v>0.4791666666666667</v>
      </c>
      <c r="H18" s="47"/>
      <c r="I18" s="48"/>
      <c r="J18" s="45"/>
      <c r="K18" s="49"/>
      <c r="L18" s="49"/>
      <c r="M18" s="15" t="str">
        <f>VLOOKUP(E18,'hedef liste'!A:I,8,false)</f>
        <v>#N/A</v>
      </c>
      <c r="N18" s="15" t="b">
        <v>0</v>
      </c>
      <c r="O18" s="15" t="b">
        <v>0</v>
      </c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</row>
    <row r="19" hidden="1">
      <c r="A19" s="24" t="str">
        <f t="shared" si="1"/>
        <v>60093cc8e13dbd0db25c79f9</v>
      </c>
      <c r="B19" s="25"/>
      <c r="C19" s="26" t="s">
        <v>15</v>
      </c>
      <c r="D19" s="20" t="s">
        <v>16</v>
      </c>
      <c r="E19" s="32" t="s">
        <v>64</v>
      </c>
      <c r="F19" s="32" t="s">
        <v>65</v>
      </c>
      <c r="G19" s="33">
        <v>0.5416666666666666</v>
      </c>
      <c r="H19" s="34" t="s">
        <v>37</v>
      </c>
      <c r="I19" s="32" t="s">
        <v>66</v>
      </c>
      <c r="J19" s="32" t="s">
        <v>67</v>
      </c>
      <c r="K19" s="23"/>
      <c r="L19" s="23"/>
      <c r="M19" s="15">
        <f>VLOOKUP(E19,'hedef liste'!A:I,8,false)</f>
        <v>4</v>
      </c>
      <c r="N19" s="36" t="b">
        <v>0</v>
      </c>
      <c r="O19" s="15" t="b">
        <v>0</v>
      </c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</row>
    <row r="20" hidden="1">
      <c r="A20" s="24" t="str">
        <f t="shared" si="1"/>
        <v>5fe9001ba415e906823c1038</v>
      </c>
      <c r="B20" s="25"/>
      <c r="C20" s="26" t="s">
        <v>15</v>
      </c>
      <c r="D20" s="20" t="s">
        <v>40</v>
      </c>
      <c r="E20" s="32" t="s">
        <v>68</v>
      </c>
      <c r="F20" s="32" t="s">
        <v>69</v>
      </c>
      <c r="G20" s="37" t="s">
        <v>30</v>
      </c>
      <c r="H20" s="34" t="s">
        <v>70</v>
      </c>
      <c r="I20" s="32" t="s">
        <v>71</v>
      </c>
      <c r="J20" s="32" t="s">
        <v>72</v>
      </c>
      <c r="K20" s="23"/>
      <c r="L20" s="50"/>
      <c r="M20" s="15">
        <f>VLOOKUP(E20,'hedef liste'!A:I,8,false)</f>
        <v>39</v>
      </c>
      <c r="N20" s="15" t="b">
        <v>0</v>
      </c>
      <c r="O20" s="15" t="b">
        <v>0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</row>
    <row r="21" hidden="1">
      <c r="A21" s="24" t="str">
        <f t="shared" si="1"/>
        <v>5fe5d2ed87a63b1f653166d1</v>
      </c>
      <c r="B21" s="25"/>
      <c r="C21" s="26" t="s">
        <v>15</v>
      </c>
      <c r="D21" s="38" t="s">
        <v>40</v>
      </c>
      <c r="E21" s="28" t="s">
        <v>73</v>
      </c>
      <c r="F21" s="28" t="s">
        <v>74</v>
      </c>
      <c r="G21" s="44" t="s">
        <v>36</v>
      </c>
      <c r="H21" s="51" t="s">
        <v>75</v>
      </c>
      <c r="I21" s="52">
        <v>5.393857711E9</v>
      </c>
      <c r="J21" s="51" t="s">
        <v>76</v>
      </c>
      <c r="K21" s="53"/>
      <c r="L21" s="23"/>
      <c r="M21" s="15"/>
      <c r="N21" s="15" t="b">
        <v>0</v>
      </c>
      <c r="O21" s="15" t="b">
        <v>0</v>
      </c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</row>
    <row r="22" hidden="1">
      <c r="A22" s="24" t="str">
        <f t="shared" si="1"/>
        <v/>
      </c>
      <c r="B22" s="39"/>
      <c r="C22" s="19"/>
      <c r="D22" s="11"/>
      <c r="E22" s="35"/>
      <c r="F22" s="35"/>
      <c r="G22" s="33"/>
      <c r="H22" s="35"/>
      <c r="I22" s="35"/>
      <c r="J22" s="35"/>
      <c r="K22" s="23"/>
      <c r="L22" s="23"/>
      <c r="M22" s="15"/>
      <c r="N22" s="15" t="b">
        <v>0</v>
      </c>
      <c r="O22" s="15" t="b">
        <v>0</v>
      </c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</row>
    <row r="23" hidden="1">
      <c r="A23" s="24" t="str">
        <f t="shared" si="1"/>
        <v/>
      </c>
      <c r="B23" s="10"/>
      <c r="C23" s="10">
        <v>44288.0</v>
      </c>
      <c r="D23" s="11"/>
      <c r="E23" s="12"/>
      <c r="F23" s="13"/>
      <c r="G23" s="13"/>
      <c r="H23" s="13"/>
      <c r="I23" s="13"/>
      <c r="J23" s="13"/>
      <c r="K23" s="13"/>
      <c r="L23" s="14"/>
      <c r="M23" s="15"/>
      <c r="N23" s="15"/>
      <c r="O23" s="15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</row>
    <row r="24" hidden="1">
      <c r="A24" s="24" t="str">
        <f t="shared" si="1"/>
        <v>ALINMAYACAK</v>
      </c>
      <c r="B24" s="18" t="s">
        <v>14</v>
      </c>
      <c r="C24" s="19"/>
      <c r="D24" s="20"/>
      <c r="E24" s="54" t="s">
        <v>77</v>
      </c>
      <c r="F24" s="55"/>
      <c r="G24" s="22"/>
      <c r="H24" s="21"/>
      <c r="I24" s="21"/>
      <c r="J24" s="21"/>
      <c r="K24" s="23"/>
      <c r="L24" s="23"/>
      <c r="M24" s="15"/>
      <c r="N24" s="15" t="b">
        <v>0</v>
      </c>
      <c r="O24" s="15" t="b">
        <v>0</v>
      </c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</row>
    <row r="25" hidden="1">
      <c r="A25" s="24" t="str">
        <f t="shared" si="1"/>
        <v/>
      </c>
      <c r="B25" s="25"/>
      <c r="C25" s="26" t="s">
        <v>15</v>
      </c>
      <c r="D25" s="20"/>
      <c r="E25" s="56"/>
      <c r="F25" s="57"/>
      <c r="G25" s="33"/>
      <c r="H25" s="42"/>
      <c r="I25" s="42"/>
      <c r="J25" s="32"/>
      <c r="K25" s="58"/>
      <c r="L25" s="23"/>
      <c r="M25" s="15" t="str">
        <f>VLOOKUP(E25,'hedef liste'!A:I,8,false)</f>
        <v>#N/A</v>
      </c>
      <c r="N25" s="15" t="b">
        <v>0</v>
      </c>
      <c r="O25" s="15" t="b">
        <v>0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</row>
    <row r="26" hidden="1">
      <c r="A26" s="24" t="str">
        <f t="shared" si="1"/>
        <v/>
      </c>
      <c r="B26" s="25"/>
      <c r="C26" s="26" t="s">
        <v>15</v>
      </c>
      <c r="D26" s="20"/>
      <c r="E26" s="56"/>
      <c r="F26" s="57"/>
      <c r="G26" s="33"/>
      <c r="H26" s="34"/>
      <c r="I26" s="34"/>
      <c r="J26" s="32"/>
      <c r="K26" s="58"/>
      <c r="L26" s="23"/>
      <c r="M26" s="15" t="str">
        <f>VLOOKUP(E26,'hedef liste'!A:I,8,false)</f>
        <v>#N/A</v>
      </c>
      <c r="N26" s="15" t="b">
        <v>0</v>
      </c>
      <c r="O26" s="15" t="b">
        <v>0</v>
      </c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</row>
    <row r="27" hidden="1">
      <c r="A27" s="24" t="str">
        <f t="shared" si="1"/>
        <v/>
      </c>
      <c r="B27" s="25"/>
      <c r="C27" s="26" t="s">
        <v>15</v>
      </c>
      <c r="D27" s="20"/>
      <c r="E27" s="56"/>
      <c r="F27" s="57"/>
      <c r="G27" s="37"/>
      <c r="H27" s="34"/>
      <c r="I27" s="32"/>
      <c r="J27" s="32"/>
      <c r="K27" s="58"/>
      <c r="L27" s="23"/>
      <c r="M27" s="15" t="str">
        <f>VLOOKUP(E27,'hedef liste'!A:I,8,false)</f>
        <v>#N/A</v>
      </c>
      <c r="N27" s="15" t="b">
        <v>0</v>
      </c>
      <c r="O27" s="15" t="b">
        <v>0</v>
      </c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</row>
    <row r="28" hidden="1">
      <c r="A28" s="24" t="str">
        <f t="shared" si="1"/>
        <v/>
      </c>
      <c r="B28" s="25"/>
      <c r="C28" s="26" t="s">
        <v>15</v>
      </c>
      <c r="D28" s="38"/>
      <c r="E28" s="59"/>
      <c r="F28" s="60"/>
      <c r="G28" s="37"/>
      <c r="H28" s="34"/>
      <c r="I28" s="32"/>
      <c r="J28" s="32"/>
      <c r="K28" s="58"/>
      <c r="L28" s="23"/>
      <c r="M28" s="15" t="str">
        <f>VLOOKUP(E28,'hedef liste'!A:I,8,false)</f>
        <v>#N/A</v>
      </c>
      <c r="N28" s="15" t="b">
        <v>0</v>
      </c>
      <c r="O28" s="15" t="b">
        <v>0</v>
      </c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</row>
    <row r="29" hidden="1">
      <c r="A29" s="24" t="str">
        <f t="shared" si="1"/>
        <v/>
      </c>
      <c r="B29" s="39"/>
      <c r="C29" s="19"/>
      <c r="D29" s="11"/>
      <c r="E29" s="35"/>
      <c r="F29" s="35"/>
      <c r="G29" s="33"/>
      <c r="H29" s="35"/>
      <c r="I29" s="35"/>
      <c r="J29" s="35"/>
      <c r="K29" s="23"/>
      <c r="L29" s="23"/>
      <c r="M29" s="15"/>
      <c r="N29" s="15" t="b">
        <v>0</v>
      </c>
      <c r="O29" s="15" t="b">
        <v>0</v>
      </c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</row>
    <row r="30" hidden="1">
      <c r="A30" s="24" t="str">
        <f t="shared" si="1"/>
        <v/>
      </c>
      <c r="B30" s="10"/>
      <c r="C30" s="10">
        <v>44291.0</v>
      </c>
      <c r="D30" s="11"/>
      <c r="E30" s="12"/>
      <c r="F30" s="13"/>
      <c r="G30" s="13"/>
      <c r="H30" s="13"/>
      <c r="I30" s="13"/>
      <c r="J30" s="13"/>
      <c r="K30" s="13"/>
      <c r="L30" s="14"/>
      <c r="M30" s="15"/>
      <c r="N30" s="15"/>
      <c r="O30" s="15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</row>
    <row r="31" hidden="1">
      <c r="A31" s="24" t="str">
        <f t="shared" si="1"/>
        <v/>
      </c>
      <c r="B31" s="18" t="s">
        <v>14</v>
      </c>
      <c r="C31" s="19"/>
      <c r="D31" s="20"/>
      <c r="E31" s="21"/>
      <c r="F31" s="21"/>
      <c r="G31" s="22"/>
      <c r="H31" s="21"/>
      <c r="I31" s="21"/>
      <c r="J31" s="21"/>
      <c r="K31" s="23"/>
      <c r="L31" s="23"/>
      <c r="M31" s="15"/>
      <c r="N31" s="15" t="b">
        <v>0</v>
      </c>
      <c r="O31" s="15" t="b">
        <v>0</v>
      </c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</row>
    <row r="32" hidden="1">
      <c r="A32" s="24" t="str">
        <f t="shared" si="1"/>
        <v/>
      </c>
      <c r="B32" s="25"/>
      <c r="C32" s="41" t="s">
        <v>78</v>
      </c>
      <c r="D32" s="20" t="s">
        <v>79</v>
      </c>
      <c r="E32" s="32"/>
      <c r="F32" s="32"/>
      <c r="G32" s="33">
        <v>0.4583333333333333</v>
      </c>
      <c r="H32" s="42"/>
      <c r="I32" s="42"/>
      <c r="J32" s="32"/>
      <c r="K32" s="58"/>
      <c r="L32" s="23"/>
      <c r="M32" s="15" t="str">
        <f>VLOOKUP(E32,'hedef liste'!A:I,8,false)</f>
        <v>#N/A</v>
      </c>
      <c r="N32" s="15" t="b">
        <v>0</v>
      </c>
      <c r="O32" s="15" t="b">
        <v>0</v>
      </c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</row>
    <row r="33" hidden="1">
      <c r="A33" s="24" t="str">
        <f t="shared" si="1"/>
        <v>604c7b12f1352d7b0d49cd68</v>
      </c>
      <c r="B33" s="25"/>
      <c r="C33" s="41" t="s">
        <v>78</v>
      </c>
      <c r="D33" s="20" t="s">
        <v>79</v>
      </c>
      <c r="E33" s="32" t="s">
        <v>80</v>
      </c>
      <c r="F33" s="61" t="s">
        <v>81</v>
      </c>
      <c r="G33" s="33">
        <v>0.5416666666666666</v>
      </c>
      <c r="H33" s="34" t="s">
        <v>82</v>
      </c>
      <c r="I33" s="34" t="s">
        <v>83</v>
      </c>
      <c r="J33" s="32" t="s">
        <v>84</v>
      </c>
      <c r="K33" s="58"/>
      <c r="L33" s="23"/>
      <c r="M33" s="15" t="str">
        <f>VLOOKUP(E33,'hedef liste'!A:I,8,false)</f>
        <v>#N/A</v>
      </c>
      <c r="N33" s="15" t="b">
        <v>0</v>
      </c>
      <c r="O33" s="15" t="b">
        <v>0</v>
      </c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</row>
    <row r="34" hidden="1">
      <c r="A34" s="24" t="str">
        <f t="shared" si="1"/>
        <v>600456bc3368d68b8aeb1782</v>
      </c>
      <c r="B34" s="25"/>
      <c r="C34" s="41" t="s">
        <v>78</v>
      </c>
      <c r="D34" s="20" t="s">
        <v>79</v>
      </c>
      <c r="E34" s="32" t="s">
        <v>85</v>
      </c>
      <c r="F34" s="61" t="s">
        <v>86</v>
      </c>
      <c r="G34" s="37" t="s">
        <v>30</v>
      </c>
      <c r="H34" s="34" t="s">
        <v>87</v>
      </c>
      <c r="I34" s="32" t="s">
        <v>88</v>
      </c>
      <c r="J34" s="32" t="s">
        <v>89</v>
      </c>
      <c r="K34" s="58"/>
      <c r="L34" s="23"/>
      <c r="M34" s="15">
        <f>VLOOKUP(E34,'hedef liste'!A:I,8,false)</f>
        <v>21</v>
      </c>
      <c r="N34" s="15" t="b">
        <v>0</v>
      </c>
      <c r="O34" s="15" t="b">
        <v>0</v>
      </c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</row>
    <row r="35" hidden="1">
      <c r="A35" s="24" t="str">
        <f t="shared" si="1"/>
        <v>60146096f179e4d84c264942</v>
      </c>
      <c r="B35" s="25"/>
      <c r="C35" s="41" t="s">
        <v>78</v>
      </c>
      <c r="D35" s="38" t="s">
        <v>79</v>
      </c>
      <c r="E35" s="32" t="s">
        <v>90</v>
      </c>
      <c r="F35" s="61" t="s">
        <v>91</v>
      </c>
      <c r="G35" s="37" t="s">
        <v>36</v>
      </c>
      <c r="H35" s="34" t="s">
        <v>82</v>
      </c>
      <c r="I35" s="32" t="s">
        <v>92</v>
      </c>
      <c r="J35" s="32" t="s">
        <v>93</v>
      </c>
      <c r="K35" s="58"/>
      <c r="L35" s="23"/>
      <c r="M35" s="15">
        <f>VLOOKUP(E35,'hedef liste'!A:I,8,false)</f>
        <v>4</v>
      </c>
      <c r="N35" s="15" t="b">
        <v>0</v>
      </c>
      <c r="O35" s="15" t="b">
        <v>0</v>
      </c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</row>
    <row r="36" hidden="1">
      <c r="A36" s="24" t="str">
        <f t="shared" si="1"/>
        <v/>
      </c>
      <c r="B36" s="39"/>
      <c r="C36" s="19"/>
      <c r="D36" s="20"/>
      <c r="E36" s="35"/>
      <c r="F36" s="35"/>
      <c r="G36" s="33"/>
      <c r="H36" s="35"/>
      <c r="I36" s="35"/>
      <c r="J36" s="35"/>
      <c r="K36" s="23"/>
      <c r="L36" s="23"/>
      <c r="M36" s="15"/>
      <c r="N36" s="15" t="b">
        <v>0</v>
      </c>
      <c r="O36" s="15" t="b">
        <v>0</v>
      </c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</row>
    <row r="37" hidden="1">
      <c r="A37" s="24" t="str">
        <f t="shared" si="1"/>
        <v/>
      </c>
      <c r="B37" s="10"/>
      <c r="C37" s="10">
        <v>44292.0</v>
      </c>
      <c r="D37" s="11"/>
      <c r="E37" s="12"/>
      <c r="F37" s="13"/>
      <c r="G37" s="13"/>
      <c r="H37" s="13"/>
      <c r="I37" s="13"/>
      <c r="J37" s="13"/>
      <c r="K37" s="13"/>
      <c r="L37" s="14"/>
      <c r="M37" s="15"/>
      <c r="N37" s="15"/>
      <c r="O37" s="15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</row>
    <row r="38" hidden="1">
      <c r="A38" s="24" t="str">
        <f t="shared" si="1"/>
        <v/>
      </c>
      <c r="B38" s="18" t="s">
        <v>14</v>
      </c>
      <c r="C38" s="19"/>
      <c r="D38" s="20"/>
      <c r="E38" s="21"/>
      <c r="F38" s="21"/>
      <c r="G38" s="22"/>
      <c r="H38" s="21"/>
      <c r="I38" s="21"/>
      <c r="J38" s="21"/>
      <c r="K38" s="23"/>
      <c r="L38" s="23"/>
      <c r="M38" s="15"/>
      <c r="N38" s="15" t="b">
        <v>0</v>
      </c>
      <c r="O38" s="15" t="b">
        <v>0</v>
      </c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</row>
    <row r="39" hidden="1">
      <c r="A39" s="24" t="str">
        <f t="shared" si="1"/>
        <v>6033a76217a3766376370395</v>
      </c>
      <c r="B39" s="25"/>
      <c r="C39" s="41" t="s">
        <v>78</v>
      </c>
      <c r="D39" s="20" t="s">
        <v>16</v>
      </c>
      <c r="E39" s="32" t="s">
        <v>94</v>
      </c>
      <c r="F39" s="32" t="s">
        <v>95</v>
      </c>
      <c r="G39" s="33">
        <v>0.4166666666666667</v>
      </c>
      <c r="H39" s="42" t="s">
        <v>70</v>
      </c>
      <c r="I39" s="42" t="s">
        <v>96</v>
      </c>
      <c r="J39" s="32" t="s">
        <v>97</v>
      </c>
      <c r="K39" s="58"/>
      <c r="L39" s="23"/>
      <c r="M39" s="15">
        <f>VLOOKUP(E39,'hedef liste'!A:I,8,false)</f>
        <v>9</v>
      </c>
      <c r="N39" s="15" t="b">
        <v>0</v>
      </c>
      <c r="O39" s="15" t="b">
        <v>0</v>
      </c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</row>
    <row r="40" hidden="1">
      <c r="A40" s="24" t="str">
        <f t="shared" si="1"/>
        <v>601490c1e3c69cb0618311b6</v>
      </c>
      <c r="B40" s="25"/>
      <c r="C40" s="41" t="s">
        <v>78</v>
      </c>
      <c r="D40" s="20" t="s">
        <v>16</v>
      </c>
      <c r="E40" s="32" t="s">
        <v>98</v>
      </c>
      <c r="F40" s="32" t="s">
        <v>99</v>
      </c>
      <c r="G40" s="33">
        <v>0.4791666666666667</v>
      </c>
      <c r="H40" s="34" t="s">
        <v>70</v>
      </c>
      <c r="I40" s="34" t="s">
        <v>100</v>
      </c>
      <c r="J40" s="32" t="s">
        <v>101</v>
      </c>
      <c r="K40" s="58"/>
      <c r="L40" s="23"/>
      <c r="M40" s="15">
        <f>VLOOKUP(E40,'hedef liste'!A:I,8,false)</f>
        <v>2</v>
      </c>
      <c r="N40" s="15" t="b">
        <v>0</v>
      </c>
      <c r="O40" s="15" t="b">
        <v>0</v>
      </c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</row>
    <row r="41" hidden="1">
      <c r="A41" s="24" t="str">
        <f t="shared" si="1"/>
        <v>6009f627e13dbd3afe5c9a5b</v>
      </c>
      <c r="B41" s="25"/>
      <c r="C41" s="41" t="s">
        <v>78</v>
      </c>
      <c r="D41" s="20" t="s">
        <v>16</v>
      </c>
      <c r="E41" s="32" t="s">
        <v>102</v>
      </c>
      <c r="F41" s="32" t="s">
        <v>103</v>
      </c>
      <c r="G41" s="37" t="s">
        <v>30</v>
      </c>
      <c r="H41" s="34" t="s">
        <v>70</v>
      </c>
      <c r="I41" s="32" t="s">
        <v>104</v>
      </c>
      <c r="J41" s="32" t="s">
        <v>105</v>
      </c>
      <c r="K41" s="58"/>
      <c r="L41" s="23"/>
      <c r="M41" s="15" t="str">
        <f>VLOOKUP(E41,'hedef liste'!A:I,8,false)</f>
        <v>#N/A</v>
      </c>
      <c r="N41" s="15" t="b">
        <v>0</v>
      </c>
      <c r="O41" s="15" t="b">
        <v>0</v>
      </c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</row>
    <row r="42" hidden="1">
      <c r="A42" s="24" t="str">
        <f t="shared" si="1"/>
        <v>602ebc7443eb4cc52cbebb5e</v>
      </c>
      <c r="B42" s="25"/>
      <c r="C42" s="41" t="s">
        <v>78</v>
      </c>
      <c r="D42" s="38" t="s">
        <v>40</v>
      </c>
      <c r="E42" s="28" t="s">
        <v>106</v>
      </c>
      <c r="F42" s="28" t="s">
        <v>107</v>
      </c>
      <c r="G42" s="44" t="s">
        <v>36</v>
      </c>
      <c r="H42" s="31" t="s">
        <v>70</v>
      </c>
      <c r="I42" s="28" t="s">
        <v>108</v>
      </c>
      <c r="J42" s="28" t="s">
        <v>109</v>
      </c>
      <c r="K42" s="62" t="s">
        <v>110</v>
      </c>
      <c r="L42" s="53"/>
      <c r="M42" s="15" t="str">
        <f>VLOOKUP(E42,'hedef liste'!A:I,8,false)</f>
        <v>#N/A</v>
      </c>
      <c r="N42" s="15" t="b">
        <v>0</v>
      </c>
      <c r="O42" s="15" t="b">
        <v>0</v>
      </c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hidden="1">
      <c r="A43" s="24" t="str">
        <f t="shared" si="1"/>
        <v/>
      </c>
      <c r="B43" s="39"/>
      <c r="C43" s="19"/>
      <c r="D43" s="20"/>
      <c r="E43" s="21"/>
      <c r="F43" s="21"/>
      <c r="G43" s="22"/>
      <c r="H43" s="21"/>
      <c r="I43" s="21"/>
      <c r="J43" s="21"/>
      <c r="K43" s="23"/>
      <c r="L43" s="23"/>
      <c r="M43" s="15"/>
      <c r="N43" s="15" t="b">
        <v>0</v>
      </c>
      <c r="O43" s="15" t="b">
        <v>0</v>
      </c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</row>
    <row r="44" hidden="1">
      <c r="A44" s="24" t="str">
        <f t="shared" si="1"/>
        <v/>
      </c>
      <c r="B44" s="10"/>
      <c r="C44" s="10">
        <v>44293.0</v>
      </c>
      <c r="D44" s="11"/>
      <c r="E44" s="12"/>
      <c r="F44" s="13"/>
      <c r="G44" s="13"/>
      <c r="H44" s="13"/>
      <c r="I44" s="13"/>
      <c r="J44" s="13"/>
      <c r="K44" s="13"/>
      <c r="L44" s="14"/>
      <c r="M44" s="15"/>
      <c r="N44" s="15"/>
      <c r="O44" s="15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</row>
    <row r="45" hidden="1">
      <c r="A45" s="24" t="str">
        <f t="shared" si="1"/>
        <v/>
      </c>
      <c r="B45" s="18" t="s">
        <v>14</v>
      </c>
      <c r="C45" s="19"/>
      <c r="D45" s="20"/>
      <c r="E45" s="21"/>
      <c r="F45" s="21"/>
      <c r="G45" s="22"/>
      <c r="H45" s="21"/>
      <c r="I45" s="21"/>
      <c r="J45" s="21"/>
      <c r="K45" s="23"/>
      <c r="L45" s="23"/>
      <c r="M45" s="15"/>
      <c r="N45" s="15" t="b">
        <v>0</v>
      </c>
      <c r="O45" s="15" t="b">
        <v>0</v>
      </c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</row>
    <row r="46" hidden="1">
      <c r="A46" s="24" t="str">
        <f t="shared" si="1"/>
        <v>5fde78c5d4987aa5cbfb3aaf</v>
      </c>
      <c r="B46" s="25"/>
      <c r="C46" s="41" t="s">
        <v>78</v>
      </c>
      <c r="D46" s="20" t="s">
        <v>111</v>
      </c>
      <c r="E46" s="32" t="s">
        <v>112</v>
      </c>
      <c r="F46" s="32" t="s">
        <v>113</v>
      </c>
      <c r="G46" s="33">
        <v>0.4583333333333333</v>
      </c>
      <c r="H46" s="42" t="s">
        <v>82</v>
      </c>
      <c r="I46" s="42" t="s">
        <v>114</v>
      </c>
      <c r="J46" s="42" t="s">
        <v>115</v>
      </c>
      <c r="K46" s="58"/>
      <c r="L46" s="23"/>
      <c r="M46" s="15">
        <f>VLOOKUP(E46,'hedef liste'!A:I,8,false)</f>
        <v>1</v>
      </c>
      <c r="N46" s="15" t="b">
        <v>0</v>
      </c>
      <c r="O46" s="15" t="b">
        <v>0</v>
      </c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</row>
    <row r="47" hidden="1">
      <c r="A47" s="24" t="str">
        <f t="shared" si="1"/>
        <v>600b05d8fb76e369d92e04c9</v>
      </c>
      <c r="B47" s="25"/>
      <c r="C47" s="41" t="s">
        <v>78</v>
      </c>
      <c r="D47" s="20" t="s">
        <v>111</v>
      </c>
      <c r="E47" s="42" t="s">
        <v>116</v>
      </c>
      <c r="F47" s="42" t="s">
        <v>117</v>
      </c>
      <c r="G47" s="33">
        <v>0.5416666666666666</v>
      </c>
      <c r="H47" s="42" t="s">
        <v>118</v>
      </c>
      <c r="I47" s="42" t="s">
        <v>119</v>
      </c>
      <c r="J47" s="42" t="s">
        <v>120</v>
      </c>
      <c r="K47" s="58"/>
      <c r="L47" s="23"/>
      <c r="M47" s="15">
        <f>VLOOKUP(E47,'hedef liste'!A:I,8,false)</f>
        <v>49</v>
      </c>
      <c r="N47" s="15" t="b">
        <v>0</v>
      </c>
      <c r="O47" s="15" t="b">
        <v>0</v>
      </c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</row>
    <row r="48" hidden="1">
      <c r="A48" s="24" t="str">
        <f t="shared" si="1"/>
        <v>5fe0c327d108fca7a22c00ee</v>
      </c>
      <c r="B48" s="25"/>
      <c r="C48" s="41" t="s">
        <v>78</v>
      </c>
      <c r="D48" s="27" t="s">
        <v>16</v>
      </c>
      <c r="E48" s="28" t="s">
        <v>121</v>
      </c>
      <c r="F48" s="28" t="s">
        <v>122</v>
      </c>
      <c r="G48" s="29">
        <v>0.625</v>
      </c>
      <c r="H48" s="30" t="s">
        <v>123</v>
      </c>
      <c r="I48" s="30" t="s">
        <v>124</v>
      </c>
      <c r="J48" s="28" t="s">
        <v>125</v>
      </c>
      <c r="K48" s="63"/>
      <c r="L48" s="31" t="s">
        <v>126</v>
      </c>
      <c r="M48" s="15">
        <f>VLOOKUP(E48,'hedef liste'!A:I,8,false)</f>
        <v>28</v>
      </c>
      <c r="N48" s="15" t="b">
        <v>0</v>
      </c>
      <c r="O48" s="15" t="b">
        <v>0</v>
      </c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</row>
    <row r="49" hidden="1">
      <c r="A49" s="24" t="str">
        <f t="shared" si="1"/>
        <v>5fee11f04f55ab98aa9d8c83</v>
      </c>
      <c r="B49" s="25"/>
      <c r="C49" s="41" t="s">
        <v>78</v>
      </c>
      <c r="D49" s="38" t="s">
        <v>16</v>
      </c>
      <c r="E49" s="32" t="s">
        <v>127</v>
      </c>
      <c r="F49" s="32" t="s">
        <v>128</v>
      </c>
      <c r="G49" s="33">
        <v>0.7083333333333334</v>
      </c>
      <c r="H49" s="42" t="s">
        <v>123</v>
      </c>
      <c r="I49" s="42" t="s">
        <v>129</v>
      </c>
      <c r="J49" s="32" t="s">
        <v>130</v>
      </c>
      <c r="K49" s="58"/>
      <c r="L49" s="23"/>
      <c r="M49" s="15">
        <f>VLOOKUP(E49,'hedef liste'!A:I,8,false)</f>
        <v>4</v>
      </c>
      <c r="N49" s="15" t="b">
        <v>0</v>
      </c>
      <c r="O49" s="15" t="b">
        <v>0</v>
      </c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</row>
    <row r="50" hidden="1">
      <c r="A50" s="24" t="str">
        <f t="shared" si="1"/>
        <v/>
      </c>
      <c r="B50" s="39"/>
      <c r="C50" s="19"/>
      <c r="D50" s="20"/>
      <c r="E50" s="21"/>
      <c r="F50" s="21"/>
      <c r="G50" s="22"/>
      <c r="H50" s="21"/>
      <c r="I50" s="21"/>
      <c r="J50" s="21"/>
      <c r="K50" s="23"/>
      <c r="L50" s="23"/>
      <c r="M50" s="15"/>
      <c r="N50" s="15" t="b">
        <v>0</v>
      </c>
      <c r="O50" s="15" t="b">
        <v>0</v>
      </c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</row>
    <row r="51" hidden="1">
      <c r="A51" s="24" t="str">
        <f t="shared" si="1"/>
        <v/>
      </c>
      <c r="B51" s="10"/>
      <c r="C51" s="10">
        <v>44294.0</v>
      </c>
      <c r="D51" s="11"/>
      <c r="E51" s="12"/>
      <c r="F51" s="13"/>
      <c r="G51" s="13"/>
      <c r="H51" s="13"/>
      <c r="I51" s="13"/>
      <c r="J51" s="13"/>
      <c r="K51" s="13"/>
      <c r="L51" s="14"/>
      <c r="M51" s="15"/>
      <c r="N51" s="15"/>
      <c r="O51" s="15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</row>
    <row r="52" hidden="1">
      <c r="A52" s="24" t="str">
        <f t="shared" si="1"/>
        <v/>
      </c>
      <c r="B52" s="18" t="s">
        <v>14</v>
      </c>
      <c r="C52" s="19"/>
      <c r="D52" s="20"/>
      <c r="E52" s="21"/>
      <c r="F52" s="21"/>
      <c r="G52" s="22"/>
      <c r="H52" s="21"/>
      <c r="I52" s="21"/>
      <c r="J52" s="21"/>
      <c r="K52" s="23"/>
      <c r="L52" s="23"/>
      <c r="M52" s="15"/>
      <c r="N52" s="15" t="b">
        <v>0</v>
      </c>
      <c r="O52" s="15" t="b">
        <v>0</v>
      </c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</row>
    <row r="53" hidden="1">
      <c r="A53" s="24" t="str">
        <f t="shared" si="1"/>
        <v>602455c8cb7fffe69f20c0bd</v>
      </c>
      <c r="B53" s="25"/>
      <c r="C53" s="41" t="s">
        <v>78</v>
      </c>
      <c r="D53" s="20" t="s">
        <v>131</v>
      </c>
      <c r="E53" s="32" t="s">
        <v>132</v>
      </c>
      <c r="F53" s="32" t="s">
        <v>133</v>
      </c>
      <c r="G53" s="33">
        <v>0.5</v>
      </c>
      <c r="H53" s="42" t="s">
        <v>134</v>
      </c>
      <c r="I53" s="42" t="s">
        <v>135</v>
      </c>
      <c r="J53" s="32" t="s">
        <v>136</v>
      </c>
      <c r="K53" s="58"/>
      <c r="L53" s="23"/>
      <c r="M53" s="15">
        <f>VLOOKUP(E53,'hedef liste'!A:I,8,false)</f>
        <v>18</v>
      </c>
      <c r="N53" s="15" t="b">
        <v>0</v>
      </c>
      <c r="O53" s="15" t="b">
        <v>0</v>
      </c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</row>
    <row r="54" hidden="1">
      <c r="A54" s="24" t="str">
        <f>E70</f>
        <v>5fde584f3e964ba128e972a4</v>
      </c>
      <c r="B54" s="25"/>
      <c r="C54" s="41" t="s">
        <v>78</v>
      </c>
      <c r="D54" s="64"/>
      <c r="E54" s="21"/>
      <c r="F54" s="21"/>
      <c r="G54" s="22"/>
      <c r="H54" s="21"/>
      <c r="I54" s="21"/>
      <c r="J54" s="21"/>
      <c r="K54" s="21"/>
      <c r="L54" s="21"/>
      <c r="M54" s="15" t="str">
        <f>VLOOKUP(E70,'hedef liste'!A:I,8,false)</f>
        <v>#N/A</v>
      </c>
      <c r="N54" s="15" t="b">
        <v>0</v>
      </c>
      <c r="O54" s="15" t="b">
        <v>0</v>
      </c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</row>
    <row r="55" hidden="1">
      <c r="A55" s="24" t="str">
        <f t="shared" ref="A55:A91" si="2">E55</f>
        <v>601561ceaa213a5e4ae355eb</v>
      </c>
      <c r="B55" s="25"/>
      <c r="C55" s="41" t="s">
        <v>78</v>
      </c>
      <c r="D55" s="20" t="s">
        <v>131</v>
      </c>
      <c r="E55" s="32" t="s">
        <v>137</v>
      </c>
      <c r="F55" s="32" t="s">
        <v>138</v>
      </c>
      <c r="G55" s="33">
        <v>0.6666666666666666</v>
      </c>
      <c r="H55" s="42" t="s">
        <v>134</v>
      </c>
      <c r="I55" s="42" t="s">
        <v>139</v>
      </c>
      <c r="J55" s="32" t="s">
        <v>140</v>
      </c>
      <c r="K55" s="58"/>
      <c r="L55" s="23"/>
      <c r="M55" s="15">
        <f>VLOOKUP(E55,'hedef liste'!A:I,8,false)</f>
        <v>18</v>
      </c>
      <c r="N55" s="15" t="b">
        <v>0</v>
      </c>
      <c r="O55" s="15" t="b">
        <v>0</v>
      </c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</row>
    <row r="56" hidden="1">
      <c r="A56" s="24" t="str">
        <f t="shared" si="2"/>
        <v>603761a4dd4ef020f01a16a2</v>
      </c>
      <c r="B56" s="25"/>
      <c r="C56" s="41" t="s">
        <v>78</v>
      </c>
      <c r="D56" s="38" t="s">
        <v>131</v>
      </c>
      <c r="E56" s="32" t="s">
        <v>141</v>
      </c>
      <c r="F56" s="32" t="s">
        <v>142</v>
      </c>
      <c r="G56" s="33">
        <v>0.625</v>
      </c>
      <c r="H56" s="42" t="s">
        <v>134</v>
      </c>
      <c r="I56" s="42" t="s">
        <v>143</v>
      </c>
      <c r="J56" s="32" t="s">
        <v>144</v>
      </c>
      <c r="K56" s="58"/>
      <c r="L56" s="23"/>
      <c r="M56" s="15">
        <f>VLOOKUP(E56,'hedef liste'!A:I,8,false)</f>
        <v>7</v>
      </c>
      <c r="N56" s="15" t="b">
        <v>0</v>
      </c>
      <c r="O56" s="15" t="b">
        <v>0</v>
      </c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</row>
    <row r="57" hidden="1">
      <c r="A57" s="24" t="str">
        <f t="shared" si="2"/>
        <v/>
      </c>
      <c r="B57" s="39"/>
      <c r="C57" s="19"/>
      <c r="D57" s="20" t="s">
        <v>131</v>
      </c>
      <c r="E57" s="21"/>
      <c r="F57" s="21"/>
      <c r="G57" s="22"/>
      <c r="H57" s="21"/>
      <c r="I57" s="21"/>
      <c r="J57" s="21"/>
      <c r="K57" s="23"/>
      <c r="L57" s="23"/>
      <c r="M57" s="15"/>
      <c r="N57" s="15" t="b">
        <v>0</v>
      </c>
      <c r="O57" s="15" t="b">
        <v>0</v>
      </c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</row>
    <row r="58" hidden="1">
      <c r="A58" s="24" t="str">
        <f t="shared" si="2"/>
        <v/>
      </c>
      <c r="B58" s="10"/>
      <c r="C58" s="10">
        <v>44295.0</v>
      </c>
      <c r="D58" s="11"/>
      <c r="E58" s="12"/>
      <c r="F58" s="13"/>
      <c r="G58" s="13"/>
      <c r="H58" s="13"/>
      <c r="I58" s="13"/>
      <c r="J58" s="13"/>
      <c r="K58" s="13"/>
      <c r="L58" s="14"/>
      <c r="M58" s="15"/>
      <c r="N58" s="15"/>
      <c r="O58" s="15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</row>
    <row r="59" hidden="1">
      <c r="A59" s="24" t="str">
        <f t="shared" si="2"/>
        <v/>
      </c>
      <c r="B59" s="18" t="s">
        <v>14</v>
      </c>
      <c r="C59" s="19"/>
      <c r="D59" s="20"/>
      <c r="E59" s="32"/>
      <c r="F59" s="32"/>
      <c r="G59" s="33"/>
      <c r="H59" s="42"/>
      <c r="I59" s="21"/>
      <c r="J59" s="21"/>
      <c r="K59" s="23"/>
      <c r="L59" s="23"/>
      <c r="M59" s="15"/>
      <c r="N59" s="15" t="b">
        <v>0</v>
      </c>
      <c r="O59" s="15" t="b">
        <v>0</v>
      </c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</row>
    <row r="60" hidden="1">
      <c r="A60" s="24" t="str">
        <f t="shared" si="2"/>
        <v>603f9a63b2bbe6e9e5cca52c</v>
      </c>
      <c r="B60" s="25"/>
      <c r="C60" s="41" t="s">
        <v>78</v>
      </c>
      <c r="D60" s="27" t="s">
        <v>145</v>
      </c>
      <c r="E60" s="28" t="s">
        <v>146</v>
      </c>
      <c r="F60" s="28" t="s">
        <v>147</v>
      </c>
      <c r="G60" s="29">
        <v>0.4166666666666667</v>
      </c>
      <c r="H60" s="30" t="s">
        <v>148</v>
      </c>
      <c r="I60" s="30" t="s">
        <v>149</v>
      </c>
      <c r="J60" s="30" t="s">
        <v>150</v>
      </c>
      <c r="K60" s="31" t="s">
        <v>151</v>
      </c>
      <c r="L60" s="23"/>
      <c r="M60" s="15">
        <f>VLOOKUP(E60,'hedef liste'!A:I,8,false)</f>
        <v>8</v>
      </c>
      <c r="N60" s="15" t="b">
        <v>0</v>
      </c>
      <c r="O60" s="15" t="b">
        <v>0</v>
      </c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</row>
    <row r="61" hidden="1">
      <c r="A61" s="24" t="str">
        <f t="shared" si="2"/>
        <v>6024151665de17a98adba932</v>
      </c>
      <c r="B61" s="25"/>
      <c r="C61" s="41" t="s">
        <v>78</v>
      </c>
      <c r="D61" s="20" t="s">
        <v>131</v>
      </c>
      <c r="E61" s="32" t="s">
        <v>152</v>
      </c>
      <c r="F61" s="32" t="s">
        <v>153</v>
      </c>
      <c r="G61" s="33">
        <v>0.5833333333333334</v>
      </c>
      <c r="H61" s="32" t="s">
        <v>134</v>
      </c>
      <c r="I61" s="32" t="s">
        <v>154</v>
      </c>
      <c r="J61" s="32" t="s">
        <v>155</v>
      </c>
      <c r="K61" s="34"/>
      <c r="L61" s="23"/>
      <c r="M61" s="15">
        <f>VLOOKUP(E61,'hedef liste'!A:I,8,false)</f>
        <v>24</v>
      </c>
      <c r="N61" s="15" t="b">
        <v>0</v>
      </c>
      <c r="O61" s="15" t="b">
        <v>0</v>
      </c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</row>
    <row r="62" hidden="1">
      <c r="A62" s="24" t="str">
        <f t="shared" si="2"/>
        <v>6024544e6fcc5ccaca8337fa</v>
      </c>
      <c r="B62" s="25"/>
      <c r="C62" s="41" t="s">
        <v>78</v>
      </c>
      <c r="D62" s="20" t="s">
        <v>145</v>
      </c>
      <c r="E62" s="32" t="s">
        <v>156</v>
      </c>
      <c r="F62" s="32" t="s">
        <v>157</v>
      </c>
      <c r="G62" s="33">
        <v>0.6666666666666666</v>
      </c>
      <c r="H62" s="42" t="s">
        <v>158</v>
      </c>
      <c r="I62" s="42" t="s">
        <v>159</v>
      </c>
      <c r="J62" s="32" t="s">
        <v>160</v>
      </c>
      <c r="K62" s="34"/>
      <c r="L62" s="23"/>
      <c r="M62" s="15" t="str">
        <f>VLOOKUP(E62,'hedef liste'!A:I,8,false)</f>
        <v>#N/A</v>
      </c>
      <c r="N62" s="15" t="b">
        <v>0</v>
      </c>
      <c r="O62" s="15" t="b">
        <v>0</v>
      </c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</row>
    <row r="63" hidden="1">
      <c r="A63" s="24" t="str">
        <f t="shared" si="2"/>
        <v>6005e74ac669c23e299c4c38</v>
      </c>
      <c r="B63" s="25"/>
      <c r="C63" s="41" t="s">
        <v>78</v>
      </c>
      <c r="D63" s="27" t="s">
        <v>145</v>
      </c>
      <c r="E63" s="28" t="s">
        <v>161</v>
      </c>
      <c r="F63" s="28" t="s">
        <v>162</v>
      </c>
      <c r="G63" s="29">
        <v>0.7916666666666666</v>
      </c>
      <c r="H63" s="30" t="s">
        <v>158</v>
      </c>
      <c r="I63" s="30" t="s">
        <v>163</v>
      </c>
      <c r="J63" s="28" t="s">
        <v>164</v>
      </c>
      <c r="K63" s="65" t="s">
        <v>165</v>
      </c>
      <c r="L63" s="23"/>
      <c r="M63" s="15">
        <f>VLOOKUP(E63,'hedef liste'!A:I,8,false)</f>
        <v>162</v>
      </c>
      <c r="N63" s="15" t="b">
        <v>0</v>
      </c>
      <c r="O63" s="15" t="b">
        <v>0</v>
      </c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</row>
    <row r="64" hidden="1">
      <c r="A64" s="24" t="str">
        <f t="shared" si="2"/>
        <v/>
      </c>
      <c r="B64" s="39"/>
      <c r="C64" s="19"/>
      <c r="D64" s="20"/>
      <c r="E64" s="21"/>
      <c r="F64" s="21"/>
      <c r="G64" s="22"/>
      <c r="H64" s="21"/>
      <c r="I64" s="21"/>
      <c r="J64" s="21"/>
      <c r="K64" s="23"/>
      <c r="L64" s="23"/>
      <c r="M64" s="15"/>
      <c r="N64" s="15" t="b">
        <v>0</v>
      </c>
      <c r="O64" s="15" t="b">
        <v>0</v>
      </c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</row>
    <row r="65" hidden="1">
      <c r="A65" s="24" t="str">
        <f t="shared" si="2"/>
        <v/>
      </c>
      <c r="B65" s="10"/>
      <c r="C65" s="10">
        <v>44298.0</v>
      </c>
      <c r="D65" s="11"/>
      <c r="E65" s="12"/>
      <c r="F65" s="13"/>
      <c r="G65" s="13"/>
      <c r="H65" s="13"/>
      <c r="I65" s="13"/>
      <c r="J65" s="13"/>
      <c r="K65" s="13"/>
      <c r="L65" s="14"/>
      <c r="M65" s="15"/>
      <c r="N65" s="15"/>
      <c r="O65" s="15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</row>
    <row r="66" hidden="1">
      <c r="A66" s="24" t="str">
        <f t="shared" si="2"/>
        <v/>
      </c>
      <c r="B66" s="18" t="s">
        <v>14</v>
      </c>
      <c r="C66" s="19"/>
      <c r="D66" s="20"/>
      <c r="E66" s="21"/>
      <c r="F66" s="21"/>
      <c r="G66" s="33"/>
      <c r="H66" s="21"/>
      <c r="I66" s="21"/>
      <c r="J66" s="21"/>
      <c r="K66" s="23"/>
      <c r="L66" s="23"/>
      <c r="M66" s="15"/>
      <c r="N66" s="15" t="b">
        <v>0</v>
      </c>
      <c r="O66" s="15" t="b">
        <v>0</v>
      </c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</row>
    <row r="67" hidden="1">
      <c r="A67" s="24" t="str">
        <f t="shared" si="2"/>
        <v/>
      </c>
      <c r="B67" s="25"/>
      <c r="C67" s="41" t="s">
        <v>78</v>
      </c>
      <c r="D67" s="20"/>
      <c r="E67" s="21"/>
      <c r="F67" s="21"/>
      <c r="G67" s="33"/>
      <c r="H67" s="21"/>
      <c r="I67" s="21"/>
      <c r="J67" s="21"/>
      <c r="K67" s="58"/>
      <c r="L67" s="23"/>
      <c r="M67" s="15" t="str">
        <f>VLOOKUP(E67,'hedef liste'!A:I,8,false)</f>
        <v>#N/A</v>
      </c>
      <c r="N67" s="15" t="b">
        <v>0</v>
      </c>
      <c r="O67" s="15" t="b">
        <v>0</v>
      </c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</row>
    <row r="68" hidden="1">
      <c r="A68" s="24" t="str">
        <f t="shared" si="2"/>
        <v>600601120a79b1ce02e30095</v>
      </c>
      <c r="B68" s="25"/>
      <c r="C68" s="41" t="s">
        <v>78</v>
      </c>
      <c r="D68" s="20" t="s">
        <v>145</v>
      </c>
      <c r="E68" s="32" t="s">
        <v>166</v>
      </c>
      <c r="F68" s="32" t="s">
        <v>167</v>
      </c>
      <c r="G68" s="33">
        <v>0.5625</v>
      </c>
      <c r="H68" s="32" t="s">
        <v>168</v>
      </c>
      <c r="I68" s="32" t="s">
        <v>169</v>
      </c>
      <c r="J68" s="32" t="s">
        <v>170</v>
      </c>
      <c r="K68" s="58"/>
      <c r="L68" s="23"/>
      <c r="M68" s="15">
        <f>VLOOKUP(E68,'hedef liste'!A:I,8,false)</f>
        <v>12</v>
      </c>
      <c r="N68" s="15" t="b">
        <v>0</v>
      </c>
      <c r="O68" s="15" t="b">
        <v>0</v>
      </c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</row>
    <row r="69" hidden="1">
      <c r="A69" s="24" t="str">
        <f t="shared" si="2"/>
        <v>604c89e1d0321ba7b717ae94</v>
      </c>
      <c r="B69" s="25"/>
      <c r="C69" s="41" t="s">
        <v>78</v>
      </c>
      <c r="D69" s="27" t="s">
        <v>145</v>
      </c>
      <c r="E69" s="28" t="s">
        <v>171</v>
      </c>
      <c r="F69" s="28" t="s">
        <v>172</v>
      </c>
      <c r="G69" s="29">
        <v>0.625</v>
      </c>
      <c r="H69" s="30" t="s">
        <v>168</v>
      </c>
      <c r="I69" s="30" t="s">
        <v>173</v>
      </c>
      <c r="J69" s="28" t="s">
        <v>174</v>
      </c>
      <c r="K69" s="58" t="s">
        <v>175</v>
      </c>
      <c r="L69" s="23"/>
      <c r="M69" s="15">
        <f>VLOOKUP(E69,'hedef liste'!A:I,8,false)</f>
        <v>36</v>
      </c>
      <c r="N69" s="15" t="b">
        <v>0</v>
      </c>
      <c r="O69" s="15" t="b">
        <v>0</v>
      </c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</row>
    <row r="70" hidden="1">
      <c r="A70" s="24" t="str">
        <f t="shared" si="2"/>
        <v>5fde584f3e964ba128e972a4</v>
      </c>
      <c r="B70" s="25"/>
      <c r="C70" s="41" t="s">
        <v>78</v>
      </c>
      <c r="D70" s="20" t="s">
        <v>131</v>
      </c>
      <c r="E70" s="32" t="s">
        <v>176</v>
      </c>
      <c r="F70" s="32" t="s">
        <v>172</v>
      </c>
      <c r="G70" s="33">
        <v>0.75</v>
      </c>
      <c r="H70" s="42" t="s">
        <v>134</v>
      </c>
      <c r="I70" s="42" t="s">
        <v>177</v>
      </c>
      <c r="J70" s="32" t="s">
        <v>136</v>
      </c>
      <c r="K70" s="58"/>
      <c r="L70" s="23"/>
      <c r="M70" s="15" t="str">
        <f>VLOOKUP(#REF!,'hedef liste'!A:I,8,false)</f>
        <v>#REF!</v>
      </c>
      <c r="N70" s="15" t="b">
        <v>0</v>
      </c>
      <c r="O70" s="15" t="b">
        <v>0</v>
      </c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</row>
    <row r="71" hidden="1">
      <c r="A71" s="24" t="str">
        <f t="shared" si="2"/>
        <v>5fe9a047345867ccff45e22e</v>
      </c>
      <c r="B71" s="39"/>
      <c r="C71" s="41" t="s">
        <v>78</v>
      </c>
      <c r="D71" s="20" t="s">
        <v>111</v>
      </c>
      <c r="E71" s="42" t="s">
        <v>178</v>
      </c>
      <c r="F71" s="42" t="s">
        <v>179</v>
      </c>
      <c r="G71" s="40" t="s">
        <v>180</v>
      </c>
      <c r="H71" s="42" t="s">
        <v>82</v>
      </c>
      <c r="I71" s="42" t="s">
        <v>181</v>
      </c>
      <c r="J71" s="42" t="s">
        <v>182</v>
      </c>
      <c r="K71" s="23"/>
      <c r="L71" s="23"/>
      <c r="M71" s="15"/>
      <c r="N71" s="15" t="b">
        <v>0</v>
      </c>
      <c r="O71" s="15" t="b">
        <v>0</v>
      </c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</row>
    <row r="72" hidden="1">
      <c r="A72" s="24" t="str">
        <f t="shared" si="2"/>
        <v/>
      </c>
      <c r="B72" s="10"/>
      <c r="C72" s="10">
        <v>44299.0</v>
      </c>
      <c r="D72" s="11"/>
      <c r="E72" s="12"/>
      <c r="F72" s="13"/>
      <c r="G72" s="13"/>
      <c r="H72" s="13"/>
      <c r="I72" s="13"/>
      <c r="J72" s="13"/>
      <c r="K72" s="13"/>
      <c r="L72" s="14"/>
      <c r="M72" s="15"/>
      <c r="N72" s="15"/>
      <c r="O72" s="15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</row>
    <row r="73" hidden="1">
      <c r="A73" s="24" t="str">
        <f t="shared" si="2"/>
        <v/>
      </c>
      <c r="B73" s="18" t="s">
        <v>14</v>
      </c>
      <c r="C73" s="19"/>
      <c r="D73" s="20"/>
      <c r="E73" s="21"/>
      <c r="F73" s="21"/>
      <c r="G73" s="33"/>
      <c r="H73" s="21"/>
      <c r="I73" s="21"/>
      <c r="J73" s="21"/>
      <c r="K73" s="23"/>
      <c r="L73" s="23"/>
      <c r="M73" s="15"/>
      <c r="N73" s="15" t="b">
        <v>0</v>
      </c>
      <c r="O73" s="15" t="b">
        <v>0</v>
      </c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</row>
    <row r="74" hidden="1">
      <c r="A74" s="24" t="str">
        <f t="shared" si="2"/>
        <v>60155c2d4492cd69dab7de0f</v>
      </c>
      <c r="B74" s="25"/>
      <c r="C74" s="41" t="s">
        <v>78</v>
      </c>
      <c r="D74" s="20" t="s">
        <v>145</v>
      </c>
      <c r="E74" s="32" t="s">
        <v>183</v>
      </c>
      <c r="F74" s="32" t="s">
        <v>184</v>
      </c>
      <c r="G74" s="33">
        <v>0.5</v>
      </c>
      <c r="H74" s="42" t="s">
        <v>185</v>
      </c>
      <c r="I74" s="42" t="s">
        <v>186</v>
      </c>
      <c r="J74" s="32" t="s">
        <v>187</v>
      </c>
      <c r="K74" s="58"/>
      <c r="L74" s="23"/>
      <c r="M74" s="15" t="str">
        <f>VLOOKUP(E74,'hedef liste'!A:I,8,false)</f>
        <v>#N/A</v>
      </c>
      <c r="N74" s="15" t="b">
        <v>0</v>
      </c>
      <c r="O74" s="15" t="b">
        <v>0</v>
      </c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</row>
    <row r="75" hidden="1">
      <c r="A75" s="24" t="str">
        <f t="shared" si="2"/>
        <v>605a422aad0bbd2f685a82e4</v>
      </c>
      <c r="B75" s="25"/>
      <c r="C75" s="41" t="s">
        <v>78</v>
      </c>
      <c r="D75" s="20" t="s">
        <v>145</v>
      </c>
      <c r="E75" s="35" t="s">
        <v>188</v>
      </c>
      <c r="F75" s="35" t="s">
        <v>189</v>
      </c>
      <c r="G75" s="33">
        <v>0.5625</v>
      </c>
      <c r="H75" s="32" t="s">
        <v>190</v>
      </c>
      <c r="I75" s="32" t="s">
        <v>191</v>
      </c>
      <c r="J75" s="35" t="s">
        <v>192</v>
      </c>
      <c r="K75" s="58"/>
      <c r="L75" s="23"/>
      <c r="M75" s="15" t="str">
        <f>VLOOKUP(E75,'hedef liste'!A:I,8,false)</f>
        <v>#N/A</v>
      </c>
      <c r="N75" s="15" t="b">
        <v>0</v>
      </c>
      <c r="O75" s="15" t="b">
        <v>0</v>
      </c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</row>
    <row r="76" hidden="1">
      <c r="A76" s="24" t="str">
        <f t="shared" si="2"/>
        <v>604cb9ab82cb08cadcb26035</v>
      </c>
      <c r="B76" s="25"/>
      <c r="C76" s="41" t="s">
        <v>78</v>
      </c>
      <c r="D76" s="20" t="s">
        <v>145</v>
      </c>
      <c r="E76" s="32" t="s">
        <v>193</v>
      </c>
      <c r="F76" s="32" t="s">
        <v>194</v>
      </c>
      <c r="G76" s="33">
        <v>0.625</v>
      </c>
      <c r="H76" s="42" t="s">
        <v>195</v>
      </c>
      <c r="I76" s="42" t="s">
        <v>196</v>
      </c>
      <c r="J76" s="32" t="s">
        <v>197</v>
      </c>
      <c r="K76" s="58"/>
      <c r="L76" s="23"/>
      <c r="M76" s="15" t="str">
        <f>VLOOKUP(E76,'hedef liste'!A:I,8,false)</f>
        <v>#N/A</v>
      </c>
      <c r="N76" s="15" t="b">
        <v>0</v>
      </c>
      <c r="O76" s="15" t="b">
        <v>0</v>
      </c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</row>
    <row r="77" hidden="1">
      <c r="A77" s="24" t="str">
        <f t="shared" si="2"/>
        <v>5fe117c2daff163dc66e1ed8</v>
      </c>
      <c r="B77" s="25"/>
      <c r="C77" s="41" t="s">
        <v>78</v>
      </c>
      <c r="D77" s="27" t="s">
        <v>145</v>
      </c>
      <c r="E77" s="28" t="s">
        <v>198</v>
      </c>
      <c r="F77" s="28" t="s">
        <v>199</v>
      </c>
      <c r="G77" s="29">
        <v>0.6875</v>
      </c>
      <c r="H77" s="30" t="s">
        <v>195</v>
      </c>
      <c r="I77" s="30" t="s">
        <v>200</v>
      </c>
      <c r="J77" s="28" t="s">
        <v>201</v>
      </c>
      <c r="K77" s="63"/>
      <c r="L77" s="31" t="s">
        <v>202</v>
      </c>
      <c r="M77" s="15" t="str">
        <f>VLOOKUP(E77,'hedef liste'!A:I,8,false)</f>
        <v>#N/A</v>
      </c>
      <c r="N77" s="15" t="b">
        <v>0</v>
      </c>
      <c r="O77" s="15" t="b">
        <v>0</v>
      </c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</row>
    <row r="78" hidden="1">
      <c r="A78" s="24" t="str">
        <f t="shared" si="2"/>
        <v>5ff32efbee0f727cd9a8e645</v>
      </c>
      <c r="B78" s="39"/>
      <c r="C78" s="19"/>
      <c r="D78" s="27" t="s">
        <v>79</v>
      </c>
      <c r="E78" s="28" t="s">
        <v>203</v>
      </c>
      <c r="F78" s="28" t="s">
        <v>204</v>
      </c>
      <c r="G78" s="29">
        <v>0.6875</v>
      </c>
      <c r="H78" s="30" t="s">
        <v>205</v>
      </c>
      <c r="I78" s="30" t="s">
        <v>206</v>
      </c>
      <c r="J78" s="30" t="s">
        <v>207</v>
      </c>
      <c r="K78" s="53"/>
      <c r="L78" s="31" t="s">
        <v>151</v>
      </c>
      <c r="M78" s="15"/>
      <c r="N78" s="15" t="b">
        <v>0</v>
      </c>
      <c r="O78" s="15" t="b">
        <v>0</v>
      </c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</row>
    <row r="79" hidden="1">
      <c r="A79" s="24" t="str">
        <f t="shared" si="2"/>
        <v/>
      </c>
      <c r="B79" s="10"/>
      <c r="C79" s="10">
        <v>44300.0</v>
      </c>
      <c r="D79" s="11"/>
      <c r="E79" s="12"/>
      <c r="F79" s="13"/>
      <c r="G79" s="13"/>
      <c r="H79" s="13"/>
      <c r="I79" s="13"/>
      <c r="J79" s="13"/>
      <c r="K79" s="13"/>
      <c r="L79" s="14"/>
      <c r="M79" s="15"/>
      <c r="N79" s="15"/>
      <c r="O79" s="15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</row>
    <row r="80" hidden="1">
      <c r="A80" s="24" t="str">
        <f t="shared" si="2"/>
        <v/>
      </c>
      <c r="B80" s="18" t="s">
        <v>14</v>
      </c>
      <c r="C80" s="19"/>
      <c r="D80" s="20"/>
      <c r="E80" s="21"/>
      <c r="F80" s="21"/>
      <c r="G80" s="33"/>
      <c r="H80" s="21"/>
      <c r="I80" s="21"/>
      <c r="J80" s="21"/>
      <c r="K80" s="23"/>
      <c r="L80" s="23"/>
      <c r="M80" s="15"/>
      <c r="N80" s="15" t="b">
        <v>0</v>
      </c>
      <c r="O80" s="15" t="b">
        <v>0</v>
      </c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</row>
    <row r="81" hidden="1">
      <c r="A81" s="24" t="str">
        <f t="shared" si="2"/>
        <v>60429c0db8edc77cf90fbe32</v>
      </c>
      <c r="B81" s="25"/>
      <c r="C81" s="41" t="s">
        <v>78</v>
      </c>
      <c r="D81" s="20" t="s">
        <v>208</v>
      </c>
      <c r="E81" s="32" t="s">
        <v>209</v>
      </c>
      <c r="F81" s="32" t="s">
        <v>210</v>
      </c>
      <c r="G81" s="33">
        <v>0.4583333333333333</v>
      </c>
      <c r="H81" s="42" t="s">
        <v>211</v>
      </c>
      <c r="I81" s="42" t="s">
        <v>212</v>
      </c>
      <c r="J81" s="42" t="s">
        <v>213</v>
      </c>
      <c r="K81" s="58"/>
      <c r="L81" s="23"/>
      <c r="M81" s="15" t="str">
        <f>VLOOKUP(E81,'hedef liste'!A:I,8,false)</f>
        <v>#N/A</v>
      </c>
      <c r="N81" s="15" t="b">
        <v>0</v>
      </c>
      <c r="O81" s="15" t="b">
        <v>0</v>
      </c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</row>
    <row r="82" hidden="1">
      <c r="A82" s="24" t="str">
        <f t="shared" si="2"/>
        <v>60047f2044f1b4f8beba62fd</v>
      </c>
      <c r="B82" s="25"/>
      <c r="C82" s="41" t="s">
        <v>78</v>
      </c>
      <c r="D82" s="20" t="s">
        <v>79</v>
      </c>
      <c r="E82" s="32" t="s">
        <v>214</v>
      </c>
      <c r="F82" s="32" t="s">
        <v>215</v>
      </c>
      <c r="G82" s="33">
        <v>0.5833333333333334</v>
      </c>
      <c r="H82" s="32" t="s">
        <v>211</v>
      </c>
      <c r="I82" s="32" t="s">
        <v>216</v>
      </c>
      <c r="J82" s="32" t="s">
        <v>217</v>
      </c>
      <c r="K82" s="58"/>
      <c r="L82" s="23"/>
      <c r="M82" s="15">
        <f>VLOOKUP(E82,'hedef liste'!A:I,8,false)</f>
        <v>11</v>
      </c>
      <c r="N82" s="15" t="b">
        <v>0</v>
      </c>
      <c r="O82" s="15" t="b">
        <v>0</v>
      </c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</row>
    <row r="83" hidden="1">
      <c r="A83" s="24" t="str">
        <f t="shared" si="2"/>
        <v>6040cbb1b33aa7b645d65973</v>
      </c>
      <c r="B83" s="25"/>
      <c r="C83" s="41" t="s">
        <v>78</v>
      </c>
      <c r="D83" s="20" t="s">
        <v>40</v>
      </c>
      <c r="E83" s="32" t="s">
        <v>218</v>
      </c>
      <c r="F83" s="32" t="s">
        <v>219</v>
      </c>
      <c r="G83" s="40" t="s">
        <v>180</v>
      </c>
      <c r="H83" s="32" t="s">
        <v>211</v>
      </c>
      <c r="I83" s="32" t="s">
        <v>220</v>
      </c>
      <c r="J83" s="32" t="s">
        <v>221</v>
      </c>
      <c r="K83" s="58"/>
      <c r="L83" s="23"/>
      <c r="M83" s="15" t="str">
        <f>VLOOKUP(E83,'hedef liste'!A:I,8,false)</f>
        <v>#N/A</v>
      </c>
      <c r="N83" s="15" t="b">
        <v>0</v>
      </c>
      <c r="O83" s="15" t="b">
        <v>0</v>
      </c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</row>
    <row r="84" hidden="1">
      <c r="A84" s="24" t="str">
        <f t="shared" si="2"/>
        <v>6015659ef8fb0b4c9dfa2d7d</v>
      </c>
      <c r="B84" s="25"/>
      <c r="C84" s="41" t="s">
        <v>78</v>
      </c>
      <c r="D84" s="27" t="s">
        <v>208</v>
      </c>
      <c r="E84" s="28" t="s">
        <v>222</v>
      </c>
      <c r="F84" s="28" t="s">
        <v>223</v>
      </c>
      <c r="G84" s="29">
        <v>0.7291666666666666</v>
      </c>
      <c r="H84" s="30" t="s">
        <v>224</v>
      </c>
      <c r="I84" s="30" t="s">
        <v>225</v>
      </c>
      <c r="J84" s="30" t="s">
        <v>226</v>
      </c>
      <c r="K84" s="63"/>
      <c r="L84" s="31" t="s">
        <v>151</v>
      </c>
      <c r="M84" s="66" t="str">
        <f>VLOOKUP(E84,'hedef liste'!A:I,8,false)</f>
        <v>#N/A</v>
      </c>
      <c r="N84" s="15" t="b">
        <v>0</v>
      </c>
      <c r="O84" s="15" t="b">
        <v>0</v>
      </c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</row>
    <row r="85" hidden="1">
      <c r="A85" s="24" t="str">
        <f t="shared" si="2"/>
        <v/>
      </c>
      <c r="B85" s="39"/>
      <c r="C85" s="19"/>
      <c r="D85" s="20"/>
      <c r="E85" s="21"/>
      <c r="F85" s="21"/>
      <c r="G85" s="22"/>
      <c r="H85" s="21"/>
      <c r="I85" s="21"/>
      <c r="J85" s="21"/>
      <c r="K85" s="23"/>
      <c r="L85" s="23"/>
      <c r="M85" s="15"/>
      <c r="N85" s="15" t="b">
        <v>0</v>
      </c>
      <c r="O85" s="15" t="b">
        <v>0</v>
      </c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</row>
    <row r="86" hidden="1">
      <c r="A86" s="24" t="str">
        <f t="shared" si="2"/>
        <v/>
      </c>
      <c r="B86" s="10"/>
      <c r="C86" s="10">
        <v>44301.0</v>
      </c>
      <c r="D86" s="11"/>
      <c r="E86" s="12"/>
      <c r="F86" s="13"/>
      <c r="G86" s="13"/>
      <c r="H86" s="13"/>
      <c r="I86" s="13"/>
      <c r="J86" s="13"/>
      <c r="K86" s="13"/>
      <c r="L86" s="14"/>
      <c r="M86" s="15"/>
      <c r="N86" s="15"/>
      <c r="O86" s="15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</row>
    <row r="87" hidden="1">
      <c r="A87" s="24" t="str">
        <f t="shared" si="2"/>
        <v/>
      </c>
      <c r="B87" s="18" t="s">
        <v>14</v>
      </c>
      <c r="C87" s="19"/>
      <c r="D87" s="20"/>
      <c r="E87" s="21"/>
      <c r="F87" s="21"/>
      <c r="G87" s="33"/>
      <c r="H87" s="21"/>
      <c r="I87" s="21"/>
      <c r="J87" s="21"/>
      <c r="K87" s="23"/>
      <c r="L87" s="23"/>
      <c r="M87" s="15"/>
      <c r="N87" s="15" t="b">
        <v>0</v>
      </c>
      <c r="O87" s="15" t="b">
        <v>0</v>
      </c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</row>
    <row r="88" hidden="1">
      <c r="A88" s="24" t="str">
        <f t="shared" si="2"/>
        <v/>
      </c>
      <c r="B88" s="25"/>
      <c r="C88" s="41" t="s">
        <v>78</v>
      </c>
      <c r="D88" s="20"/>
      <c r="E88" s="21"/>
      <c r="F88" s="21"/>
      <c r="G88" s="33"/>
      <c r="H88" s="21"/>
      <c r="I88" s="21"/>
      <c r="J88" s="21"/>
      <c r="K88" s="58"/>
      <c r="L88" s="23"/>
      <c r="M88" s="15" t="str">
        <f>VLOOKUP(E88,'hedef liste'!A:I,8,false)</f>
        <v>#N/A</v>
      </c>
      <c r="N88" s="15" t="b">
        <v>0</v>
      </c>
      <c r="O88" s="15" t="b">
        <v>0</v>
      </c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</row>
    <row r="89" hidden="1">
      <c r="A89" s="24" t="str">
        <f t="shared" si="2"/>
        <v>5fde53622ef1233c6d201c4b</v>
      </c>
      <c r="B89" s="25"/>
      <c r="C89" s="41" t="s">
        <v>78</v>
      </c>
      <c r="D89" s="20" t="s">
        <v>79</v>
      </c>
      <c r="E89" s="32" t="s">
        <v>227</v>
      </c>
      <c r="F89" s="32" t="s">
        <v>228</v>
      </c>
      <c r="G89" s="33">
        <v>0.5</v>
      </c>
      <c r="H89" s="32" t="s">
        <v>82</v>
      </c>
      <c r="I89" s="32" t="s">
        <v>229</v>
      </c>
      <c r="J89" s="32" t="s">
        <v>230</v>
      </c>
      <c r="K89" s="58"/>
      <c r="L89" s="23"/>
      <c r="M89" s="15">
        <f>VLOOKUP(E89,'hedef liste'!A:I,8,false)</f>
        <v>29</v>
      </c>
      <c r="N89" s="15" t="b">
        <v>0</v>
      </c>
      <c r="O89" s="15" t="b">
        <v>0</v>
      </c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</row>
    <row r="90" hidden="1">
      <c r="A90" s="24" t="str">
        <f t="shared" si="2"/>
        <v>5fea5e5e34586716d1460977</v>
      </c>
      <c r="B90" s="25"/>
      <c r="C90" s="41" t="s">
        <v>78</v>
      </c>
      <c r="D90" s="20" t="s">
        <v>208</v>
      </c>
      <c r="E90" s="32" t="s">
        <v>231</v>
      </c>
      <c r="F90" s="32" t="s">
        <v>232</v>
      </c>
      <c r="G90" s="33">
        <v>0.5833333333333334</v>
      </c>
      <c r="H90" s="42" t="s">
        <v>233</v>
      </c>
      <c r="I90" s="42" t="s">
        <v>234</v>
      </c>
      <c r="J90" s="42" t="s">
        <v>235</v>
      </c>
      <c r="K90" s="58" t="s">
        <v>236</v>
      </c>
      <c r="L90" s="23"/>
      <c r="M90" s="15">
        <f>VLOOKUP(E90,'hedef liste'!A:I,8,false)</f>
        <v>47</v>
      </c>
      <c r="N90" s="15" t="b">
        <v>0</v>
      </c>
      <c r="O90" s="15" t="b">
        <v>0</v>
      </c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</row>
    <row r="91" hidden="1">
      <c r="A91" s="24" t="str">
        <f t="shared" si="2"/>
        <v>5fde3e1ec0e54f3447874015</v>
      </c>
      <c r="B91" s="25"/>
      <c r="C91" s="41" t="s">
        <v>78</v>
      </c>
      <c r="D91" s="27" t="s">
        <v>79</v>
      </c>
      <c r="E91" s="30" t="s">
        <v>237</v>
      </c>
      <c r="F91" s="30" t="s">
        <v>238</v>
      </c>
      <c r="G91" s="29">
        <v>0.6666666666666666</v>
      </c>
      <c r="H91" s="30" t="s">
        <v>82</v>
      </c>
      <c r="I91" s="30" t="s">
        <v>239</v>
      </c>
      <c r="J91" s="30" t="s">
        <v>240</v>
      </c>
      <c r="K91" s="63"/>
      <c r="L91" s="53"/>
      <c r="M91" s="15">
        <f>VLOOKUP(E91,'hedef liste'!A:I,8,false)</f>
        <v>3</v>
      </c>
      <c r="N91" s="15" t="b">
        <v>0</v>
      </c>
      <c r="O91" s="15" t="b">
        <v>0</v>
      </c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</row>
    <row r="92" hidden="1">
      <c r="A92" s="24"/>
      <c r="B92" s="25"/>
      <c r="C92" s="19"/>
      <c r="D92" s="20" t="s">
        <v>16</v>
      </c>
      <c r="E92" s="32" t="s">
        <v>241</v>
      </c>
      <c r="F92" s="32" t="s">
        <v>242</v>
      </c>
      <c r="G92" s="33">
        <v>0.6875</v>
      </c>
      <c r="H92" s="42" t="s">
        <v>243</v>
      </c>
      <c r="I92" s="42" t="s">
        <v>244</v>
      </c>
      <c r="J92" s="42" t="s">
        <v>245</v>
      </c>
      <c r="K92" s="23"/>
      <c r="L92" s="23"/>
      <c r="M92" s="15"/>
      <c r="N92" s="15" t="b">
        <v>0</v>
      </c>
      <c r="O92" s="15" t="b">
        <v>0</v>
      </c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</row>
    <row r="93" hidden="1">
      <c r="A93" s="24" t="str">
        <f t="shared" ref="A93:A126" si="3">E93</f>
        <v>5feb7afce5886a18fb946927</v>
      </c>
      <c r="B93" s="39"/>
      <c r="C93" s="19"/>
      <c r="D93" s="27" t="s">
        <v>79</v>
      </c>
      <c r="E93" s="30" t="s">
        <v>246</v>
      </c>
      <c r="F93" s="30" t="s">
        <v>247</v>
      </c>
      <c r="G93" s="67" t="s">
        <v>248</v>
      </c>
      <c r="H93" s="30" t="s">
        <v>82</v>
      </c>
      <c r="I93" s="30" t="s">
        <v>249</v>
      </c>
      <c r="J93" s="30" t="s">
        <v>250</v>
      </c>
      <c r="K93" s="53"/>
      <c r="L93" s="34" t="s">
        <v>251</v>
      </c>
      <c r="M93" s="15"/>
      <c r="N93" s="15" t="b">
        <v>0</v>
      </c>
      <c r="O93" s="15" t="b">
        <v>0</v>
      </c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</row>
    <row r="94" hidden="1">
      <c r="A94" s="24" t="str">
        <f t="shared" si="3"/>
        <v/>
      </c>
      <c r="B94" s="10"/>
      <c r="C94" s="10">
        <v>44302.0</v>
      </c>
      <c r="D94" s="11"/>
      <c r="E94" s="12"/>
      <c r="F94" s="13"/>
      <c r="G94" s="13"/>
      <c r="H94" s="13"/>
      <c r="I94" s="13"/>
      <c r="J94" s="13"/>
      <c r="K94" s="13"/>
      <c r="L94" s="14"/>
      <c r="M94" s="15"/>
      <c r="N94" s="15"/>
      <c r="O94" s="15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</row>
    <row r="95" hidden="1">
      <c r="A95" s="24" t="str">
        <f t="shared" si="3"/>
        <v/>
      </c>
      <c r="B95" s="18" t="s">
        <v>14</v>
      </c>
      <c r="C95" s="19"/>
      <c r="D95" s="20"/>
      <c r="E95" s="21"/>
      <c r="F95" s="21"/>
      <c r="G95" s="33"/>
      <c r="H95" s="21"/>
      <c r="I95" s="21"/>
      <c r="J95" s="21"/>
      <c r="K95" s="23"/>
      <c r="L95" s="23"/>
      <c r="M95" s="15"/>
      <c r="N95" s="15" t="b">
        <v>0</v>
      </c>
      <c r="O95" s="15" t="b">
        <v>0</v>
      </c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</row>
    <row r="96" hidden="1">
      <c r="A96" s="24" t="str">
        <f t="shared" si="3"/>
        <v>60520073f7f0705fad738c96</v>
      </c>
      <c r="B96" s="25"/>
      <c r="C96" s="41" t="s">
        <v>78</v>
      </c>
      <c r="D96" s="20" t="s">
        <v>79</v>
      </c>
      <c r="E96" s="32" t="s">
        <v>252</v>
      </c>
      <c r="F96" s="32" t="s">
        <v>253</v>
      </c>
      <c r="G96" s="33">
        <v>0.4166666666666667</v>
      </c>
      <c r="H96" s="42" t="s">
        <v>205</v>
      </c>
      <c r="I96" s="32" t="s">
        <v>254</v>
      </c>
      <c r="J96" s="32" t="s">
        <v>255</v>
      </c>
      <c r="K96" s="58"/>
      <c r="L96" s="23"/>
      <c r="M96" s="15" t="str">
        <f>VLOOKUP(E96,'hedef liste'!A:I,8,false)</f>
        <v>#N/A</v>
      </c>
      <c r="N96" s="15" t="b">
        <v>0</v>
      </c>
      <c r="O96" s="15" t="b">
        <v>0</v>
      </c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</row>
    <row r="97" hidden="1">
      <c r="A97" s="24" t="str">
        <f t="shared" si="3"/>
        <v>5fddcba4e17357174e7352eb</v>
      </c>
      <c r="B97" s="25"/>
      <c r="C97" s="41" t="s">
        <v>78</v>
      </c>
      <c r="D97" s="20" t="s">
        <v>79</v>
      </c>
      <c r="E97" s="28" t="s">
        <v>256</v>
      </c>
      <c r="F97" s="28" t="s">
        <v>257</v>
      </c>
      <c r="G97" s="29">
        <v>0.5</v>
      </c>
      <c r="H97" s="28" t="s">
        <v>258</v>
      </c>
      <c r="I97" s="28" t="s">
        <v>259</v>
      </c>
      <c r="J97" s="28" t="s">
        <v>260</v>
      </c>
      <c r="K97" s="63"/>
      <c r="L97" s="31" t="s">
        <v>261</v>
      </c>
      <c r="M97" s="15" t="str">
        <f>VLOOKUP(E97,'hedef liste'!A:I,8,false)</f>
        <v>#N/A</v>
      </c>
      <c r="N97" s="15" t="b">
        <v>0</v>
      </c>
      <c r="O97" s="15" t="b">
        <v>0</v>
      </c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</row>
    <row r="98" hidden="1">
      <c r="A98" s="24" t="str">
        <f t="shared" si="3"/>
        <v>603781465bd9936d54d5625c</v>
      </c>
      <c r="B98" s="25"/>
      <c r="C98" s="41" t="s">
        <v>78</v>
      </c>
      <c r="D98" s="20" t="s">
        <v>79</v>
      </c>
      <c r="E98" s="32" t="s">
        <v>262</v>
      </c>
      <c r="F98" s="32" t="s">
        <v>263</v>
      </c>
      <c r="G98" s="33">
        <v>0.5833333333333334</v>
      </c>
      <c r="H98" s="32" t="s">
        <v>258</v>
      </c>
      <c r="I98" s="42" t="s">
        <v>264</v>
      </c>
      <c r="J98" s="32" t="s">
        <v>265</v>
      </c>
      <c r="K98" s="58"/>
      <c r="L98" s="23"/>
      <c r="M98" s="15" t="str">
        <f>VLOOKUP(E98,'hedef liste'!A:I,8,false)</f>
        <v>#N/A</v>
      </c>
      <c r="N98" s="15" t="b">
        <v>0</v>
      </c>
      <c r="O98" s="15" t="b">
        <v>0</v>
      </c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</row>
    <row r="99" hidden="1">
      <c r="A99" s="24" t="str">
        <f t="shared" si="3"/>
        <v>600439699b368704ff661409</v>
      </c>
      <c r="B99" s="25"/>
      <c r="C99" s="41" t="s">
        <v>78</v>
      </c>
      <c r="D99" s="38" t="s">
        <v>79</v>
      </c>
      <c r="E99" s="32" t="s">
        <v>266</v>
      </c>
      <c r="F99" s="32" t="s">
        <v>267</v>
      </c>
      <c r="G99" s="33">
        <v>0.6666666666666666</v>
      </c>
      <c r="H99" s="42" t="s">
        <v>205</v>
      </c>
      <c r="I99" s="42" t="s">
        <v>268</v>
      </c>
      <c r="J99" s="32" t="s">
        <v>269</v>
      </c>
      <c r="K99" s="58"/>
      <c r="L99" s="23"/>
      <c r="M99" s="15" t="str">
        <f>VLOOKUP(E99,'hedef liste'!A:I,8,false)</f>
        <v>#N/A</v>
      </c>
      <c r="N99" s="15" t="b">
        <v>0</v>
      </c>
      <c r="O99" s="15" t="b">
        <v>0</v>
      </c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</row>
    <row r="100" hidden="1">
      <c r="A100" s="24" t="str">
        <f t="shared" si="3"/>
        <v/>
      </c>
      <c r="B100" s="39"/>
      <c r="C100" s="19"/>
      <c r="D100" s="20"/>
      <c r="E100" s="21"/>
      <c r="F100" s="21"/>
      <c r="G100" s="22"/>
      <c r="H100" s="21"/>
      <c r="I100" s="21"/>
      <c r="J100" s="21"/>
      <c r="K100" s="23"/>
      <c r="L100" s="23"/>
      <c r="M100" s="15"/>
      <c r="N100" s="15" t="b">
        <v>0</v>
      </c>
      <c r="O100" s="15" t="b">
        <v>0</v>
      </c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</row>
    <row r="101" hidden="1">
      <c r="A101" s="24" t="str">
        <f t="shared" si="3"/>
        <v/>
      </c>
      <c r="B101" s="10"/>
      <c r="C101" s="10">
        <v>44305.0</v>
      </c>
      <c r="D101" s="11"/>
      <c r="E101" s="12"/>
      <c r="F101" s="13"/>
      <c r="G101" s="13"/>
      <c r="H101" s="13"/>
      <c r="I101" s="13"/>
      <c r="J101" s="13"/>
      <c r="K101" s="13"/>
      <c r="L101" s="14"/>
      <c r="M101" s="15"/>
      <c r="N101" s="15"/>
      <c r="O101" s="15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</row>
    <row r="102" hidden="1">
      <c r="A102" s="24" t="str">
        <f t="shared" si="3"/>
        <v/>
      </c>
      <c r="B102" s="18" t="s">
        <v>14</v>
      </c>
      <c r="C102" s="19"/>
      <c r="D102" s="20"/>
      <c r="E102" s="21"/>
      <c r="F102" s="21"/>
      <c r="G102" s="33"/>
      <c r="H102" s="21"/>
      <c r="I102" s="21"/>
      <c r="J102" s="21"/>
      <c r="K102" s="23"/>
      <c r="L102" s="23"/>
      <c r="M102" s="15"/>
      <c r="N102" s="15" t="b">
        <v>0</v>
      </c>
      <c r="O102" s="15" t="b">
        <v>0</v>
      </c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</row>
    <row r="103" hidden="1">
      <c r="A103" s="24" t="str">
        <f t="shared" si="3"/>
        <v/>
      </c>
      <c r="B103" s="25"/>
      <c r="C103" s="41" t="s">
        <v>78</v>
      </c>
      <c r="D103" s="20"/>
      <c r="E103" s="32"/>
      <c r="F103" s="32"/>
      <c r="G103" s="33">
        <v>0.4166666666666667</v>
      </c>
      <c r="H103" s="42"/>
      <c r="I103" s="32"/>
      <c r="J103" s="32"/>
      <c r="K103" s="58"/>
      <c r="L103" s="23"/>
      <c r="M103" s="15" t="str">
        <f>VLOOKUP(E103,'hedef liste'!A:I,8,false)</f>
        <v>#N/A</v>
      </c>
      <c r="N103" s="15" t="b">
        <v>0</v>
      </c>
      <c r="O103" s="15" t="b">
        <v>0</v>
      </c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</row>
    <row r="104" hidden="1">
      <c r="A104" s="24" t="str">
        <f t="shared" si="3"/>
        <v>5fe8e78af0267c8b9e1285a4</v>
      </c>
      <c r="B104" s="25"/>
      <c r="C104" s="41" t="s">
        <v>78</v>
      </c>
      <c r="D104" s="20" t="s">
        <v>208</v>
      </c>
      <c r="E104" s="32" t="s">
        <v>270</v>
      </c>
      <c r="F104" s="32" t="s">
        <v>271</v>
      </c>
      <c r="G104" s="33">
        <v>0.5208333333333334</v>
      </c>
      <c r="H104" s="32" t="s">
        <v>211</v>
      </c>
      <c r="I104" s="32" t="s">
        <v>272</v>
      </c>
      <c r="J104" s="32" t="s">
        <v>273</v>
      </c>
      <c r="K104" s="58"/>
      <c r="L104" s="23"/>
      <c r="M104" s="15">
        <f>VLOOKUP(E104,'hedef liste'!A:I,8,false)</f>
        <v>18</v>
      </c>
      <c r="N104" s="15" t="b">
        <v>0</v>
      </c>
      <c r="O104" s="15" t="b">
        <v>0</v>
      </c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</row>
    <row r="105" hidden="1">
      <c r="A105" s="24" t="str">
        <f t="shared" si="3"/>
        <v>5feb7faf58f3ac59fae5801c</v>
      </c>
      <c r="B105" s="25"/>
      <c r="C105" s="41" t="s">
        <v>78</v>
      </c>
      <c r="D105" s="20" t="s">
        <v>208</v>
      </c>
      <c r="E105" s="32" t="s">
        <v>274</v>
      </c>
      <c r="F105" s="32" t="s">
        <v>275</v>
      </c>
      <c r="G105" s="33">
        <v>0.5833333333333334</v>
      </c>
      <c r="H105" s="42" t="s">
        <v>211</v>
      </c>
      <c r="I105" s="42" t="s">
        <v>276</v>
      </c>
      <c r="J105" s="42" t="s">
        <v>277</v>
      </c>
      <c r="K105" s="58"/>
      <c r="L105" s="23"/>
      <c r="M105" s="15">
        <f>VLOOKUP(E105,'hedef liste'!A:I,8,false)</f>
        <v>60</v>
      </c>
      <c r="N105" s="15" t="b">
        <v>0</v>
      </c>
      <c r="O105" s="15" t="b">
        <v>0</v>
      </c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</row>
    <row r="106" hidden="1">
      <c r="A106" s="24" t="str">
        <f t="shared" si="3"/>
        <v>6004752be2740f29fb19e69d</v>
      </c>
      <c r="B106" s="25"/>
      <c r="C106" s="41" t="s">
        <v>78</v>
      </c>
      <c r="D106" s="38" t="s">
        <v>208</v>
      </c>
      <c r="E106" s="32" t="s">
        <v>278</v>
      </c>
      <c r="F106" s="32" t="s">
        <v>279</v>
      </c>
      <c r="G106" s="33">
        <v>0.6666666666666666</v>
      </c>
      <c r="H106" s="42" t="s">
        <v>211</v>
      </c>
      <c r="I106" s="42" t="s">
        <v>280</v>
      </c>
      <c r="J106" s="21"/>
      <c r="K106" s="58"/>
      <c r="L106" s="23"/>
      <c r="M106" s="15">
        <f>VLOOKUP(E106,'hedef liste'!A:I,8,false)</f>
        <v>3</v>
      </c>
      <c r="N106" s="15" t="b">
        <v>0</v>
      </c>
      <c r="O106" s="15" t="b">
        <v>0</v>
      </c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</row>
    <row r="107" hidden="1">
      <c r="A107" s="24" t="str">
        <f t="shared" si="3"/>
        <v>6009580df9bae41bfa5376b8</v>
      </c>
      <c r="B107" s="39"/>
      <c r="C107" s="41" t="s">
        <v>78</v>
      </c>
      <c r="D107" s="27" t="s">
        <v>79</v>
      </c>
      <c r="E107" s="30" t="s">
        <v>281</v>
      </c>
      <c r="F107" s="68" t="s">
        <v>282</v>
      </c>
      <c r="G107" s="67" t="s">
        <v>283</v>
      </c>
      <c r="H107" s="30" t="s">
        <v>211</v>
      </c>
      <c r="I107" s="30" t="s">
        <v>284</v>
      </c>
      <c r="J107" s="30" t="s">
        <v>285</v>
      </c>
      <c r="K107" s="53"/>
      <c r="L107" s="23"/>
      <c r="M107" s="15"/>
      <c r="N107" s="15" t="b">
        <v>0</v>
      </c>
      <c r="O107" s="15" t="b">
        <v>0</v>
      </c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</row>
    <row r="108" hidden="1">
      <c r="A108" s="24" t="str">
        <f t="shared" si="3"/>
        <v/>
      </c>
      <c r="B108" s="18" t="s">
        <v>286</v>
      </c>
      <c r="C108" s="19"/>
      <c r="D108" s="20"/>
      <c r="E108" s="42"/>
      <c r="F108" s="21"/>
      <c r="G108" s="33"/>
      <c r="H108" s="21"/>
      <c r="I108" s="21"/>
      <c r="J108" s="21"/>
      <c r="K108" s="23"/>
      <c r="L108" s="23"/>
      <c r="M108" s="15"/>
      <c r="N108" s="15" t="b">
        <v>0</v>
      </c>
      <c r="O108" s="15" t="b">
        <v>0</v>
      </c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</row>
    <row r="109" hidden="1">
      <c r="A109" s="24" t="str">
        <f t="shared" si="3"/>
        <v/>
      </c>
      <c r="B109" s="25"/>
      <c r="C109" s="22"/>
      <c r="D109" s="20"/>
      <c r="E109" s="32"/>
      <c r="F109" s="32"/>
      <c r="G109" s="33"/>
      <c r="H109" s="42"/>
      <c r="I109" s="32"/>
      <c r="J109" s="32"/>
      <c r="K109" s="58"/>
      <c r="L109" s="23"/>
      <c r="M109" s="15" t="str">
        <f>VLOOKUP(E109,'hedef liste'!A:I,8,false)</f>
        <v>#N/A</v>
      </c>
      <c r="N109" s="15" t="b">
        <v>0</v>
      </c>
      <c r="O109" s="15" t="b">
        <v>0</v>
      </c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</row>
    <row r="110" hidden="1">
      <c r="A110" s="24" t="str">
        <f t="shared" si="3"/>
        <v>6049eefa9756a0616edad16d        </v>
      </c>
      <c r="B110" s="25"/>
      <c r="C110" s="41" t="s">
        <v>287</v>
      </c>
      <c r="D110" s="20" t="s">
        <v>16</v>
      </c>
      <c r="E110" s="32" t="s">
        <v>288</v>
      </c>
      <c r="F110" s="69" t="s">
        <v>289</v>
      </c>
      <c r="G110" s="33">
        <v>0.5</v>
      </c>
      <c r="H110" s="32" t="s">
        <v>290</v>
      </c>
      <c r="I110" s="32" t="s">
        <v>291</v>
      </c>
      <c r="J110" s="32" t="s">
        <v>292</v>
      </c>
      <c r="K110" s="58"/>
      <c r="L110" s="23"/>
      <c r="M110" s="15" t="str">
        <f>VLOOKUP(E110,'hedef liste'!A:I,8,false)</f>
        <v>#N/A</v>
      </c>
      <c r="N110" s="15" t="b">
        <v>0</v>
      </c>
      <c r="O110" s="15" t="b">
        <v>0</v>
      </c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</row>
    <row r="111" hidden="1">
      <c r="A111" s="24" t="str">
        <f t="shared" si="3"/>
        <v>604d370e2acc7942c3b93b2d</v>
      </c>
      <c r="B111" s="25"/>
      <c r="C111" s="41" t="s">
        <v>287</v>
      </c>
      <c r="D111" s="20" t="s">
        <v>16</v>
      </c>
      <c r="E111" s="42" t="s">
        <v>293</v>
      </c>
      <c r="F111" s="61" t="s">
        <v>294</v>
      </c>
      <c r="G111" s="33">
        <v>0.5833333333333334</v>
      </c>
      <c r="H111" s="42" t="s">
        <v>295</v>
      </c>
      <c r="I111" s="42" t="s">
        <v>296</v>
      </c>
      <c r="J111" s="42" t="s">
        <v>297</v>
      </c>
      <c r="K111" s="58"/>
      <c r="L111" s="23"/>
      <c r="M111" s="15">
        <f>VLOOKUP(E111,'hedef liste'!A:I,8,false)</f>
        <v>38</v>
      </c>
      <c r="N111" s="15" t="b">
        <v>0</v>
      </c>
      <c r="O111" s="15" t="b">
        <v>0</v>
      </c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</row>
    <row r="112" hidden="1">
      <c r="A112" s="24" t="str">
        <f t="shared" si="3"/>
        <v>605ccbd14b0475de36589b4c        Blackfish (Cemalpaşa Mah.)</v>
      </c>
      <c r="B112" s="25"/>
      <c r="C112" s="41" t="s">
        <v>287</v>
      </c>
      <c r="D112" s="27" t="s">
        <v>16</v>
      </c>
      <c r="E112" s="30" t="s">
        <v>298</v>
      </c>
      <c r="F112" s="70"/>
      <c r="G112" s="29">
        <v>0.6666666666666666</v>
      </c>
      <c r="H112" s="30" t="s">
        <v>299</v>
      </c>
      <c r="I112" s="30" t="s">
        <v>300</v>
      </c>
      <c r="J112" s="30" t="s">
        <v>301</v>
      </c>
      <c r="K112" s="63"/>
      <c r="L112" s="31" t="s">
        <v>302</v>
      </c>
      <c r="M112" s="15" t="str">
        <f>VLOOKUP(E112,'hedef liste'!A:I,8,false)</f>
        <v>#N/A</v>
      </c>
      <c r="N112" s="15" t="b">
        <v>0</v>
      </c>
      <c r="O112" s="15" t="b">
        <v>0</v>
      </c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</row>
    <row r="113" hidden="1">
      <c r="A113" s="24" t="str">
        <f t="shared" si="3"/>
        <v>6049d47a60f6a29184b43b5f</v>
      </c>
      <c r="B113" s="39"/>
      <c r="C113" s="41" t="s">
        <v>287</v>
      </c>
      <c r="D113" s="20" t="s">
        <v>16</v>
      </c>
      <c r="E113" s="42" t="s">
        <v>303</v>
      </c>
      <c r="F113" s="61" t="s">
        <v>304</v>
      </c>
      <c r="G113" s="40" t="s">
        <v>305</v>
      </c>
      <c r="H113" s="42" t="s">
        <v>299</v>
      </c>
      <c r="I113" s="42" t="s">
        <v>306</v>
      </c>
      <c r="J113" s="42" t="s">
        <v>307</v>
      </c>
      <c r="K113" s="23"/>
      <c r="L113" s="23"/>
      <c r="M113" s="15"/>
      <c r="N113" s="15" t="b">
        <v>0</v>
      </c>
      <c r="O113" s="15" t="b">
        <v>0</v>
      </c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</row>
    <row r="114" hidden="1">
      <c r="A114" s="24" t="str">
        <f t="shared" si="3"/>
        <v/>
      </c>
      <c r="B114" s="10"/>
      <c r="C114" s="10">
        <v>44306.0</v>
      </c>
      <c r="D114" s="11"/>
      <c r="E114" s="12"/>
      <c r="F114" s="13"/>
      <c r="G114" s="13"/>
      <c r="H114" s="13"/>
      <c r="I114" s="13"/>
      <c r="J114" s="13"/>
      <c r="K114" s="13"/>
      <c r="L114" s="14"/>
      <c r="M114" s="15"/>
      <c r="N114" s="15"/>
      <c r="O114" s="15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</row>
    <row r="115" hidden="1">
      <c r="A115" s="24" t="str">
        <f t="shared" si="3"/>
        <v/>
      </c>
      <c r="B115" s="18" t="s">
        <v>14</v>
      </c>
      <c r="C115" s="19"/>
      <c r="D115" s="20"/>
      <c r="E115" s="21"/>
      <c r="F115" s="21"/>
      <c r="G115" s="33"/>
      <c r="H115" s="21"/>
      <c r="I115" s="21"/>
      <c r="J115" s="21"/>
      <c r="K115" s="23"/>
      <c r="L115" s="23"/>
      <c r="M115" s="15"/>
      <c r="N115" s="15" t="b">
        <v>0</v>
      </c>
      <c r="O115" s="15" t="b">
        <v>0</v>
      </c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</row>
    <row r="116" hidden="1">
      <c r="A116" s="24" t="str">
        <f t="shared" si="3"/>
        <v>5ff5b5b8bcc27798b0df90ad</v>
      </c>
      <c r="B116" s="25"/>
      <c r="C116" s="41" t="s">
        <v>78</v>
      </c>
      <c r="D116" s="20" t="s">
        <v>79</v>
      </c>
      <c r="E116" s="32" t="s">
        <v>308</v>
      </c>
      <c r="F116" s="61" t="s">
        <v>309</v>
      </c>
      <c r="G116" s="33">
        <v>0.5208333333333334</v>
      </c>
      <c r="H116" s="42" t="s">
        <v>82</v>
      </c>
      <c r="I116" s="32" t="s">
        <v>310</v>
      </c>
      <c r="J116" s="32" t="s">
        <v>311</v>
      </c>
      <c r="K116" s="58"/>
      <c r="L116" s="23"/>
      <c r="M116" s="15" t="str">
        <f>VLOOKUP(E116,'hedef liste'!A:I,8,false)</f>
        <v>#N/A</v>
      </c>
      <c r="N116" s="15" t="b">
        <v>0</v>
      </c>
      <c r="O116" s="15" t="b">
        <v>0</v>
      </c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</row>
    <row r="117" hidden="1">
      <c r="A117" s="24" t="str">
        <f t="shared" si="3"/>
        <v>5ff322b15118f1c3cf8e4018</v>
      </c>
      <c r="B117" s="25"/>
      <c r="C117" s="41" t="s">
        <v>78</v>
      </c>
      <c r="D117" s="20" t="s">
        <v>79</v>
      </c>
      <c r="E117" s="32" t="s">
        <v>312</v>
      </c>
      <c r="F117" s="32" t="s">
        <v>313</v>
      </c>
      <c r="G117" s="33">
        <v>0.7083333333333334</v>
      </c>
      <c r="H117" s="42" t="s">
        <v>211</v>
      </c>
      <c r="I117" s="32" t="s">
        <v>314</v>
      </c>
      <c r="J117" s="32" t="s">
        <v>315</v>
      </c>
      <c r="K117" s="58"/>
      <c r="L117" s="23"/>
      <c r="M117" s="15" t="str">
        <f>VLOOKUP(E117,'hedef liste'!A:I,8,false)</f>
        <v>#N/A</v>
      </c>
      <c r="N117" s="15" t="b">
        <v>0</v>
      </c>
      <c r="O117" s="15" t="b">
        <v>0</v>
      </c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</row>
    <row r="118" hidden="1">
      <c r="A118" s="24" t="str">
        <f t="shared" si="3"/>
        <v>600c5a5c2505a32976a6a0f0</v>
      </c>
      <c r="B118" s="25"/>
      <c r="C118" s="41" t="s">
        <v>78</v>
      </c>
      <c r="D118" s="27" t="s">
        <v>79</v>
      </c>
      <c r="E118" s="28" t="s">
        <v>316</v>
      </c>
      <c r="F118" s="28" t="s">
        <v>317</v>
      </c>
      <c r="G118" s="29">
        <v>0.5833333333333334</v>
      </c>
      <c r="H118" s="30" t="s">
        <v>82</v>
      </c>
      <c r="I118" s="30" t="s">
        <v>318</v>
      </c>
      <c r="J118" s="30" t="s">
        <v>319</v>
      </c>
      <c r="K118" s="63"/>
      <c r="L118" s="53"/>
      <c r="M118" s="15" t="str">
        <f>VLOOKUP(E118,'hedef liste'!A:I,8,false)</f>
        <v>#N/A</v>
      </c>
      <c r="N118" s="15" t="b">
        <v>0</v>
      </c>
      <c r="O118" s="15" t="b">
        <v>0</v>
      </c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</row>
    <row r="119" hidden="1">
      <c r="A119" s="24" t="str">
        <f t="shared" si="3"/>
        <v>606256a3f0248b6461dcc7ed</v>
      </c>
      <c r="B119" s="25"/>
      <c r="C119" s="41" t="s">
        <v>78</v>
      </c>
      <c r="D119" s="27" t="s">
        <v>79</v>
      </c>
      <c r="E119" s="52" t="s">
        <v>320</v>
      </c>
      <c r="F119" s="52" t="s">
        <v>321</v>
      </c>
      <c r="G119" s="29">
        <v>0.6666666666666666</v>
      </c>
      <c r="H119" s="30" t="s">
        <v>211</v>
      </c>
      <c r="I119" s="30" t="s">
        <v>322</v>
      </c>
      <c r="J119" s="52" t="s">
        <v>323</v>
      </c>
      <c r="K119" s="63"/>
      <c r="L119" s="53"/>
      <c r="M119" s="15" t="str">
        <f>VLOOKUP(E119,'hedef liste'!A:I,8,false)</f>
        <v>#N/A</v>
      </c>
      <c r="N119" s="15" t="b">
        <v>0</v>
      </c>
      <c r="O119" s="15" t="b">
        <v>0</v>
      </c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</row>
    <row r="120" hidden="1">
      <c r="A120" s="24" t="str">
        <f t="shared" si="3"/>
        <v/>
      </c>
      <c r="B120" s="39"/>
      <c r="C120" s="19"/>
      <c r="D120" s="20"/>
      <c r="E120" s="21"/>
      <c r="F120" s="21"/>
      <c r="G120" s="22"/>
      <c r="H120" s="21"/>
      <c r="I120" s="21"/>
      <c r="J120" s="21"/>
      <c r="K120" s="23"/>
      <c r="L120" s="23"/>
      <c r="M120" s="15"/>
      <c r="N120" s="15" t="b">
        <v>0</v>
      </c>
      <c r="O120" s="15" t="b">
        <v>0</v>
      </c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</row>
    <row r="121" hidden="1">
      <c r="A121" s="24" t="str">
        <f t="shared" si="3"/>
        <v/>
      </c>
      <c r="B121" s="18" t="s">
        <v>286</v>
      </c>
      <c r="C121" s="19"/>
      <c r="D121" s="20"/>
      <c r="E121" s="21"/>
      <c r="F121" s="21"/>
      <c r="G121" s="33"/>
      <c r="H121" s="21"/>
      <c r="I121" s="21"/>
      <c r="J121" s="21"/>
      <c r="K121" s="23"/>
      <c r="L121" s="23"/>
      <c r="M121" s="15"/>
      <c r="N121" s="15" t="b">
        <v>0</v>
      </c>
      <c r="O121" s="15" t="b">
        <v>0</v>
      </c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</row>
    <row r="122" hidden="1">
      <c r="A122" s="24" t="str">
        <f t="shared" si="3"/>
        <v>602461b82789553436923002</v>
      </c>
      <c r="B122" s="25"/>
      <c r="C122" s="41" t="s">
        <v>287</v>
      </c>
      <c r="D122" s="20" t="s">
        <v>79</v>
      </c>
      <c r="E122" s="32" t="s">
        <v>324</v>
      </c>
      <c r="F122" s="61" t="s">
        <v>325</v>
      </c>
      <c r="G122" s="33">
        <v>0.4166666666666667</v>
      </c>
      <c r="H122" s="42" t="s">
        <v>326</v>
      </c>
      <c r="I122" s="42" t="s">
        <v>327</v>
      </c>
      <c r="J122" s="32" t="s">
        <v>328</v>
      </c>
      <c r="K122" s="58"/>
      <c r="L122" s="23"/>
      <c r="M122" s="15">
        <f>VLOOKUP(E122,'hedef liste'!A:I,8,false)</f>
        <v>8</v>
      </c>
      <c r="N122" s="15" t="b">
        <v>0</v>
      </c>
      <c r="O122" s="15" t="b">
        <v>0</v>
      </c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</row>
    <row r="123" hidden="1">
      <c r="A123" s="24" t="str">
        <f t="shared" si="3"/>
        <v>602ec122a6bb73377e4e7b67</v>
      </c>
      <c r="B123" s="25"/>
      <c r="C123" s="41" t="s">
        <v>287</v>
      </c>
      <c r="D123" s="20" t="s">
        <v>79</v>
      </c>
      <c r="E123" s="32" t="s">
        <v>329</v>
      </c>
      <c r="F123" s="61" t="s">
        <v>330</v>
      </c>
      <c r="G123" s="33">
        <v>0.5</v>
      </c>
      <c r="H123" s="32" t="s">
        <v>326</v>
      </c>
      <c r="I123" s="32" t="s">
        <v>331</v>
      </c>
      <c r="J123" s="32" t="s">
        <v>332</v>
      </c>
      <c r="K123" s="58"/>
      <c r="L123" s="23"/>
      <c r="M123" s="15" t="str">
        <f>VLOOKUP(E123,'hedef liste'!A:I,8,false)</f>
        <v>#N/A</v>
      </c>
      <c r="N123" s="15" t="b">
        <v>0</v>
      </c>
      <c r="O123" s="15" t="b">
        <v>0</v>
      </c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</row>
    <row r="124" hidden="1">
      <c r="A124" s="24" t="str">
        <f t="shared" si="3"/>
        <v>5fece5494f55ab22929d5bf9</v>
      </c>
      <c r="B124" s="25"/>
      <c r="C124" s="41" t="s">
        <v>287</v>
      </c>
      <c r="D124" s="20" t="s">
        <v>79</v>
      </c>
      <c r="E124" s="32" t="s">
        <v>333</v>
      </c>
      <c r="F124" s="32" t="s">
        <v>334</v>
      </c>
      <c r="G124" s="33">
        <v>0.5833333333333334</v>
      </c>
      <c r="H124" s="42" t="s">
        <v>326</v>
      </c>
      <c r="I124" s="42" t="s">
        <v>335</v>
      </c>
      <c r="J124" s="42" t="s">
        <v>336</v>
      </c>
      <c r="K124" s="58"/>
      <c r="L124" s="23"/>
      <c r="M124" s="15">
        <f>VLOOKUP(E124,'hedef liste'!A:I,8,false)</f>
        <v>4</v>
      </c>
      <c r="N124" s="15" t="b">
        <v>0</v>
      </c>
      <c r="O124" s="15" t="b">
        <v>0</v>
      </c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</row>
    <row r="125" hidden="1">
      <c r="A125" s="24" t="str">
        <f t="shared" si="3"/>
        <v>603767a9dee19b0b16f04a8d</v>
      </c>
      <c r="B125" s="25"/>
      <c r="C125" s="41" t="s">
        <v>287</v>
      </c>
      <c r="D125" s="38" t="s">
        <v>79</v>
      </c>
      <c r="E125" s="42" t="s">
        <v>337</v>
      </c>
      <c r="F125" s="61" t="s">
        <v>338</v>
      </c>
      <c r="G125" s="33">
        <v>0.6666666666666666</v>
      </c>
      <c r="H125" s="42" t="s">
        <v>339</v>
      </c>
      <c r="I125" s="42" t="s">
        <v>340</v>
      </c>
      <c r="J125" s="42" t="s">
        <v>341</v>
      </c>
      <c r="K125" s="58"/>
      <c r="L125" s="23"/>
      <c r="M125" s="15">
        <f>VLOOKUP(E125,'hedef liste'!A:I,8,false)</f>
        <v>26</v>
      </c>
      <c r="N125" s="15" t="b">
        <v>0</v>
      </c>
      <c r="O125" s="15" t="b">
        <v>0</v>
      </c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</row>
    <row r="126" hidden="1">
      <c r="A126" s="24" t="str">
        <f t="shared" si="3"/>
        <v/>
      </c>
      <c r="B126" s="39"/>
      <c r="C126" s="19"/>
      <c r="D126" s="20"/>
      <c r="E126" s="21"/>
      <c r="F126" s="21"/>
      <c r="G126" s="22"/>
      <c r="H126" s="21"/>
      <c r="I126" s="21"/>
      <c r="J126" s="21"/>
      <c r="K126" s="23"/>
      <c r="L126" s="23"/>
      <c r="M126" s="15"/>
      <c r="N126" s="15" t="b">
        <v>0</v>
      </c>
      <c r="O126" s="15" t="b">
        <v>0</v>
      </c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</row>
    <row r="127" hidden="1">
      <c r="A127" s="24"/>
      <c r="B127" s="18" t="s">
        <v>286</v>
      </c>
      <c r="C127" s="19"/>
      <c r="D127" s="20"/>
      <c r="E127" s="21"/>
      <c r="F127" s="21"/>
      <c r="G127" s="22"/>
      <c r="H127" s="21"/>
      <c r="I127" s="21"/>
      <c r="J127" s="21"/>
      <c r="K127" s="23"/>
      <c r="L127" s="23"/>
      <c r="M127" s="15"/>
      <c r="N127" s="15" t="b">
        <v>0</v>
      </c>
      <c r="O127" s="15" t="b">
        <v>0</v>
      </c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</row>
    <row r="128" hidden="1">
      <c r="A128" s="24"/>
      <c r="B128" s="25"/>
      <c r="C128" s="71" t="s">
        <v>342</v>
      </c>
      <c r="D128" s="20"/>
      <c r="E128" s="54" t="s">
        <v>77</v>
      </c>
      <c r="F128" s="55"/>
      <c r="G128" s="33"/>
      <c r="H128" s="42"/>
      <c r="I128" s="42"/>
      <c r="J128" s="35"/>
      <c r="K128" s="23"/>
      <c r="L128" s="23"/>
      <c r="M128" s="15"/>
      <c r="N128" s="15" t="b">
        <v>0</v>
      </c>
      <c r="O128" s="15" t="b">
        <v>0</v>
      </c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</row>
    <row r="129" hidden="1">
      <c r="A129" s="24"/>
      <c r="B129" s="25"/>
      <c r="C129" s="71" t="s">
        <v>342</v>
      </c>
      <c r="D129" s="64"/>
      <c r="E129" s="56"/>
      <c r="F129" s="57"/>
      <c r="G129" s="22"/>
      <c r="H129" s="21"/>
      <c r="I129" s="21"/>
      <c r="J129" s="21"/>
      <c r="K129" s="23"/>
      <c r="L129" s="23"/>
      <c r="M129" s="15"/>
      <c r="N129" s="15" t="b">
        <v>0</v>
      </c>
      <c r="O129" s="15" t="b">
        <v>0</v>
      </c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</row>
    <row r="130" hidden="1">
      <c r="A130" s="24"/>
      <c r="B130" s="25"/>
      <c r="C130" s="71" t="s">
        <v>342</v>
      </c>
      <c r="D130" s="64"/>
      <c r="E130" s="56"/>
      <c r="F130" s="57"/>
      <c r="G130" s="22"/>
      <c r="H130" s="21"/>
      <c r="I130" s="21"/>
      <c r="J130" s="21"/>
      <c r="K130" s="21"/>
      <c r="L130" s="23"/>
      <c r="M130" s="15"/>
      <c r="N130" s="15" t="b">
        <v>0</v>
      </c>
      <c r="O130" s="15" t="b">
        <v>0</v>
      </c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</row>
    <row r="131" hidden="1">
      <c r="A131" s="24"/>
      <c r="B131" s="25"/>
      <c r="C131" s="71" t="s">
        <v>342</v>
      </c>
      <c r="D131" s="64"/>
      <c r="E131" s="56"/>
      <c r="F131" s="57"/>
      <c r="G131" s="22"/>
      <c r="H131" s="21"/>
      <c r="I131" s="21"/>
      <c r="J131" s="21"/>
      <c r="K131" s="21"/>
      <c r="L131" s="23"/>
      <c r="M131" s="15"/>
      <c r="N131" s="15" t="b">
        <v>0</v>
      </c>
      <c r="O131" s="15" t="b">
        <v>0</v>
      </c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</row>
    <row r="132" hidden="1">
      <c r="A132" s="24"/>
      <c r="B132" s="39"/>
      <c r="C132" s="19"/>
      <c r="D132" s="20"/>
      <c r="E132" s="59"/>
      <c r="F132" s="60"/>
      <c r="G132" s="22"/>
      <c r="H132" s="21"/>
      <c r="I132" s="21"/>
      <c r="J132" s="21"/>
      <c r="K132" s="23"/>
      <c r="L132" s="23"/>
      <c r="M132" s="15"/>
      <c r="N132" s="15" t="b">
        <v>0</v>
      </c>
      <c r="O132" s="15" t="b">
        <v>0</v>
      </c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</row>
    <row r="133" hidden="1">
      <c r="A133" s="24" t="str">
        <f t="shared" ref="A133:A161" si="4">E133</f>
        <v/>
      </c>
      <c r="B133" s="10"/>
      <c r="C133" s="10">
        <v>44307.0</v>
      </c>
      <c r="D133" s="11"/>
      <c r="E133" s="12"/>
      <c r="F133" s="13"/>
      <c r="G133" s="13"/>
      <c r="H133" s="13"/>
      <c r="I133" s="13"/>
      <c r="J133" s="13"/>
      <c r="K133" s="13"/>
      <c r="L133" s="14"/>
      <c r="M133" s="15"/>
      <c r="N133" s="15"/>
      <c r="O133" s="15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</row>
    <row r="134" hidden="1">
      <c r="A134" s="24" t="str">
        <f t="shared" si="4"/>
        <v/>
      </c>
      <c r="B134" s="18" t="s">
        <v>14</v>
      </c>
      <c r="C134" s="19"/>
      <c r="D134" s="20"/>
      <c r="E134" s="21"/>
      <c r="F134" s="21"/>
      <c r="G134" s="33"/>
      <c r="H134" s="21"/>
      <c r="I134" s="21"/>
      <c r="J134" s="21"/>
      <c r="K134" s="23"/>
      <c r="L134" s="23"/>
      <c r="M134" s="15"/>
      <c r="N134" s="15" t="b">
        <v>0</v>
      </c>
      <c r="O134" s="15" t="b">
        <v>0</v>
      </c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</row>
    <row r="135" hidden="1">
      <c r="A135" s="24" t="str">
        <f t="shared" si="4"/>
        <v>5ffe08d135e580009d4528bb</v>
      </c>
      <c r="B135" s="25"/>
      <c r="C135" s="41" t="s">
        <v>78</v>
      </c>
      <c r="D135" s="27" t="s">
        <v>79</v>
      </c>
      <c r="E135" s="28" t="s">
        <v>343</v>
      </c>
      <c r="F135" s="28" t="s">
        <v>344</v>
      </c>
      <c r="G135" s="29">
        <v>0.3958333333333333</v>
      </c>
      <c r="H135" s="30" t="s">
        <v>211</v>
      </c>
      <c r="I135" s="28" t="s">
        <v>345</v>
      </c>
      <c r="J135" s="28" t="s">
        <v>346</v>
      </c>
      <c r="K135" s="63"/>
      <c r="L135" s="23"/>
      <c r="M135" s="15">
        <f>VLOOKUP(E135,'hedef liste'!A:I,8,false)</f>
        <v>20</v>
      </c>
      <c r="N135" s="15" t="b">
        <v>0</v>
      </c>
      <c r="O135" s="15" t="b">
        <v>0</v>
      </c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</row>
    <row r="136" hidden="1">
      <c r="A136" s="24" t="str">
        <f t="shared" si="4"/>
        <v>605ce3c11d92b2907e730da1</v>
      </c>
      <c r="B136" s="25"/>
      <c r="C136" s="41" t="s">
        <v>78</v>
      </c>
      <c r="D136" s="20" t="s">
        <v>79</v>
      </c>
      <c r="E136" s="35" t="s">
        <v>347</v>
      </c>
      <c r="F136" s="35" t="s">
        <v>348</v>
      </c>
      <c r="G136" s="33">
        <v>0.5208333333333334</v>
      </c>
      <c r="H136" s="32" t="s">
        <v>349</v>
      </c>
      <c r="I136" s="32" t="s">
        <v>350</v>
      </c>
      <c r="J136" s="35" t="s">
        <v>351</v>
      </c>
      <c r="K136" s="58"/>
      <c r="L136" s="23"/>
      <c r="M136" s="15">
        <f>VLOOKUP(E136,'hedef liste'!A:I,8,false)</f>
        <v>6</v>
      </c>
      <c r="N136" s="15" t="b">
        <v>0</v>
      </c>
      <c r="O136" s="15" t="b">
        <v>0</v>
      </c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</row>
    <row r="137" hidden="1">
      <c r="A137" s="24" t="str">
        <f t="shared" si="4"/>
        <v>6040c342407f704bb6671af5</v>
      </c>
      <c r="B137" s="25"/>
      <c r="C137" s="41" t="s">
        <v>78</v>
      </c>
      <c r="D137" s="20" t="s">
        <v>79</v>
      </c>
      <c r="E137" s="32" t="s">
        <v>352</v>
      </c>
      <c r="F137" s="32" t="s">
        <v>353</v>
      </c>
      <c r="G137" s="33">
        <v>0.5833333333333334</v>
      </c>
      <c r="H137" s="42" t="s">
        <v>82</v>
      </c>
      <c r="I137" s="42" t="s">
        <v>354</v>
      </c>
      <c r="J137" s="32" t="s">
        <v>355</v>
      </c>
      <c r="K137" s="58"/>
      <c r="L137" s="23"/>
      <c r="M137" s="15">
        <f>VLOOKUP(E137,'hedef liste'!A:I,8,false)</f>
        <v>3</v>
      </c>
      <c r="N137" s="15" t="b">
        <v>0</v>
      </c>
      <c r="O137" s="15" t="b">
        <v>0</v>
      </c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</row>
    <row r="138" hidden="1">
      <c r="A138" s="24" t="str">
        <f t="shared" si="4"/>
        <v>602f7ec8f37683e2369f8c84</v>
      </c>
      <c r="B138" s="25"/>
      <c r="C138" s="41" t="s">
        <v>78</v>
      </c>
      <c r="D138" s="38" t="s">
        <v>79</v>
      </c>
      <c r="E138" s="32" t="s">
        <v>356</v>
      </c>
      <c r="F138" s="32" t="s">
        <v>357</v>
      </c>
      <c r="G138" s="33">
        <v>0.6875</v>
      </c>
      <c r="H138" s="42" t="s">
        <v>349</v>
      </c>
      <c r="I138" s="42" t="s">
        <v>358</v>
      </c>
      <c r="J138" s="32" t="s">
        <v>359</v>
      </c>
      <c r="K138" s="58"/>
      <c r="L138" s="23"/>
      <c r="M138" s="15" t="str">
        <f>VLOOKUP(E138,'hedef liste'!A:I,8,false)</f>
        <v>#N/A</v>
      </c>
      <c r="N138" s="15" t="b">
        <v>0</v>
      </c>
      <c r="O138" s="15" t="b">
        <v>0</v>
      </c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</row>
    <row r="139" hidden="1">
      <c r="A139" s="24" t="str">
        <f t="shared" si="4"/>
        <v/>
      </c>
      <c r="B139" s="39"/>
      <c r="C139" s="19"/>
      <c r="D139" s="20"/>
      <c r="E139" s="21"/>
      <c r="F139" s="21"/>
      <c r="G139" s="22"/>
      <c r="H139" s="21"/>
      <c r="I139" s="21"/>
      <c r="J139" s="21"/>
      <c r="K139" s="23"/>
      <c r="L139" s="23"/>
      <c r="M139" s="15"/>
      <c r="N139" s="15" t="b">
        <v>0</v>
      </c>
      <c r="O139" s="15" t="b">
        <v>0</v>
      </c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</row>
    <row r="140" hidden="1">
      <c r="A140" s="24" t="str">
        <f t="shared" si="4"/>
        <v/>
      </c>
      <c r="B140" s="18" t="s">
        <v>286</v>
      </c>
      <c r="C140" s="19"/>
      <c r="D140" s="20"/>
      <c r="E140" s="21"/>
      <c r="F140" s="21"/>
      <c r="G140" s="33"/>
      <c r="H140" s="21"/>
      <c r="I140" s="21"/>
      <c r="J140" s="21"/>
      <c r="K140" s="23"/>
      <c r="L140" s="23"/>
      <c r="M140" s="15"/>
      <c r="N140" s="15" t="b">
        <v>0</v>
      </c>
      <c r="O140" s="15" t="b">
        <v>0</v>
      </c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</row>
    <row r="141" hidden="1">
      <c r="A141" s="24" t="str">
        <f t="shared" si="4"/>
        <v>6051c76bbd0550c1fed9f876</v>
      </c>
      <c r="B141" s="25"/>
      <c r="C141" s="71" t="s">
        <v>342</v>
      </c>
      <c r="D141" s="20" t="s">
        <v>79</v>
      </c>
      <c r="E141" s="35" t="s">
        <v>360</v>
      </c>
      <c r="F141" s="35" t="s">
        <v>361</v>
      </c>
      <c r="G141" s="33">
        <v>0.4166666666666667</v>
      </c>
      <c r="H141" s="42" t="s">
        <v>362</v>
      </c>
      <c r="I141" s="35" t="s">
        <v>363</v>
      </c>
      <c r="J141" s="35" t="s">
        <v>364</v>
      </c>
      <c r="K141" s="58"/>
      <c r="L141" s="23"/>
      <c r="M141" s="15" t="str">
        <f>VLOOKUP(E141,'hedef liste'!A:I,8,false)</f>
        <v>#N/A</v>
      </c>
      <c r="N141" s="15" t="b">
        <v>0</v>
      </c>
      <c r="O141" s="15" t="b">
        <v>0</v>
      </c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</row>
    <row r="142" hidden="1">
      <c r="A142" s="24" t="str">
        <f t="shared" si="4"/>
        <v>603bfd0f69811f55d7944069</v>
      </c>
      <c r="B142" s="25"/>
      <c r="C142" s="71" t="s">
        <v>342</v>
      </c>
      <c r="D142" s="20" t="s">
        <v>79</v>
      </c>
      <c r="E142" s="72" t="s">
        <v>365</v>
      </c>
      <c r="F142" s="72" t="s">
        <v>366</v>
      </c>
      <c r="G142" s="33">
        <v>0.5</v>
      </c>
      <c r="H142" s="73" t="s">
        <v>367</v>
      </c>
      <c r="I142" s="72" t="s">
        <v>368</v>
      </c>
      <c r="J142" s="74" t="s">
        <v>369</v>
      </c>
      <c r="K142" s="58"/>
      <c r="L142" s="23"/>
      <c r="M142" s="15">
        <f>VLOOKUP(E142,'hedef liste'!A:I,8,false)</f>
        <v>24</v>
      </c>
      <c r="N142" s="15" t="b">
        <v>0</v>
      </c>
      <c r="O142" s="15" t="b">
        <v>0</v>
      </c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</row>
    <row r="143" hidden="1">
      <c r="A143" s="24" t="str">
        <f t="shared" si="4"/>
        <v>6037884c97e55125e31aad03</v>
      </c>
      <c r="B143" s="25"/>
      <c r="C143" s="71" t="s">
        <v>342</v>
      </c>
      <c r="D143" s="20" t="s">
        <v>79</v>
      </c>
      <c r="E143" s="32" t="s">
        <v>370</v>
      </c>
      <c r="F143" s="32" t="s">
        <v>371</v>
      </c>
      <c r="G143" s="33">
        <v>0.5625</v>
      </c>
      <c r="H143" s="42" t="s">
        <v>367</v>
      </c>
      <c r="I143" s="42" t="s">
        <v>372</v>
      </c>
      <c r="J143" s="42" t="s">
        <v>373</v>
      </c>
      <c r="K143" s="58"/>
      <c r="L143" s="23"/>
      <c r="M143" s="15">
        <f>VLOOKUP(E143,'hedef liste'!A:I,8,false)</f>
        <v>31</v>
      </c>
      <c r="N143" s="15" t="b">
        <v>0</v>
      </c>
      <c r="O143" s="15" t="b">
        <v>0</v>
      </c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</row>
    <row r="144" hidden="1">
      <c r="A144" s="24" t="str">
        <f t="shared" si="4"/>
        <v>5fe0ef5d7ec992b09cf2be91</v>
      </c>
      <c r="B144" s="25"/>
      <c r="C144" s="71" t="s">
        <v>342</v>
      </c>
      <c r="D144" s="38" t="s">
        <v>79</v>
      </c>
      <c r="E144" s="32" t="s">
        <v>374</v>
      </c>
      <c r="F144" s="32" t="s">
        <v>375</v>
      </c>
      <c r="G144" s="33">
        <v>0.6666666666666666</v>
      </c>
      <c r="H144" s="42" t="s">
        <v>367</v>
      </c>
      <c r="I144" s="42" t="s">
        <v>376</v>
      </c>
      <c r="J144" s="32" t="s">
        <v>377</v>
      </c>
      <c r="K144" s="58"/>
      <c r="L144" s="23"/>
      <c r="M144" s="15" t="str">
        <f>VLOOKUP(E144,'hedef liste'!A:I,8,false)</f>
        <v>#N/A</v>
      </c>
      <c r="N144" s="15" t="b">
        <v>0</v>
      </c>
      <c r="O144" s="15" t="b">
        <v>0</v>
      </c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</row>
    <row r="145" hidden="1">
      <c r="A145" s="24" t="str">
        <f t="shared" si="4"/>
        <v/>
      </c>
      <c r="B145" s="39"/>
      <c r="C145" s="19"/>
      <c r="D145" s="20"/>
      <c r="E145" s="21"/>
      <c r="F145" s="21"/>
      <c r="G145" s="22"/>
      <c r="H145" s="21"/>
      <c r="I145" s="21"/>
      <c r="J145" s="21"/>
      <c r="K145" s="23"/>
      <c r="L145" s="23"/>
      <c r="M145" s="15"/>
      <c r="N145" s="15" t="b">
        <v>0</v>
      </c>
      <c r="O145" s="15" t="b">
        <v>0</v>
      </c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</row>
    <row r="146" hidden="1">
      <c r="A146" s="24" t="str">
        <f t="shared" si="4"/>
        <v/>
      </c>
      <c r="B146" s="10"/>
      <c r="C146" s="10">
        <v>44308.0</v>
      </c>
      <c r="D146" s="11"/>
      <c r="E146" s="12"/>
      <c r="F146" s="13"/>
      <c r="G146" s="13"/>
      <c r="H146" s="13"/>
      <c r="I146" s="13"/>
      <c r="J146" s="13"/>
      <c r="K146" s="13"/>
      <c r="L146" s="14"/>
      <c r="M146" s="15"/>
      <c r="N146" s="15"/>
      <c r="O146" s="15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</row>
    <row r="147" hidden="1">
      <c r="A147" s="24" t="str">
        <f t="shared" si="4"/>
        <v/>
      </c>
      <c r="B147" s="18" t="s">
        <v>14</v>
      </c>
      <c r="C147" s="19"/>
      <c r="D147" s="20"/>
      <c r="E147" s="21"/>
      <c r="F147" s="21"/>
      <c r="G147" s="33"/>
      <c r="H147" s="21"/>
      <c r="I147" s="21"/>
      <c r="J147" s="21"/>
      <c r="K147" s="23"/>
      <c r="L147" s="23"/>
      <c r="M147" s="15"/>
      <c r="N147" s="15" t="b">
        <v>0</v>
      </c>
      <c r="O147" s="15" t="b">
        <v>0</v>
      </c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</row>
    <row r="148" hidden="1">
      <c r="A148" s="24" t="str">
        <f t="shared" si="4"/>
        <v>600af6a3b19c485e84c27af8</v>
      </c>
      <c r="B148" s="25"/>
      <c r="C148" s="41" t="s">
        <v>78</v>
      </c>
      <c r="D148" s="20" t="s">
        <v>145</v>
      </c>
      <c r="E148" s="32" t="s">
        <v>378</v>
      </c>
      <c r="F148" s="69" t="s">
        <v>379</v>
      </c>
      <c r="G148" s="40" t="s">
        <v>380</v>
      </c>
      <c r="H148" s="42" t="s">
        <v>134</v>
      </c>
      <c r="I148" s="32" t="s">
        <v>381</v>
      </c>
      <c r="J148" s="32" t="s">
        <v>382</v>
      </c>
      <c r="K148" s="58"/>
      <c r="L148" s="23"/>
      <c r="M148" s="15">
        <f>VLOOKUP(E148,'hedef liste'!A:I,8,false)</f>
        <v>11</v>
      </c>
      <c r="N148" s="15" t="b">
        <v>0</v>
      </c>
      <c r="O148" s="15" t="b">
        <v>0</v>
      </c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</row>
    <row r="149" hidden="1">
      <c r="A149" s="24" t="str">
        <f t="shared" si="4"/>
        <v>6063581c2eb4390ceeb65d94        Chef Dürüm, Çukurova (Yurt Mah. - Turgut Özal Blv.)</v>
      </c>
      <c r="B149" s="25"/>
      <c r="C149" s="41" t="s">
        <v>78</v>
      </c>
      <c r="D149" s="27" t="s">
        <v>145</v>
      </c>
      <c r="E149" s="28" t="s">
        <v>383</v>
      </c>
      <c r="F149" s="28"/>
      <c r="G149" s="67" t="s">
        <v>384</v>
      </c>
      <c r="H149" s="28" t="s">
        <v>349</v>
      </c>
      <c r="I149" s="28" t="s">
        <v>385</v>
      </c>
      <c r="J149" s="28" t="s">
        <v>386</v>
      </c>
      <c r="K149" s="63" t="s">
        <v>387</v>
      </c>
      <c r="L149" s="53"/>
      <c r="M149" s="15" t="str">
        <f>VLOOKUP(E149,'hedef liste'!A:I,8,false)</f>
        <v>#N/A</v>
      </c>
      <c r="N149" s="15" t="b">
        <v>0</v>
      </c>
      <c r="O149" s="15" t="b">
        <v>0</v>
      </c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</row>
    <row r="150" hidden="1">
      <c r="A150" s="24" t="str">
        <f t="shared" si="4"/>
        <v>5feb7faf58f3ac59fae5801c</v>
      </c>
      <c r="B150" s="25"/>
      <c r="C150" s="41" t="s">
        <v>78</v>
      </c>
      <c r="D150" s="20" t="s">
        <v>208</v>
      </c>
      <c r="E150" s="32" t="s">
        <v>274</v>
      </c>
      <c r="F150" s="32" t="s">
        <v>275</v>
      </c>
      <c r="G150" s="33">
        <v>0.5833333333333334</v>
      </c>
      <c r="H150" s="42" t="s">
        <v>211</v>
      </c>
      <c r="I150" s="42" t="s">
        <v>276</v>
      </c>
      <c r="J150" s="42" t="s">
        <v>277</v>
      </c>
      <c r="K150" s="58"/>
      <c r="L150" s="23"/>
      <c r="M150" s="15" t="str">
        <f>VLOOKUP(#REF!,'hedef liste'!A:I,8,false)</f>
        <v>#REF!</v>
      </c>
      <c r="N150" s="15" t="b">
        <v>0</v>
      </c>
      <c r="O150" s="15" t="b">
        <v>0</v>
      </c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</row>
    <row r="151" hidden="1">
      <c r="A151" s="24" t="str">
        <f t="shared" si="4"/>
        <v>6023ff73fdc8e153c78c273f </v>
      </c>
      <c r="B151" s="25"/>
      <c r="C151" s="41" t="s">
        <v>78</v>
      </c>
      <c r="D151" s="27" t="s">
        <v>145</v>
      </c>
      <c r="E151" s="30" t="s">
        <v>388</v>
      </c>
      <c r="F151" s="51" t="s">
        <v>389</v>
      </c>
      <c r="G151" s="29">
        <v>0.6666666666666666</v>
      </c>
      <c r="H151" s="30" t="s">
        <v>211</v>
      </c>
      <c r="I151" s="30" t="s">
        <v>390</v>
      </c>
      <c r="J151" s="30" t="s">
        <v>391</v>
      </c>
      <c r="K151" s="63"/>
      <c r="L151" s="31" t="s">
        <v>392</v>
      </c>
      <c r="M151" s="15" t="str">
        <f>VLOOKUP(E151,'hedef liste'!A:I,8,false)</f>
        <v>#N/A</v>
      </c>
      <c r="N151" s="15" t="b">
        <v>0</v>
      </c>
      <c r="O151" s="15" t="b">
        <v>0</v>
      </c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</row>
    <row r="152" hidden="1">
      <c r="A152" s="24" t="str">
        <f t="shared" si="4"/>
        <v/>
      </c>
      <c r="B152" s="39"/>
      <c r="C152" s="19"/>
      <c r="D152" s="20"/>
      <c r="E152" s="21"/>
      <c r="F152" s="21"/>
      <c r="G152" s="22"/>
      <c r="H152" s="21"/>
      <c r="I152" s="21"/>
      <c r="J152" s="21"/>
      <c r="K152" s="23"/>
      <c r="L152" s="23"/>
      <c r="M152" s="15"/>
      <c r="N152" s="15" t="b">
        <v>0</v>
      </c>
      <c r="O152" s="15" t="b">
        <v>0</v>
      </c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</row>
    <row r="153" hidden="1">
      <c r="A153" s="24" t="str">
        <f t="shared" si="4"/>
        <v/>
      </c>
      <c r="B153" s="18" t="s">
        <v>286</v>
      </c>
      <c r="C153" s="19"/>
      <c r="D153" s="20"/>
      <c r="E153" s="21"/>
      <c r="F153" s="21"/>
      <c r="G153" s="33"/>
      <c r="H153" s="21"/>
      <c r="I153" s="21"/>
      <c r="J153" s="21"/>
      <c r="K153" s="23"/>
      <c r="L153" s="23"/>
      <c r="M153" s="15"/>
      <c r="N153" s="15" t="b">
        <v>0</v>
      </c>
      <c r="O153" s="15" t="b">
        <v>0</v>
      </c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</row>
    <row r="154" hidden="1">
      <c r="A154" s="24" t="str">
        <f t="shared" si="4"/>
        <v>5ffaf95b62a03ef62da188d7</v>
      </c>
      <c r="B154" s="25"/>
      <c r="C154" s="71" t="s">
        <v>342</v>
      </c>
      <c r="D154" s="27" t="s">
        <v>79</v>
      </c>
      <c r="E154" s="28" t="s">
        <v>393</v>
      </c>
      <c r="F154" s="28" t="s">
        <v>394</v>
      </c>
      <c r="G154" s="29">
        <v>0.5</v>
      </c>
      <c r="H154" s="30" t="s">
        <v>395</v>
      </c>
      <c r="I154" s="30" t="s">
        <v>396</v>
      </c>
      <c r="J154" s="28" t="s">
        <v>397</v>
      </c>
      <c r="K154" s="31" t="s">
        <v>398</v>
      </c>
      <c r="L154" s="53"/>
      <c r="M154" s="15" t="str">
        <f>VLOOKUP(E154,'hedef liste'!A:I,8,false)</f>
        <v>#N/A</v>
      </c>
      <c r="N154" s="15" t="b">
        <v>0</v>
      </c>
      <c r="O154" s="15" t="b">
        <v>0</v>
      </c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</row>
    <row r="155" hidden="1">
      <c r="A155" s="24" t="str">
        <f t="shared" si="4"/>
        <v>5feb81bbe4a5e2e2b1795fa1</v>
      </c>
      <c r="B155" s="25"/>
      <c r="C155" s="71" t="s">
        <v>342</v>
      </c>
      <c r="D155" s="27" t="s">
        <v>399</v>
      </c>
      <c r="E155" s="28" t="s">
        <v>400</v>
      </c>
      <c r="F155" s="28" t="s">
        <v>401</v>
      </c>
      <c r="G155" s="29">
        <v>0.5833333333333334</v>
      </c>
      <c r="H155" s="30" t="s">
        <v>395</v>
      </c>
      <c r="I155" s="30" t="s">
        <v>402</v>
      </c>
      <c r="J155" s="28" t="s">
        <v>403</v>
      </c>
      <c r="K155" s="30" t="s">
        <v>404</v>
      </c>
      <c r="L155" s="70"/>
      <c r="M155" s="15">
        <f>VLOOKUP(E220,'hedef liste'!A:I,8,false)</f>
        <v>11</v>
      </c>
      <c r="N155" s="15" t="b">
        <v>0</v>
      </c>
      <c r="O155" s="15" t="b">
        <v>0</v>
      </c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</row>
    <row r="156" hidden="1">
      <c r="A156" s="24" t="str">
        <f t="shared" si="4"/>
        <v>60156a844337de4c2e2c6cc4</v>
      </c>
      <c r="B156" s="25"/>
      <c r="C156" s="71" t="s">
        <v>342</v>
      </c>
      <c r="D156" s="27" t="s">
        <v>399</v>
      </c>
      <c r="E156" s="28" t="s">
        <v>405</v>
      </c>
      <c r="F156" s="28" t="s">
        <v>406</v>
      </c>
      <c r="G156" s="29">
        <v>0.6666666666666666</v>
      </c>
      <c r="H156" s="30" t="s">
        <v>407</v>
      </c>
      <c r="I156" s="30" t="s">
        <v>408</v>
      </c>
      <c r="J156" s="30" t="s">
        <v>409</v>
      </c>
      <c r="K156" s="63"/>
      <c r="L156" s="53"/>
      <c r="M156" s="15">
        <f>VLOOKUP(E156,'hedef liste'!A:I,8,false)</f>
        <v>11</v>
      </c>
      <c r="N156" s="15" t="b">
        <v>0</v>
      </c>
      <c r="O156" s="15" t="b">
        <v>0</v>
      </c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</row>
    <row r="157" hidden="1">
      <c r="A157" s="24" t="str">
        <f t="shared" si="4"/>
        <v>60379c1cdefc7407685a08b8</v>
      </c>
      <c r="B157" s="39"/>
      <c r="C157" s="71" t="s">
        <v>342</v>
      </c>
      <c r="D157" s="27" t="s">
        <v>399</v>
      </c>
      <c r="E157" s="28" t="s">
        <v>410</v>
      </c>
      <c r="F157" s="28" t="s">
        <v>411</v>
      </c>
      <c r="G157" s="29">
        <v>0.7291666666666666</v>
      </c>
      <c r="H157" s="30" t="s">
        <v>412</v>
      </c>
      <c r="I157" s="28" t="s">
        <v>413</v>
      </c>
      <c r="J157" s="28" t="s">
        <v>414</v>
      </c>
      <c r="K157" s="53"/>
      <c r="L157" s="53"/>
      <c r="M157" s="15"/>
      <c r="N157" s="15" t="b">
        <v>0</v>
      </c>
      <c r="O157" s="15" t="b">
        <v>0</v>
      </c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</row>
    <row r="158" hidden="1">
      <c r="A158" s="24" t="str">
        <f t="shared" si="4"/>
        <v/>
      </c>
      <c r="B158" s="10"/>
      <c r="C158" s="10">
        <v>44309.0</v>
      </c>
      <c r="D158" s="11"/>
      <c r="E158" s="12"/>
      <c r="F158" s="13"/>
      <c r="G158" s="13"/>
      <c r="H158" s="13"/>
      <c r="I158" s="13"/>
      <c r="J158" s="13"/>
      <c r="K158" s="13"/>
      <c r="L158" s="14"/>
      <c r="M158" s="15"/>
      <c r="N158" s="15"/>
      <c r="O158" s="15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</row>
    <row r="159" hidden="1">
      <c r="A159" s="24" t="str">
        <f t="shared" si="4"/>
        <v/>
      </c>
      <c r="B159" s="18" t="s">
        <v>14</v>
      </c>
      <c r="C159" s="19"/>
      <c r="D159" s="20"/>
      <c r="E159" s="21"/>
      <c r="F159" s="21"/>
      <c r="G159" s="33"/>
      <c r="H159" s="21"/>
      <c r="I159" s="21"/>
      <c r="J159" s="21"/>
      <c r="K159" s="23"/>
      <c r="L159" s="23"/>
      <c r="M159" s="15"/>
      <c r="N159" s="15" t="b">
        <v>0</v>
      </c>
      <c r="O159" s="15" t="b">
        <v>0</v>
      </c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</row>
    <row r="160" hidden="1">
      <c r="A160" s="24" t="str">
        <f t="shared" si="4"/>
        <v>ALINMAYACAK</v>
      </c>
      <c r="B160" s="25"/>
      <c r="C160" s="41" t="s">
        <v>78</v>
      </c>
      <c r="D160" s="20"/>
      <c r="E160" s="54" t="s">
        <v>77</v>
      </c>
      <c r="F160" s="55"/>
      <c r="G160" s="33"/>
      <c r="H160" s="42"/>
      <c r="I160" s="32"/>
      <c r="J160" s="32"/>
      <c r="K160" s="58"/>
      <c r="L160" s="23"/>
      <c r="M160" s="15" t="str">
        <f>VLOOKUP(E160,'hedef liste'!A:I,8,false)</f>
        <v>#N/A</v>
      </c>
      <c r="N160" s="15" t="b">
        <v>0</v>
      </c>
      <c r="O160" s="15" t="b">
        <v>0</v>
      </c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</row>
    <row r="161" hidden="1">
      <c r="A161" s="24" t="str">
        <f t="shared" si="4"/>
        <v/>
      </c>
      <c r="B161" s="25"/>
      <c r="C161" s="41" t="s">
        <v>78</v>
      </c>
      <c r="D161" s="20"/>
      <c r="E161" s="56"/>
      <c r="F161" s="57"/>
      <c r="G161" s="33"/>
      <c r="H161" s="32"/>
      <c r="I161" s="32"/>
      <c r="J161" s="32"/>
      <c r="K161" s="58"/>
      <c r="L161" s="23"/>
      <c r="M161" s="15" t="str">
        <f>VLOOKUP(E161,'hedef liste'!A:I,8,false)</f>
        <v>#N/A</v>
      </c>
      <c r="N161" s="15" t="b">
        <v>0</v>
      </c>
      <c r="O161" s="15" t="b">
        <v>0</v>
      </c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</row>
    <row r="162" hidden="1">
      <c r="A162" s="24" t="str">
        <f>E150</f>
        <v>5feb7faf58f3ac59fae5801c</v>
      </c>
      <c r="B162" s="25"/>
      <c r="C162" s="41" t="s">
        <v>78</v>
      </c>
      <c r="D162" s="64"/>
      <c r="E162" s="56"/>
      <c r="F162" s="57"/>
      <c r="G162" s="22"/>
      <c r="H162" s="21"/>
      <c r="I162" s="21"/>
      <c r="J162" s="21"/>
      <c r="K162" s="21"/>
      <c r="L162" s="21"/>
      <c r="M162" s="15">
        <f>VLOOKUP(E150,'hedef liste'!A:I,8,false)</f>
        <v>60</v>
      </c>
      <c r="N162" s="15" t="b">
        <v>0</v>
      </c>
      <c r="O162" s="15" t="b">
        <v>0</v>
      </c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</row>
    <row r="163" hidden="1">
      <c r="A163" s="24" t="str">
        <f t="shared" ref="A163:A165" si="5">E163</f>
        <v/>
      </c>
      <c r="B163" s="25"/>
      <c r="C163" s="41" t="s">
        <v>78</v>
      </c>
      <c r="D163" s="38"/>
      <c r="E163" s="56"/>
      <c r="F163" s="57"/>
      <c r="G163" s="33"/>
      <c r="H163" s="21"/>
      <c r="I163" s="21"/>
      <c r="J163" s="21"/>
      <c r="K163" s="58"/>
      <c r="L163" s="23"/>
      <c r="M163" s="15" t="str">
        <f>VLOOKUP(E163,'hedef liste'!A:I,8,false)</f>
        <v>#N/A</v>
      </c>
      <c r="N163" s="15" t="b">
        <v>0</v>
      </c>
      <c r="O163" s="15" t="b">
        <v>0</v>
      </c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</row>
    <row r="164" hidden="1">
      <c r="A164" s="24" t="str">
        <f t="shared" si="5"/>
        <v/>
      </c>
      <c r="B164" s="39"/>
      <c r="C164" s="19"/>
      <c r="D164" s="20"/>
      <c r="E164" s="59"/>
      <c r="F164" s="60"/>
      <c r="G164" s="22"/>
      <c r="H164" s="21"/>
      <c r="I164" s="21"/>
      <c r="J164" s="21"/>
      <c r="K164" s="23"/>
      <c r="L164" s="23"/>
      <c r="M164" s="15"/>
      <c r="N164" s="15" t="b">
        <v>0</v>
      </c>
      <c r="O164" s="15" t="b">
        <v>0</v>
      </c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</row>
    <row r="165" hidden="1">
      <c r="A165" s="24" t="str">
        <f t="shared" si="5"/>
        <v/>
      </c>
      <c r="B165" s="18" t="s">
        <v>286</v>
      </c>
      <c r="C165" s="19"/>
      <c r="D165" s="20"/>
      <c r="E165" s="21"/>
      <c r="F165" s="21"/>
      <c r="G165" s="33"/>
      <c r="H165" s="21"/>
      <c r="I165" s="21"/>
      <c r="J165" s="21"/>
      <c r="K165" s="23"/>
      <c r="L165" s="23"/>
      <c r="M165" s="15"/>
      <c r="N165" s="15" t="b">
        <v>0</v>
      </c>
      <c r="O165" s="15" t="b">
        <v>0</v>
      </c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</row>
    <row r="166" hidden="1">
      <c r="A166" s="24" t="str">
        <f t="shared" ref="A166:A169" si="6">#REF!</f>
        <v>#REF!</v>
      </c>
      <c r="B166" s="25"/>
      <c r="C166" s="71" t="s">
        <v>342</v>
      </c>
      <c r="D166" s="64"/>
      <c r="E166" s="54" t="s">
        <v>77</v>
      </c>
      <c r="F166" s="55"/>
      <c r="G166" s="22"/>
      <c r="H166" s="21"/>
      <c r="I166" s="21"/>
      <c r="J166" s="21"/>
      <c r="K166" s="21"/>
      <c r="L166" s="21"/>
      <c r="M166" s="15" t="str">
        <f>VLOOKUP(#REF!,'hedef liste'!A:I,8,false)</f>
        <v>#REF!</v>
      </c>
      <c r="N166" s="15" t="b">
        <v>0</v>
      </c>
      <c r="O166" s="15" t="b">
        <v>0</v>
      </c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</row>
    <row r="167" hidden="1">
      <c r="A167" s="24" t="str">
        <f t="shared" si="6"/>
        <v>#REF!</v>
      </c>
      <c r="B167" s="25"/>
      <c r="C167" s="71" t="s">
        <v>342</v>
      </c>
      <c r="D167" s="64"/>
      <c r="E167" s="56"/>
      <c r="F167" s="57"/>
      <c r="G167" s="22"/>
      <c r="H167" s="21"/>
      <c r="I167" s="21"/>
      <c r="J167" s="21"/>
      <c r="K167" s="21"/>
      <c r="L167" s="21"/>
      <c r="M167" s="15" t="str">
        <f>VLOOKUP(#REF!,'hedef liste'!A:I,8,false)</f>
        <v>#REF!</v>
      </c>
      <c r="N167" s="15" t="b">
        <v>0</v>
      </c>
      <c r="O167" s="15" t="b">
        <v>0</v>
      </c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</row>
    <row r="168" hidden="1">
      <c r="A168" s="24" t="str">
        <f t="shared" si="6"/>
        <v>#REF!</v>
      </c>
      <c r="B168" s="25"/>
      <c r="C168" s="71" t="s">
        <v>342</v>
      </c>
      <c r="D168" s="64"/>
      <c r="E168" s="56"/>
      <c r="F168" s="57"/>
      <c r="G168" s="22"/>
      <c r="H168" s="21"/>
      <c r="I168" s="21"/>
      <c r="J168" s="21"/>
      <c r="K168" s="21"/>
      <c r="L168" s="21"/>
      <c r="M168" s="15" t="str">
        <f>VLOOKUP(#REF!,'hedef liste'!A:I,8,false)</f>
        <v>#REF!</v>
      </c>
      <c r="N168" s="15" t="b">
        <v>0</v>
      </c>
      <c r="O168" s="15" t="b">
        <v>0</v>
      </c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</row>
    <row r="169" hidden="1">
      <c r="A169" s="24" t="str">
        <f t="shared" si="6"/>
        <v>#REF!</v>
      </c>
      <c r="B169" s="25"/>
      <c r="C169" s="71" t="s">
        <v>342</v>
      </c>
      <c r="D169" s="64"/>
      <c r="E169" s="56"/>
      <c r="F169" s="57"/>
      <c r="G169" s="22"/>
      <c r="H169" s="21"/>
      <c r="I169" s="21"/>
      <c r="J169" s="21"/>
      <c r="K169" s="21"/>
      <c r="L169" s="21"/>
      <c r="M169" s="15" t="str">
        <f>VLOOKUP(#REF!,'hedef liste'!A:I,8,false)</f>
        <v>#REF!</v>
      </c>
      <c r="N169" s="15" t="b">
        <v>0</v>
      </c>
      <c r="O169" s="15" t="b">
        <v>0</v>
      </c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</row>
    <row r="170" hidden="1">
      <c r="A170" s="24" t="str">
        <f t="shared" ref="A170:A173" si="7">E170</f>
        <v/>
      </c>
      <c r="B170" s="39"/>
      <c r="C170" s="19"/>
      <c r="D170" s="20"/>
      <c r="E170" s="59"/>
      <c r="F170" s="60"/>
      <c r="G170" s="22"/>
      <c r="H170" s="21"/>
      <c r="I170" s="21"/>
      <c r="J170" s="21"/>
      <c r="K170" s="23"/>
      <c r="L170" s="23"/>
      <c r="M170" s="15"/>
      <c r="N170" s="15" t="b">
        <v>0</v>
      </c>
      <c r="O170" s="15" t="b">
        <v>0</v>
      </c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</row>
    <row r="171" hidden="1">
      <c r="A171" s="24" t="str">
        <f t="shared" si="7"/>
        <v/>
      </c>
      <c r="B171" s="10"/>
      <c r="C171" s="10">
        <v>44312.0</v>
      </c>
      <c r="D171" s="11"/>
      <c r="E171" s="12"/>
      <c r="F171" s="13"/>
      <c r="G171" s="13"/>
      <c r="H171" s="13"/>
      <c r="I171" s="13"/>
      <c r="J171" s="13"/>
      <c r="K171" s="13"/>
      <c r="L171" s="14"/>
      <c r="M171" s="15"/>
      <c r="N171" s="15"/>
      <c r="O171" s="15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</row>
    <row r="172" hidden="1">
      <c r="A172" s="24" t="str">
        <f t="shared" si="7"/>
        <v/>
      </c>
      <c r="B172" s="18" t="s">
        <v>14</v>
      </c>
      <c r="C172" s="19"/>
      <c r="D172" s="20"/>
      <c r="E172" s="21"/>
      <c r="F172" s="21"/>
      <c r="G172" s="33"/>
      <c r="H172" s="21"/>
      <c r="I172" s="21"/>
      <c r="J172" s="21"/>
      <c r="K172" s="23"/>
      <c r="L172" s="23"/>
      <c r="M172" s="15"/>
      <c r="N172" s="15" t="b">
        <v>0</v>
      </c>
      <c r="O172" s="15" t="b">
        <v>0</v>
      </c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</row>
    <row r="173" hidden="1">
      <c r="A173" s="24" t="str">
        <f t="shared" si="7"/>
        <v/>
      </c>
      <c r="B173" s="25"/>
      <c r="C173" s="41" t="s">
        <v>78</v>
      </c>
      <c r="D173" s="20"/>
      <c r="E173" s="32"/>
      <c r="F173" s="32"/>
      <c r="G173" s="33"/>
      <c r="H173" s="42"/>
      <c r="I173" s="32"/>
      <c r="J173" s="32"/>
      <c r="K173" s="58"/>
      <c r="L173" s="23"/>
      <c r="M173" s="15" t="str">
        <f>VLOOKUP(E173,'hedef liste'!A:I,8,false)</f>
        <v>#N/A</v>
      </c>
      <c r="N173" s="15" t="b">
        <v>0</v>
      </c>
      <c r="O173" s="15" t="b">
        <v>0</v>
      </c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</row>
    <row r="174" hidden="1">
      <c r="A174" s="24"/>
      <c r="B174" s="25"/>
      <c r="C174" s="41" t="s">
        <v>78</v>
      </c>
      <c r="D174" s="27" t="s">
        <v>145</v>
      </c>
      <c r="E174" s="28" t="s">
        <v>415</v>
      </c>
      <c r="F174" s="68" t="s">
        <v>416</v>
      </c>
      <c r="G174" s="67" t="s">
        <v>417</v>
      </c>
      <c r="H174" s="30" t="s">
        <v>418</v>
      </c>
      <c r="I174" s="28" t="s">
        <v>419</v>
      </c>
      <c r="J174" s="28" t="s">
        <v>420</v>
      </c>
      <c r="K174" s="63"/>
      <c r="L174" s="34" t="s">
        <v>421</v>
      </c>
      <c r="M174" s="15">
        <f>VLOOKUP(E174,'hedef liste'!A:I,8,false)</f>
        <v>7</v>
      </c>
      <c r="N174" s="15" t="b">
        <v>0</v>
      </c>
      <c r="O174" s="15" t="b">
        <v>0</v>
      </c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</row>
    <row r="175" hidden="1">
      <c r="A175" s="24"/>
      <c r="B175" s="25"/>
      <c r="C175" s="41" t="s">
        <v>78</v>
      </c>
      <c r="D175" s="27" t="s">
        <v>79</v>
      </c>
      <c r="E175" s="52" t="s">
        <v>422</v>
      </c>
      <c r="F175" s="52" t="s">
        <v>423</v>
      </c>
      <c r="G175" s="29">
        <v>0.5833333333333334</v>
      </c>
      <c r="H175" s="52" t="s">
        <v>424</v>
      </c>
      <c r="I175" s="52" t="s">
        <v>425</v>
      </c>
      <c r="J175" s="52" t="s">
        <v>426</v>
      </c>
      <c r="K175" s="63"/>
      <c r="L175" s="34" t="s">
        <v>427</v>
      </c>
      <c r="M175" s="15">
        <f>VLOOKUP(E175,'hedef liste'!A:I,8,false)</f>
        <v>19</v>
      </c>
      <c r="N175" s="15" t="b">
        <v>0</v>
      </c>
      <c r="O175" s="15" t="b">
        <v>0</v>
      </c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</row>
    <row r="176" hidden="1">
      <c r="A176" s="24" t="str">
        <f t="shared" ref="A176:A185" si="8">E176</f>
        <v>60351b31e12f9d6afb52a6f0</v>
      </c>
      <c r="B176" s="25"/>
      <c r="C176" s="41" t="s">
        <v>78</v>
      </c>
      <c r="D176" s="27" t="s">
        <v>145</v>
      </c>
      <c r="E176" s="52" t="s">
        <v>428</v>
      </c>
      <c r="F176" s="68" t="s">
        <v>429</v>
      </c>
      <c r="G176" s="67" t="s">
        <v>180</v>
      </c>
      <c r="H176" s="30" t="s">
        <v>424</v>
      </c>
      <c r="I176" s="30" t="s">
        <v>430</v>
      </c>
      <c r="J176" s="52" t="s">
        <v>431</v>
      </c>
      <c r="K176" s="63"/>
      <c r="L176" s="23"/>
      <c r="M176" s="15">
        <f>VLOOKUP(E176,'hedef liste'!A:I,8,false)</f>
        <v>9</v>
      </c>
      <c r="N176" s="15" t="b">
        <v>0</v>
      </c>
      <c r="O176" s="15" t="b">
        <v>0</v>
      </c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</row>
    <row r="177" hidden="1">
      <c r="A177" s="24" t="str">
        <f t="shared" si="8"/>
        <v>605cd8bff10f9f112ae6c549</v>
      </c>
      <c r="B177" s="39"/>
      <c r="C177" s="41" t="s">
        <v>78</v>
      </c>
      <c r="D177" s="20" t="s">
        <v>145</v>
      </c>
      <c r="E177" s="42" t="s">
        <v>432</v>
      </c>
      <c r="F177" s="61" t="s">
        <v>433</v>
      </c>
      <c r="G177" s="40" t="s">
        <v>305</v>
      </c>
      <c r="H177" s="42" t="s">
        <v>118</v>
      </c>
      <c r="I177" s="42" t="s">
        <v>434</v>
      </c>
      <c r="J177" s="42" t="s">
        <v>435</v>
      </c>
      <c r="K177" s="23"/>
      <c r="L177" s="23"/>
      <c r="M177" s="15"/>
      <c r="N177" s="15" t="b">
        <v>0</v>
      </c>
      <c r="O177" s="15" t="b">
        <v>0</v>
      </c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</row>
    <row r="178" hidden="1">
      <c r="A178" s="24" t="str">
        <f t="shared" si="8"/>
        <v/>
      </c>
      <c r="B178" s="18" t="s">
        <v>286</v>
      </c>
      <c r="C178" s="19"/>
      <c r="D178" s="20"/>
      <c r="E178" s="21"/>
      <c r="F178" s="21"/>
      <c r="G178" s="33"/>
      <c r="H178" s="21"/>
      <c r="I178" s="21"/>
      <c r="J178" s="21"/>
      <c r="K178" s="23"/>
      <c r="L178" s="23"/>
      <c r="M178" s="15"/>
      <c r="N178" s="15" t="b">
        <v>0</v>
      </c>
      <c r="O178" s="15" t="b">
        <v>0</v>
      </c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</row>
    <row r="179" hidden="1">
      <c r="A179" s="24" t="str">
        <f t="shared" si="8"/>
        <v>6049dce1dbe4c4826bda33d3</v>
      </c>
      <c r="B179" s="25"/>
      <c r="C179" s="41" t="s">
        <v>287</v>
      </c>
      <c r="D179" s="20" t="s">
        <v>145</v>
      </c>
      <c r="E179" s="32" t="s">
        <v>436</v>
      </c>
      <c r="F179" s="69" t="s">
        <v>437</v>
      </c>
      <c r="G179" s="40" t="s">
        <v>438</v>
      </c>
      <c r="H179" s="42" t="s">
        <v>439</v>
      </c>
      <c r="I179" s="42" t="s">
        <v>440</v>
      </c>
      <c r="J179" s="32" t="s">
        <v>441</v>
      </c>
      <c r="K179" s="58"/>
      <c r="L179" s="23"/>
      <c r="M179" s="15">
        <f>VLOOKUP(E179,'hedef liste'!A:I,8,false)</f>
        <v>23</v>
      </c>
      <c r="N179" s="15" t="b">
        <v>0</v>
      </c>
      <c r="O179" s="15" t="b">
        <v>0</v>
      </c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</row>
    <row r="180" hidden="1">
      <c r="A180" s="24" t="str">
        <f t="shared" si="8"/>
        <v>5feceddecf3376163fb4a80b</v>
      </c>
      <c r="B180" s="25"/>
      <c r="C180" s="41" t="s">
        <v>287</v>
      </c>
      <c r="D180" s="20" t="s">
        <v>145</v>
      </c>
      <c r="E180" s="32" t="s">
        <v>442</v>
      </c>
      <c r="F180" s="61" t="s">
        <v>443</v>
      </c>
      <c r="G180" s="40" t="s">
        <v>417</v>
      </c>
      <c r="H180" s="32" t="s">
        <v>444</v>
      </c>
      <c r="I180" s="32" t="s">
        <v>445</v>
      </c>
      <c r="J180" s="32" t="s">
        <v>446</v>
      </c>
      <c r="K180" s="58"/>
      <c r="L180" s="23"/>
      <c r="M180" s="15" t="str">
        <f>VLOOKUP(E180,'hedef liste'!A:I,8,false)</f>
        <v>#N/A</v>
      </c>
      <c r="N180" s="15" t="b">
        <v>0</v>
      </c>
      <c r="O180" s="15" t="b">
        <v>0</v>
      </c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</row>
    <row r="181" hidden="1">
      <c r="A181" s="24" t="str">
        <f t="shared" si="8"/>
        <v>602488b8b2f2a61d15b70f3a</v>
      </c>
      <c r="B181" s="25"/>
      <c r="C181" s="41" t="s">
        <v>287</v>
      </c>
      <c r="D181" s="20" t="s">
        <v>145</v>
      </c>
      <c r="E181" s="32" t="s">
        <v>447</v>
      </c>
      <c r="F181" s="61" t="s">
        <v>448</v>
      </c>
      <c r="G181" s="40" t="s">
        <v>449</v>
      </c>
      <c r="H181" s="42" t="s">
        <v>439</v>
      </c>
      <c r="I181" s="42" t="s">
        <v>450</v>
      </c>
      <c r="J181" s="42" t="s">
        <v>451</v>
      </c>
      <c r="K181" s="58"/>
      <c r="L181" s="23"/>
      <c r="M181" s="15">
        <f>VLOOKUP(E181,'hedef liste'!A:I,8,false)</f>
        <v>27</v>
      </c>
      <c r="N181" s="15" t="b">
        <v>0</v>
      </c>
      <c r="O181" s="15" t="b">
        <v>0</v>
      </c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</row>
    <row r="182" hidden="1">
      <c r="A182" s="24" t="str">
        <f t="shared" si="8"/>
        <v>5fe68863eeb85d4e34ccd650</v>
      </c>
      <c r="B182" s="25"/>
      <c r="C182" s="41" t="s">
        <v>287</v>
      </c>
      <c r="D182" s="38" t="s">
        <v>145</v>
      </c>
      <c r="E182" s="42" t="s">
        <v>452</v>
      </c>
      <c r="F182" s="61" t="s">
        <v>453</v>
      </c>
      <c r="G182" s="40" t="s">
        <v>180</v>
      </c>
      <c r="H182" s="42" t="s">
        <v>439</v>
      </c>
      <c r="I182" s="42" t="s">
        <v>454</v>
      </c>
      <c r="J182" s="42" t="s">
        <v>455</v>
      </c>
      <c r="K182" s="58"/>
      <c r="L182" s="23"/>
      <c r="M182" s="15">
        <f>VLOOKUP(E182,'hedef liste'!A:I,8,false)</f>
        <v>28</v>
      </c>
      <c r="N182" s="15" t="b">
        <v>0</v>
      </c>
      <c r="O182" s="15" t="b">
        <v>0</v>
      </c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</row>
    <row r="183" hidden="1">
      <c r="A183" s="24" t="str">
        <f t="shared" si="8"/>
        <v/>
      </c>
      <c r="B183" s="39"/>
      <c r="C183" s="19"/>
      <c r="D183" s="20"/>
      <c r="E183" s="21"/>
      <c r="F183" s="21"/>
      <c r="G183" s="22"/>
      <c r="H183" s="21"/>
      <c r="I183" s="21"/>
      <c r="J183" s="21"/>
      <c r="K183" s="23"/>
      <c r="L183" s="23"/>
      <c r="M183" s="15"/>
      <c r="N183" s="15" t="b">
        <v>0</v>
      </c>
      <c r="O183" s="15" t="b">
        <v>0</v>
      </c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</row>
    <row r="184" hidden="1">
      <c r="A184" s="24" t="str">
        <f t="shared" si="8"/>
        <v/>
      </c>
      <c r="B184" s="18" t="s">
        <v>286</v>
      </c>
      <c r="C184" s="19"/>
      <c r="D184" s="20"/>
      <c r="E184" s="21"/>
      <c r="F184" s="21"/>
      <c r="G184" s="22"/>
      <c r="H184" s="21"/>
      <c r="I184" s="21"/>
      <c r="J184" s="21"/>
      <c r="K184" s="23"/>
      <c r="L184" s="23"/>
      <c r="M184" s="15"/>
      <c r="N184" s="15" t="b">
        <v>0</v>
      </c>
      <c r="O184" s="15" t="b">
        <v>0</v>
      </c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</row>
    <row r="185" hidden="1">
      <c r="A185" s="24" t="str">
        <f t="shared" si="8"/>
        <v>6014bcf84492cd87a5b7c1ad</v>
      </c>
      <c r="B185" s="25"/>
      <c r="C185" s="71" t="s">
        <v>342</v>
      </c>
      <c r="D185" s="20" t="s">
        <v>79</v>
      </c>
      <c r="E185" s="32" t="s">
        <v>456</v>
      </c>
      <c r="F185" s="32" t="s">
        <v>457</v>
      </c>
      <c r="G185" s="33">
        <v>0.5208333333333334</v>
      </c>
      <c r="H185" s="42" t="s">
        <v>458</v>
      </c>
      <c r="I185" s="42" t="s">
        <v>459</v>
      </c>
      <c r="J185" s="35" t="s">
        <v>460</v>
      </c>
      <c r="K185" s="23"/>
      <c r="L185" s="23"/>
      <c r="M185" s="15"/>
      <c r="N185" s="15" t="b">
        <v>0</v>
      </c>
      <c r="O185" s="15" t="b">
        <v>0</v>
      </c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</row>
    <row r="186" hidden="1">
      <c r="A186" s="24"/>
      <c r="B186" s="25"/>
      <c r="C186" s="71" t="s">
        <v>342</v>
      </c>
      <c r="D186" s="75" t="s">
        <v>461</v>
      </c>
      <c r="E186" s="30" t="s">
        <v>462</v>
      </c>
      <c r="F186" s="68" t="s">
        <v>463</v>
      </c>
      <c r="G186" s="67" t="s">
        <v>417</v>
      </c>
      <c r="H186" s="30" t="s">
        <v>464</v>
      </c>
      <c r="I186" s="30" t="s">
        <v>465</v>
      </c>
      <c r="J186" s="30" t="s">
        <v>466</v>
      </c>
      <c r="K186" s="53"/>
      <c r="L186" s="34" t="s">
        <v>467</v>
      </c>
      <c r="M186" s="15"/>
      <c r="N186" s="15" t="b">
        <v>0</v>
      </c>
      <c r="O186" s="15" t="b">
        <v>0</v>
      </c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</row>
    <row r="187" hidden="1">
      <c r="A187" s="24" t="str">
        <f t="shared" ref="A187:A188" si="9">E187</f>
        <v>6014af9f6c1642019c90d947</v>
      </c>
      <c r="B187" s="25"/>
      <c r="C187" s="71" t="s">
        <v>342</v>
      </c>
      <c r="D187" s="76" t="s">
        <v>461</v>
      </c>
      <c r="E187" s="30" t="s">
        <v>468</v>
      </c>
      <c r="F187" s="68" t="s">
        <v>469</v>
      </c>
      <c r="G187" s="67" t="s">
        <v>449</v>
      </c>
      <c r="H187" s="30" t="s">
        <v>464</v>
      </c>
      <c r="I187" s="30" t="s">
        <v>470</v>
      </c>
      <c r="J187" s="30" t="s">
        <v>471</v>
      </c>
      <c r="K187" s="70"/>
      <c r="L187" s="53"/>
      <c r="M187" s="15"/>
      <c r="N187" s="15" t="b">
        <v>0</v>
      </c>
      <c r="O187" s="15" t="b">
        <v>0</v>
      </c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</row>
    <row r="188" hidden="1">
      <c r="A188" s="24" t="str">
        <f t="shared" si="9"/>
        <v>5fde85951e9538311b9554e3</v>
      </c>
      <c r="B188" s="25"/>
      <c r="C188" s="71" t="s">
        <v>342</v>
      </c>
      <c r="D188" s="76" t="s">
        <v>461</v>
      </c>
      <c r="E188" s="42" t="s">
        <v>472</v>
      </c>
      <c r="F188" s="61" t="s">
        <v>473</v>
      </c>
      <c r="G188" s="40" t="s">
        <v>180</v>
      </c>
      <c r="H188" s="42" t="s">
        <v>464</v>
      </c>
      <c r="I188" s="42" t="s">
        <v>474</v>
      </c>
      <c r="J188" s="42" t="s">
        <v>475</v>
      </c>
      <c r="K188" s="21"/>
      <c r="L188" s="23"/>
      <c r="M188" s="15"/>
      <c r="N188" s="15" t="b">
        <v>0</v>
      </c>
      <c r="O188" s="15" t="b">
        <v>0</v>
      </c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</row>
    <row r="189" hidden="1">
      <c r="A189" s="24"/>
      <c r="B189" s="39"/>
      <c r="C189" s="71" t="s">
        <v>342</v>
      </c>
      <c r="D189" s="20" t="s">
        <v>79</v>
      </c>
      <c r="E189" s="30" t="s">
        <v>476</v>
      </c>
      <c r="F189" s="68" t="s">
        <v>477</v>
      </c>
      <c r="G189" s="29">
        <v>0.7083333333333334</v>
      </c>
      <c r="H189" s="30" t="s">
        <v>478</v>
      </c>
      <c r="I189" s="30" t="s">
        <v>479</v>
      </c>
      <c r="J189" s="30" t="s">
        <v>480</v>
      </c>
      <c r="K189" s="53"/>
      <c r="L189" s="34" t="s">
        <v>481</v>
      </c>
      <c r="M189" s="15"/>
      <c r="N189" s="15" t="b">
        <v>0</v>
      </c>
      <c r="O189" s="15" t="b">
        <v>0</v>
      </c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</row>
    <row r="190" hidden="1">
      <c r="A190" s="24" t="str">
        <f t="shared" ref="A190:A192" si="10">E190</f>
        <v/>
      </c>
      <c r="B190" s="10"/>
      <c r="C190" s="10">
        <v>44313.0</v>
      </c>
      <c r="D190" s="11"/>
      <c r="E190" s="12"/>
      <c r="F190" s="13"/>
      <c r="G190" s="13"/>
      <c r="H190" s="13"/>
      <c r="I190" s="13"/>
      <c r="J190" s="13"/>
      <c r="K190" s="13"/>
      <c r="L190" s="14"/>
      <c r="M190" s="15"/>
      <c r="N190" s="15"/>
      <c r="O190" s="15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</row>
    <row r="191" hidden="1">
      <c r="A191" s="24" t="str">
        <f t="shared" si="10"/>
        <v/>
      </c>
      <c r="B191" s="18" t="s">
        <v>14</v>
      </c>
      <c r="C191" s="19"/>
      <c r="D191" s="20"/>
      <c r="E191" s="21"/>
      <c r="F191" s="21"/>
      <c r="G191" s="33"/>
      <c r="H191" s="21"/>
      <c r="I191" s="21"/>
      <c r="J191" s="21"/>
      <c r="K191" s="23"/>
      <c r="L191" s="23"/>
      <c r="M191" s="15"/>
      <c r="N191" s="15" t="b">
        <v>0</v>
      </c>
      <c r="O191" s="15" t="b">
        <v>0</v>
      </c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</row>
    <row r="192" hidden="1">
      <c r="A192" s="24" t="str">
        <f t="shared" si="10"/>
        <v/>
      </c>
      <c r="B192" s="25"/>
      <c r="C192" s="41" t="s">
        <v>78</v>
      </c>
      <c r="D192" s="20"/>
      <c r="E192" s="32"/>
      <c r="F192" s="32"/>
      <c r="G192" s="33"/>
      <c r="H192" s="42"/>
      <c r="I192" s="32"/>
      <c r="J192" s="32"/>
      <c r="K192" s="58"/>
      <c r="L192" s="23"/>
      <c r="M192" s="15" t="str">
        <f>VLOOKUP(E192,'hedef liste'!A:I,8,false)</f>
        <v>#N/A</v>
      </c>
      <c r="N192" s="15" t="b">
        <v>0</v>
      </c>
      <c r="O192" s="15" t="b">
        <v>0</v>
      </c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</row>
    <row r="193" hidden="1">
      <c r="A193" s="24"/>
      <c r="B193" s="25"/>
      <c r="C193" s="41" t="s">
        <v>78</v>
      </c>
      <c r="D193" s="27" t="s">
        <v>399</v>
      </c>
      <c r="E193" s="52" t="s">
        <v>482</v>
      </c>
      <c r="F193" s="52" t="s">
        <v>483</v>
      </c>
      <c r="G193" s="29">
        <v>0.5</v>
      </c>
      <c r="H193" s="30" t="s">
        <v>185</v>
      </c>
      <c r="I193" s="30" t="s">
        <v>484</v>
      </c>
      <c r="J193" s="52" t="s">
        <v>485</v>
      </c>
      <c r="K193" s="63"/>
      <c r="L193" s="23"/>
      <c r="M193" s="15">
        <f>VLOOKUP(E193,'hedef liste'!A:I,8,false)</f>
        <v>40</v>
      </c>
      <c r="N193" s="15" t="b">
        <v>0</v>
      </c>
      <c r="O193" s="15" t="b">
        <v>0</v>
      </c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</row>
    <row r="194" hidden="1">
      <c r="A194" s="24" t="str">
        <f t="shared" ref="A194:A200" si="11">E194</f>
        <v>60046ca3f4d31f080c7ddd06</v>
      </c>
      <c r="B194" s="25"/>
      <c r="C194" s="41" t="s">
        <v>78</v>
      </c>
      <c r="D194" s="20" t="s">
        <v>399</v>
      </c>
      <c r="E194" s="32" t="s">
        <v>486</v>
      </c>
      <c r="F194" s="32" t="s">
        <v>487</v>
      </c>
      <c r="G194" s="33">
        <v>0.5625</v>
      </c>
      <c r="H194" s="42" t="s">
        <v>488</v>
      </c>
      <c r="I194" s="42" t="s">
        <v>489</v>
      </c>
      <c r="J194" s="32" t="s">
        <v>490</v>
      </c>
      <c r="K194" s="36" t="s">
        <v>491</v>
      </c>
      <c r="L194" s="23"/>
      <c r="M194" s="15">
        <f>VLOOKUP(E194,'hedef liste'!A:I,8,false)</f>
        <v>5</v>
      </c>
      <c r="N194" s="15" t="b">
        <v>0</v>
      </c>
      <c r="O194" s="15" t="b">
        <v>0</v>
      </c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</row>
    <row r="195" hidden="1">
      <c r="A195" s="24" t="str">
        <f t="shared" si="11"/>
        <v>60649e6eb48e84ad1745f39c</v>
      </c>
      <c r="B195" s="25"/>
      <c r="C195" s="41" t="s">
        <v>78</v>
      </c>
      <c r="D195" s="38" t="s">
        <v>399</v>
      </c>
      <c r="E195" s="35" t="s">
        <v>492</v>
      </c>
      <c r="F195" s="35" t="s">
        <v>493</v>
      </c>
      <c r="G195" s="33">
        <v>0.625</v>
      </c>
      <c r="H195" s="42" t="s">
        <v>185</v>
      </c>
      <c r="I195" s="42" t="s">
        <v>494</v>
      </c>
      <c r="J195" s="35" t="s">
        <v>495</v>
      </c>
      <c r="K195" s="58"/>
      <c r="L195" s="23"/>
      <c r="M195" s="15">
        <f>VLOOKUP(E195,'hedef liste'!A:I,8,false)</f>
        <v>7</v>
      </c>
      <c r="N195" s="15" t="b">
        <v>0</v>
      </c>
      <c r="O195" s="15" t="b">
        <v>0</v>
      </c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</row>
    <row r="196" hidden="1">
      <c r="A196" s="24" t="str">
        <f t="shared" si="11"/>
        <v>60097759f69aa4324447497c</v>
      </c>
      <c r="B196" s="39"/>
      <c r="C196" s="41" t="s">
        <v>78</v>
      </c>
      <c r="D196" s="27" t="s">
        <v>399</v>
      </c>
      <c r="E196" s="28" t="s">
        <v>496</v>
      </c>
      <c r="F196" s="28" t="s">
        <v>497</v>
      </c>
      <c r="G196" s="29">
        <v>0.6875</v>
      </c>
      <c r="H196" s="30" t="s">
        <v>498</v>
      </c>
      <c r="I196" s="30" t="s">
        <v>499</v>
      </c>
      <c r="J196" s="28" t="s">
        <v>500</v>
      </c>
      <c r="K196" s="53"/>
      <c r="L196" s="23"/>
      <c r="M196" s="15"/>
      <c r="N196" s="15" t="b">
        <v>0</v>
      </c>
      <c r="O196" s="15" t="b">
        <v>0</v>
      </c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</row>
    <row r="197" hidden="1">
      <c r="A197" s="24" t="str">
        <f t="shared" si="11"/>
        <v/>
      </c>
      <c r="B197" s="18" t="s">
        <v>286</v>
      </c>
      <c r="C197" s="19"/>
      <c r="D197" s="20"/>
      <c r="E197" s="21"/>
      <c r="F197" s="21"/>
      <c r="G197" s="33"/>
      <c r="H197" s="21"/>
      <c r="I197" s="21"/>
      <c r="J197" s="21"/>
      <c r="K197" s="23"/>
      <c r="L197" s="23"/>
      <c r="M197" s="15"/>
      <c r="N197" s="15" t="b">
        <v>0</v>
      </c>
      <c r="O197" s="15" t="b">
        <v>0</v>
      </c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</row>
    <row r="198" hidden="1">
      <c r="A198" s="24" t="str">
        <f t="shared" si="11"/>
        <v>602f8c55c85ce4c7b5857312</v>
      </c>
      <c r="B198" s="25"/>
      <c r="C198" s="41" t="s">
        <v>287</v>
      </c>
      <c r="D198" s="20" t="s">
        <v>79</v>
      </c>
      <c r="E198" s="32" t="s">
        <v>501</v>
      </c>
      <c r="F198" s="32" t="s">
        <v>502</v>
      </c>
      <c r="G198" s="33">
        <v>0.4166666666666667</v>
      </c>
      <c r="H198" s="42" t="s">
        <v>290</v>
      </c>
      <c r="I198" s="32" t="s">
        <v>503</v>
      </c>
      <c r="J198" s="32" t="s">
        <v>504</v>
      </c>
      <c r="K198" s="58"/>
      <c r="L198" s="23"/>
      <c r="M198" s="15">
        <f>VLOOKUP(E198,'hedef liste'!A:I,8,false)</f>
        <v>15</v>
      </c>
      <c r="N198" s="15" t="b">
        <v>0</v>
      </c>
      <c r="O198" s="15" t="b">
        <v>0</v>
      </c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</row>
    <row r="199" hidden="1">
      <c r="A199" s="24" t="str">
        <f t="shared" si="11"/>
        <v>601453a594d17a8a5aa787bb</v>
      </c>
      <c r="B199" s="25"/>
      <c r="C199" s="41" t="s">
        <v>287</v>
      </c>
      <c r="D199" s="20" t="s">
        <v>79</v>
      </c>
      <c r="E199" s="32" t="s">
        <v>505</v>
      </c>
      <c r="F199" s="32" t="s">
        <v>506</v>
      </c>
      <c r="G199" s="33">
        <v>0.625</v>
      </c>
      <c r="H199" s="42" t="s">
        <v>290</v>
      </c>
      <c r="I199" s="42" t="s">
        <v>507</v>
      </c>
      <c r="J199" s="32" t="s">
        <v>508</v>
      </c>
      <c r="K199" s="58"/>
      <c r="L199" s="23"/>
      <c r="M199" s="15">
        <f>VLOOKUP(E199,'hedef liste'!A:I,8,false)</f>
        <v>63</v>
      </c>
      <c r="N199" s="15" t="b">
        <v>0</v>
      </c>
      <c r="O199" s="15" t="b">
        <v>0</v>
      </c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</row>
    <row r="200" hidden="1">
      <c r="A200" s="24" t="str">
        <f t="shared" si="11"/>
        <v>5fe623525118f1fa4f8c555a</v>
      </c>
      <c r="B200" s="25"/>
      <c r="C200" s="41" t="s">
        <v>287</v>
      </c>
      <c r="D200" s="20" t="s">
        <v>79</v>
      </c>
      <c r="E200" s="32" t="s">
        <v>509</v>
      </c>
      <c r="F200" s="32" t="s">
        <v>510</v>
      </c>
      <c r="G200" s="33">
        <v>0.6666666666666666</v>
      </c>
      <c r="H200" s="42" t="s">
        <v>290</v>
      </c>
      <c r="I200" s="42" t="s">
        <v>511</v>
      </c>
      <c r="J200" s="32" t="s">
        <v>512</v>
      </c>
      <c r="K200" s="58"/>
      <c r="L200" s="23"/>
      <c r="M200" s="15">
        <f>VLOOKUP(E200,'hedef liste'!A:I,8,false)</f>
        <v>5</v>
      </c>
      <c r="N200" s="15" t="b">
        <v>0</v>
      </c>
      <c r="O200" s="15" t="b">
        <v>0</v>
      </c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</row>
    <row r="201" hidden="1">
      <c r="A201" s="24"/>
      <c r="B201" s="25"/>
      <c r="C201" s="41" t="s">
        <v>287</v>
      </c>
      <c r="D201" s="38" t="s">
        <v>79</v>
      </c>
      <c r="E201" s="28" t="s">
        <v>513</v>
      </c>
      <c r="F201" s="28" t="s">
        <v>514</v>
      </c>
      <c r="G201" s="29">
        <v>0.7083333333333334</v>
      </c>
      <c r="H201" s="30" t="s">
        <v>290</v>
      </c>
      <c r="I201" s="30" t="s">
        <v>515</v>
      </c>
      <c r="J201" s="28" t="s">
        <v>516</v>
      </c>
      <c r="K201" s="63"/>
      <c r="L201" s="31" t="s">
        <v>517</v>
      </c>
      <c r="M201" s="15">
        <f>VLOOKUP(E201,'hedef liste'!A:I,8,false)</f>
        <v>42</v>
      </c>
      <c r="N201" s="15" t="b">
        <v>0</v>
      </c>
      <c r="O201" s="15" t="b">
        <v>0</v>
      </c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</row>
    <row r="202" hidden="1">
      <c r="A202" s="24" t="str">
        <f t="shared" ref="A202:A204" si="12">E202</f>
        <v/>
      </c>
      <c r="B202" s="39"/>
      <c r="C202" s="19"/>
      <c r="D202" s="20"/>
      <c r="E202" s="21"/>
      <c r="F202" s="21"/>
      <c r="G202" s="22"/>
      <c r="H202" s="21"/>
      <c r="I202" s="21"/>
      <c r="J202" s="21"/>
      <c r="K202" s="23"/>
      <c r="L202" s="23"/>
      <c r="M202" s="15"/>
      <c r="N202" s="15" t="b">
        <v>0</v>
      </c>
      <c r="O202" s="15" t="b">
        <v>0</v>
      </c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</row>
    <row r="203" hidden="1">
      <c r="A203" s="24" t="str">
        <f t="shared" si="12"/>
        <v/>
      </c>
      <c r="B203" s="18" t="s">
        <v>286</v>
      </c>
      <c r="C203" s="19"/>
      <c r="D203" s="20"/>
      <c r="E203" s="21"/>
      <c r="F203" s="21"/>
      <c r="G203" s="22"/>
      <c r="H203" s="21"/>
      <c r="I203" s="21"/>
      <c r="J203" s="21"/>
      <c r="K203" s="23"/>
      <c r="L203" s="23"/>
      <c r="M203" s="15"/>
      <c r="N203" s="15" t="b">
        <v>0</v>
      </c>
      <c r="O203" s="15" t="b">
        <v>0</v>
      </c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</row>
    <row r="204" hidden="1">
      <c r="A204" s="24" t="str">
        <f t="shared" si="12"/>
        <v>60060a09056c7946b4bff3e4</v>
      </c>
      <c r="B204" s="25"/>
      <c r="C204" s="71" t="s">
        <v>342</v>
      </c>
      <c r="D204" s="20" t="s">
        <v>79</v>
      </c>
      <c r="E204" s="32" t="s">
        <v>518</v>
      </c>
      <c r="F204" s="32" t="s">
        <v>519</v>
      </c>
      <c r="G204" s="33">
        <v>0.4166666666666667</v>
      </c>
      <c r="H204" s="42" t="s">
        <v>439</v>
      </c>
      <c r="I204" s="42" t="s">
        <v>520</v>
      </c>
      <c r="J204" s="32" t="s">
        <v>521</v>
      </c>
      <c r="K204" s="21"/>
      <c r="L204" s="21"/>
      <c r="M204" s="15"/>
      <c r="N204" s="15" t="b">
        <v>0</v>
      </c>
      <c r="O204" s="15" t="b">
        <v>0</v>
      </c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</row>
    <row r="205" hidden="1">
      <c r="A205" s="24"/>
      <c r="B205" s="25"/>
      <c r="C205" s="71" t="s">
        <v>342</v>
      </c>
      <c r="D205" s="20" t="s">
        <v>79</v>
      </c>
      <c r="E205" s="28" t="s">
        <v>522</v>
      </c>
      <c r="F205" s="28" t="s">
        <v>523</v>
      </c>
      <c r="G205" s="29">
        <v>0.4791666666666667</v>
      </c>
      <c r="H205" s="30" t="s">
        <v>439</v>
      </c>
      <c r="I205" s="30" t="s">
        <v>524</v>
      </c>
      <c r="J205" s="28" t="s">
        <v>525</v>
      </c>
      <c r="K205" s="70"/>
      <c r="L205" s="21"/>
      <c r="M205" s="15"/>
      <c r="N205" s="15" t="b">
        <v>0</v>
      </c>
      <c r="O205" s="15" t="b">
        <v>0</v>
      </c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</row>
    <row r="206" hidden="1">
      <c r="A206" s="24" t="str">
        <f t="shared" ref="A206:A220" si="13">E206</f>
        <v>5fea649adc26c75e51d03e78</v>
      </c>
      <c r="B206" s="25"/>
      <c r="C206" s="71" t="s">
        <v>342</v>
      </c>
      <c r="D206" s="20" t="s">
        <v>79</v>
      </c>
      <c r="E206" s="28" t="s">
        <v>526</v>
      </c>
      <c r="F206" s="28" t="s">
        <v>527</v>
      </c>
      <c r="G206" s="29">
        <v>0.625</v>
      </c>
      <c r="H206" s="30" t="s">
        <v>439</v>
      </c>
      <c r="I206" s="30" t="s">
        <v>528</v>
      </c>
      <c r="J206" s="30" t="s">
        <v>529</v>
      </c>
      <c r="K206" s="70"/>
      <c r="L206" s="21"/>
      <c r="M206" s="15"/>
      <c r="N206" s="15" t="b">
        <v>0</v>
      </c>
      <c r="O206" s="15" t="b">
        <v>0</v>
      </c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</row>
    <row r="207" hidden="1">
      <c r="A207" s="24" t="str">
        <f t="shared" si="13"/>
        <v>60044c4de6346c125f381cd2</v>
      </c>
      <c r="B207" s="25"/>
      <c r="C207" s="71" t="s">
        <v>342</v>
      </c>
      <c r="D207" s="38" t="s">
        <v>79</v>
      </c>
      <c r="E207" s="32" t="s">
        <v>530</v>
      </c>
      <c r="F207" s="32" t="s">
        <v>531</v>
      </c>
      <c r="G207" s="33">
        <v>0.6875</v>
      </c>
      <c r="H207" s="32" t="s">
        <v>290</v>
      </c>
      <c r="I207" s="32" t="s">
        <v>532</v>
      </c>
      <c r="J207" s="42" t="s">
        <v>533</v>
      </c>
      <c r="K207" s="21"/>
      <c r="L207" s="21"/>
      <c r="M207" s="15"/>
      <c r="N207" s="15" t="b">
        <v>0</v>
      </c>
      <c r="O207" s="15" t="b">
        <v>0</v>
      </c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</row>
    <row r="208" hidden="1">
      <c r="A208" s="24" t="str">
        <f t="shared" si="13"/>
        <v>6038e746618c3a6c2222da02</v>
      </c>
      <c r="B208" s="39"/>
      <c r="C208" s="71" t="s">
        <v>342</v>
      </c>
      <c r="D208" s="20" t="s">
        <v>79</v>
      </c>
      <c r="E208" s="28" t="s">
        <v>534</v>
      </c>
      <c r="F208" s="28" t="s">
        <v>535</v>
      </c>
      <c r="G208" s="29">
        <v>0.5416666666666666</v>
      </c>
      <c r="H208" s="30" t="s">
        <v>439</v>
      </c>
      <c r="I208" s="30" t="s">
        <v>536</v>
      </c>
      <c r="J208" s="28" t="s">
        <v>537</v>
      </c>
      <c r="K208" s="53"/>
      <c r="L208" s="23"/>
      <c r="M208" s="15"/>
      <c r="N208" s="15" t="b">
        <v>0</v>
      </c>
      <c r="O208" s="15" t="b">
        <v>0</v>
      </c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</row>
    <row r="209" hidden="1">
      <c r="A209" s="24" t="str">
        <f t="shared" si="13"/>
        <v/>
      </c>
      <c r="B209" s="10"/>
      <c r="C209" s="10">
        <v>44314.0</v>
      </c>
      <c r="D209" s="11"/>
      <c r="E209" s="12"/>
      <c r="F209" s="13"/>
      <c r="G209" s="13"/>
      <c r="H209" s="13"/>
      <c r="I209" s="13"/>
      <c r="J209" s="13"/>
      <c r="K209" s="13"/>
      <c r="L209" s="14"/>
      <c r="M209" s="15"/>
      <c r="N209" s="15"/>
      <c r="O209" s="15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</row>
    <row r="210" hidden="1">
      <c r="A210" s="24" t="str">
        <f t="shared" si="13"/>
        <v/>
      </c>
      <c r="B210" s="18" t="s">
        <v>14</v>
      </c>
      <c r="C210" s="19"/>
      <c r="D210" s="20"/>
      <c r="E210" s="21"/>
      <c r="F210" s="21"/>
      <c r="G210" s="33"/>
      <c r="H210" s="21"/>
      <c r="I210" s="21"/>
      <c r="J210" s="21"/>
      <c r="K210" s="23"/>
      <c r="L210" s="23"/>
      <c r="M210" s="15"/>
      <c r="N210" s="15" t="b">
        <v>0</v>
      </c>
      <c r="O210" s="15" t="b">
        <v>0</v>
      </c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</row>
    <row r="211" hidden="1">
      <c r="A211" s="24" t="str">
        <f t="shared" si="13"/>
        <v>5fde584f3e964ba128e972a4</v>
      </c>
      <c r="B211" s="25"/>
      <c r="C211" s="41" t="s">
        <v>78</v>
      </c>
      <c r="D211" s="27" t="s">
        <v>79</v>
      </c>
      <c r="E211" s="28" t="s">
        <v>176</v>
      </c>
      <c r="F211" s="28" t="s">
        <v>172</v>
      </c>
      <c r="G211" s="67" t="s">
        <v>417</v>
      </c>
      <c r="H211" s="30" t="s">
        <v>349</v>
      </c>
      <c r="I211" s="28" t="s">
        <v>538</v>
      </c>
      <c r="J211" s="28" t="s">
        <v>539</v>
      </c>
      <c r="K211" s="63"/>
      <c r="L211" s="23"/>
      <c r="M211" s="15" t="str">
        <f>VLOOKUP(E211,'hedef liste'!A:I,8,false)</f>
        <v>#N/A</v>
      </c>
      <c r="N211" s="15" t="b">
        <v>0</v>
      </c>
      <c r="O211" s="15" t="b">
        <v>0</v>
      </c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</row>
    <row r="212" hidden="1">
      <c r="A212" s="24" t="str">
        <f t="shared" si="13"/>
        <v>603c056a8ed508e25814ec52</v>
      </c>
      <c r="B212" s="25"/>
      <c r="C212" s="41" t="s">
        <v>78</v>
      </c>
      <c r="D212" s="20" t="s">
        <v>79</v>
      </c>
      <c r="E212" s="32" t="s">
        <v>540</v>
      </c>
      <c r="F212" s="32" t="s">
        <v>541</v>
      </c>
      <c r="G212" s="40" t="s">
        <v>449</v>
      </c>
      <c r="H212" s="42" t="s">
        <v>82</v>
      </c>
      <c r="I212" s="32" t="s">
        <v>542</v>
      </c>
      <c r="J212" s="32" t="s">
        <v>543</v>
      </c>
      <c r="K212" s="58"/>
      <c r="L212" s="23"/>
      <c r="M212" s="15" t="str">
        <f>VLOOKUP(E212,'hedef liste'!A:I,8,false)</f>
        <v>#N/A</v>
      </c>
      <c r="N212" s="15" t="b">
        <v>0</v>
      </c>
      <c r="O212" s="15" t="b">
        <v>0</v>
      </c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</row>
    <row r="213" hidden="1">
      <c r="A213" s="24" t="str">
        <f t="shared" si="13"/>
        <v>5fea56a9f351dc152866d21e</v>
      </c>
      <c r="B213" s="25"/>
      <c r="C213" s="41" t="s">
        <v>78</v>
      </c>
      <c r="D213" s="27" t="s">
        <v>79</v>
      </c>
      <c r="E213" s="28" t="s">
        <v>544</v>
      </c>
      <c r="F213" s="28" t="s">
        <v>545</v>
      </c>
      <c r="G213" s="67" t="s">
        <v>180</v>
      </c>
      <c r="H213" s="30" t="s">
        <v>82</v>
      </c>
      <c r="I213" s="30" t="s">
        <v>546</v>
      </c>
      <c r="J213" s="30" t="s">
        <v>547</v>
      </c>
      <c r="K213" s="63"/>
      <c r="L213" s="23"/>
      <c r="M213" s="15" t="str">
        <f>VLOOKUP(E213,'hedef liste'!A:I,8,false)</f>
        <v>#N/A</v>
      </c>
      <c r="N213" s="15" t="b">
        <v>0</v>
      </c>
      <c r="O213" s="15" t="b">
        <v>0</v>
      </c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</row>
    <row r="214" hidden="1">
      <c r="A214" s="24" t="str">
        <f t="shared" si="13"/>
        <v>606364cff4083e52ea87c1a0</v>
      </c>
      <c r="B214" s="25"/>
      <c r="C214" s="41" t="s">
        <v>78</v>
      </c>
      <c r="D214" s="38" t="s">
        <v>79</v>
      </c>
      <c r="E214" s="35" t="s">
        <v>548</v>
      </c>
      <c r="F214" s="35" t="s">
        <v>549</v>
      </c>
      <c r="G214" s="40" t="s">
        <v>248</v>
      </c>
      <c r="H214" s="42" t="s">
        <v>82</v>
      </c>
      <c r="I214" s="42" t="s">
        <v>550</v>
      </c>
      <c r="J214" s="35" t="s">
        <v>551</v>
      </c>
      <c r="K214" s="58"/>
      <c r="L214" s="23"/>
      <c r="M214" s="15">
        <f>VLOOKUP(E214,'hedef liste'!A:I,8,false)</f>
        <v>9</v>
      </c>
      <c r="N214" s="15" t="b">
        <v>0</v>
      </c>
      <c r="O214" s="15" t="b">
        <v>0</v>
      </c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</row>
    <row r="215" hidden="1">
      <c r="A215" s="24" t="str">
        <f t="shared" si="13"/>
        <v/>
      </c>
      <c r="B215" s="39"/>
      <c r="C215" s="19"/>
      <c r="D215" s="20"/>
      <c r="E215" s="21"/>
      <c r="F215" s="21"/>
      <c r="G215" s="22"/>
      <c r="H215" s="21"/>
      <c r="I215" s="21"/>
      <c r="J215" s="21"/>
      <c r="K215" s="23"/>
      <c r="L215" s="23"/>
      <c r="M215" s="15"/>
      <c r="N215" s="15" t="b">
        <v>0</v>
      </c>
      <c r="O215" s="15" t="b">
        <v>0</v>
      </c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</row>
    <row r="216" hidden="1">
      <c r="A216" s="24" t="str">
        <f t="shared" si="13"/>
        <v/>
      </c>
      <c r="B216" s="18" t="s">
        <v>286</v>
      </c>
      <c r="C216" s="19"/>
      <c r="D216" s="20"/>
      <c r="E216" s="21"/>
      <c r="F216" s="21"/>
      <c r="G216" s="22"/>
      <c r="H216" s="21"/>
      <c r="I216" s="21"/>
      <c r="J216" s="21"/>
      <c r="K216" s="23"/>
      <c r="L216" s="23"/>
      <c r="M216" s="15"/>
      <c r="N216" s="15" t="b">
        <v>0</v>
      </c>
      <c r="O216" s="15" t="b">
        <v>0</v>
      </c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</row>
    <row r="217" hidden="1">
      <c r="A217" s="24" t="str">
        <f t="shared" si="13"/>
        <v/>
      </c>
      <c r="B217" s="25"/>
      <c r="C217" s="71" t="s">
        <v>342</v>
      </c>
      <c r="D217" s="20"/>
      <c r="E217" s="32"/>
      <c r="F217" s="21"/>
      <c r="G217" s="33"/>
      <c r="H217" s="42"/>
      <c r="I217" s="42"/>
      <c r="J217" s="32"/>
      <c r="K217" s="23"/>
      <c r="L217" s="23"/>
      <c r="M217" s="15"/>
      <c r="N217" s="15" t="b">
        <v>0</v>
      </c>
      <c r="O217" s="15" t="b">
        <v>0</v>
      </c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</row>
    <row r="218" hidden="1">
      <c r="A218" s="24" t="str">
        <f t="shared" si="13"/>
        <v>60492e300392aa19f82322d8</v>
      </c>
      <c r="B218" s="25"/>
      <c r="C218" s="71" t="s">
        <v>342</v>
      </c>
      <c r="D218" s="20" t="s">
        <v>79</v>
      </c>
      <c r="E218" s="32" t="s">
        <v>552</v>
      </c>
      <c r="F218" s="32" t="s">
        <v>553</v>
      </c>
      <c r="G218" s="40" t="s">
        <v>384</v>
      </c>
      <c r="H218" s="42" t="s">
        <v>326</v>
      </c>
      <c r="I218" s="42" t="s">
        <v>554</v>
      </c>
      <c r="J218" s="32" t="s">
        <v>555</v>
      </c>
      <c r="K218" s="58"/>
      <c r="L218" s="23"/>
      <c r="M218" s="15"/>
      <c r="N218" s="15" t="b">
        <v>0</v>
      </c>
      <c r="O218" s="15" t="b">
        <v>0</v>
      </c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</row>
    <row r="219" hidden="1">
      <c r="A219" s="24" t="str">
        <f t="shared" si="13"/>
        <v>5ffaf75b292a615149b1de90</v>
      </c>
      <c r="B219" s="25"/>
      <c r="C219" s="71" t="s">
        <v>342</v>
      </c>
      <c r="D219" s="20" t="s">
        <v>399</v>
      </c>
      <c r="E219" s="32" t="s">
        <v>556</v>
      </c>
      <c r="F219" s="32" t="s">
        <v>557</v>
      </c>
      <c r="G219" s="33">
        <v>0.6666666666666666</v>
      </c>
      <c r="H219" s="42" t="s">
        <v>407</v>
      </c>
      <c r="I219" s="42" t="s">
        <v>558</v>
      </c>
      <c r="J219" s="32" t="s">
        <v>559</v>
      </c>
      <c r="K219" s="23"/>
      <c r="L219" s="23"/>
      <c r="M219" s="15"/>
      <c r="N219" s="15" t="b">
        <v>0</v>
      </c>
      <c r="O219" s="15" t="b">
        <v>0</v>
      </c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</row>
    <row r="220" hidden="1">
      <c r="A220" s="24" t="str">
        <f t="shared" si="13"/>
        <v>60492bf756d500324b854850</v>
      </c>
      <c r="B220" s="25"/>
      <c r="C220" s="71" t="s">
        <v>342</v>
      </c>
      <c r="D220" s="20" t="s">
        <v>79</v>
      </c>
      <c r="E220" s="32" t="s">
        <v>560</v>
      </c>
      <c r="F220" s="32" t="s">
        <v>561</v>
      </c>
      <c r="G220" s="40" t="s">
        <v>449</v>
      </c>
      <c r="H220" s="42" t="s">
        <v>562</v>
      </c>
      <c r="I220" s="42" t="s">
        <v>563</v>
      </c>
      <c r="J220" s="32" t="s">
        <v>564</v>
      </c>
      <c r="K220" s="58"/>
      <c r="L220" s="23"/>
      <c r="M220" s="15"/>
      <c r="N220" s="15" t="b">
        <v>0</v>
      </c>
      <c r="O220" s="15" t="b">
        <v>0</v>
      </c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</row>
    <row r="221" hidden="1">
      <c r="A221" s="24"/>
      <c r="B221" s="39"/>
      <c r="C221" s="19"/>
      <c r="D221" s="20" t="s">
        <v>79</v>
      </c>
      <c r="E221" s="30" t="s">
        <v>565</v>
      </c>
      <c r="F221" s="30" t="s">
        <v>566</v>
      </c>
      <c r="G221" s="67" t="s">
        <v>567</v>
      </c>
      <c r="H221" s="30" t="s">
        <v>568</v>
      </c>
      <c r="I221" s="30" t="s">
        <v>569</v>
      </c>
      <c r="J221" s="30" t="s">
        <v>570</v>
      </c>
      <c r="K221" s="53"/>
      <c r="L221" s="23"/>
      <c r="M221" s="15"/>
      <c r="N221" s="15" t="b">
        <v>0</v>
      </c>
      <c r="O221" s="15" t="b">
        <v>0</v>
      </c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</row>
    <row r="222" hidden="1">
      <c r="A222" s="24" t="str">
        <f t="shared" ref="A222:A223" si="14">E222</f>
        <v/>
      </c>
      <c r="B222" s="10"/>
      <c r="C222" s="10">
        <v>44315.0</v>
      </c>
      <c r="D222" s="11"/>
      <c r="E222" s="12"/>
      <c r="F222" s="13"/>
      <c r="G222" s="13"/>
      <c r="H222" s="13"/>
      <c r="I222" s="13"/>
      <c r="J222" s="13"/>
      <c r="K222" s="13"/>
      <c r="L222" s="14"/>
      <c r="M222" s="15"/>
      <c r="N222" s="15"/>
      <c r="O222" s="15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</row>
    <row r="223" hidden="1">
      <c r="A223" s="24" t="str">
        <f t="shared" si="14"/>
        <v/>
      </c>
      <c r="B223" s="18" t="s">
        <v>14</v>
      </c>
      <c r="C223" s="19"/>
      <c r="D223" s="20"/>
      <c r="E223" s="21"/>
      <c r="F223" s="21"/>
      <c r="G223" s="33"/>
      <c r="H223" s="21"/>
      <c r="I223" s="21"/>
      <c r="J223" s="21"/>
      <c r="K223" s="23"/>
      <c r="L223" s="23"/>
      <c r="M223" s="15"/>
      <c r="N223" s="15" t="b">
        <v>0</v>
      </c>
      <c r="O223" s="15" t="b">
        <v>0</v>
      </c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</row>
    <row r="224" hidden="1">
      <c r="A224" s="24"/>
      <c r="B224" s="25"/>
      <c r="C224" s="41" t="s">
        <v>78</v>
      </c>
      <c r="D224" s="64"/>
      <c r="E224" s="21"/>
      <c r="F224" s="21"/>
      <c r="G224" s="22"/>
      <c r="H224" s="21"/>
      <c r="I224" s="21"/>
      <c r="J224" s="21"/>
      <c r="K224" s="21"/>
      <c r="L224" s="21"/>
      <c r="M224" s="15">
        <f>VLOOKUP(E231,'hedef liste'!A:I,8,false)</f>
        <v>26</v>
      </c>
      <c r="N224" s="15" t="b">
        <v>0</v>
      </c>
      <c r="O224" s="15" t="b">
        <v>0</v>
      </c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</row>
    <row r="225" hidden="1">
      <c r="A225" s="24" t="str">
        <f t="shared" ref="A225:A230" si="15">E225</f>
        <v>606253966c2d4797a350106a</v>
      </c>
      <c r="B225" s="25"/>
      <c r="C225" s="41" t="s">
        <v>78</v>
      </c>
      <c r="D225" s="20" t="s">
        <v>399</v>
      </c>
      <c r="E225" s="52" t="s">
        <v>482</v>
      </c>
      <c r="F225" s="52" t="s">
        <v>483</v>
      </c>
      <c r="G225" s="29">
        <v>0.4583333333333333</v>
      </c>
      <c r="H225" s="30" t="s">
        <v>185</v>
      </c>
      <c r="I225" s="30" t="s">
        <v>484</v>
      </c>
      <c r="J225" s="52" t="s">
        <v>485</v>
      </c>
      <c r="K225" s="63"/>
      <c r="L225" s="31" t="s">
        <v>151</v>
      </c>
      <c r="M225" s="15">
        <f>VLOOKUP(E225,'hedef liste'!A:I,8,false)</f>
        <v>40</v>
      </c>
      <c r="N225" s="15" t="b">
        <v>0</v>
      </c>
      <c r="O225" s="15" t="b">
        <v>0</v>
      </c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</row>
    <row r="226" hidden="1">
      <c r="A226" s="24" t="str">
        <f t="shared" si="15"/>
        <v>6040c9a7dc8b32a64ac3f32a</v>
      </c>
      <c r="B226" s="25"/>
      <c r="C226" s="41" t="s">
        <v>78</v>
      </c>
      <c r="D226" s="27" t="s">
        <v>79</v>
      </c>
      <c r="E226" s="28" t="s">
        <v>571</v>
      </c>
      <c r="F226" s="28" t="s">
        <v>572</v>
      </c>
      <c r="G226" s="29">
        <v>0.5416666666666666</v>
      </c>
      <c r="H226" s="30" t="s">
        <v>349</v>
      </c>
      <c r="I226" s="30" t="s">
        <v>573</v>
      </c>
      <c r="J226" s="28" t="s">
        <v>574</v>
      </c>
      <c r="K226" s="63"/>
      <c r="L226" s="53"/>
      <c r="M226" s="15">
        <f>VLOOKUP(E226,'hedef liste'!A:I,8,false)</f>
        <v>2</v>
      </c>
      <c r="N226" s="15" t="b">
        <v>0</v>
      </c>
      <c r="O226" s="15" t="b">
        <v>0</v>
      </c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</row>
    <row r="227" hidden="1">
      <c r="A227" s="24" t="str">
        <f t="shared" si="15"/>
        <v>6005fef7c669c249949c4ca5</v>
      </c>
      <c r="B227" s="25"/>
      <c r="C227" s="41" t="s">
        <v>78</v>
      </c>
      <c r="D227" s="38" t="s">
        <v>79</v>
      </c>
      <c r="E227" s="32" t="s">
        <v>575</v>
      </c>
      <c r="F227" s="32" t="s">
        <v>576</v>
      </c>
      <c r="G227" s="33">
        <v>0.625</v>
      </c>
      <c r="H227" s="42" t="s">
        <v>205</v>
      </c>
      <c r="I227" s="42" t="s">
        <v>577</v>
      </c>
      <c r="J227" s="36" t="s">
        <v>578</v>
      </c>
      <c r="K227" s="58"/>
      <c r="L227" s="23"/>
      <c r="M227" s="15">
        <f>VLOOKUP(E227,'hedef liste'!A:I,8,false)</f>
        <v>35</v>
      </c>
      <c r="N227" s="15" t="b">
        <v>0</v>
      </c>
      <c r="O227" s="15" t="b">
        <v>0</v>
      </c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</row>
    <row r="228" hidden="1">
      <c r="A228" s="24" t="str">
        <f t="shared" si="15"/>
        <v>605cd2d0e81f5bc7fe859127</v>
      </c>
      <c r="B228" s="39"/>
      <c r="C228" s="19"/>
      <c r="D228" s="27" t="s">
        <v>79</v>
      </c>
      <c r="E228" s="52" t="s">
        <v>579</v>
      </c>
      <c r="F228" s="52" t="s">
        <v>580</v>
      </c>
      <c r="G228" s="29">
        <v>0.6666666666666666</v>
      </c>
      <c r="H228" s="30" t="s">
        <v>349</v>
      </c>
      <c r="I228" s="30" t="s">
        <v>581</v>
      </c>
      <c r="J228" s="52" t="s">
        <v>582</v>
      </c>
      <c r="K228" s="53"/>
      <c r="L228" s="23"/>
      <c r="M228" s="15"/>
      <c r="N228" s="15" t="b">
        <v>0</v>
      </c>
      <c r="O228" s="15" t="b">
        <v>0</v>
      </c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</row>
    <row r="229" hidden="1">
      <c r="A229" s="24" t="str">
        <f t="shared" si="15"/>
        <v/>
      </c>
      <c r="B229" s="18" t="s">
        <v>286</v>
      </c>
      <c r="C229" s="19"/>
      <c r="D229" s="20"/>
      <c r="E229" s="21"/>
      <c r="F229" s="21"/>
      <c r="G229" s="22"/>
      <c r="H229" s="21"/>
      <c r="I229" s="21"/>
      <c r="J229" s="21"/>
      <c r="K229" s="23"/>
      <c r="L229" s="23"/>
      <c r="M229" s="15"/>
      <c r="N229" s="15" t="b">
        <v>0</v>
      </c>
      <c r="O229" s="15" t="b">
        <v>0</v>
      </c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</row>
    <row r="230" hidden="1">
      <c r="A230" s="24" t="str">
        <f t="shared" si="15"/>
        <v/>
      </c>
      <c r="B230" s="25"/>
      <c r="C230" s="71"/>
      <c r="D230" s="64"/>
      <c r="E230" s="21"/>
      <c r="F230" s="21"/>
      <c r="G230" s="22"/>
      <c r="H230" s="21"/>
      <c r="I230" s="21"/>
      <c r="J230" s="21"/>
      <c r="K230" s="21"/>
      <c r="L230" s="21"/>
      <c r="M230" s="15"/>
      <c r="N230" s="15" t="b">
        <v>0</v>
      </c>
      <c r="O230" s="15" t="b">
        <v>0</v>
      </c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</row>
    <row r="231" hidden="1">
      <c r="A231" s="24"/>
      <c r="B231" s="25"/>
      <c r="C231" s="71" t="s">
        <v>342</v>
      </c>
      <c r="D231" s="27" t="s">
        <v>79</v>
      </c>
      <c r="E231" s="28" t="s">
        <v>583</v>
      </c>
      <c r="F231" s="28" t="s">
        <v>584</v>
      </c>
      <c r="G231" s="29">
        <v>0.4166666666666667</v>
      </c>
      <c r="H231" s="30" t="s">
        <v>585</v>
      </c>
      <c r="I231" s="28" t="s">
        <v>586</v>
      </c>
      <c r="J231" s="28" t="s">
        <v>587</v>
      </c>
      <c r="K231" s="58" t="s">
        <v>588</v>
      </c>
      <c r="L231" s="34" t="s">
        <v>589</v>
      </c>
      <c r="M231" s="15"/>
      <c r="N231" s="15" t="b">
        <v>0</v>
      </c>
      <c r="O231" s="15" t="b">
        <v>0</v>
      </c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</row>
    <row r="232" hidden="1">
      <c r="A232" s="24"/>
      <c r="B232" s="25"/>
      <c r="C232" s="71" t="s">
        <v>342</v>
      </c>
      <c r="D232" s="75" t="s">
        <v>590</v>
      </c>
      <c r="E232" s="28" t="s">
        <v>591</v>
      </c>
      <c r="F232" s="28" t="s">
        <v>592</v>
      </c>
      <c r="G232" s="29">
        <v>0.5833333333333334</v>
      </c>
      <c r="H232" s="30" t="s">
        <v>585</v>
      </c>
      <c r="I232" s="30" t="s">
        <v>593</v>
      </c>
      <c r="J232" s="30" t="s">
        <v>594</v>
      </c>
      <c r="K232" s="21"/>
      <c r="L232" s="23"/>
      <c r="M232" s="15"/>
      <c r="N232" s="15" t="b">
        <v>0</v>
      </c>
      <c r="O232" s="15" t="b">
        <v>0</v>
      </c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</row>
    <row r="233" hidden="1">
      <c r="A233" s="24" t="str">
        <f t="shared" ref="A233:A242" si="16">E233</f>
        <v>5fde90c3cd276091019f62df</v>
      </c>
      <c r="B233" s="25"/>
      <c r="C233" s="71" t="s">
        <v>342</v>
      </c>
      <c r="D233" s="75" t="s">
        <v>590</v>
      </c>
      <c r="E233" s="28" t="s">
        <v>595</v>
      </c>
      <c r="F233" s="28" t="s">
        <v>596</v>
      </c>
      <c r="G233" s="29">
        <v>0.6666666666666666</v>
      </c>
      <c r="H233" s="30" t="s">
        <v>585</v>
      </c>
      <c r="I233" s="30" t="s">
        <v>597</v>
      </c>
      <c r="J233" s="30" t="s">
        <v>598</v>
      </c>
      <c r="K233" s="70"/>
      <c r="L233" s="23"/>
      <c r="M233" s="15"/>
      <c r="N233" s="15" t="b">
        <v>0</v>
      </c>
      <c r="O233" s="15" t="b">
        <v>0</v>
      </c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</row>
    <row r="234" hidden="1">
      <c r="A234" s="24" t="str">
        <f t="shared" si="16"/>
        <v>5fea20c3a415e95f613c375b</v>
      </c>
      <c r="B234" s="39"/>
      <c r="C234" s="71" t="s">
        <v>342</v>
      </c>
      <c r="D234" s="20" t="s">
        <v>79</v>
      </c>
      <c r="E234" s="32" t="s">
        <v>476</v>
      </c>
      <c r="F234" s="32" t="s">
        <v>477</v>
      </c>
      <c r="G234" s="33">
        <v>0.7083333333333334</v>
      </c>
      <c r="H234" s="42" t="s">
        <v>367</v>
      </c>
      <c r="I234" s="42" t="s">
        <v>599</v>
      </c>
      <c r="J234" s="42" t="s">
        <v>600</v>
      </c>
      <c r="K234" s="23"/>
      <c r="L234" s="23"/>
      <c r="M234" s="15"/>
      <c r="N234" s="15" t="b">
        <v>0</v>
      </c>
      <c r="O234" s="15" t="b">
        <v>0</v>
      </c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</row>
    <row r="235" hidden="1">
      <c r="A235" s="24" t="str">
        <f t="shared" si="16"/>
        <v/>
      </c>
      <c r="B235" s="10"/>
      <c r="C235" s="10">
        <v>44333.0</v>
      </c>
      <c r="D235" s="11"/>
      <c r="E235" s="12"/>
      <c r="F235" s="13"/>
      <c r="G235" s="13"/>
      <c r="H235" s="13"/>
      <c r="I235" s="13"/>
      <c r="J235" s="13"/>
      <c r="K235" s="13"/>
      <c r="L235" s="14"/>
      <c r="M235" s="15"/>
      <c r="N235" s="15"/>
      <c r="O235" s="15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</row>
    <row r="236" hidden="1">
      <c r="A236" s="24" t="str">
        <f t="shared" si="16"/>
        <v/>
      </c>
      <c r="B236" s="18" t="s">
        <v>14</v>
      </c>
      <c r="C236" s="77"/>
      <c r="D236" s="20"/>
      <c r="E236" s="21"/>
      <c r="F236" s="21"/>
      <c r="G236" s="33"/>
      <c r="H236" s="21"/>
      <c r="I236" s="21"/>
      <c r="J236" s="21"/>
      <c r="K236" s="23"/>
      <c r="L236" s="23"/>
      <c r="M236" s="15"/>
      <c r="N236" s="15" t="b">
        <v>0</v>
      </c>
      <c r="O236" s="15" t="b">
        <v>0</v>
      </c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</row>
    <row r="237" hidden="1">
      <c r="A237" s="24" t="str">
        <f t="shared" si="16"/>
        <v>ALINMAYACAK</v>
      </c>
      <c r="B237" s="25"/>
      <c r="C237" s="78" t="s">
        <v>78</v>
      </c>
      <c r="D237" s="20"/>
      <c r="E237" s="54" t="s">
        <v>77</v>
      </c>
      <c r="F237" s="55"/>
      <c r="G237" s="33"/>
      <c r="H237" s="42"/>
      <c r="I237" s="32"/>
      <c r="J237" s="32"/>
      <c r="K237" s="58"/>
      <c r="L237" s="23"/>
      <c r="M237" s="15" t="str">
        <f>VLOOKUP(E237,'hedef liste'!A:I,8,false)</f>
        <v>#N/A</v>
      </c>
      <c r="N237" s="15" t="b">
        <v>0</v>
      </c>
      <c r="O237" s="15" t="b">
        <v>0</v>
      </c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</row>
    <row r="238" hidden="1">
      <c r="A238" s="24" t="str">
        <f t="shared" si="16"/>
        <v/>
      </c>
      <c r="B238" s="25"/>
      <c r="C238" s="78" t="s">
        <v>78</v>
      </c>
      <c r="D238" s="20"/>
      <c r="E238" s="56"/>
      <c r="F238" s="57"/>
      <c r="G238" s="33"/>
      <c r="H238" s="42"/>
      <c r="I238" s="32"/>
      <c r="J238" s="32"/>
      <c r="K238" s="58"/>
      <c r="L238" s="23"/>
      <c r="M238" s="15" t="str">
        <f>VLOOKUP(E238,'hedef liste'!A:I,8,false)</f>
        <v>#N/A</v>
      </c>
      <c r="N238" s="15" t="b">
        <v>0</v>
      </c>
      <c r="O238" s="15" t="b">
        <v>0</v>
      </c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</row>
    <row r="239" hidden="1">
      <c r="A239" s="24" t="str">
        <f t="shared" si="16"/>
        <v/>
      </c>
      <c r="B239" s="25"/>
      <c r="C239" s="78" t="s">
        <v>78</v>
      </c>
      <c r="D239" s="20"/>
      <c r="E239" s="56"/>
      <c r="F239" s="57"/>
      <c r="G239" s="33"/>
      <c r="H239" s="42"/>
      <c r="I239" s="32"/>
      <c r="J239" s="32"/>
      <c r="K239" s="58"/>
      <c r="L239" s="23"/>
      <c r="M239" s="15" t="str">
        <f>VLOOKUP(E239,'hedef liste'!A:I,8,false)</f>
        <v>#N/A</v>
      </c>
      <c r="N239" s="15" t="b">
        <v>0</v>
      </c>
      <c r="O239" s="15" t="b">
        <v>0</v>
      </c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</row>
    <row r="240" hidden="1">
      <c r="A240" s="24" t="str">
        <f t="shared" si="16"/>
        <v/>
      </c>
      <c r="B240" s="25"/>
      <c r="C240" s="78" t="s">
        <v>78</v>
      </c>
      <c r="D240" s="38"/>
      <c r="E240" s="59"/>
      <c r="F240" s="60"/>
      <c r="G240" s="33"/>
      <c r="H240" s="42"/>
      <c r="I240" s="42"/>
      <c r="J240" s="32"/>
      <c r="K240" s="58"/>
      <c r="L240" s="23"/>
      <c r="M240" s="15" t="str">
        <f>VLOOKUP(E240,'hedef liste'!A:I,8,false)</f>
        <v>#N/A</v>
      </c>
      <c r="N240" s="15" t="b">
        <v>0</v>
      </c>
      <c r="O240" s="15" t="b">
        <v>0</v>
      </c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</row>
    <row r="241" hidden="1">
      <c r="A241" s="24" t="str">
        <f t="shared" si="16"/>
        <v/>
      </c>
      <c r="B241" s="39"/>
      <c r="C241" s="79"/>
      <c r="D241" s="20"/>
      <c r="E241" s="21"/>
      <c r="F241" s="21"/>
      <c r="G241" s="33"/>
      <c r="H241" s="21"/>
      <c r="I241" s="21"/>
      <c r="J241" s="21"/>
      <c r="K241" s="23"/>
      <c r="L241" s="23"/>
      <c r="M241" s="15"/>
      <c r="N241" s="15" t="b">
        <v>0</v>
      </c>
      <c r="O241" s="15" t="b">
        <v>0</v>
      </c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</row>
    <row r="242" hidden="1">
      <c r="A242" s="24" t="str">
        <f t="shared" si="16"/>
        <v/>
      </c>
      <c r="B242" s="18" t="s">
        <v>286</v>
      </c>
      <c r="C242" s="79"/>
      <c r="D242" s="20"/>
      <c r="E242" s="21"/>
      <c r="F242" s="21"/>
      <c r="G242" s="22"/>
      <c r="H242" s="21"/>
      <c r="I242" s="21"/>
      <c r="J242" s="21"/>
      <c r="K242" s="23"/>
      <c r="L242" s="23"/>
      <c r="M242" s="15"/>
      <c r="N242" s="15" t="b">
        <v>0</v>
      </c>
      <c r="O242" s="15" t="b">
        <v>0</v>
      </c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</row>
    <row r="243" hidden="1">
      <c r="A243" s="24" t="str">
        <f>E303</f>
        <v>60155882f8fb0b4838fa2c63</v>
      </c>
      <c r="B243" s="25"/>
      <c r="C243" s="80" t="s">
        <v>342</v>
      </c>
      <c r="D243" s="64"/>
      <c r="E243" s="54" t="s">
        <v>77</v>
      </c>
      <c r="F243" s="55"/>
      <c r="G243" s="22"/>
      <c r="H243" s="21"/>
      <c r="I243" s="21"/>
      <c r="J243" s="21"/>
      <c r="K243" s="21"/>
      <c r="L243" s="23"/>
      <c r="M243" s="15"/>
      <c r="N243" s="15" t="b">
        <v>0</v>
      </c>
      <c r="O243" s="15" t="b">
        <v>0</v>
      </c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</row>
    <row r="244" hidden="1">
      <c r="A244" s="24" t="str">
        <f>E289</f>
        <v>6023ff73fdc8e153c78c273f</v>
      </c>
      <c r="B244" s="25"/>
      <c r="C244" s="80" t="s">
        <v>342</v>
      </c>
      <c r="D244" s="64"/>
      <c r="E244" s="56"/>
      <c r="F244" s="57"/>
      <c r="G244" s="81"/>
      <c r="H244" s="21"/>
      <c r="I244" s="21"/>
      <c r="J244" s="21"/>
      <c r="K244" s="21"/>
      <c r="L244" s="23"/>
      <c r="M244" s="15"/>
      <c r="N244" s="15" t="b">
        <v>0</v>
      </c>
      <c r="O244" s="15" t="b">
        <v>0</v>
      </c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</row>
    <row r="245" hidden="1">
      <c r="A245" s="24" t="str">
        <f>E304</f>
        <v>606258b0b48e8457df440076</v>
      </c>
      <c r="B245" s="25"/>
      <c r="C245" s="80" t="s">
        <v>342</v>
      </c>
      <c r="D245" s="64"/>
      <c r="E245" s="56"/>
      <c r="F245" s="57"/>
      <c r="G245" s="22"/>
      <c r="H245" s="21"/>
      <c r="I245" s="21"/>
      <c r="J245" s="21"/>
      <c r="K245" s="21"/>
      <c r="L245" s="23"/>
      <c r="M245" s="15"/>
      <c r="N245" s="15" t="b">
        <v>0</v>
      </c>
      <c r="O245" s="15" t="b">
        <v>0</v>
      </c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</row>
    <row r="246" hidden="1">
      <c r="A246" s="24" t="str">
        <f>E291</f>
        <v>6040ec3d5922fece10d32edc</v>
      </c>
      <c r="B246" s="25"/>
      <c r="C246" s="80" t="s">
        <v>342</v>
      </c>
      <c r="D246" s="64"/>
      <c r="E246" s="56"/>
      <c r="F246" s="57"/>
      <c r="G246" s="22"/>
      <c r="H246" s="21"/>
      <c r="I246" s="21"/>
      <c r="J246" s="21"/>
      <c r="K246" s="21"/>
      <c r="L246" s="21"/>
      <c r="M246" s="21"/>
      <c r="N246" s="15" t="b">
        <v>0</v>
      </c>
      <c r="O246" s="15" t="b">
        <v>0</v>
      </c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</row>
    <row r="247" hidden="1">
      <c r="A247" s="24" t="str">
        <f t="shared" ref="A247:A255" si="17">E247</f>
        <v/>
      </c>
      <c r="B247" s="39"/>
      <c r="C247" s="79"/>
      <c r="D247" s="20"/>
      <c r="E247" s="59"/>
      <c r="F247" s="60"/>
      <c r="G247" s="33"/>
      <c r="H247" s="21"/>
      <c r="I247" s="21"/>
      <c r="J247" s="21"/>
      <c r="K247" s="23"/>
      <c r="L247" s="23"/>
      <c r="M247" s="15"/>
      <c r="N247" s="15" t="b">
        <v>0</v>
      </c>
      <c r="O247" s="15" t="b">
        <v>0</v>
      </c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</row>
    <row r="248" hidden="1">
      <c r="A248" s="24" t="str">
        <f t="shared" si="17"/>
        <v/>
      </c>
      <c r="B248" s="10"/>
      <c r="C248" s="10">
        <v>44334.0</v>
      </c>
      <c r="D248" s="11"/>
      <c r="E248" s="12"/>
      <c r="F248" s="13"/>
      <c r="G248" s="13"/>
      <c r="H248" s="13"/>
      <c r="I248" s="13"/>
      <c r="J248" s="13"/>
      <c r="K248" s="13"/>
      <c r="L248" s="14"/>
      <c r="M248" s="15"/>
      <c r="N248" s="15"/>
      <c r="O248" s="15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</row>
    <row r="249" hidden="1">
      <c r="A249" s="24" t="str">
        <f t="shared" si="17"/>
        <v/>
      </c>
      <c r="B249" s="18" t="s">
        <v>14</v>
      </c>
      <c r="C249" s="77"/>
      <c r="D249" s="20"/>
      <c r="E249" s="21"/>
      <c r="F249" s="42"/>
      <c r="G249" s="33"/>
      <c r="H249" s="21"/>
      <c r="I249" s="21"/>
      <c r="J249" s="21"/>
      <c r="K249" s="23"/>
      <c r="L249" s="23"/>
      <c r="M249" s="15"/>
      <c r="N249" s="15" t="b">
        <v>0</v>
      </c>
      <c r="O249" s="15" t="b">
        <v>0</v>
      </c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</row>
    <row r="250" hidden="1">
      <c r="A250" s="24" t="str">
        <f t="shared" si="17"/>
        <v>ALINMAYACAK</v>
      </c>
      <c r="B250" s="25"/>
      <c r="C250" s="78" t="s">
        <v>78</v>
      </c>
      <c r="D250" s="20"/>
      <c r="E250" s="54" t="s">
        <v>77</v>
      </c>
      <c r="F250" s="55"/>
      <c r="G250" s="33"/>
      <c r="H250" s="42"/>
      <c r="I250" s="32"/>
      <c r="J250" s="32"/>
      <c r="K250" s="58"/>
      <c r="L250" s="23"/>
      <c r="M250" s="15" t="str">
        <f>VLOOKUP(E250,'hedef liste'!A:I,8,false)</f>
        <v>#N/A</v>
      </c>
      <c r="N250" s="15" t="b">
        <v>0</v>
      </c>
      <c r="O250" s="15" t="b">
        <v>0</v>
      </c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</row>
    <row r="251" hidden="1">
      <c r="A251" s="24" t="str">
        <f t="shared" si="17"/>
        <v/>
      </c>
      <c r="B251" s="25"/>
      <c r="C251" s="78" t="s">
        <v>78</v>
      </c>
      <c r="D251" s="20"/>
      <c r="E251" s="56"/>
      <c r="F251" s="57"/>
      <c r="G251" s="33"/>
      <c r="H251" s="42"/>
      <c r="I251" s="32"/>
      <c r="J251" s="32"/>
      <c r="K251" s="58"/>
      <c r="L251" s="23"/>
      <c r="M251" s="15" t="str">
        <f>VLOOKUP(E251,'hedef liste'!A:I,8,false)</f>
        <v>#N/A</v>
      </c>
      <c r="N251" s="15" t="b">
        <v>0</v>
      </c>
      <c r="O251" s="15" t="b">
        <v>0</v>
      </c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</row>
    <row r="252" hidden="1">
      <c r="A252" s="24" t="str">
        <f t="shared" si="17"/>
        <v/>
      </c>
      <c r="B252" s="25"/>
      <c r="C252" s="78" t="s">
        <v>78</v>
      </c>
      <c r="D252" s="20"/>
      <c r="E252" s="56"/>
      <c r="F252" s="57"/>
      <c r="G252" s="33"/>
      <c r="H252" s="42"/>
      <c r="I252" s="42"/>
      <c r="J252" s="32"/>
      <c r="K252" s="34"/>
      <c r="L252" s="23"/>
      <c r="M252" s="15" t="str">
        <f>VLOOKUP(E252,'hedef liste'!A:I,8,false)</f>
        <v>#N/A</v>
      </c>
      <c r="N252" s="15" t="b">
        <v>0</v>
      </c>
      <c r="O252" s="15" t="b">
        <v>0</v>
      </c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</row>
    <row r="253" hidden="1">
      <c r="A253" s="24" t="str">
        <f t="shared" si="17"/>
        <v/>
      </c>
      <c r="B253" s="25"/>
      <c r="C253" s="78" t="s">
        <v>78</v>
      </c>
      <c r="D253" s="38"/>
      <c r="E253" s="59"/>
      <c r="F253" s="60"/>
      <c r="G253" s="33"/>
      <c r="H253" s="42"/>
      <c r="I253" s="42"/>
      <c r="J253" s="32"/>
      <c r="K253" s="34"/>
      <c r="L253" s="23"/>
      <c r="M253" s="15" t="str">
        <f>VLOOKUP(E253,'hedef liste'!A:I,8,false)</f>
        <v>#N/A</v>
      </c>
      <c r="N253" s="15" t="b">
        <v>0</v>
      </c>
      <c r="O253" s="15" t="b">
        <v>0</v>
      </c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</row>
    <row r="254" hidden="1">
      <c r="A254" s="24" t="str">
        <f t="shared" si="17"/>
        <v/>
      </c>
      <c r="B254" s="39"/>
      <c r="C254" s="82"/>
      <c r="D254" s="20"/>
      <c r="E254" s="21"/>
      <c r="F254" s="21"/>
      <c r="G254" s="22"/>
      <c r="H254" s="21"/>
      <c r="I254" s="21"/>
      <c r="J254" s="21"/>
      <c r="K254" s="23"/>
      <c r="L254" s="23"/>
      <c r="M254" s="15"/>
      <c r="N254" s="15" t="b">
        <v>0</v>
      </c>
      <c r="O254" s="15" t="b">
        <v>0</v>
      </c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</row>
    <row r="255" hidden="1">
      <c r="A255" s="24" t="str">
        <f t="shared" si="17"/>
        <v/>
      </c>
      <c r="B255" s="18" t="s">
        <v>286</v>
      </c>
      <c r="C255" s="82"/>
      <c r="D255" s="20"/>
      <c r="E255" s="21"/>
      <c r="F255" s="83" t="s">
        <v>601</v>
      </c>
      <c r="G255" s="33"/>
      <c r="H255" s="21"/>
      <c r="I255" s="21"/>
      <c r="J255" s="21"/>
      <c r="K255" s="23"/>
      <c r="L255" s="23"/>
      <c r="M255" s="15"/>
      <c r="N255" s="15" t="b">
        <v>0</v>
      </c>
      <c r="O255" s="15" t="b">
        <v>0</v>
      </c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</row>
    <row r="256" hidden="1">
      <c r="A256" s="24" t="str">
        <f>E278</f>
        <v>5fe119c51e9538f06795aed0</v>
      </c>
      <c r="B256" s="25"/>
      <c r="C256" s="80" t="s">
        <v>342</v>
      </c>
      <c r="D256" s="64"/>
      <c r="E256" s="21"/>
      <c r="F256" s="21"/>
      <c r="G256" s="22"/>
      <c r="H256" s="21"/>
      <c r="I256" s="21"/>
      <c r="J256" s="21"/>
      <c r="K256" s="21"/>
      <c r="L256" s="23"/>
      <c r="M256" s="15"/>
      <c r="N256" s="15" t="b">
        <v>0</v>
      </c>
      <c r="O256" s="15" t="b">
        <v>0</v>
      </c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</row>
    <row r="257" hidden="1">
      <c r="A257" s="24" t="str">
        <f>E257</f>
        <v>60144f4ed1201b25d595531d</v>
      </c>
      <c r="B257" s="25"/>
      <c r="C257" s="80" t="s">
        <v>342</v>
      </c>
      <c r="D257" s="20" t="s">
        <v>399</v>
      </c>
      <c r="E257" s="32" t="s">
        <v>602</v>
      </c>
      <c r="F257" s="32" t="s">
        <v>603</v>
      </c>
      <c r="G257" s="33">
        <v>0.5416666666666666</v>
      </c>
      <c r="H257" s="42" t="s">
        <v>498</v>
      </c>
      <c r="I257" s="32" t="s">
        <v>604</v>
      </c>
      <c r="J257" s="32" t="s">
        <v>605</v>
      </c>
      <c r="K257" s="58"/>
      <c r="L257" s="23"/>
      <c r="M257" s="15"/>
      <c r="N257" s="15" t="b">
        <v>0</v>
      </c>
      <c r="O257" s="15" t="b">
        <v>0</v>
      </c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</row>
    <row r="258" hidden="1">
      <c r="A258" s="24" t="str">
        <f>E305</f>
        <v>606360337692c7715bfcad87</v>
      </c>
      <c r="B258" s="25"/>
      <c r="C258" s="80" t="s">
        <v>342</v>
      </c>
      <c r="D258" s="64"/>
      <c r="E258" s="21"/>
      <c r="F258" s="21"/>
      <c r="G258" s="22"/>
      <c r="H258" s="21"/>
      <c r="I258" s="21"/>
      <c r="J258" s="21"/>
      <c r="K258" s="21"/>
      <c r="L258" s="23"/>
      <c r="M258" s="15"/>
      <c r="N258" s="15" t="b">
        <v>0</v>
      </c>
      <c r="O258" s="15" t="b">
        <v>0</v>
      </c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</row>
    <row r="259" hidden="1">
      <c r="A259" s="24" t="str">
        <f>E302</f>
        <v>5fe0d2a461e7ff5aa2fc442d</v>
      </c>
      <c r="B259" s="25"/>
      <c r="C259" s="80" t="s">
        <v>342</v>
      </c>
      <c r="D259" s="64"/>
      <c r="E259" s="21"/>
      <c r="F259" s="21"/>
      <c r="G259" s="22"/>
      <c r="H259" s="21"/>
      <c r="I259" s="21"/>
      <c r="J259" s="21"/>
      <c r="K259" s="21"/>
      <c r="L259" s="21"/>
      <c r="M259" s="21"/>
      <c r="N259" s="15" t="b">
        <v>0</v>
      </c>
      <c r="O259" s="15" t="b">
        <v>0</v>
      </c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</row>
    <row r="260" hidden="1">
      <c r="A260" s="24" t="str">
        <f t="shared" ref="A260:A275" si="18">E260</f>
        <v/>
      </c>
      <c r="B260" s="39"/>
      <c r="C260" s="79"/>
      <c r="D260" s="20"/>
      <c r="E260" s="21"/>
      <c r="F260" s="84"/>
      <c r="G260" s="84"/>
      <c r="H260" s="21"/>
      <c r="I260" s="42"/>
      <c r="J260" s="21"/>
      <c r="K260" s="23"/>
      <c r="L260" s="23"/>
      <c r="M260" s="15"/>
      <c r="N260" s="15" t="b">
        <v>0</v>
      </c>
      <c r="O260" s="15" t="b">
        <v>0</v>
      </c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</row>
    <row r="261" hidden="1">
      <c r="A261" s="24" t="str">
        <f t="shared" si="18"/>
        <v/>
      </c>
      <c r="B261" s="10"/>
      <c r="C261" s="10">
        <v>44335.0</v>
      </c>
      <c r="D261" s="11"/>
      <c r="E261" s="12"/>
      <c r="F261" s="13"/>
      <c r="G261" s="13"/>
      <c r="H261" s="13"/>
      <c r="I261" s="13"/>
      <c r="J261" s="13"/>
      <c r="K261" s="13"/>
      <c r="L261" s="14"/>
      <c r="M261" s="15"/>
      <c r="N261" s="15"/>
      <c r="O261" s="15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</row>
    <row r="262" hidden="1">
      <c r="A262" s="24" t="str">
        <f t="shared" si="18"/>
        <v>ALINMAYACAK</v>
      </c>
      <c r="B262" s="18" t="s">
        <v>286</v>
      </c>
      <c r="C262" s="85"/>
      <c r="D262" s="20"/>
      <c r="E262" s="54" t="s">
        <v>77</v>
      </c>
      <c r="F262" s="55"/>
      <c r="G262" s="22"/>
      <c r="H262" s="21"/>
      <c r="I262" s="21"/>
      <c r="J262" s="21"/>
      <c r="K262" s="23"/>
      <c r="L262" s="23"/>
      <c r="M262" s="15"/>
      <c r="N262" s="15" t="b">
        <v>0</v>
      </c>
      <c r="O262" s="15" t="b">
        <v>0</v>
      </c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</row>
    <row r="263" hidden="1">
      <c r="A263" s="24" t="str">
        <f t="shared" si="18"/>
        <v/>
      </c>
      <c r="B263" s="25"/>
      <c r="C263" s="80" t="s">
        <v>342</v>
      </c>
      <c r="D263" s="20"/>
      <c r="E263" s="56"/>
      <c r="F263" s="57"/>
      <c r="G263" s="33"/>
      <c r="H263" s="42"/>
      <c r="I263" s="42"/>
      <c r="J263" s="32"/>
      <c r="K263" s="23"/>
      <c r="L263" s="23"/>
      <c r="M263" s="15"/>
      <c r="N263" s="15" t="b">
        <v>0</v>
      </c>
      <c r="O263" s="15" t="b">
        <v>0</v>
      </c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</row>
    <row r="264" hidden="1">
      <c r="A264" s="24" t="str">
        <f t="shared" si="18"/>
        <v/>
      </c>
      <c r="B264" s="25"/>
      <c r="C264" s="80" t="s">
        <v>342</v>
      </c>
      <c r="D264" s="20"/>
      <c r="E264" s="56"/>
      <c r="F264" s="57"/>
      <c r="G264" s="33"/>
      <c r="H264" s="42"/>
      <c r="I264" s="42"/>
      <c r="J264" s="32"/>
      <c r="K264" s="23"/>
      <c r="L264" s="23"/>
      <c r="M264" s="15"/>
      <c r="N264" s="15" t="b">
        <v>0</v>
      </c>
      <c r="O264" s="15" t="b">
        <v>0</v>
      </c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</row>
    <row r="265" hidden="1">
      <c r="A265" s="24" t="str">
        <f t="shared" si="18"/>
        <v/>
      </c>
      <c r="B265" s="25"/>
      <c r="C265" s="80" t="s">
        <v>342</v>
      </c>
      <c r="D265" s="20"/>
      <c r="E265" s="56"/>
      <c r="F265" s="57"/>
      <c r="G265" s="33"/>
      <c r="H265" s="42"/>
      <c r="I265" s="42"/>
      <c r="J265" s="32"/>
      <c r="K265" s="21"/>
      <c r="L265" s="23"/>
      <c r="M265" s="15"/>
      <c r="N265" s="15" t="b">
        <v>0</v>
      </c>
      <c r="O265" s="15" t="b">
        <v>0</v>
      </c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</row>
    <row r="266" hidden="1">
      <c r="A266" s="24" t="str">
        <f t="shared" si="18"/>
        <v/>
      </c>
      <c r="B266" s="25"/>
      <c r="C266" s="80" t="s">
        <v>342</v>
      </c>
      <c r="D266" s="38"/>
      <c r="E266" s="59"/>
      <c r="F266" s="60"/>
      <c r="G266" s="33"/>
      <c r="H266" s="42"/>
      <c r="I266" s="42"/>
      <c r="J266" s="32"/>
      <c r="K266" s="21"/>
      <c r="L266" s="23"/>
      <c r="M266" s="15"/>
      <c r="N266" s="15" t="b">
        <v>0</v>
      </c>
      <c r="O266" s="15" t="b">
        <v>0</v>
      </c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</row>
    <row r="267" hidden="1">
      <c r="A267" s="24" t="str">
        <f t="shared" si="18"/>
        <v/>
      </c>
      <c r="B267" s="39"/>
      <c r="C267" s="79"/>
      <c r="D267" s="20"/>
      <c r="E267" s="21"/>
      <c r="F267" s="21"/>
      <c r="G267" s="22"/>
      <c r="H267" s="21"/>
      <c r="I267" s="21"/>
      <c r="J267" s="21"/>
      <c r="K267" s="23"/>
      <c r="L267" s="23"/>
      <c r="M267" s="15"/>
      <c r="N267" s="15" t="b">
        <v>0</v>
      </c>
      <c r="O267" s="15" t="b">
        <v>0</v>
      </c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</row>
    <row r="268" hidden="1">
      <c r="A268" s="86" t="str">
        <f t="shared" si="18"/>
        <v/>
      </c>
      <c r="B268" s="87"/>
      <c r="C268" s="88">
        <v>44336.0</v>
      </c>
      <c r="D268" s="89"/>
      <c r="E268" s="90"/>
      <c r="F268" s="13"/>
      <c r="G268" s="13"/>
      <c r="H268" s="13"/>
      <c r="I268" s="13"/>
      <c r="J268" s="13"/>
      <c r="K268" s="13"/>
      <c r="L268" s="14"/>
      <c r="M268" s="91"/>
      <c r="N268" s="91"/>
      <c r="O268" s="91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  <c r="AA268" s="92"/>
      <c r="AB268" s="92"/>
      <c r="AC268" s="92"/>
      <c r="AD268" s="92"/>
      <c r="AE268" s="92"/>
      <c r="AF268" s="92"/>
      <c r="AG268" s="92"/>
    </row>
    <row r="269" hidden="1">
      <c r="A269" s="86" t="str">
        <f t="shared" si="18"/>
        <v>ALINMAYACAK</v>
      </c>
      <c r="B269" s="93"/>
      <c r="C269" s="80" t="s">
        <v>342</v>
      </c>
      <c r="D269" s="89"/>
      <c r="E269" s="54" t="s">
        <v>77</v>
      </c>
      <c r="F269" s="55"/>
      <c r="G269" s="94"/>
      <c r="H269" s="91"/>
      <c r="I269" s="91"/>
      <c r="J269" s="95"/>
      <c r="K269" s="91"/>
      <c r="L269" s="91"/>
      <c r="M269" s="91"/>
      <c r="N269" s="96" t="b">
        <v>0</v>
      </c>
      <c r="O269" s="96" t="b">
        <v>0</v>
      </c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  <c r="AA269" s="92"/>
      <c r="AB269" s="92"/>
      <c r="AC269" s="92"/>
      <c r="AD269" s="92"/>
      <c r="AE269" s="92"/>
      <c r="AF269" s="92"/>
      <c r="AG269" s="92"/>
    </row>
    <row r="270" hidden="1">
      <c r="A270" s="86" t="str">
        <f t="shared" si="18"/>
        <v/>
      </c>
      <c r="B270" s="57"/>
      <c r="C270" s="80" t="s">
        <v>342</v>
      </c>
      <c r="D270" s="97"/>
      <c r="E270" s="56"/>
      <c r="F270" s="57"/>
      <c r="G270" s="94"/>
      <c r="H270" s="98"/>
      <c r="I270" s="98"/>
      <c r="J270" s="32"/>
      <c r="K270" s="91"/>
      <c r="L270" s="91"/>
      <c r="M270" s="91"/>
      <c r="N270" s="96" t="b">
        <v>0</v>
      </c>
      <c r="O270" s="96" t="b">
        <v>0</v>
      </c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  <c r="AA270" s="92"/>
      <c r="AB270" s="92"/>
      <c r="AC270" s="92"/>
      <c r="AD270" s="92"/>
      <c r="AE270" s="92"/>
      <c r="AF270" s="92"/>
      <c r="AG270" s="92"/>
    </row>
    <row r="271" hidden="1">
      <c r="A271" s="86" t="str">
        <f t="shared" si="18"/>
        <v/>
      </c>
      <c r="B271" s="57"/>
      <c r="C271" s="80" t="s">
        <v>342</v>
      </c>
      <c r="D271" s="97"/>
      <c r="E271" s="56"/>
      <c r="F271" s="57"/>
      <c r="G271" s="99"/>
      <c r="H271" s="98"/>
      <c r="I271" s="98"/>
      <c r="J271" s="32"/>
      <c r="K271" s="100"/>
      <c r="L271" s="101"/>
      <c r="M271" s="91"/>
      <c r="N271" s="96" t="b">
        <v>0</v>
      </c>
      <c r="O271" s="96" t="b">
        <v>0</v>
      </c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  <c r="AA271" s="92"/>
      <c r="AB271" s="92"/>
      <c r="AC271" s="92"/>
      <c r="AD271" s="92"/>
      <c r="AE271" s="92"/>
      <c r="AF271" s="92"/>
      <c r="AG271" s="92"/>
    </row>
    <row r="272" hidden="1">
      <c r="A272" s="86" t="str">
        <f t="shared" si="18"/>
        <v/>
      </c>
      <c r="B272" s="57"/>
      <c r="C272" s="80" t="s">
        <v>342</v>
      </c>
      <c r="D272" s="102"/>
      <c r="E272" s="56"/>
      <c r="F272" s="57"/>
      <c r="G272" s="94"/>
      <c r="H272" s="98"/>
      <c r="I272" s="98"/>
      <c r="J272" s="32"/>
      <c r="K272" s="91"/>
      <c r="L272" s="91"/>
      <c r="M272" s="91"/>
      <c r="N272" s="96" t="b">
        <v>0</v>
      </c>
      <c r="O272" s="96" t="b">
        <v>0</v>
      </c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  <c r="AA272" s="92"/>
      <c r="AB272" s="92"/>
      <c r="AC272" s="92"/>
      <c r="AD272" s="92"/>
      <c r="AE272" s="92"/>
      <c r="AF272" s="92"/>
      <c r="AG272" s="92"/>
    </row>
    <row r="273" hidden="1">
      <c r="A273" s="86" t="str">
        <f t="shared" si="18"/>
        <v/>
      </c>
      <c r="B273" s="60"/>
      <c r="C273" s="103"/>
      <c r="D273" s="97"/>
      <c r="E273" s="59"/>
      <c r="F273" s="60"/>
      <c r="G273" s="99"/>
      <c r="H273" s="98"/>
      <c r="I273" s="98"/>
      <c r="J273" s="32"/>
      <c r="K273" s="91"/>
      <c r="L273" s="91"/>
      <c r="M273" s="91"/>
      <c r="N273" s="96" t="b">
        <v>0</v>
      </c>
      <c r="O273" s="96" t="b">
        <v>0</v>
      </c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  <c r="AA273" s="92"/>
      <c r="AB273" s="92"/>
      <c r="AC273" s="92"/>
      <c r="AD273" s="92"/>
      <c r="AE273" s="92"/>
      <c r="AF273" s="92"/>
      <c r="AG273" s="92"/>
    </row>
    <row r="274" hidden="1">
      <c r="A274" s="86" t="str">
        <f t="shared" si="18"/>
        <v/>
      </c>
      <c r="B274" s="87"/>
      <c r="C274" s="88">
        <v>44337.0</v>
      </c>
      <c r="D274" s="89"/>
      <c r="E274" s="104"/>
      <c r="F274" s="13"/>
      <c r="G274" s="13"/>
      <c r="H274" s="13"/>
      <c r="I274" s="13"/>
      <c r="J274" s="13"/>
      <c r="K274" s="13"/>
      <c r="L274" s="14"/>
      <c r="M274" s="91"/>
      <c r="N274" s="91"/>
      <c r="O274" s="91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  <c r="AA274" s="92"/>
      <c r="AB274" s="92"/>
      <c r="AC274" s="92"/>
      <c r="AD274" s="92"/>
      <c r="AE274" s="92"/>
      <c r="AF274" s="92"/>
      <c r="AG274" s="92"/>
    </row>
    <row r="275" hidden="1">
      <c r="A275" s="86" t="str">
        <f t="shared" si="18"/>
        <v/>
      </c>
      <c r="B275" s="93" t="s">
        <v>286</v>
      </c>
      <c r="C275" s="80"/>
      <c r="D275" s="89"/>
      <c r="E275" s="91"/>
      <c r="F275" s="91"/>
      <c r="G275" s="71"/>
      <c r="H275" s="91"/>
      <c r="I275" s="91"/>
      <c r="J275" s="91"/>
      <c r="K275" s="91"/>
      <c r="L275" s="91"/>
      <c r="M275" s="91"/>
      <c r="N275" s="96" t="b">
        <v>0</v>
      </c>
      <c r="O275" s="96" t="b">
        <v>0</v>
      </c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  <c r="AA275" s="92"/>
      <c r="AB275" s="92"/>
      <c r="AC275" s="92"/>
      <c r="AD275" s="92"/>
      <c r="AE275" s="92"/>
      <c r="AF275" s="92"/>
      <c r="AG275" s="92"/>
    </row>
    <row r="276" hidden="1">
      <c r="A276" s="86" t="str">
        <f>#REF!</f>
        <v>#REF!</v>
      </c>
      <c r="B276" s="57"/>
      <c r="C276" s="80" t="s">
        <v>342</v>
      </c>
      <c r="D276" s="64"/>
      <c r="E276" s="21"/>
      <c r="F276" s="21"/>
      <c r="G276" s="22"/>
      <c r="H276" s="21"/>
      <c r="I276" s="21"/>
      <c r="J276" s="21"/>
      <c r="K276" s="21"/>
      <c r="L276" s="21"/>
      <c r="M276" s="15"/>
      <c r="N276" s="96" t="b">
        <v>0</v>
      </c>
      <c r="O276" s="96" t="b">
        <v>0</v>
      </c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  <c r="AA276" s="92"/>
      <c r="AB276" s="92"/>
      <c r="AC276" s="92"/>
      <c r="AD276" s="92"/>
      <c r="AE276" s="92"/>
      <c r="AF276" s="92"/>
      <c r="AG276" s="92"/>
    </row>
    <row r="277" hidden="1">
      <c r="A277" s="86" t="str">
        <f>E277</f>
        <v>608d9d01475966a8e452dfd4</v>
      </c>
      <c r="B277" s="57"/>
      <c r="C277" s="80" t="s">
        <v>342</v>
      </c>
      <c r="D277" s="97" t="s">
        <v>606</v>
      </c>
      <c r="E277" s="32" t="s">
        <v>607</v>
      </c>
      <c r="F277" s="32" t="s">
        <v>608</v>
      </c>
      <c r="G277" s="99">
        <v>0.5</v>
      </c>
      <c r="H277" s="98" t="s">
        <v>82</v>
      </c>
      <c r="I277" s="98" t="s">
        <v>609</v>
      </c>
      <c r="J277" s="105" t="s">
        <v>610</v>
      </c>
      <c r="K277" s="91"/>
      <c r="L277" s="91"/>
      <c r="M277" s="91"/>
      <c r="N277" s="96" t="b">
        <v>0</v>
      </c>
      <c r="O277" s="96" t="b">
        <v>0</v>
      </c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  <c r="AA277" s="92"/>
      <c r="AB277" s="92"/>
      <c r="AC277" s="92"/>
      <c r="AD277" s="92"/>
      <c r="AE277" s="92"/>
      <c r="AF277" s="92"/>
      <c r="AG277" s="92"/>
    </row>
    <row r="278" hidden="1">
      <c r="A278" s="86" t="str">
        <f>#REF!</f>
        <v>#REF!</v>
      </c>
      <c r="B278" s="57"/>
      <c r="C278" s="80" t="s">
        <v>342</v>
      </c>
      <c r="D278" s="27" t="s">
        <v>399</v>
      </c>
      <c r="E278" s="28" t="s">
        <v>611</v>
      </c>
      <c r="F278" s="28" t="s">
        <v>612</v>
      </c>
      <c r="G278" s="29">
        <v>0.5833333333333334</v>
      </c>
      <c r="H278" s="30" t="s">
        <v>233</v>
      </c>
      <c r="I278" s="28" t="s">
        <v>613</v>
      </c>
      <c r="J278" s="28" t="s">
        <v>614</v>
      </c>
      <c r="K278" s="63"/>
      <c r="L278" s="91"/>
      <c r="M278" s="91"/>
      <c r="N278" s="96" t="b">
        <v>0</v>
      </c>
      <c r="O278" s="96" t="b">
        <v>0</v>
      </c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  <c r="AA278" s="92"/>
      <c r="AB278" s="92"/>
      <c r="AC278" s="92"/>
      <c r="AD278" s="92"/>
      <c r="AE278" s="92"/>
      <c r="AF278" s="92"/>
      <c r="AG278" s="92"/>
    </row>
    <row r="279" hidden="1">
      <c r="A279" s="86" t="str">
        <f t="shared" ref="A279:A390" si="19">E279</f>
        <v>6092e017fe3691cbdefe436f</v>
      </c>
      <c r="B279" s="57"/>
      <c r="C279" s="80" t="s">
        <v>342</v>
      </c>
      <c r="D279" s="102" t="s">
        <v>606</v>
      </c>
      <c r="E279" s="32" t="s">
        <v>615</v>
      </c>
      <c r="F279" s="32" t="s">
        <v>616</v>
      </c>
      <c r="G279" s="94">
        <v>0.6666666666666666</v>
      </c>
      <c r="H279" s="48" t="s">
        <v>233</v>
      </c>
      <c r="I279" s="98" t="s">
        <v>617</v>
      </c>
      <c r="J279" s="32" t="s">
        <v>618</v>
      </c>
      <c r="K279" s="91"/>
      <c r="L279" s="91"/>
      <c r="M279" s="91"/>
      <c r="N279" s="96" t="b">
        <v>0</v>
      </c>
      <c r="O279" s="96" t="b">
        <v>0</v>
      </c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  <c r="AA279" s="92"/>
      <c r="AB279" s="92"/>
      <c r="AC279" s="92"/>
      <c r="AD279" s="92"/>
      <c r="AE279" s="92"/>
      <c r="AF279" s="92"/>
      <c r="AG279" s="92"/>
    </row>
    <row r="280" hidden="1">
      <c r="A280" s="86" t="str">
        <f t="shared" si="19"/>
        <v>60813459191de06da3a315a0</v>
      </c>
      <c r="B280" s="60"/>
      <c r="C280" s="103"/>
      <c r="D280" s="97" t="s">
        <v>606</v>
      </c>
      <c r="E280" s="32" t="s">
        <v>619</v>
      </c>
      <c r="F280" s="32" t="s">
        <v>620</v>
      </c>
      <c r="G280" s="99">
        <v>0.75</v>
      </c>
      <c r="H280" s="48" t="s">
        <v>233</v>
      </c>
      <c r="I280" s="98" t="s">
        <v>621</v>
      </c>
      <c r="J280" s="32" t="s">
        <v>622</v>
      </c>
      <c r="K280" s="91"/>
      <c r="L280" s="91"/>
      <c r="M280" s="91"/>
      <c r="N280" s="96" t="b">
        <v>0</v>
      </c>
      <c r="O280" s="96" t="b">
        <v>0</v>
      </c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  <c r="AA280" s="92"/>
      <c r="AB280" s="92"/>
      <c r="AC280" s="92"/>
      <c r="AD280" s="92"/>
      <c r="AE280" s="92"/>
      <c r="AF280" s="92"/>
      <c r="AG280" s="92"/>
    </row>
    <row r="281" hidden="1">
      <c r="A281" s="86" t="str">
        <f t="shared" si="19"/>
        <v/>
      </c>
      <c r="B281" s="87"/>
      <c r="C281" s="88">
        <v>44340.0</v>
      </c>
      <c r="D281" s="89"/>
      <c r="E281" s="104"/>
      <c r="F281" s="13"/>
      <c r="G281" s="13"/>
      <c r="H281" s="13"/>
      <c r="I281" s="13"/>
      <c r="J281" s="13"/>
      <c r="K281" s="13"/>
      <c r="L281" s="14"/>
      <c r="M281" s="91"/>
      <c r="N281" s="91"/>
      <c r="O281" s="91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  <c r="AA281" s="92"/>
      <c r="AB281" s="92"/>
      <c r="AC281" s="92"/>
      <c r="AD281" s="92"/>
      <c r="AE281" s="92"/>
      <c r="AF281" s="92"/>
      <c r="AG281" s="92"/>
    </row>
    <row r="282" hidden="1">
      <c r="A282" s="86" t="str">
        <f t="shared" si="19"/>
        <v>6064688602bcfe3020eaa65e</v>
      </c>
      <c r="B282" s="106" t="s">
        <v>623</v>
      </c>
      <c r="C282" s="103"/>
      <c r="D282" s="97" t="s">
        <v>79</v>
      </c>
      <c r="E282" s="98" t="s">
        <v>624</v>
      </c>
      <c r="F282" s="61" t="s">
        <v>625</v>
      </c>
      <c r="G282" s="99">
        <v>0.4791666666666667</v>
      </c>
      <c r="H282" s="98" t="s">
        <v>458</v>
      </c>
      <c r="I282" s="98" t="s">
        <v>626</v>
      </c>
      <c r="J282" s="98" t="s">
        <v>627</v>
      </c>
      <c r="K282" s="91"/>
      <c r="L282" s="91"/>
      <c r="M282" s="91"/>
      <c r="N282" s="96" t="b">
        <v>0</v>
      </c>
      <c r="O282" s="96" t="b">
        <v>0</v>
      </c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  <c r="AA282" s="92"/>
      <c r="AB282" s="92"/>
      <c r="AC282" s="92"/>
      <c r="AD282" s="92"/>
      <c r="AE282" s="92"/>
      <c r="AF282" s="92"/>
      <c r="AG282" s="92"/>
    </row>
    <row r="283" hidden="1">
      <c r="A283" s="86" t="str">
        <f t="shared" si="19"/>
        <v>6014ab37d9ee3c37400420db</v>
      </c>
      <c r="B283" s="57"/>
      <c r="C283" s="80" t="s">
        <v>342</v>
      </c>
      <c r="D283" s="107" t="s">
        <v>606</v>
      </c>
      <c r="E283" s="28" t="s">
        <v>628</v>
      </c>
      <c r="F283" s="28" t="s">
        <v>629</v>
      </c>
      <c r="G283" s="108">
        <v>0.5416666666666666</v>
      </c>
      <c r="H283" s="109" t="s">
        <v>630</v>
      </c>
      <c r="I283" s="110" t="s">
        <v>631</v>
      </c>
      <c r="J283" s="28" t="s">
        <v>632</v>
      </c>
      <c r="K283" s="111"/>
      <c r="L283" s="91"/>
      <c r="M283" s="96">
        <f>VLOOKUP(E283,'hedef liste'!A:I,8,false)</f>
        <v>4</v>
      </c>
      <c r="N283" s="96" t="b">
        <v>0</v>
      </c>
      <c r="O283" s="96" t="b">
        <v>0</v>
      </c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  <c r="AA283" s="92"/>
      <c r="AB283" s="92"/>
      <c r="AC283" s="92"/>
      <c r="AD283" s="92"/>
      <c r="AE283" s="92"/>
      <c r="AF283" s="92"/>
      <c r="AG283" s="92"/>
    </row>
    <row r="284" hidden="1">
      <c r="A284" s="86" t="str">
        <f t="shared" si="19"/>
        <v>60144a7015c659f7cfa3182d</v>
      </c>
      <c r="B284" s="57"/>
      <c r="C284" s="80" t="s">
        <v>342</v>
      </c>
      <c r="D284" s="107" t="s">
        <v>606</v>
      </c>
      <c r="E284" s="28" t="s">
        <v>633</v>
      </c>
      <c r="F284" s="28" t="s">
        <v>634</v>
      </c>
      <c r="G284" s="112" t="s">
        <v>567</v>
      </c>
      <c r="H284" s="109" t="s">
        <v>635</v>
      </c>
      <c r="I284" s="110" t="s">
        <v>636</v>
      </c>
      <c r="J284" s="110" t="s">
        <v>637</v>
      </c>
      <c r="K284" s="111"/>
      <c r="L284" s="91"/>
      <c r="M284" s="96">
        <f>VLOOKUP(E284,'hedef liste'!A:I,8,false)</f>
        <v>14</v>
      </c>
      <c r="N284" s="96" t="b">
        <v>0</v>
      </c>
      <c r="O284" s="96" t="b">
        <v>0</v>
      </c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  <c r="AA284" s="92"/>
      <c r="AB284" s="92"/>
      <c r="AC284" s="92"/>
      <c r="AD284" s="92"/>
      <c r="AE284" s="92"/>
      <c r="AF284" s="92"/>
      <c r="AG284" s="92"/>
    </row>
    <row r="285" hidden="1">
      <c r="A285" s="86" t="str">
        <f t="shared" si="19"/>
        <v>6065c1a93bf9ca073feb1140</v>
      </c>
      <c r="B285" s="57"/>
      <c r="C285" s="80" t="s">
        <v>342</v>
      </c>
      <c r="D285" s="97" t="s">
        <v>606</v>
      </c>
      <c r="E285" s="32" t="s">
        <v>638</v>
      </c>
      <c r="F285" s="32" t="s">
        <v>639</v>
      </c>
      <c r="G285" s="99">
        <v>0.7083333333333334</v>
      </c>
      <c r="H285" s="98" t="s">
        <v>630</v>
      </c>
      <c r="I285" s="98" t="s">
        <v>640</v>
      </c>
      <c r="J285" s="32" t="s">
        <v>641</v>
      </c>
      <c r="K285" s="91"/>
      <c r="L285" s="91"/>
      <c r="M285" s="96">
        <f>VLOOKUP(E285,'hedef liste'!A:I,8,false)</f>
        <v>12</v>
      </c>
      <c r="N285" s="96" t="b">
        <v>0</v>
      </c>
      <c r="O285" s="96" t="b">
        <v>0</v>
      </c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  <c r="AA285" s="92"/>
      <c r="AB285" s="92"/>
      <c r="AC285" s="92"/>
      <c r="AD285" s="92"/>
      <c r="AE285" s="92"/>
      <c r="AF285" s="92"/>
      <c r="AG285" s="92"/>
    </row>
    <row r="286" hidden="1">
      <c r="A286" s="86" t="str">
        <f t="shared" si="19"/>
        <v/>
      </c>
      <c r="B286" s="57"/>
      <c r="C286" s="80" t="s">
        <v>342</v>
      </c>
      <c r="D286" s="102"/>
      <c r="E286" s="95"/>
      <c r="F286" s="95"/>
      <c r="G286" s="94"/>
      <c r="H286" s="91"/>
      <c r="I286" s="91"/>
      <c r="J286" s="95"/>
      <c r="K286" s="91"/>
      <c r="L286" s="91"/>
      <c r="M286" s="96" t="str">
        <f>VLOOKUP(E286,'hedef liste'!A:I,8,false)</f>
        <v>#N/A</v>
      </c>
      <c r="N286" s="96" t="b">
        <v>0</v>
      </c>
      <c r="O286" s="96" t="b">
        <v>0</v>
      </c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  <c r="AA286" s="92"/>
      <c r="AB286" s="92"/>
      <c r="AC286" s="92"/>
      <c r="AD286" s="92"/>
      <c r="AE286" s="92"/>
      <c r="AF286" s="92"/>
      <c r="AG286" s="92"/>
    </row>
    <row r="287" hidden="1">
      <c r="A287" s="86" t="str">
        <f t="shared" si="19"/>
        <v/>
      </c>
      <c r="B287" s="60"/>
      <c r="C287" s="80"/>
      <c r="D287" s="89"/>
      <c r="E287" s="91"/>
      <c r="F287" s="91"/>
      <c r="G287" s="71"/>
      <c r="H287" s="91"/>
      <c r="I287" s="91"/>
      <c r="J287" s="91"/>
      <c r="K287" s="91"/>
      <c r="L287" s="91"/>
      <c r="M287" s="91"/>
      <c r="N287" s="96" t="b">
        <v>0</v>
      </c>
      <c r="O287" s="96" t="b">
        <v>0</v>
      </c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  <c r="AA287" s="92"/>
      <c r="AB287" s="92"/>
      <c r="AC287" s="92"/>
      <c r="AD287" s="92"/>
      <c r="AE287" s="92"/>
      <c r="AF287" s="92"/>
      <c r="AG287" s="92"/>
    </row>
    <row r="288" hidden="1">
      <c r="A288" s="86" t="str">
        <f t="shared" si="19"/>
        <v>601580c4f55f40704fc9e352</v>
      </c>
      <c r="B288" s="18" t="s">
        <v>14</v>
      </c>
      <c r="C288" s="113" t="s">
        <v>78</v>
      </c>
      <c r="D288" s="107" t="s">
        <v>590</v>
      </c>
      <c r="E288" s="28" t="s">
        <v>642</v>
      </c>
      <c r="F288" s="28" t="s">
        <v>643</v>
      </c>
      <c r="G288" s="108">
        <v>0.4791666666666667</v>
      </c>
      <c r="H288" s="109" t="s">
        <v>211</v>
      </c>
      <c r="I288" s="109" t="s">
        <v>644</v>
      </c>
      <c r="J288" s="28" t="s">
        <v>645</v>
      </c>
      <c r="K288" s="111"/>
      <c r="L288" s="91"/>
      <c r="M288" s="91"/>
      <c r="N288" s="96" t="b">
        <v>0</v>
      </c>
      <c r="O288" s="96" t="b">
        <v>0</v>
      </c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  <c r="AA288" s="92"/>
      <c r="AB288" s="92"/>
      <c r="AC288" s="92"/>
      <c r="AD288" s="92"/>
      <c r="AE288" s="92"/>
      <c r="AF288" s="92"/>
      <c r="AG288" s="92"/>
    </row>
    <row r="289" hidden="1">
      <c r="A289" s="86" t="str">
        <f t="shared" si="19"/>
        <v>6023ff73fdc8e153c78c273f</v>
      </c>
      <c r="B289" s="25"/>
      <c r="C289" s="78" t="s">
        <v>78</v>
      </c>
      <c r="D289" s="20" t="s">
        <v>399</v>
      </c>
      <c r="E289" s="32" t="s">
        <v>646</v>
      </c>
      <c r="F289" s="32" t="s">
        <v>389</v>
      </c>
      <c r="G289" s="33">
        <v>0.5833333333333334</v>
      </c>
      <c r="H289" s="42" t="s">
        <v>647</v>
      </c>
      <c r="I289" s="32" t="s">
        <v>648</v>
      </c>
      <c r="J289" s="32" t="s">
        <v>391</v>
      </c>
      <c r="K289" s="58"/>
      <c r="L289" s="91"/>
      <c r="M289" s="91"/>
      <c r="N289" s="96" t="b">
        <v>0</v>
      </c>
      <c r="O289" s="96" t="b">
        <v>0</v>
      </c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  <c r="AA289" s="92"/>
      <c r="AB289" s="92"/>
      <c r="AC289" s="92"/>
      <c r="AD289" s="92"/>
      <c r="AE289" s="92"/>
      <c r="AF289" s="92"/>
      <c r="AG289" s="92"/>
    </row>
    <row r="290" hidden="1">
      <c r="A290" s="86" t="str">
        <f t="shared" si="19"/>
        <v>607f3a80974e08ee3f0c8902	Akif Börekçioğlu, Çukurova (Mahfesığmaz Mah.)</v>
      </c>
      <c r="B290" s="25"/>
      <c r="C290" s="78" t="s">
        <v>78</v>
      </c>
      <c r="D290" s="97" t="s">
        <v>79</v>
      </c>
      <c r="E290" s="109" t="s">
        <v>649</v>
      </c>
      <c r="F290" s="111"/>
      <c r="G290" s="108">
        <v>0.6666666666666666</v>
      </c>
      <c r="H290" s="109" t="s">
        <v>211</v>
      </c>
      <c r="I290" s="109" t="s">
        <v>650</v>
      </c>
      <c r="J290" s="109" t="s">
        <v>651</v>
      </c>
      <c r="K290" s="111"/>
      <c r="L290" s="111"/>
      <c r="M290" s="91"/>
      <c r="N290" s="96" t="b">
        <v>0</v>
      </c>
      <c r="O290" s="96" t="b">
        <v>0</v>
      </c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  <c r="AA290" s="92"/>
      <c r="AB290" s="92"/>
      <c r="AC290" s="92"/>
      <c r="AD290" s="92"/>
      <c r="AE290" s="92"/>
      <c r="AF290" s="92"/>
      <c r="AG290" s="92"/>
    </row>
    <row r="291" hidden="1">
      <c r="A291" s="86" t="str">
        <f t="shared" si="19"/>
        <v>6040ec3d5922fece10d32edc</v>
      </c>
      <c r="B291" s="25"/>
      <c r="C291" s="78" t="s">
        <v>78</v>
      </c>
      <c r="D291" s="38" t="s">
        <v>399</v>
      </c>
      <c r="E291" s="32" t="s">
        <v>652</v>
      </c>
      <c r="F291" s="32" t="s">
        <v>653</v>
      </c>
      <c r="G291" s="33">
        <v>0.7291666666666666</v>
      </c>
      <c r="H291" s="42" t="s">
        <v>647</v>
      </c>
      <c r="I291" s="42" t="s">
        <v>654</v>
      </c>
      <c r="J291" s="32" t="s">
        <v>655</v>
      </c>
      <c r="K291" s="58"/>
      <c r="L291" s="23"/>
      <c r="M291" s="91"/>
      <c r="N291" s="96" t="b">
        <v>0</v>
      </c>
      <c r="O291" s="96" t="b">
        <v>0</v>
      </c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  <c r="AA291" s="92"/>
      <c r="AB291" s="92"/>
      <c r="AC291" s="92"/>
      <c r="AD291" s="92"/>
      <c r="AE291" s="92"/>
      <c r="AF291" s="92"/>
      <c r="AG291" s="92"/>
    </row>
    <row r="292" hidden="1">
      <c r="A292" s="86" t="str">
        <f t="shared" si="19"/>
        <v/>
      </c>
      <c r="B292" s="25"/>
      <c r="C292" s="78"/>
      <c r="D292" s="89"/>
      <c r="E292" s="91"/>
      <c r="F292" s="91"/>
      <c r="G292" s="71"/>
      <c r="H292" s="91"/>
      <c r="I292" s="91"/>
      <c r="J292" s="91"/>
      <c r="K292" s="91"/>
      <c r="L292" s="91"/>
      <c r="M292" s="91"/>
      <c r="N292" s="96" t="b">
        <v>0</v>
      </c>
      <c r="O292" s="96" t="b">
        <v>0</v>
      </c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  <c r="AA292" s="92"/>
      <c r="AB292" s="92"/>
      <c r="AC292" s="92"/>
      <c r="AD292" s="92"/>
      <c r="AE292" s="92"/>
      <c r="AF292" s="92"/>
      <c r="AG292" s="92"/>
    </row>
    <row r="293" hidden="1">
      <c r="A293" s="86" t="str">
        <f t="shared" si="19"/>
        <v/>
      </c>
      <c r="B293" s="39"/>
      <c r="C293" s="82"/>
      <c r="D293" s="89"/>
      <c r="E293" s="91"/>
      <c r="F293" s="91"/>
      <c r="G293" s="71"/>
      <c r="H293" s="91"/>
      <c r="I293" s="91"/>
      <c r="J293" s="91"/>
      <c r="K293" s="91"/>
      <c r="L293" s="91"/>
      <c r="M293" s="91"/>
      <c r="N293" s="96" t="b">
        <v>0</v>
      </c>
      <c r="O293" s="96" t="b">
        <v>0</v>
      </c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  <c r="AA293" s="92"/>
      <c r="AB293" s="92"/>
      <c r="AC293" s="92"/>
      <c r="AD293" s="92"/>
      <c r="AE293" s="92"/>
      <c r="AF293" s="92"/>
      <c r="AG293" s="92"/>
    </row>
    <row r="294" hidden="1">
      <c r="A294" s="86" t="str">
        <f t="shared" si="19"/>
        <v/>
      </c>
      <c r="B294" s="87"/>
      <c r="C294" s="88">
        <v>44341.0</v>
      </c>
      <c r="D294" s="89"/>
      <c r="E294" s="104"/>
      <c r="F294" s="13"/>
      <c r="G294" s="13"/>
      <c r="H294" s="13"/>
      <c r="I294" s="13"/>
      <c r="J294" s="13"/>
      <c r="K294" s="13"/>
      <c r="L294" s="14"/>
      <c r="M294" s="91"/>
      <c r="N294" s="91"/>
      <c r="O294" s="91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  <c r="AA294" s="92"/>
      <c r="AB294" s="92"/>
      <c r="AC294" s="92"/>
      <c r="AD294" s="92"/>
      <c r="AE294" s="92"/>
      <c r="AF294" s="92"/>
      <c r="AG294" s="92"/>
    </row>
    <row r="295" hidden="1">
      <c r="A295" s="86" t="str">
        <f t="shared" si="19"/>
        <v/>
      </c>
      <c r="B295" s="106" t="s">
        <v>623</v>
      </c>
      <c r="C295" s="103"/>
      <c r="D295" s="89"/>
      <c r="E295" s="91"/>
      <c r="F295" s="91"/>
      <c r="G295" s="99"/>
      <c r="H295" s="91"/>
      <c r="I295" s="91"/>
      <c r="J295" s="91"/>
      <c r="K295" s="91"/>
      <c r="L295" s="91"/>
      <c r="M295" s="91"/>
      <c r="N295" s="96" t="b">
        <v>0</v>
      </c>
      <c r="O295" s="96" t="b">
        <v>0</v>
      </c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  <c r="AA295" s="92"/>
      <c r="AB295" s="92"/>
      <c r="AC295" s="92"/>
      <c r="AD295" s="92"/>
      <c r="AE295" s="92"/>
      <c r="AF295" s="92"/>
      <c r="AG295" s="92"/>
    </row>
    <row r="296" hidden="1">
      <c r="A296" s="86" t="str">
        <f t="shared" si="19"/>
        <v>603c03cc77274f5c05c6bcb9</v>
      </c>
      <c r="B296" s="57"/>
      <c r="C296" s="80" t="s">
        <v>342</v>
      </c>
      <c r="D296" s="97" t="s">
        <v>399</v>
      </c>
      <c r="E296" s="32" t="s">
        <v>656</v>
      </c>
      <c r="F296" s="32" t="s">
        <v>657</v>
      </c>
      <c r="G296" s="94">
        <v>0.5</v>
      </c>
      <c r="H296" s="98" t="s">
        <v>658</v>
      </c>
      <c r="I296" s="98" t="s">
        <v>659</v>
      </c>
      <c r="J296" s="32" t="s">
        <v>660</v>
      </c>
      <c r="K296" s="91"/>
      <c r="L296" s="91"/>
      <c r="M296" s="96">
        <f>VLOOKUP(E296,'hedef liste'!A:I,8,false)</f>
        <v>16</v>
      </c>
      <c r="N296" s="96" t="b">
        <v>0</v>
      </c>
      <c r="O296" s="96" t="b">
        <v>0</v>
      </c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  <c r="AA296" s="92"/>
      <c r="AB296" s="92"/>
      <c r="AC296" s="92"/>
      <c r="AD296" s="92"/>
      <c r="AE296" s="92"/>
      <c r="AF296" s="92"/>
      <c r="AG296" s="92"/>
    </row>
    <row r="297" hidden="1">
      <c r="A297" s="86" t="str">
        <f t="shared" si="19"/>
        <v>60149da9d9ee3c18140420b6</v>
      </c>
      <c r="B297" s="57"/>
      <c r="C297" s="80" t="s">
        <v>342</v>
      </c>
      <c r="D297" s="107" t="s">
        <v>399</v>
      </c>
      <c r="E297" s="28" t="s">
        <v>661</v>
      </c>
      <c r="F297" s="28" t="s">
        <v>662</v>
      </c>
      <c r="G297" s="114">
        <v>0.5833333333333334</v>
      </c>
      <c r="H297" s="109" t="s">
        <v>658</v>
      </c>
      <c r="I297" s="115" t="s">
        <v>663</v>
      </c>
      <c r="J297" s="28" t="s">
        <v>664</v>
      </c>
      <c r="K297" s="91"/>
      <c r="L297" s="21"/>
      <c r="M297" s="21"/>
      <c r="N297" s="96" t="b">
        <v>0</v>
      </c>
      <c r="O297" s="96" t="b">
        <v>0</v>
      </c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  <c r="AA297" s="92"/>
      <c r="AB297" s="92"/>
      <c r="AC297" s="92"/>
      <c r="AD297" s="92"/>
      <c r="AE297" s="92"/>
      <c r="AF297" s="92"/>
      <c r="AG297" s="92"/>
    </row>
    <row r="298" hidden="1">
      <c r="A298" s="86" t="str">
        <f t="shared" si="19"/>
        <v>6036633a53d6fa66f87f1938</v>
      </c>
      <c r="B298" s="57"/>
      <c r="C298" s="80" t="s">
        <v>342</v>
      </c>
      <c r="D298" s="107" t="s">
        <v>399</v>
      </c>
      <c r="E298" s="28" t="s">
        <v>665</v>
      </c>
      <c r="F298" s="28" t="s">
        <v>666</v>
      </c>
      <c r="G298" s="114">
        <v>0.6666666666666666</v>
      </c>
      <c r="H298" s="109" t="s">
        <v>658</v>
      </c>
      <c r="I298" s="109" t="s">
        <v>667</v>
      </c>
      <c r="J298" s="28" t="s">
        <v>668</v>
      </c>
      <c r="K298" s="98" t="s">
        <v>669</v>
      </c>
      <c r="L298" s="21"/>
      <c r="M298" s="21"/>
      <c r="N298" s="96" t="b">
        <v>0</v>
      </c>
      <c r="O298" s="96" t="b">
        <v>0</v>
      </c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  <c r="AA298" s="92"/>
      <c r="AB298" s="92"/>
      <c r="AC298" s="92"/>
      <c r="AD298" s="92"/>
      <c r="AE298" s="92"/>
      <c r="AF298" s="92"/>
      <c r="AG298" s="92"/>
    </row>
    <row r="299" hidden="1">
      <c r="A299" s="86" t="str">
        <f t="shared" si="19"/>
        <v>602fb313a6bb73bd184e9fe5</v>
      </c>
      <c r="B299" s="57"/>
      <c r="C299" s="80" t="s">
        <v>342</v>
      </c>
      <c r="D299" s="116" t="s">
        <v>399</v>
      </c>
      <c r="E299" s="117" t="s">
        <v>670</v>
      </c>
      <c r="F299" s="117" t="s">
        <v>671</v>
      </c>
      <c r="G299" s="114">
        <v>0.7291666666666666</v>
      </c>
      <c r="H299" s="111" t="s">
        <v>672</v>
      </c>
      <c r="I299" s="111" t="s">
        <v>673</v>
      </c>
      <c r="J299" s="117" t="s">
        <v>674</v>
      </c>
      <c r="K299" s="118" t="s">
        <v>675</v>
      </c>
      <c r="L299" s="21"/>
      <c r="M299" s="21"/>
      <c r="N299" s="96" t="b">
        <v>0</v>
      </c>
      <c r="O299" s="96" t="b">
        <v>0</v>
      </c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  <c r="AA299" s="92"/>
      <c r="AB299" s="92"/>
      <c r="AC299" s="92"/>
      <c r="AD299" s="92"/>
      <c r="AE299" s="92"/>
      <c r="AF299" s="92"/>
      <c r="AG299" s="92"/>
    </row>
    <row r="300" hidden="1">
      <c r="A300" s="86" t="str">
        <f t="shared" si="19"/>
        <v/>
      </c>
      <c r="B300" s="60"/>
      <c r="C300" s="80"/>
      <c r="D300" s="97"/>
      <c r="E300" s="32"/>
      <c r="F300" s="32"/>
      <c r="G300" s="33"/>
      <c r="H300" s="42"/>
      <c r="I300" s="42"/>
      <c r="J300" s="32"/>
      <c r="K300" s="42"/>
      <c r="L300" s="21"/>
      <c r="M300" s="21"/>
      <c r="N300" s="96" t="b">
        <v>0</v>
      </c>
      <c r="O300" s="96" t="b">
        <v>0</v>
      </c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  <c r="AA300" s="92"/>
      <c r="AB300" s="92"/>
      <c r="AC300" s="92"/>
      <c r="AD300" s="92"/>
      <c r="AE300" s="92"/>
      <c r="AF300" s="92"/>
      <c r="AG300" s="92"/>
    </row>
    <row r="301" hidden="1">
      <c r="A301" s="86" t="str">
        <f t="shared" si="19"/>
        <v/>
      </c>
      <c r="B301" s="18" t="s">
        <v>14</v>
      </c>
      <c r="C301" s="77"/>
      <c r="D301" s="89"/>
      <c r="E301" s="91"/>
      <c r="F301" s="91"/>
      <c r="G301" s="71"/>
      <c r="H301" s="91"/>
      <c r="I301" s="91"/>
      <c r="J301" s="91"/>
      <c r="K301" s="91"/>
      <c r="L301" s="91"/>
      <c r="M301" s="91"/>
      <c r="N301" s="96" t="b">
        <v>0</v>
      </c>
      <c r="O301" s="96" t="b">
        <v>0</v>
      </c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  <c r="AA301" s="92"/>
      <c r="AB301" s="92"/>
      <c r="AC301" s="92"/>
      <c r="AD301" s="92"/>
      <c r="AE301" s="92"/>
      <c r="AF301" s="92"/>
      <c r="AG301" s="92"/>
    </row>
    <row r="302" hidden="1">
      <c r="A302" s="86" t="str">
        <f t="shared" si="19"/>
        <v>5fe0d2a461e7ff5aa2fc442d</v>
      </c>
      <c r="B302" s="25"/>
      <c r="C302" s="78" t="s">
        <v>78</v>
      </c>
      <c r="D302" s="38" t="s">
        <v>399</v>
      </c>
      <c r="E302" s="32" t="s">
        <v>676</v>
      </c>
      <c r="F302" s="32" t="s">
        <v>677</v>
      </c>
      <c r="G302" s="33">
        <v>0.5208333333333334</v>
      </c>
      <c r="H302" s="42" t="s">
        <v>647</v>
      </c>
      <c r="I302" s="42" t="s">
        <v>678</v>
      </c>
      <c r="J302" s="32" t="s">
        <v>679</v>
      </c>
      <c r="K302" s="34" t="s">
        <v>680</v>
      </c>
      <c r="L302" s="23"/>
      <c r="M302" s="15"/>
      <c r="N302" s="96" t="b">
        <v>0</v>
      </c>
      <c r="O302" s="96" t="b">
        <v>0</v>
      </c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  <c r="AA302" s="92"/>
      <c r="AB302" s="92"/>
      <c r="AC302" s="92"/>
      <c r="AD302" s="92"/>
      <c r="AE302" s="92"/>
      <c r="AF302" s="92"/>
      <c r="AG302" s="92"/>
    </row>
    <row r="303" hidden="1">
      <c r="A303" s="86" t="str">
        <f t="shared" si="19"/>
        <v>60155882f8fb0b4838fa2c63</v>
      </c>
      <c r="B303" s="25"/>
      <c r="C303" s="78" t="s">
        <v>78</v>
      </c>
      <c r="D303" s="20" t="s">
        <v>399</v>
      </c>
      <c r="E303" s="32" t="s">
        <v>681</v>
      </c>
      <c r="F303" s="32" t="s">
        <v>682</v>
      </c>
      <c r="G303" s="33">
        <v>0.4583333333333333</v>
      </c>
      <c r="H303" s="42" t="s">
        <v>233</v>
      </c>
      <c r="I303" s="42" t="s">
        <v>683</v>
      </c>
      <c r="J303" s="32" t="s">
        <v>684</v>
      </c>
      <c r="K303" s="23"/>
      <c r="L303" s="91"/>
      <c r="M303" s="96" t="str">
        <f>VLOOKUP(#REF!,'hedef liste'!A:I,8,false)</f>
        <v>#REF!</v>
      </c>
      <c r="N303" s="96" t="b">
        <v>0</v>
      </c>
      <c r="O303" s="96" t="b">
        <v>0</v>
      </c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  <c r="AA303" s="92"/>
      <c r="AB303" s="92"/>
      <c r="AC303" s="92"/>
      <c r="AD303" s="92"/>
      <c r="AE303" s="92"/>
      <c r="AF303" s="92"/>
      <c r="AG303" s="92"/>
    </row>
    <row r="304" hidden="1">
      <c r="A304" s="86" t="str">
        <f t="shared" si="19"/>
        <v>606258b0b48e8457df440076</v>
      </c>
      <c r="B304" s="25"/>
      <c r="C304" s="78" t="s">
        <v>78</v>
      </c>
      <c r="D304" s="20" t="s">
        <v>399</v>
      </c>
      <c r="E304" s="28" t="s">
        <v>685</v>
      </c>
      <c r="F304" s="28" t="s">
        <v>686</v>
      </c>
      <c r="G304" s="29">
        <v>0.5833333333333334</v>
      </c>
      <c r="H304" s="30" t="s">
        <v>647</v>
      </c>
      <c r="I304" s="28" t="s">
        <v>687</v>
      </c>
      <c r="J304" s="28" t="s">
        <v>688</v>
      </c>
      <c r="K304" s="63"/>
      <c r="L304" s="91"/>
      <c r="M304" s="96" t="str">
        <f>VLOOKUP(#REF!,'hedef liste'!A:I,8,false)</f>
        <v>#REF!</v>
      </c>
      <c r="N304" s="96" t="b">
        <v>0</v>
      </c>
      <c r="O304" s="96" t="b">
        <v>0</v>
      </c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  <c r="AA304" s="92"/>
      <c r="AB304" s="92"/>
      <c r="AC304" s="92"/>
      <c r="AD304" s="92"/>
      <c r="AE304" s="92"/>
      <c r="AF304" s="92"/>
      <c r="AG304" s="92"/>
    </row>
    <row r="305" hidden="1">
      <c r="A305" s="86" t="str">
        <f t="shared" si="19"/>
        <v>606360337692c7715bfcad87</v>
      </c>
      <c r="B305" s="25"/>
      <c r="C305" s="78" t="s">
        <v>78</v>
      </c>
      <c r="D305" s="20" t="s">
        <v>399</v>
      </c>
      <c r="E305" s="32" t="s">
        <v>689</v>
      </c>
      <c r="F305" s="32" t="s">
        <v>690</v>
      </c>
      <c r="G305" s="33">
        <v>0.6666666666666666</v>
      </c>
      <c r="H305" s="42" t="s">
        <v>647</v>
      </c>
      <c r="I305" s="42" t="s">
        <v>691</v>
      </c>
      <c r="J305" s="32" t="s">
        <v>692</v>
      </c>
      <c r="K305" s="34" t="s">
        <v>693</v>
      </c>
      <c r="L305" s="91"/>
      <c r="M305" s="91"/>
      <c r="N305" s="96" t="b">
        <v>0</v>
      </c>
      <c r="O305" s="96" t="b">
        <v>0</v>
      </c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  <c r="AA305" s="92"/>
      <c r="AB305" s="92"/>
      <c r="AC305" s="92"/>
      <c r="AD305" s="92"/>
      <c r="AE305" s="92"/>
      <c r="AF305" s="92"/>
      <c r="AG305" s="92"/>
    </row>
    <row r="306" hidden="1">
      <c r="A306" s="86" t="str">
        <f t="shared" si="19"/>
        <v/>
      </c>
      <c r="B306" s="39"/>
      <c r="C306" s="82"/>
      <c r="D306" s="89"/>
      <c r="E306" s="91"/>
      <c r="F306" s="91"/>
      <c r="G306" s="71"/>
      <c r="H306" s="91"/>
      <c r="I306" s="91"/>
      <c r="J306" s="91"/>
      <c r="K306" s="91"/>
      <c r="L306" s="91"/>
      <c r="M306" s="91"/>
      <c r="N306" s="96" t="b">
        <v>0</v>
      </c>
      <c r="O306" s="96" t="b">
        <v>0</v>
      </c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  <c r="AA306" s="92"/>
      <c r="AB306" s="92"/>
      <c r="AC306" s="92"/>
      <c r="AD306" s="92"/>
      <c r="AE306" s="92"/>
      <c r="AF306" s="92"/>
      <c r="AG306" s="92"/>
    </row>
    <row r="307" hidden="1">
      <c r="A307" s="86" t="str">
        <f t="shared" si="19"/>
        <v/>
      </c>
      <c r="B307" s="87"/>
      <c r="C307" s="88">
        <v>44342.0</v>
      </c>
      <c r="D307" s="89"/>
      <c r="E307" s="104"/>
      <c r="F307" s="13"/>
      <c r="G307" s="13"/>
      <c r="H307" s="13"/>
      <c r="I307" s="13"/>
      <c r="J307" s="13"/>
      <c r="K307" s="13"/>
      <c r="L307" s="14"/>
      <c r="M307" s="91"/>
      <c r="N307" s="91"/>
      <c r="O307" s="91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  <c r="AA307" s="92"/>
      <c r="AB307" s="92"/>
      <c r="AC307" s="92"/>
      <c r="AD307" s="92"/>
      <c r="AE307" s="92"/>
      <c r="AF307" s="92"/>
      <c r="AG307" s="92"/>
    </row>
    <row r="308" hidden="1">
      <c r="A308" s="86" t="str">
        <f t="shared" si="19"/>
        <v/>
      </c>
      <c r="B308" s="106" t="s">
        <v>623</v>
      </c>
      <c r="C308" s="103"/>
      <c r="D308" s="89"/>
      <c r="E308" s="91"/>
      <c r="F308" s="91"/>
      <c r="G308" s="94"/>
      <c r="H308" s="91"/>
      <c r="I308" s="91"/>
      <c r="J308" s="91"/>
      <c r="K308" s="91"/>
      <c r="L308" s="91"/>
      <c r="M308" s="91"/>
      <c r="N308" s="96" t="b">
        <v>0</v>
      </c>
      <c r="O308" s="96" t="b">
        <v>0</v>
      </c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  <c r="AA308" s="92"/>
      <c r="AB308" s="92"/>
      <c r="AC308" s="92"/>
      <c r="AD308" s="92"/>
      <c r="AE308" s="92"/>
      <c r="AF308" s="92"/>
      <c r="AG308" s="92"/>
    </row>
    <row r="309" hidden="1">
      <c r="A309" s="86" t="str">
        <f t="shared" si="19"/>
        <v>607d35fb0cb48e7f596426af</v>
      </c>
      <c r="B309" s="57"/>
      <c r="C309" s="80" t="s">
        <v>342</v>
      </c>
      <c r="D309" s="97" t="s">
        <v>79</v>
      </c>
      <c r="E309" s="32" t="s">
        <v>694</v>
      </c>
      <c r="F309" s="32" t="s">
        <v>695</v>
      </c>
      <c r="G309" s="33">
        <v>0.4166666666666667</v>
      </c>
      <c r="H309" s="42" t="s">
        <v>696</v>
      </c>
      <c r="I309" s="42" t="s">
        <v>697</v>
      </c>
      <c r="J309" s="32" t="s">
        <v>698</v>
      </c>
      <c r="K309" s="91"/>
      <c r="L309" s="91"/>
      <c r="M309" s="96" t="str">
        <f>VLOOKUP(E309,'hedef liste'!A:I,8,false)</f>
        <v>#N/A</v>
      </c>
      <c r="N309" s="96" t="b">
        <v>0</v>
      </c>
      <c r="O309" s="96" t="b">
        <v>0</v>
      </c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  <c r="AA309" s="92"/>
      <c r="AB309" s="92"/>
      <c r="AC309" s="92"/>
      <c r="AD309" s="92"/>
      <c r="AE309" s="92"/>
      <c r="AF309" s="92"/>
      <c r="AG309" s="92"/>
    </row>
    <row r="310" hidden="1">
      <c r="A310" s="86" t="str">
        <f t="shared" si="19"/>
        <v>608ed6f50be4bd42bacd49b8</v>
      </c>
      <c r="B310" s="57"/>
      <c r="C310" s="80" t="s">
        <v>342</v>
      </c>
      <c r="D310" s="97" t="s">
        <v>79</v>
      </c>
      <c r="E310" s="32" t="s">
        <v>699</v>
      </c>
      <c r="F310" s="32" t="s">
        <v>700</v>
      </c>
      <c r="G310" s="33">
        <v>0.5</v>
      </c>
      <c r="H310" s="42" t="s">
        <v>696</v>
      </c>
      <c r="I310" s="42" t="s">
        <v>701</v>
      </c>
      <c r="J310" s="32" t="s">
        <v>702</v>
      </c>
      <c r="K310" s="91"/>
      <c r="L310" s="91"/>
      <c r="M310" s="96" t="str">
        <f>VLOOKUP(E310,'hedef liste'!A:I,8,false)</f>
        <v>#N/A</v>
      </c>
      <c r="N310" s="96" t="b">
        <v>0</v>
      </c>
      <c r="O310" s="96" t="b">
        <v>0</v>
      </c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  <c r="AA310" s="92"/>
      <c r="AB310" s="92"/>
      <c r="AC310" s="92"/>
      <c r="AD310" s="92"/>
      <c r="AE310" s="92"/>
      <c r="AF310" s="92"/>
      <c r="AG310" s="92"/>
    </row>
    <row r="311" hidden="1">
      <c r="A311" s="86" t="str">
        <f t="shared" si="19"/>
        <v>6049e837118621c82ec3ca1e</v>
      </c>
      <c r="B311" s="57"/>
      <c r="C311" s="80" t="s">
        <v>342</v>
      </c>
      <c r="D311" s="107" t="s">
        <v>79</v>
      </c>
      <c r="E311" s="28" t="s">
        <v>703</v>
      </c>
      <c r="F311" s="28" t="s">
        <v>704</v>
      </c>
      <c r="G311" s="29">
        <v>0.5833333333333334</v>
      </c>
      <c r="H311" s="30" t="s">
        <v>696</v>
      </c>
      <c r="I311" s="30" t="s">
        <v>705</v>
      </c>
      <c r="J311" s="28" t="s">
        <v>706</v>
      </c>
      <c r="K311" s="111"/>
      <c r="L311" s="111"/>
      <c r="M311" s="96">
        <f>VLOOKUP(E311,'hedef liste'!A:I,8,false)</f>
        <v>8</v>
      </c>
      <c r="N311" s="96" t="b">
        <v>0</v>
      </c>
      <c r="O311" s="96" t="b">
        <v>0</v>
      </c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  <c r="AA311" s="92"/>
      <c r="AB311" s="92"/>
      <c r="AC311" s="92"/>
      <c r="AD311" s="92"/>
      <c r="AE311" s="92"/>
      <c r="AF311" s="92"/>
      <c r="AG311" s="92"/>
    </row>
    <row r="312" hidden="1">
      <c r="A312" s="86" t="str">
        <f t="shared" si="19"/>
        <v>6026f5c38474c4cc5b38b906</v>
      </c>
      <c r="B312" s="57"/>
      <c r="C312" s="80" t="s">
        <v>342</v>
      </c>
      <c r="D312" s="107" t="s">
        <v>79</v>
      </c>
      <c r="E312" s="28" t="s">
        <v>707</v>
      </c>
      <c r="F312" s="28" t="s">
        <v>708</v>
      </c>
      <c r="G312" s="29">
        <v>0.6666666666666666</v>
      </c>
      <c r="H312" s="30" t="s">
        <v>696</v>
      </c>
      <c r="I312" s="30" t="s">
        <v>709</v>
      </c>
      <c r="J312" s="28" t="s">
        <v>710</v>
      </c>
      <c r="K312" s="111"/>
      <c r="L312" s="111"/>
      <c r="M312" s="96" t="str">
        <f>VLOOKUP(E312,'hedef liste'!A:I,8,false)</f>
        <v>#N/A</v>
      </c>
      <c r="N312" s="96" t="b">
        <v>0</v>
      </c>
      <c r="O312" s="96" t="b">
        <v>0</v>
      </c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  <c r="AA312" s="92"/>
      <c r="AB312" s="92"/>
      <c r="AC312" s="92"/>
      <c r="AD312" s="92"/>
      <c r="AE312" s="92"/>
      <c r="AF312" s="92"/>
      <c r="AG312" s="92"/>
    </row>
    <row r="313" hidden="1">
      <c r="A313" s="86" t="str">
        <f t="shared" si="19"/>
        <v/>
      </c>
      <c r="B313" s="60"/>
      <c r="C313" s="80"/>
      <c r="D313" s="89"/>
      <c r="E313" s="91"/>
      <c r="F313" s="91"/>
      <c r="G313" s="71"/>
      <c r="H313" s="91"/>
      <c r="I313" s="91"/>
      <c r="J313" s="91"/>
      <c r="K313" s="91"/>
      <c r="L313" s="91"/>
      <c r="M313" s="91"/>
      <c r="N313" s="96" t="b">
        <v>0</v>
      </c>
      <c r="O313" s="96" t="b">
        <v>0</v>
      </c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  <c r="AA313" s="92"/>
      <c r="AB313" s="92"/>
      <c r="AC313" s="92"/>
      <c r="AD313" s="92"/>
      <c r="AE313" s="92"/>
      <c r="AF313" s="92"/>
      <c r="AG313" s="92"/>
    </row>
    <row r="314" hidden="1">
      <c r="A314" s="86" t="str">
        <f t="shared" si="19"/>
        <v/>
      </c>
      <c r="B314" s="18" t="s">
        <v>14</v>
      </c>
      <c r="C314" s="77"/>
      <c r="D314" s="89"/>
      <c r="E314" s="91"/>
      <c r="F314" s="91"/>
      <c r="G314" s="71"/>
      <c r="H314" s="91"/>
      <c r="I314" s="91"/>
      <c r="J314" s="91"/>
      <c r="K314" s="91"/>
      <c r="L314" s="91"/>
      <c r="M314" s="91"/>
      <c r="N314" s="96" t="b">
        <v>0</v>
      </c>
      <c r="O314" s="96" t="b">
        <v>0</v>
      </c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  <c r="AA314" s="92"/>
      <c r="AB314" s="92"/>
      <c r="AC314" s="92"/>
      <c r="AD314" s="92"/>
      <c r="AE314" s="92"/>
      <c r="AF314" s="92"/>
      <c r="AG314" s="92"/>
    </row>
    <row r="315" hidden="1">
      <c r="A315" s="86" t="str">
        <f t="shared" si="19"/>
        <v>5fde4bacd8b47d0362d4a45c</v>
      </c>
      <c r="B315" s="25"/>
      <c r="C315" s="78" t="s">
        <v>78</v>
      </c>
      <c r="D315" s="97" t="s">
        <v>79</v>
      </c>
      <c r="E315" s="32" t="s">
        <v>711</v>
      </c>
      <c r="F315" s="32" t="s">
        <v>712</v>
      </c>
      <c r="G315" s="41" t="s">
        <v>713</v>
      </c>
      <c r="H315" s="98" t="s">
        <v>258</v>
      </c>
      <c r="I315" s="98" t="s">
        <v>714</v>
      </c>
      <c r="J315" s="98" t="s">
        <v>715</v>
      </c>
      <c r="K315" s="91"/>
      <c r="L315" s="91"/>
      <c r="M315" s="91"/>
      <c r="N315" s="96" t="b">
        <v>0</v>
      </c>
      <c r="O315" s="96" t="b">
        <v>0</v>
      </c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  <c r="AA315" s="92"/>
      <c r="AB315" s="92"/>
      <c r="AC315" s="92"/>
      <c r="AD315" s="92"/>
      <c r="AE315" s="92"/>
      <c r="AF315" s="92"/>
      <c r="AG315" s="92"/>
    </row>
    <row r="316" hidden="1">
      <c r="A316" s="86" t="str">
        <f t="shared" si="19"/>
        <v>605cdf6d81f114f3bf21c475</v>
      </c>
      <c r="B316" s="25"/>
      <c r="C316" s="78" t="s">
        <v>78</v>
      </c>
      <c r="D316" s="97" t="s">
        <v>79</v>
      </c>
      <c r="E316" s="35" t="s">
        <v>415</v>
      </c>
      <c r="F316" s="35" t="s">
        <v>416</v>
      </c>
      <c r="G316" s="41" t="s">
        <v>449</v>
      </c>
      <c r="H316" s="98" t="s">
        <v>424</v>
      </c>
      <c r="I316" s="98" t="s">
        <v>716</v>
      </c>
      <c r="J316" s="98" t="s">
        <v>717</v>
      </c>
      <c r="K316" s="91"/>
      <c r="L316" s="91"/>
      <c r="M316" s="91"/>
      <c r="N316" s="96" t="b">
        <v>0</v>
      </c>
      <c r="O316" s="96" t="b">
        <v>0</v>
      </c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  <c r="AA316" s="92"/>
      <c r="AB316" s="92"/>
      <c r="AC316" s="92"/>
      <c r="AD316" s="92"/>
      <c r="AE316" s="92"/>
      <c r="AF316" s="92"/>
      <c r="AG316" s="92"/>
    </row>
    <row r="317" hidden="1">
      <c r="A317" s="86" t="str">
        <f t="shared" si="19"/>
        <v>605ce0fdf10f9f07e6e6c5b3</v>
      </c>
      <c r="B317" s="25"/>
      <c r="C317" s="78" t="s">
        <v>78</v>
      </c>
      <c r="D317" s="97" t="s">
        <v>79</v>
      </c>
      <c r="E317" s="35" t="s">
        <v>718</v>
      </c>
      <c r="F317" s="35" t="s">
        <v>719</v>
      </c>
      <c r="G317" s="41" t="s">
        <v>180</v>
      </c>
      <c r="H317" s="98" t="s">
        <v>258</v>
      </c>
      <c r="I317" s="98" t="s">
        <v>720</v>
      </c>
      <c r="J317" s="98" t="s">
        <v>721</v>
      </c>
      <c r="K317" s="91"/>
      <c r="L317" s="91"/>
      <c r="M317" s="91"/>
      <c r="N317" s="96" t="b">
        <v>0</v>
      </c>
      <c r="O317" s="96" t="b">
        <v>0</v>
      </c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  <c r="AA317" s="92"/>
      <c r="AB317" s="92"/>
      <c r="AC317" s="92"/>
      <c r="AD317" s="92"/>
      <c r="AE317" s="92"/>
      <c r="AF317" s="92"/>
      <c r="AG317" s="92"/>
    </row>
    <row r="318" hidden="1">
      <c r="A318" s="86" t="str">
        <f t="shared" si="19"/>
        <v/>
      </c>
      <c r="B318" s="25"/>
      <c r="C318" s="78" t="s">
        <v>78</v>
      </c>
      <c r="D318" s="64"/>
      <c r="E318" s="21"/>
      <c r="F318" s="21"/>
      <c r="G318" s="22"/>
      <c r="H318" s="21"/>
      <c r="I318" s="21"/>
      <c r="J318" s="21"/>
      <c r="K318" s="21"/>
      <c r="L318" s="21"/>
      <c r="M318" s="91"/>
      <c r="N318" s="96" t="b">
        <v>0</v>
      </c>
      <c r="O318" s="96" t="b">
        <v>0</v>
      </c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  <c r="AA318" s="92"/>
      <c r="AB318" s="92"/>
      <c r="AC318" s="92"/>
      <c r="AD318" s="92"/>
      <c r="AE318" s="92"/>
      <c r="AF318" s="92"/>
      <c r="AG318" s="92"/>
    </row>
    <row r="319" hidden="1">
      <c r="A319" s="86" t="str">
        <f t="shared" si="19"/>
        <v/>
      </c>
      <c r="B319" s="39"/>
      <c r="C319" s="82"/>
      <c r="D319" s="89"/>
      <c r="E319" s="91"/>
      <c r="F319" s="91"/>
      <c r="G319" s="71"/>
      <c r="H319" s="91"/>
      <c r="I319" s="91"/>
      <c r="J319" s="91"/>
      <c r="K319" s="91"/>
      <c r="L319" s="91"/>
      <c r="M319" s="91"/>
      <c r="N319" s="96" t="b">
        <v>0</v>
      </c>
      <c r="O319" s="96" t="b">
        <v>0</v>
      </c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  <c r="AA319" s="92"/>
      <c r="AB319" s="92"/>
      <c r="AC319" s="92"/>
      <c r="AD319" s="92"/>
      <c r="AE319" s="92"/>
      <c r="AF319" s="92"/>
      <c r="AG319" s="92"/>
    </row>
    <row r="320" hidden="1">
      <c r="A320" s="86" t="str">
        <f t="shared" si="19"/>
        <v/>
      </c>
      <c r="B320" s="87"/>
      <c r="C320" s="88">
        <v>44343.0</v>
      </c>
      <c r="D320" s="89"/>
      <c r="E320" s="104"/>
      <c r="F320" s="13"/>
      <c r="G320" s="13"/>
      <c r="H320" s="13"/>
      <c r="I320" s="13"/>
      <c r="J320" s="13"/>
      <c r="K320" s="13"/>
      <c r="L320" s="14"/>
      <c r="M320" s="91"/>
      <c r="N320" s="91"/>
      <c r="O320" s="91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  <c r="AA320" s="92"/>
      <c r="AB320" s="92"/>
      <c r="AC320" s="92"/>
      <c r="AD320" s="92"/>
      <c r="AE320" s="92"/>
      <c r="AF320" s="92"/>
      <c r="AG320" s="92"/>
    </row>
    <row r="321" hidden="1">
      <c r="A321" s="86" t="str">
        <f t="shared" si="19"/>
        <v/>
      </c>
      <c r="B321" s="106" t="s">
        <v>623</v>
      </c>
      <c r="C321" s="103"/>
      <c r="D321" s="89"/>
      <c r="E321" s="91"/>
      <c r="F321" s="91"/>
      <c r="G321" s="94"/>
      <c r="H321" s="91"/>
      <c r="I321" s="91"/>
      <c r="J321" s="91"/>
      <c r="K321" s="91"/>
      <c r="L321" s="91"/>
      <c r="M321" s="91"/>
      <c r="N321" s="96" t="b">
        <v>0</v>
      </c>
      <c r="O321" s="96" t="b">
        <v>0</v>
      </c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  <c r="AA321" s="92"/>
      <c r="AB321" s="92"/>
      <c r="AC321" s="92"/>
      <c r="AD321" s="92"/>
      <c r="AE321" s="92"/>
      <c r="AF321" s="92"/>
      <c r="AG321" s="92"/>
    </row>
    <row r="322" hidden="1">
      <c r="A322" s="86" t="str">
        <f t="shared" si="19"/>
        <v>604f37c1838ffe9013418ffb</v>
      </c>
      <c r="B322" s="57"/>
      <c r="C322" s="80" t="s">
        <v>342</v>
      </c>
      <c r="D322" s="97" t="s">
        <v>79</v>
      </c>
      <c r="E322" s="32" t="s">
        <v>722</v>
      </c>
      <c r="F322" s="32" t="s">
        <v>723</v>
      </c>
      <c r="G322" s="99">
        <v>0.5</v>
      </c>
      <c r="H322" s="98" t="s">
        <v>724</v>
      </c>
      <c r="I322" s="105" t="s">
        <v>725</v>
      </c>
      <c r="J322" s="32" t="s">
        <v>726</v>
      </c>
      <c r="K322" s="91"/>
      <c r="L322" s="91"/>
      <c r="M322" s="96">
        <f>VLOOKUP(E322,'hedef liste'!A:I,8,false)</f>
        <v>4</v>
      </c>
      <c r="N322" s="96" t="b">
        <v>0</v>
      </c>
      <c r="O322" s="96" t="b">
        <v>0</v>
      </c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  <c r="AA322" s="92"/>
      <c r="AB322" s="92"/>
      <c r="AC322" s="92"/>
      <c r="AD322" s="92"/>
      <c r="AE322" s="92"/>
      <c r="AF322" s="92"/>
      <c r="AG322" s="92"/>
    </row>
    <row r="323" hidden="1">
      <c r="A323" s="86" t="str">
        <f t="shared" si="19"/>
        <v>608ff214f237b258a20cc74a</v>
      </c>
      <c r="B323" s="57"/>
      <c r="C323" s="80" t="s">
        <v>342</v>
      </c>
      <c r="D323" s="107" t="s">
        <v>79</v>
      </c>
      <c r="E323" s="28" t="s">
        <v>727</v>
      </c>
      <c r="F323" s="28" t="s">
        <v>728</v>
      </c>
      <c r="G323" s="108">
        <v>0.5833333333333334</v>
      </c>
      <c r="H323" s="109" t="s">
        <v>724</v>
      </c>
      <c r="I323" s="109" t="s">
        <v>729</v>
      </c>
      <c r="J323" s="28" t="s">
        <v>730</v>
      </c>
      <c r="K323" s="111"/>
      <c r="L323" s="111"/>
      <c r="M323" s="96">
        <f>VLOOKUP(E323,'hedef liste'!A:I,8,false)</f>
        <v>15</v>
      </c>
      <c r="N323" s="96" t="b">
        <v>0</v>
      </c>
      <c r="O323" s="96" t="b">
        <v>0</v>
      </c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  <c r="AA323" s="92"/>
      <c r="AB323" s="92"/>
      <c r="AC323" s="92"/>
      <c r="AD323" s="92"/>
      <c r="AE323" s="92"/>
      <c r="AF323" s="92"/>
      <c r="AG323" s="92"/>
    </row>
    <row r="324" hidden="1">
      <c r="A324" s="86" t="str">
        <f t="shared" si="19"/>
        <v>6034f430238d2c2bb960ec65</v>
      </c>
      <c r="B324" s="57"/>
      <c r="C324" s="80" t="s">
        <v>342</v>
      </c>
      <c r="D324" s="97" t="s">
        <v>399</v>
      </c>
      <c r="E324" s="32" t="s">
        <v>731</v>
      </c>
      <c r="F324" s="32" t="s">
        <v>732</v>
      </c>
      <c r="G324" s="99">
        <v>0.6666666666666666</v>
      </c>
      <c r="H324" s="98" t="s">
        <v>724</v>
      </c>
      <c r="I324" s="98" t="s">
        <v>733</v>
      </c>
      <c r="J324" s="32" t="s">
        <v>734</v>
      </c>
      <c r="K324" s="91"/>
      <c r="L324" s="91"/>
      <c r="M324" s="96" t="str">
        <f>VLOOKUP(E324,'hedef liste'!A:I,8,false)</f>
        <v>#N/A</v>
      </c>
      <c r="N324" s="96" t="b">
        <v>0</v>
      </c>
      <c r="O324" s="96" t="b">
        <v>0</v>
      </c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  <c r="AA324" s="92"/>
      <c r="AB324" s="92"/>
      <c r="AC324" s="92"/>
      <c r="AD324" s="92"/>
      <c r="AE324" s="92"/>
      <c r="AF324" s="92"/>
      <c r="AG324" s="92"/>
    </row>
    <row r="325" hidden="1">
      <c r="A325" s="86" t="str">
        <f t="shared" si="19"/>
        <v>60928653fe6418aa544961e6</v>
      </c>
      <c r="B325" s="57"/>
      <c r="C325" s="80" t="s">
        <v>342</v>
      </c>
      <c r="D325" s="107" t="s">
        <v>79</v>
      </c>
      <c r="E325" s="28" t="s">
        <v>735</v>
      </c>
      <c r="F325" s="28" t="s">
        <v>736</v>
      </c>
      <c r="G325" s="108">
        <v>0.75</v>
      </c>
      <c r="H325" s="109" t="s">
        <v>724</v>
      </c>
      <c r="I325" s="109" t="s">
        <v>737</v>
      </c>
      <c r="J325" s="28" t="s">
        <v>738</v>
      </c>
      <c r="K325" s="111"/>
      <c r="L325" s="111"/>
      <c r="M325" s="96">
        <f>VLOOKUP(E325,'hedef liste'!A:I,8,false)</f>
        <v>6</v>
      </c>
      <c r="N325" s="96" t="b">
        <v>0</v>
      </c>
      <c r="O325" s="96" t="b">
        <v>0</v>
      </c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  <c r="AA325" s="92"/>
      <c r="AB325" s="92"/>
      <c r="AC325" s="92"/>
      <c r="AD325" s="92"/>
      <c r="AE325" s="92"/>
      <c r="AF325" s="92"/>
      <c r="AG325" s="92"/>
    </row>
    <row r="326" hidden="1">
      <c r="A326" s="86" t="str">
        <f t="shared" si="19"/>
        <v/>
      </c>
      <c r="B326" s="60"/>
      <c r="C326" s="80"/>
      <c r="D326" s="89"/>
      <c r="E326" s="91"/>
      <c r="F326" s="91"/>
      <c r="G326" s="71"/>
      <c r="H326" s="91"/>
      <c r="I326" s="91"/>
      <c r="J326" s="91"/>
      <c r="K326" s="91"/>
      <c r="L326" s="91"/>
      <c r="M326" s="91"/>
      <c r="N326" s="96" t="b">
        <v>0</v>
      </c>
      <c r="O326" s="96" t="b">
        <v>0</v>
      </c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  <c r="AA326" s="92"/>
      <c r="AB326" s="92"/>
      <c r="AC326" s="92"/>
      <c r="AD326" s="92"/>
      <c r="AE326" s="92"/>
      <c r="AF326" s="92"/>
      <c r="AG326" s="92"/>
    </row>
    <row r="327" hidden="1">
      <c r="A327" s="86" t="str">
        <f t="shared" si="19"/>
        <v/>
      </c>
      <c r="B327" s="18" t="s">
        <v>14</v>
      </c>
      <c r="C327" s="77"/>
      <c r="D327" s="89"/>
      <c r="E327" s="91"/>
      <c r="F327" s="91"/>
      <c r="G327" s="71"/>
      <c r="H327" s="91"/>
      <c r="I327" s="91"/>
      <c r="J327" s="91"/>
      <c r="K327" s="91"/>
      <c r="L327" s="91"/>
      <c r="M327" s="91"/>
      <c r="N327" s="96" t="b">
        <v>0</v>
      </c>
      <c r="O327" s="96" t="b">
        <v>0</v>
      </c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  <c r="AA327" s="92"/>
      <c r="AB327" s="92"/>
      <c r="AC327" s="92"/>
      <c r="AD327" s="92"/>
      <c r="AE327" s="92"/>
      <c r="AF327" s="92"/>
      <c r="AG327" s="92"/>
    </row>
    <row r="328" hidden="1">
      <c r="A328" s="86" t="str">
        <f t="shared" si="19"/>
        <v>60155dca998c13f968875764</v>
      </c>
      <c r="B328" s="25"/>
      <c r="C328" s="78" t="s">
        <v>78</v>
      </c>
      <c r="D328" s="97" t="s">
        <v>399</v>
      </c>
      <c r="E328" s="32" t="s">
        <v>41</v>
      </c>
      <c r="F328" s="32" t="s">
        <v>42</v>
      </c>
      <c r="G328" s="99">
        <v>0.5</v>
      </c>
      <c r="H328" s="98" t="s">
        <v>739</v>
      </c>
      <c r="I328" s="98" t="s">
        <v>740</v>
      </c>
      <c r="J328" s="32" t="s">
        <v>45</v>
      </c>
      <c r="K328" s="98" t="s">
        <v>741</v>
      </c>
      <c r="L328" s="91"/>
      <c r="M328" s="91"/>
      <c r="N328" s="96" t="b">
        <v>0</v>
      </c>
      <c r="O328" s="96" t="b">
        <v>0</v>
      </c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  <c r="AA328" s="92"/>
      <c r="AB328" s="92"/>
      <c r="AC328" s="92"/>
      <c r="AD328" s="92"/>
      <c r="AE328" s="92"/>
      <c r="AF328" s="92"/>
      <c r="AG328" s="92"/>
    </row>
    <row r="329" hidden="1">
      <c r="A329" s="86" t="str">
        <f t="shared" si="19"/>
        <v>60a62f04dbf0a15520058cf8</v>
      </c>
      <c r="B329" s="25"/>
      <c r="C329" s="78" t="s">
        <v>78</v>
      </c>
      <c r="D329" s="97" t="s">
        <v>399</v>
      </c>
      <c r="E329" s="32" t="s">
        <v>742</v>
      </c>
      <c r="F329" s="32" t="s">
        <v>743</v>
      </c>
      <c r="G329" s="99">
        <v>0.5833333333333334</v>
      </c>
      <c r="H329" s="98" t="s">
        <v>744</v>
      </c>
      <c r="I329" s="98" t="s">
        <v>745</v>
      </c>
      <c r="J329" s="32" t="s">
        <v>746</v>
      </c>
      <c r="K329" s="91"/>
      <c r="L329" s="91"/>
      <c r="M329" s="91"/>
      <c r="N329" s="96" t="b">
        <v>0</v>
      </c>
      <c r="O329" s="96" t="b">
        <v>0</v>
      </c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  <c r="AA329" s="92"/>
      <c r="AB329" s="92"/>
      <c r="AC329" s="92"/>
      <c r="AD329" s="92"/>
      <c r="AE329" s="92"/>
      <c r="AF329" s="92"/>
      <c r="AG329" s="92"/>
    </row>
    <row r="330" hidden="1">
      <c r="A330" s="86" t="str">
        <f t="shared" si="19"/>
        <v>607d4620c36c878fc5ef443b</v>
      </c>
      <c r="B330" s="25"/>
      <c r="C330" s="78" t="s">
        <v>78</v>
      </c>
      <c r="D330" s="97" t="s">
        <v>399</v>
      </c>
      <c r="E330" s="28" t="s">
        <v>747</v>
      </c>
      <c r="F330" s="28" t="s">
        <v>748</v>
      </c>
      <c r="G330" s="108">
        <v>0.6666666666666666</v>
      </c>
      <c r="H330" s="109" t="s">
        <v>744</v>
      </c>
      <c r="I330" s="109" t="s">
        <v>749</v>
      </c>
      <c r="J330" s="28" t="s">
        <v>750</v>
      </c>
      <c r="K330" s="111"/>
      <c r="L330" s="111"/>
      <c r="M330" s="91"/>
      <c r="N330" s="96" t="b">
        <v>0</v>
      </c>
      <c r="O330" s="96" t="b">
        <v>0</v>
      </c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  <c r="AA330" s="92"/>
      <c r="AB330" s="92"/>
      <c r="AC330" s="92"/>
      <c r="AD330" s="92"/>
      <c r="AE330" s="92"/>
      <c r="AF330" s="92"/>
      <c r="AG330" s="92"/>
    </row>
    <row r="331" hidden="1">
      <c r="A331" s="86" t="str">
        <f t="shared" si="19"/>
        <v>603a1b3f717836115614220d</v>
      </c>
      <c r="B331" s="25"/>
      <c r="C331" s="78" t="s">
        <v>78</v>
      </c>
      <c r="D331" s="97" t="s">
        <v>399</v>
      </c>
      <c r="E331" s="28" t="s">
        <v>34</v>
      </c>
      <c r="F331" s="28" t="s">
        <v>35</v>
      </c>
      <c r="G331" s="108">
        <v>0.7291666666666666</v>
      </c>
      <c r="H331" s="109" t="s">
        <v>739</v>
      </c>
      <c r="I331" s="109" t="s">
        <v>751</v>
      </c>
      <c r="J331" s="28" t="s">
        <v>39</v>
      </c>
      <c r="K331" s="109" t="s">
        <v>741</v>
      </c>
      <c r="L331" s="91"/>
      <c r="M331" s="91"/>
      <c r="N331" s="96" t="b">
        <v>0</v>
      </c>
      <c r="O331" s="96" t="b">
        <v>0</v>
      </c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  <c r="AA331" s="92"/>
      <c r="AB331" s="92"/>
      <c r="AC331" s="92"/>
      <c r="AD331" s="92"/>
      <c r="AE331" s="92"/>
      <c r="AF331" s="92"/>
      <c r="AG331" s="92"/>
    </row>
    <row r="332" hidden="1">
      <c r="A332" s="86" t="str">
        <f t="shared" si="19"/>
        <v>606253966c2d4797a350106a</v>
      </c>
      <c r="B332" s="39"/>
      <c r="C332" s="78" t="s">
        <v>78</v>
      </c>
      <c r="D332" s="97" t="s">
        <v>399</v>
      </c>
      <c r="E332" s="52" t="s">
        <v>482</v>
      </c>
      <c r="F332" s="52" t="s">
        <v>483</v>
      </c>
      <c r="G332" s="29">
        <v>0.7708333333333334</v>
      </c>
      <c r="H332" s="70"/>
      <c r="I332" s="70"/>
      <c r="J332" s="70"/>
      <c r="K332" s="70"/>
      <c r="L332" s="21"/>
      <c r="M332" s="91"/>
      <c r="N332" s="96" t="b">
        <v>0</v>
      </c>
      <c r="O332" s="96" t="b">
        <v>0</v>
      </c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  <c r="AA332" s="92"/>
      <c r="AB332" s="92"/>
      <c r="AC332" s="92"/>
      <c r="AD332" s="92"/>
      <c r="AE332" s="92"/>
      <c r="AF332" s="92"/>
      <c r="AG332" s="92"/>
    </row>
    <row r="333" hidden="1">
      <c r="A333" s="86" t="str">
        <f t="shared" si="19"/>
        <v/>
      </c>
      <c r="B333" s="87"/>
      <c r="C333" s="88">
        <v>44344.0</v>
      </c>
      <c r="D333" s="89"/>
      <c r="E333" s="104"/>
      <c r="F333" s="13"/>
      <c r="G333" s="13"/>
      <c r="H333" s="13"/>
      <c r="I333" s="13"/>
      <c r="J333" s="13"/>
      <c r="K333" s="13"/>
      <c r="L333" s="14"/>
      <c r="M333" s="91"/>
      <c r="N333" s="91"/>
      <c r="O333" s="91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  <c r="AA333" s="92"/>
      <c r="AB333" s="92"/>
      <c r="AC333" s="92"/>
      <c r="AD333" s="92"/>
      <c r="AE333" s="92"/>
      <c r="AF333" s="92"/>
      <c r="AG333" s="92"/>
    </row>
    <row r="334" hidden="1">
      <c r="A334" s="86" t="str">
        <f t="shared" si="19"/>
        <v/>
      </c>
      <c r="B334" s="106" t="s">
        <v>623</v>
      </c>
      <c r="C334" s="103"/>
      <c r="D334" s="89"/>
      <c r="E334" s="91"/>
      <c r="F334" s="119" t="s">
        <v>752</v>
      </c>
      <c r="G334" s="94"/>
      <c r="H334" s="91"/>
      <c r="I334" s="91"/>
      <c r="J334" s="91"/>
      <c r="K334" s="91"/>
      <c r="L334" s="91"/>
      <c r="M334" s="91"/>
      <c r="N334" s="96" t="b">
        <v>0</v>
      </c>
      <c r="O334" s="96" t="b">
        <v>0</v>
      </c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  <c r="AA334" s="92"/>
      <c r="AB334" s="92"/>
      <c r="AC334" s="92"/>
      <c r="AD334" s="92"/>
      <c r="AE334" s="92"/>
      <c r="AF334" s="92"/>
      <c r="AG334" s="92"/>
    </row>
    <row r="335" hidden="1">
      <c r="A335" s="86" t="str">
        <f t="shared" si="19"/>
        <v/>
      </c>
      <c r="B335" s="57"/>
      <c r="C335" s="80" t="s">
        <v>342</v>
      </c>
      <c r="D335" s="97"/>
      <c r="E335" s="32"/>
      <c r="F335" s="105"/>
      <c r="G335" s="99"/>
      <c r="H335" s="98"/>
      <c r="I335" s="105"/>
      <c r="J335" s="95"/>
      <c r="K335" s="91"/>
      <c r="L335" s="91"/>
      <c r="M335" s="96" t="str">
        <f>VLOOKUP(E335,'hedef liste'!A:I,8,false)</f>
        <v>#N/A</v>
      </c>
      <c r="N335" s="96" t="b">
        <v>0</v>
      </c>
      <c r="O335" s="96" t="b">
        <v>0</v>
      </c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  <c r="AA335" s="92"/>
      <c r="AB335" s="92"/>
      <c r="AC335" s="92"/>
      <c r="AD335" s="92"/>
      <c r="AE335" s="92"/>
      <c r="AF335" s="92"/>
      <c r="AG335" s="92"/>
    </row>
    <row r="336" hidden="1">
      <c r="A336" s="86" t="str">
        <f t="shared" si="19"/>
        <v>6087307127e1d177b8573426</v>
      </c>
      <c r="B336" s="57"/>
      <c r="C336" s="80" t="s">
        <v>342</v>
      </c>
      <c r="D336" s="97" t="s">
        <v>79</v>
      </c>
      <c r="E336" s="105" t="s">
        <v>753</v>
      </c>
      <c r="F336" s="105" t="s">
        <v>754</v>
      </c>
      <c r="G336" s="99">
        <v>0.5</v>
      </c>
      <c r="H336" s="98" t="s">
        <v>755</v>
      </c>
      <c r="I336" s="105" t="s">
        <v>756</v>
      </c>
      <c r="J336" s="105" t="s">
        <v>757</v>
      </c>
      <c r="K336" s="91"/>
      <c r="L336" s="91"/>
      <c r="M336" s="96">
        <f>VLOOKUP(E336,'hedef liste'!A:I,8,false)</f>
        <v>14</v>
      </c>
      <c r="N336" s="96" t="b">
        <v>0</v>
      </c>
      <c r="O336" s="96" t="b">
        <v>0</v>
      </c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  <c r="AA336" s="92"/>
      <c r="AB336" s="92"/>
      <c r="AC336" s="92"/>
      <c r="AD336" s="92"/>
      <c r="AE336" s="92"/>
      <c r="AF336" s="92"/>
      <c r="AG336" s="92"/>
    </row>
    <row r="337" hidden="1">
      <c r="A337" s="86" t="str">
        <f t="shared" si="19"/>
        <v>6025913c5e0d8c3d0d2945ef</v>
      </c>
      <c r="B337" s="57"/>
      <c r="C337" s="80" t="s">
        <v>342</v>
      </c>
      <c r="D337" s="97" t="s">
        <v>79</v>
      </c>
      <c r="E337" s="32" t="s">
        <v>758</v>
      </c>
      <c r="F337" s="32" t="s">
        <v>759</v>
      </c>
      <c r="G337" s="99">
        <v>0.625</v>
      </c>
      <c r="H337" s="98" t="s">
        <v>724</v>
      </c>
      <c r="I337" s="98" t="s">
        <v>760</v>
      </c>
      <c r="J337" s="32" t="s">
        <v>761</v>
      </c>
      <c r="K337" s="91"/>
      <c r="L337" s="91"/>
      <c r="M337" s="96">
        <f>VLOOKUP(E337,'hedef liste'!A:I,8,false)</f>
        <v>1</v>
      </c>
      <c r="N337" s="96" t="b">
        <v>0</v>
      </c>
      <c r="O337" s="96" t="b">
        <v>0</v>
      </c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  <c r="AA337" s="92"/>
      <c r="AB337" s="92"/>
      <c r="AC337" s="92"/>
      <c r="AD337" s="92"/>
      <c r="AE337" s="92"/>
      <c r="AF337" s="92"/>
      <c r="AG337" s="92"/>
    </row>
    <row r="338" hidden="1">
      <c r="A338" s="86" t="str">
        <f t="shared" si="19"/>
        <v>5fe60d9e4f55ab5cfe9c707c</v>
      </c>
      <c r="B338" s="57"/>
      <c r="C338" s="80" t="s">
        <v>342</v>
      </c>
      <c r="D338" s="102" t="s">
        <v>79</v>
      </c>
      <c r="E338" s="32" t="s">
        <v>762</v>
      </c>
      <c r="F338" s="32" t="s">
        <v>763</v>
      </c>
      <c r="G338" s="99">
        <v>0.6875</v>
      </c>
      <c r="H338" s="98" t="s">
        <v>755</v>
      </c>
      <c r="I338" s="98" t="s">
        <v>764</v>
      </c>
      <c r="J338" s="105" t="s">
        <v>765</v>
      </c>
      <c r="K338" s="91"/>
      <c r="L338" s="91"/>
      <c r="M338" s="96">
        <f>VLOOKUP(E338,'hedef liste'!A:I,8,false)</f>
        <v>1</v>
      </c>
      <c r="N338" s="96" t="b">
        <v>0</v>
      </c>
      <c r="O338" s="96" t="b">
        <v>0</v>
      </c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  <c r="AA338" s="92"/>
      <c r="AB338" s="92"/>
      <c r="AC338" s="92"/>
      <c r="AD338" s="92"/>
      <c r="AE338" s="92"/>
      <c r="AF338" s="92"/>
      <c r="AG338" s="92"/>
    </row>
    <row r="339" hidden="1">
      <c r="A339" s="86" t="str">
        <f t="shared" si="19"/>
        <v>6092757371f6d0781dd5592c</v>
      </c>
      <c r="B339" s="60"/>
      <c r="C339" s="80"/>
      <c r="D339" s="107" t="s">
        <v>79</v>
      </c>
      <c r="E339" s="28" t="s">
        <v>766</v>
      </c>
      <c r="F339" s="28" t="s">
        <v>767</v>
      </c>
      <c r="G339" s="108">
        <v>0.7708333333333334</v>
      </c>
      <c r="H339" s="109" t="s">
        <v>755</v>
      </c>
      <c r="I339" s="109" t="s">
        <v>768</v>
      </c>
      <c r="J339" s="109" t="s">
        <v>769</v>
      </c>
      <c r="K339" s="111"/>
      <c r="L339" s="111"/>
      <c r="M339" s="91"/>
      <c r="N339" s="96" t="b">
        <v>0</v>
      </c>
      <c r="O339" s="96" t="b">
        <v>0</v>
      </c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  <c r="AA339" s="92"/>
      <c r="AB339" s="92"/>
      <c r="AC339" s="92"/>
      <c r="AD339" s="92"/>
      <c r="AE339" s="92"/>
      <c r="AF339" s="92"/>
      <c r="AG339" s="92"/>
    </row>
    <row r="340" hidden="1">
      <c r="A340" s="86" t="str">
        <f t="shared" si="19"/>
        <v/>
      </c>
      <c r="B340" s="17" t="s">
        <v>14</v>
      </c>
      <c r="C340" s="77"/>
      <c r="D340" s="89"/>
      <c r="E340" s="91"/>
      <c r="F340" s="91"/>
      <c r="G340" s="71"/>
      <c r="H340" s="91"/>
      <c r="I340" s="91"/>
      <c r="J340" s="91"/>
      <c r="K340" s="91"/>
      <c r="L340" s="91"/>
      <c r="M340" s="91"/>
      <c r="N340" s="96" t="b">
        <v>0</v>
      </c>
      <c r="O340" s="96" t="b">
        <v>0</v>
      </c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  <c r="AA340" s="92"/>
      <c r="AB340" s="92"/>
      <c r="AC340" s="92"/>
      <c r="AD340" s="92"/>
      <c r="AE340" s="92"/>
      <c r="AF340" s="92"/>
      <c r="AG340" s="92"/>
    </row>
    <row r="341" hidden="1">
      <c r="A341" s="86" t="str">
        <f t="shared" si="19"/>
        <v/>
      </c>
      <c r="B341" s="120"/>
      <c r="C341" s="121" t="s">
        <v>78</v>
      </c>
      <c r="D341" s="89"/>
      <c r="E341" s="91"/>
      <c r="F341" s="91"/>
      <c r="G341" s="99">
        <v>0.4166666666666667</v>
      </c>
      <c r="H341" s="91"/>
      <c r="I341" s="91"/>
      <c r="J341" s="91"/>
      <c r="K341" s="91"/>
      <c r="L341" s="91"/>
      <c r="M341" s="91"/>
      <c r="N341" s="96" t="b">
        <v>0</v>
      </c>
      <c r="O341" s="96" t="b">
        <v>0</v>
      </c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  <c r="AA341" s="92"/>
      <c r="AB341" s="92"/>
      <c r="AC341" s="92"/>
      <c r="AD341" s="92"/>
      <c r="AE341" s="92"/>
      <c r="AF341" s="92"/>
      <c r="AG341" s="92"/>
    </row>
    <row r="342" hidden="1">
      <c r="A342" s="86" t="str">
        <f t="shared" si="19"/>
        <v>601465a6d22e224af9b5b0cc</v>
      </c>
      <c r="B342" s="120"/>
      <c r="C342" s="121" t="s">
        <v>78</v>
      </c>
      <c r="D342" s="97" t="s">
        <v>79</v>
      </c>
      <c r="E342" s="32" t="s">
        <v>770</v>
      </c>
      <c r="F342" s="32" t="s">
        <v>771</v>
      </c>
      <c r="G342" s="41" t="s">
        <v>449</v>
      </c>
      <c r="H342" s="98" t="s">
        <v>205</v>
      </c>
      <c r="I342" s="98" t="s">
        <v>772</v>
      </c>
      <c r="J342" s="98" t="s">
        <v>773</v>
      </c>
      <c r="K342" s="91"/>
      <c r="L342" s="91"/>
      <c r="M342" s="91"/>
      <c r="N342" s="96" t="b">
        <v>0</v>
      </c>
      <c r="O342" s="96" t="b">
        <v>0</v>
      </c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  <c r="AA342" s="92"/>
      <c r="AB342" s="92"/>
      <c r="AC342" s="92"/>
      <c r="AD342" s="92"/>
      <c r="AE342" s="92"/>
      <c r="AF342" s="92"/>
      <c r="AG342" s="92"/>
    </row>
    <row r="343" hidden="1">
      <c r="A343" s="86" t="str">
        <f t="shared" si="19"/>
        <v>5fe117c2daff163dc66e1ed8</v>
      </c>
      <c r="B343" s="120"/>
      <c r="C343" s="121" t="s">
        <v>78</v>
      </c>
      <c r="D343" s="97" t="s">
        <v>79</v>
      </c>
      <c r="E343" s="32" t="s">
        <v>198</v>
      </c>
      <c r="F343" s="32" t="s">
        <v>199</v>
      </c>
      <c r="G343" s="41" t="s">
        <v>774</v>
      </c>
      <c r="H343" s="98" t="s">
        <v>205</v>
      </c>
      <c r="I343" s="98" t="s">
        <v>775</v>
      </c>
      <c r="J343" s="98" t="s">
        <v>201</v>
      </c>
      <c r="K343" s="91"/>
      <c r="L343" s="91"/>
      <c r="M343" s="91"/>
      <c r="N343" s="96" t="b">
        <v>0</v>
      </c>
      <c r="O343" s="96" t="b">
        <v>0</v>
      </c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  <c r="AA343" s="92"/>
      <c r="AB343" s="92"/>
      <c r="AC343" s="92"/>
      <c r="AD343" s="92"/>
      <c r="AE343" s="92"/>
      <c r="AF343" s="92"/>
      <c r="AG343" s="92"/>
    </row>
    <row r="344" hidden="1">
      <c r="A344" s="86" t="str">
        <f t="shared" si="19"/>
        <v>608e80d1d24a2e3953848d86</v>
      </c>
      <c r="B344" s="120"/>
      <c r="C344" s="121" t="s">
        <v>78</v>
      </c>
      <c r="D344" s="97" t="s">
        <v>79</v>
      </c>
      <c r="E344" s="98" t="s">
        <v>776</v>
      </c>
      <c r="F344" s="98" t="s">
        <v>777</v>
      </c>
      <c r="G344" s="99">
        <v>0.6666666666666666</v>
      </c>
      <c r="H344" s="98" t="s">
        <v>349</v>
      </c>
      <c r="I344" s="98" t="s">
        <v>778</v>
      </c>
      <c r="J344" s="98" t="s">
        <v>779</v>
      </c>
      <c r="K344" s="91"/>
      <c r="L344" s="91"/>
      <c r="M344" s="91"/>
      <c r="N344" s="96" t="b">
        <v>0</v>
      </c>
      <c r="O344" s="96" t="b">
        <v>0</v>
      </c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  <c r="AA344" s="92"/>
      <c r="AB344" s="92"/>
      <c r="AC344" s="92"/>
      <c r="AD344" s="92"/>
      <c r="AE344" s="92"/>
      <c r="AF344" s="92"/>
      <c r="AG344" s="92"/>
    </row>
    <row r="345" hidden="1">
      <c r="A345" s="86" t="str">
        <f t="shared" si="19"/>
        <v>605cd2d0e81f5bc7fe859127</v>
      </c>
      <c r="B345" s="120"/>
      <c r="C345" s="121" t="s">
        <v>78</v>
      </c>
      <c r="D345" s="97" t="s">
        <v>79</v>
      </c>
      <c r="E345" s="109" t="s">
        <v>579</v>
      </c>
      <c r="F345" s="109" t="s">
        <v>580</v>
      </c>
      <c r="G345" s="112" t="s">
        <v>780</v>
      </c>
      <c r="H345" s="109" t="s">
        <v>349</v>
      </c>
      <c r="I345" s="109" t="s">
        <v>781</v>
      </c>
      <c r="J345" s="109" t="s">
        <v>582</v>
      </c>
      <c r="K345" s="111"/>
      <c r="L345" s="91"/>
      <c r="M345" s="91"/>
      <c r="N345" s="96" t="b">
        <v>0</v>
      </c>
      <c r="O345" s="96" t="b">
        <v>0</v>
      </c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  <c r="AA345" s="92"/>
      <c r="AB345" s="92"/>
      <c r="AC345" s="92"/>
      <c r="AD345" s="92"/>
      <c r="AE345" s="92"/>
      <c r="AF345" s="92"/>
      <c r="AG345" s="92"/>
    </row>
    <row r="346" hidden="1">
      <c r="A346" s="86" t="str">
        <f t="shared" si="19"/>
        <v/>
      </c>
      <c r="B346" s="87"/>
      <c r="C346" s="88">
        <v>44347.0</v>
      </c>
      <c r="D346" s="97"/>
      <c r="E346" s="98"/>
      <c r="F346" s="98"/>
      <c r="G346" s="41"/>
      <c r="H346" s="98"/>
      <c r="I346" s="98"/>
      <c r="J346" s="98"/>
      <c r="K346" s="91"/>
      <c r="L346" s="91"/>
      <c r="M346" s="91"/>
      <c r="N346" s="96" t="b">
        <v>0</v>
      </c>
      <c r="O346" s="96" t="b">
        <v>0</v>
      </c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  <c r="AA346" s="92"/>
      <c r="AB346" s="92"/>
      <c r="AC346" s="92"/>
      <c r="AD346" s="92"/>
      <c r="AE346" s="92"/>
      <c r="AF346" s="92"/>
      <c r="AG346" s="92"/>
    </row>
    <row r="347" hidden="1">
      <c r="A347" s="86" t="str">
        <f t="shared" si="19"/>
        <v/>
      </c>
      <c r="B347" s="18" t="s">
        <v>14</v>
      </c>
      <c r="C347" s="77"/>
      <c r="D347" s="97"/>
      <c r="E347" s="98"/>
      <c r="F347" s="98"/>
      <c r="G347" s="41"/>
      <c r="H347" s="98"/>
      <c r="I347" s="98"/>
      <c r="J347" s="98"/>
      <c r="K347" s="91"/>
      <c r="L347" s="91"/>
      <c r="M347" s="91"/>
      <c r="N347" s="96" t="b">
        <v>0</v>
      </c>
      <c r="O347" s="96" t="b">
        <v>0</v>
      </c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  <c r="AA347" s="92"/>
      <c r="AB347" s="92"/>
      <c r="AC347" s="92"/>
      <c r="AD347" s="92"/>
      <c r="AE347" s="92"/>
      <c r="AF347" s="92"/>
      <c r="AG347" s="92"/>
    </row>
    <row r="348" hidden="1">
      <c r="A348" s="86" t="str">
        <f t="shared" si="19"/>
        <v>6096dc57b2587e49c837b717</v>
      </c>
      <c r="B348" s="25"/>
      <c r="C348" s="78" t="s">
        <v>78</v>
      </c>
      <c r="D348" s="107" t="s">
        <v>399</v>
      </c>
      <c r="E348" s="28" t="s">
        <v>782</v>
      </c>
      <c r="F348" s="28" t="s">
        <v>783</v>
      </c>
      <c r="G348" s="108">
        <v>0.5833333333333334</v>
      </c>
      <c r="H348" s="109" t="s">
        <v>784</v>
      </c>
      <c r="I348" s="109" t="s">
        <v>785</v>
      </c>
      <c r="J348" s="28" t="s">
        <v>786</v>
      </c>
      <c r="K348" s="109" t="s">
        <v>787</v>
      </c>
      <c r="L348" s="111"/>
      <c r="M348" s="91"/>
      <c r="N348" s="96" t="b">
        <v>0</v>
      </c>
      <c r="O348" s="96" t="b">
        <v>0</v>
      </c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  <c r="AA348" s="92"/>
      <c r="AB348" s="92"/>
      <c r="AC348" s="92"/>
      <c r="AD348" s="92"/>
      <c r="AE348" s="92"/>
      <c r="AF348" s="92"/>
      <c r="AG348" s="92"/>
    </row>
    <row r="349" hidden="1">
      <c r="A349" s="86" t="str">
        <f t="shared" si="19"/>
        <v>605100bee81006d7e64d005f</v>
      </c>
      <c r="B349" s="25"/>
      <c r="C349" s="78" t="s">
        <v>78</v>
      </c>
      <c r="D349" s="97" t="s">
        <v>399</v>
      </c>
      <c r="E349" s="32" t="s">
        <v>788</v>
      </c>
      <c r="F349" s="32" t="s">
        <v>789</v>
      </c>
      <c r="G349" s="99">
        <v>0.6666666666666666</v>
      </c>
      <c r="H349" s="98" t="s">
        <v>784</v>
      </c>
      <c r="I349" s="98" t="s">
        <v>790</v>
      </c>
      <c r="J349" s="32" t="s">
        <v>791</v>
      </c>
      <c r="K349" s="91"/>
      <c r="L349" s="91"/>
      <c r="M349" s="91"/>
      <c r="N349" s="96" t="b">
        <v>0</v>
      </c>
      <c r="O349" s="96" t="b">
        <v>0</v>
      </c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  <c r="AA349" s="92"/>
      <c r="AB349" s="92"/>
      <c r="AC349" s="92"/>
      <c r="AD349" s="92"/>
      <c r="AE349" s="92"/>
      <c r="AF349" s="92"/>
      <c r="AG349" s="92"/>
    </row>
    <row r="350" hidden="1">
      <c r="A350" s="86" t="str">
        <f t="shared" si="19"/>
        <v>60887edf42f08ae31e9e9b4e</v>
      </c>
      <c r="B350" s="25"/>
      <c r="C350" s="78" t="s">
        <v>78</v>
      </c>
      <c r="D350" s="97" t="s">
        <v>399</v>
      </c>
      <c r="E350" s="32" t="s">
        <v>792</v>
      </c>
      <c r="F350" s="32" t="s">
        <v>793</v>
      </c>
      <c r="G350" s="99">
        <v>0.7291666666666666</v>
      </c>
      <c r="H350" s="98" t="s">
        <v>784</v>
      </c>
      <c r="I350" s="98" t="s">
        <v>794</v>
      </c>
      <c r="J350" s="32" t="s">
        <v>795</v>
      </c>
      <c r="K350" s="91"/>
      <c r="L350" s="91"/>
      <c r="M350" s="91"/>
      <c r="N350" s="96" t="b">
        <v>0</v>
      </c>
      <c r="O350" s="96" t="b">
        <v>0</v>
      </c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  <c r="AA350" s="92"/>
      <c r="AB350" s="92"/>
      <c r="AC350" s="92"/>
      <c r="AD350" s="92"/>
      <c r="AE350" s="92"/>
      <c r="AF350" s="92"/>
      <c r="AG350" s="92"/>
    </row>
    <row r="351" hidden="1">
      <c r="A351" s="86" t="str">
        <f t="shared" si="19"/>
        <v>5fde3e1ec0e54f3447874015</v>
      </c>
      <c r="B351" s="39"/>
      <c r="C351" s="122" t="s">
        <v>78</v>
      </c>
      <c r="D351" s="97" t="s">
        <v>399</v>
      </c>
      <c r="E351" s="91" t="s">
        <v>237</v>
      </c>
      <c r="F351" s="91" t="s">
        <v>238</v>
      </c>
      <c r="G351" s="94">
        <v>0.7708333333333334</v>
      </c>
      <c r="H351" s="98" t="s">
        <v>796</v>
      </c>
      <c r="I351" s="98" t="s">
        <v>797</v>
      </c>
      <c r="J351" s="118" t="s">
        <v>240</v>
      </c>
      <c r="K351" s="91"/>
      <c r="L351" s="91"/>
      <c r="M351" s="91"/>
      <c r="N351" s="96" t="b">
        <v>0</v>
      </c>
      <c r="O351" s="96" t="b">
        <v>0</v>
      </c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  <c r="AA351" s="92"/>
      <c r="AB351" s="92"/>
      <c r="AC351" s="92"/>
      <c r="AD351" s="92"/>
      <c r="AE351" s="92"/>
      <c r="AF351" s="92"/>
      <c r="AG351" s="92"/>
    </row>
    <row r="352" hidden="1">
      <c r="A352" s="86" t="str">
        <f t="shared" si="19"/>
        <v/>
      </c>
      <c r="B352" s="87"/>
      <c r="C352" s="88">
        <v>44348.0</v>
      </c>
      <c r="D352" s="97"/>
      <c r="E352" s="98"/>
      <c r="F352" s="98"/>
      <c r="G352" s="41"/>
      <c r="H352" s="98"/>
      <c r="I352" s="98"/>
      <c r="J352" s="98"/>
      <c r="K352" s="91"/>
      <c r="L352" s="91"/>
      <c r="M352" s="91"/>
      <c r="N352" s="96" t="b">
        <v>0</v>
      </c>
      <c r="O352" s="96" t="b">
        <v>0</v>
      </c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  <c r="AA352" s="92"/>
      <c r="AB352" s="92"/>
      <c r="AC352" s="92"/>
      <c r="AD352" s="92"/>
      <c r="AE352" s="92"/>
      <c r="AF352" s="92"/>
      <c r="AG352" s="92"/>
    </row>
    <row r="353" hidden="1">
      <c r="A353" s="86" t="str">
        <f t="shared" si="19"/>
        <v/>
      </c>
      <c r="B353" s="18" t="s">
        <v>14</v>
      </c>
      <c r="C353" s="77"/>
      <c r="D353" s="97"/>
      <c r="E353" s="98"/>
      <c r="F353" s="98"/>
      <c r="G353" s="41"/>
      <c r="H353" s="98"/>
      <c r="I353" s="98"/>
      <c r="J353" s="98"/>
      <c r="K353" s="91"/>
      <c r="L353" s="91"/>
      <c r="M353" s="91"/>
      <c r="N353" s="96" t="b">
        <v>0</v>
      </c>
      <c r="O353" s="96" t="b">
        <v>0</v>
      </c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  <c r="AA353" s="92"/>
      <c r="AB353" s="92"/>
      <c r="AC353" s="92"/>
      <c r="AD353" s="92"/>
      <c r="AE353" s="92"/>
      <c r="AF353" s="92"/>
      <c r="AG353" s="92"/>
    </row>
    <row r="354" hidden="1">
      <c r="A354" s="86" t="str">
        <f t="shared" si="19"/>
        <v>606253966c2d4797a350106a</v>
      </c>
      <c r="B354" s="25"/>
      <c r="C354" s="78" t="s">
        <v>78</v>
      </c>
      <c r="D354" s="97" t="s">
        <v>79</v>
      </c>
      <c r="E354" s="98" t="s">
        <v>482</v>
      </c>
      <c r="F354" s="98" t="s">
        <v>483</v>
      </c>
      <c r="G354" s="99">
        <v>0.4166666666666667</v>
      </c>
      <c r="H354" s="98" t="s">
        <v>258</v>
      </c>
      <c r="I354" s="98" t="s">
        <v>798</v>
      </c>
      <c r="J354" s="98" t="s">
        <v>485</v>
      </c>
      <c r="K354" s="91"/>
      <c r="L354" s="91"/>
      <c r="M354" s="91"/>
      <c r="N354" s="96" t="b">
        <v>0</v>
      </c>
      <c r="O354" s="96" t="b">
        <v>0</v>
      </c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  <c r="AA354" s="92"/>
      <c r="AB354" s="92"/>
      <c r="AC354" s="92"/>
      <c r="AD354" s="92"/>
      <c r="AE354" s="92"/>
      <c r="AF354" s="92"/>
      <c r="AG354" s="92"/>
    </row>
    <row r="355" hidden="1">
      <c r="A355" s="86" t="str">
        <f t="shared" si="19"/>
        <v>60144c8382ce143edb5830ae</v>
      </c>
      <c r="B355" s="25"/>
      <c r="C355" s="78" t="s">
        <v>78</v>
      </c>
      <c r="D355" s="97" t="s">
        <v>79</v>
      </c>
      <c r="E355" s="32" t="s">
        <v>799</v>
      </c>
      <c r="F355" s="32" t="s">
        <v>800</v>
      </c>
      <c r="G355" s="99">
        <v>0.5208333333333334</v>
      </c>
      <c r="H355" s="98" t="s">
        <v>185</v>
      </c>
      <c r="I355" s="98" t="s">
        <v>801</v>
      </c>
      <c r="J355" s="98" t="s">
        <v>802</v>
      </c>
      <c r="K355" s="91"/>
      <c r="L355" s="91"/>
      <c r="M355" s="91"/>
      <c r="N355" s="96" t="b">
        <v>0</v>
      </c>
      <c r="O355" s="96" t="b">
        <v>0</v>
      </c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  <c r="AA355" s="92"/>
      <c r="AB355" s="92"/>
      <c r="AC355" s="92"/>
      <c r="AD355" s="92"/>
      <c r="AE355" s="92"/>
      <c r="AF355" s="92"/>
      <c r="AG355" s="92"/>
    </row>
    <row r="356" hidden="1">
      <c r="A356" s="86" t="str">
        <f t="shared" si="19"/>
        <v>603a18b58ed50857ba14bf25</v>
      </c>
      <c r="B356" s="25"/>
      <c r="C356" s="78" t="s">
        <v>78</v>
      </c>
      <c r="D356" s="97" t="s">
        <v>79</v>
      </c>
      <c r="E356" s="98" t="s">
        <v>803</v>
      </c>
      <c r="F356" s="98" t="s">
        <v>804</v>
      </c>
      <c r="G356" s="99">
        <v>0.5833333333333334</v>
      </c>
      <c r="H356" s="98" t="s">
        <v>258</v>
      </c>
      <c r="I356" s="98" t="s">
        <v>805</v>
      </c>
      <c r="J356" s="98" t="s">
        <v>806</v>
      </c>
      <c r="K356" s="91"/>
      <c r="L356" s="91"/>
      <c r="M356" s="91"/>
      <c r="N356" s="96" t="b">
        <v>0</v>
      </c>
      <c r="O356" s="96" t="b">
        <v>0</v>
      </c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  <c r="AA356" s="92"/>
      <c r="AB356" s="92"/>
      <c r="AC356" s="92"/>
      <c r="AD356" s="92"/>
      <c r="AE356" s="92"/>
      <c r="AF356" s="92"/>
      <c r="AG356" s="92"/>
    </row>
    <row r="357" hidden="1">
      <c r="A357" s="86" t="str">
        <f t="shared" si="19"/>
        <v>60625c7e8843fef3097c4327</v>
      </c>
      <c r="B357" s="25"/>
      <c r="C357" s="78" t="s">
        <v>78</v>
      </c>
      <c r="D357" s="97" t="s">
        <v>399</v>
      </c>
      <c r="E357" s="32" t="s">
        <v>807</v>
      </c>
      <c r="F357" s="32" t="s">
        <v>808</v>
      </c>
      <c r="G357" s="99">
        <v>0.6666666666666666</v>
      </c>
      <c r="H357" s="98" t="s">
        <v>185</v>
      </c>
      <c r="I357" s="98" t="s">
        <v>809</v>
      </c>
      <c r="J357" s="32" t="s">
        <v>810</v>
      </c>
      <c r="K357" s="91"/>
      <c r="L357" s="91"/>
      <c r="M357" s="91"/>
      <c r="N357" s="96" t="b">
        <v>0</v>
      </c>
      <c r="O357" s="96" t="b">
        <v>0</v>
      </c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  <c r="AA357" s="92"/>
      <c r="AB357" s="92"/>
      <c r="AC357" s="92"/>
      <c r="AD357" s="92"/>
      <c r="AE357" s="92"/>
      <c r="AF357" s="92"/>
      <c r="AG357" s="92"/>
    </row>
    <row r="358" hidden="1">
      <c r="A358" s="86" t="str">
        <f t="shared" si="19"/>
        <v/>
      </c>
      <c r="B358" s="39"/>
      <c r="C358" s="77"/>
      <c r="D358" s="97"/>
      <c r="E358" s="98"/>
      <c r="F358" s="98"/>
      <c r="G358" s="41"/>
      <c r="H358" s="98"/>
      <c r="I358" s="98"/>
      <c r="J358" s="98"/>
      <c r="K358" s="91"/>
      <c r="L358" s="91"/>
      <c r="M358" s="91"/>
      <c r="N358" s="96" t="b">
        <v>0</v>
      </c>
      <c r="O358" s="96" t="b">
        <v>0</v>
      </c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  <c r="AA358" s="92"/>
      <c r="AB358" s="92"/>
      <c r="AC358" s="92"/>
      <c r="AD358" s="92"/>
      <c r="AE358" s="92"/>
      <c r="AF358" s="92"/>
      <c r="AG358" s="92"/>
    </row>
    <row r="359" hidden="1">
      <c r="A359" s="86" t="str">
        <f t="shared" si="19"/>
        <v/>
      </c>
      <c r="B359" s="123" t="s">
        <v>811</v>
      </c>
      <c r="C359" s="103"/>
      <c r="D359" s="89"/>
      <c r="E359" s="124"/>
      <c r="F359" s="124"/>
      <c r="G359" s="26"/>
      <c r="H359" s="124"/>
      <c r="I359" s="124"/>
      <c r="J359" s="124"/>
      <c r="K359" s="91"/>
      <c r="L359" s="91"/>
      <c r="M359" s="91"/>
      <c r="N359" s="96" t="b">
        <v>0</v>
      </c>
      <c r="O359" s="96" t="b">
        <v>0</v>
      </c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  <c r="AA359" s="92"/>
      <c r="AB359" s="92"/>
      <c r="AC359" s="92"/>
      <c r="AD359" s="92"/>
      <c r="AE359" s="92"/>
      <c r="AF359" s="92"/>
      <c r="AG359" s="92"/>
    </row>
    <row r="360" hidden="1">
      <c r="A360" s="86" t="str">
        <f t="shared" si="19"/>
        <v>607f3bac10bf22c587b700d9</v>
      </c>
      <c r="B360" s="57"/>
      <c r="C360" s="78" t="s">
        <v>812</v>
      </c>
      <c r="D360" s="107" t="s">
        <v>79</v>
      </c>
      <c r="E360" s="109" t="s">
        <v>813</v>
      </c>
      <c r="F360" s="109" t="s">
        <v>814</v>
      </c>
      <c r="G360" s="108">
        <v>0.5</v>
      </c>
      <c r="H360" s="109" t="s">
        <v>290</v>
      </c>
      <c r="I360" s="109" t="s">
        <v>815</v>
      </c>
      <c r="J360" s="125" t="s">
        <v>816</v>
      </c>
      <c r="K360" s="111"/>
      <c r="L360" s="91"/>
      <c r="M360" s="91"/>
      <c r="N360" s="96" t="b">
        <v>0</v>
      </c>
      <c r="O360" s="96" t="b">
        <v>0</v>
      </c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  <c r="AA360" s="92"/>
      <c r="AB360" s="92"/>
      <c r="AC360" s="92"/>
      <c r="AD360" s="92"/>
      <c r="AE360" s="92"/>
      <c r="AF360" s="92"/>
      <c r="AG360" s="92"/>
    </row>
    <row r="361" hidden="1">
      <c r="A361" s="86" t="str">
        <f t="shared" si="19"/>
        <v>6092aed86b49890c5a9068f7</v>
      </c>
      <c r="B361" s="57"/>
      <c r="C361" s="78" t="s">
        <v>812</v>
      </c>
      <c r="D361" s="107" t="s">
        <v>79</v>
      </c>
      <c r="E361" s="126" t="s">
        <v>817</v>
      </c>
      <c r="F361" s="126" t="s">
        <v>818</v>
      </c>
      <c r="G361" s="112" t="s">
        <v>449</v>
      </c>
      <c r="H361" s="109" t="s">
        <v>290</v>
      </c>
      <c r="I361" s="109" t="s">
        <v>819</v>
      </c>
      <c r="J361" s="125" t="s">
        <v>820</v>
      </c>
      <c r="K361" s="111"/>
      <c r="L361" s="91"/>
      <c r="M361" s="91"/>
      <c r="N361" s="96" t="b">
        <v>0</v>
      </c>
      <c r="O361" s="96" t="b">
        <v>0</v>
      </c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  <c r="AA361" s="92"/>
      <c r="AB361" s="92"/>
      <c r="AC361" s="92"/>
      <c r="AD361" s="92"/>
      <c r="AE361" s="92"/>
      <c r="AF361" s="92"/>
      <c r="AG361" s="92"/>
    </row>
    <row r="362" hidden="1">
      <c r="A362" s="86" t="str">
        <f t="shared" si="19"/>
        <v>60a7f9e99dde1084fd560e30</v>
      </c>
      <c r="B362" s="57"/>
      <c r="C362" s="78" t="s">
        <v>812</v>
      </c>
      <c r="D362" s="107" t="s">
        <v>79</v>
      </c>
      <c r="E362" s="109" t="s">
        <v>821</v>
      </c>
      <c r="F362" s="109" t="s">
        <v>822</v>
      </c>
      <c r="G362" s="112" t="s">
        <v>180</v>
      </c>
      <c r="H362" s="109" t="s">
        <v>290</v>
      </c>
      <c r="I362" s="109" t="s">
        <v>823</v>
      </c>
      <c r="J362" s="125" t="s">
        <v>824</v>
      </c>
      <c r="K362" s="109" t="s">
        <v>825</v>
      </c>
      <c r="L362" s="91"/>
      <c r="M362" s="91"/>
      <c r="N362" s="96" t="b">
        <v>0</v>
      </c>
      <c r="O362" s="96" t="b">
        <v>0</v>
      </c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  <c r="AA362" s="92"/>
      <c r="AB362" s="92"/>
      <c r="AC362" s="92"/>
      <c r="AD362" s="92"/>
      <c r="AE362" s="92"/>
      <c r="AF362" s="92"/>
      <c r="AG362" s="92"/>
    </row>
    <row r="363" hidden="1">
      <c r="A363" s="86" t="str">
        <f t="shared" si="19"/>
        <v>60950a2402644c32578396a6</v>
      </c>
      <c r="B363" s="57"/>
      <c r="C363" s="78" t="s">
        <v>812</v>
      </c>
      <c r="D363" s="107" t="s">
        <v>79</v>
      </c>
      <c r="E363" s="126" t="s">
        <v>826</v>
      </c>
      <c r="F363" s="126" t="s">
        <v>827</v>
      </c>
      <c r="G363" s="108">
        <v>0.75</v>
      </c>
      <c r="H363" s="109" t="s">
        <v>290</v>
      </c>
      <c r="I363" s="109" t="s">
        <v>828</v>
      </c>
      <c r="J363" s="127" t="s">
        <v>829</v>
      </c>
      <c r="K363" s="111"/>
      <c r="L363" s="91"/>
      <c r="M363" s="91"/>
      <c r="N363" s="96" t="b">
        <v>0</v>
      </c>
      <c r="O363" s="96" t="b">
        <v>0</v>
      </c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  <c r="AA363" s="92"/>
      <c r="AB363" s="92"/>
      <c r="AC363" s="92"/>
      <c r="AD363" s="92"/>
      <c r="AE363" s="92"/>
      <c r="AF363" s="92"/>
      <c r="AG363" s="92"/>
    </row>
    <row r="364" hidden="1">
      <c r="A364" s="86" t="str">
        <f t="shared" si="19"/>
        <v/>
      </c>
      <c r="B364" s="60"/>
      <c r="C364" s="103"/>
      <c r="D364" s="89"/>
      <c r="E364" s="124"/>
      <c r="F364" s="124"/>
      <c r="G364" s="26"/>
      <c r="H364" s="124"/>
      <c r="I364" s="124"/>
      <c r="J364" s="124"/>
      <c r="K364" s="91"/>
      <c r="L364" s="91"/>
      <c r="M364" s="91"/>
      <c r="N364" s="96" t="b">
        <v>0</v>
      </c>
      <c r="O364" s="96" t="b">
        <v>0</v>
      </c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  <c r="AA364" s="92"/>
      <c r="AB364" s="92"/>
      <c r="AC364" s="92"/>
      <c r="AD364" s="92"/>
      <c r="AE364" s="92"/>
      <c r="AF364" s="92"/>
      <c r="AG364" s="92"/>
    </row>
    <row r="365" hidden="1">
      <c r="A365" s="86" t="str">
        <f t="shared" si="19"/>
        <v/>
      </c>
      <c r="B365" s="87"/>
      <c r="C365" s="88">
        <v>44349.0</v>
      </c>
      <c r="D365" s="89"/>
      <c r="E365" s="124"/>
      <c r="F365" s="124"/>
      <c r="G365" s="26"/>
      <c r="H365" s="124"/>
      <c r="I365" s="124"/>
      <c r="J365" s="124"/>
      <c r="K365" s="91"/>
      <c r="L365" s="91"/>
      <c r="M365" s="91"/>
      <c r="N365" s="96" t="b">
        <v>0</v>
      </c>
      <c r="O365" s="96" t="b">
        <v>0</v>
      </c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  <c r="AA365" s="92"/>
      <c r="AB365" s="92"/>
      <c r="AC365" s="92"/>
      <c r="AD365" s="92"/>
      <c r="AE365" s="92"/>
      <c r="AF365" s="92"/>
      <c r="AG365" s="92"/>
    </row>
    <row r="366" hidden="1">
      <c r="A366" s="86" t="str">
        <f t="shared" si="19"/>
        <v/>
      </c>
      <c r="B366" s="18" t="s">
        <v>14</v>
      </c>
      <c r="C366" s="103"/>
      <c r="D366" s="89"/>
      <c r="E366" s="124"/>
      <c r="F366" s="124"/>
      <c r="G366" s="26"/>
      <c r="H366" s="124"/>
      <c r="I366" s="124"/>
      <c r="J366" s="124"/>
      <c r="K366" s="91"/>
      <c r="L366" s="91"/>
      <c r="M366" s="91"/>
      <c r="N366" s="96" t="b">
        <v>0</v>
      </c>
      <c r="O366" s="96" t="b">
        <v>0</v>
      </c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  <c r="AA366" s="92"/>
      <c r="AB366" s="92"/>
      <c r="AC366" s="92"/>
      <c r="AD366" s="92"/>
      <c r="AE366" s="92"/>
      <c r="AF366" s="92"/>
      <c r="AG366" s="92"/>
    </row>
    <row r="367" hidden="1">
      <c r="A367" s="86" t="str">
        <f t="shared" si="19"/>
        <v>6038eefb845e74543fb2b5e1</v>
      </c>
      <c r="B367" s="25"/>
      <c r="C367" s="80" t="s">
        <v>78</v>
      </c>
      <c r="D367" s="97" t="s">
        <v>399</v>
      </c>
      <c r="E367" s="32" t="s">
        <v>830</v>
      </c>
      <c r="F367" s="32" t="s">
        <v>831</v>
      </c>
      <c r="G367" s="99">
        <v>0.5</v>
      </c>
      <c r="H367" s="35" t="s">
        <v>739</v>
      </c>
      <c r="I367" s="98" t="s">
        <v>832</v>
      </c>
      <c r="J367" s="32" t="s">
        <v>833</v>
      </c>
      <c r="K367" s="91"/>
      <c r="L367" s="91"/>
      <c r="M367" s="91"/>
      <c r="N367" s="96" t="b">
        <v>0</v>
      </c>
      <c r="O367" s="96" t="b">
        <v>0</v>
      </c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  <c r="AA367" s="92"/>
      <c r="AB367" s="92"/>
      <c r="AC367" s="92"/>
      <c r="AD367" s="92"/>
      <c r="AE367" s="92"/>
      <c r="AF367" s="92"/>
      <c r="AG367" s="92"/>
    </row>
    <row r="368" hidden="1">
      <c r="A368" s="86" t="str">
        <f t="shared" si="19"/>
        <v>605319fb36e00249239998b5</v>
      </c>
      <c r="B368" s="25"/>
      <c r="C368" s="80" t="s">
        <v>78</v>
      </c>
      <c r="D368" s="97" t="s">
        <v>79</v>
      </c>
      <c r="E368" s="98" t="s">
        <v>834</v>
      </c>
      <c r="F368" s="98" t="s">
        <v>835</v>
      </c>
      <c r="G368" s="99">
        <v>0.5833333333333334</v>
      </c>
      <c r="H368" s="98" t="s">
        <v>258</v>
      </c>
      <c r="I368" s="98" t="s">
        <v>836</v>
      </c>
      <c r="J368" s="98" t="s">
        <v>837</v>
      </c>
      <c r="K368" s="91"/>
      <c r="L368" s="91"/>
      <c r="M368" s="91"/>
      <c r="N368" s="96" t="b">
        <v>0</v>
      </c>
      <c r="O368" s="96" t="b">
        <v>0</v>
      </c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  <c r="AA368" s="92"/>
      <c r="AB368" s="92"/>
      <c r="AC368" s="92"/>
      <c r="AD368" s="92"/>
      <c r="AE368" s="92"/>
      <c r="AF368" s="92"/>
      <c r="AG368" s="92"/>
    </row>
    <row r="369" hidden="1">
      <c r="A369" s="86" t="str">
        <f t="shared" si="19"/>
        <v>5fe117c2daff163dc66e1ed8</v>
      </c>
      <c r="B369" s="25"/>
      <c r="C369" s="80" t="s">
        <v>78</v>
      </c>
      <c r="D369" s="97" t="s">
        <v>79</v>
      </c>
      <c r="E369" s="32" t="s">
        <v>198</v>
      </c>
      <c r="F369" s="32" t="s">
        <v>199</v>
      </c>
      <c r="G369" s="99">
        <v>0.6666666666666666</v>
      </c>
      <c r="H369" s="98" t="s">
        <v>205</v>
      </c>
      <c r="I369" s="98" t="s">
        <v>775</v>
      </c>
      <c r="J369" s="98" t="s">
        <v>201</v>
      </c>
      <c r="K369" s="91"/>
      <c r="L369" s="98" t="s">
        <v>838</v>
      </c>
      <c r="M369" s="91"/>
      <c r="N369" s="96" t="b">
        <v>0</v>
      </c>
      <c r="O369" s="96" t="b">
        <v>0</v>
      </c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  <c r="AA369" s="92"/>
      <c r="AB369" s="92"/>
      <c r="AC369" s="92"/>
      <c r="AD369" s="92"/>
      <c r="AE369" s="92"/>
      <c r="AF369" s="92"/>
      <c r="AG369" s="92"/>
    </row>
    <row r="370" hidden="1">
      <c r="A370" s="86" t="str">
        <f t="shared" si="19"/>
        <v>60649c24d79a79e3814a8448</v>
      </c>
      <c r="B370" s="25"/>
      <c r="C370" s="80" t="s">
        <v>78</v>
      </c>
      <c r="D370" s="20" t="s">
        <v>399</v>
      </c>
      <c r="E370" s="35" t="s">
        <v>422</v>
      </c>
      <c r="F370" s="35" t="s">
        <v>423</v>
      </c>
      <c r="G370" s="33">
        <v>0.75</v>
      </c>
      <c r="H370" s="35" t="s">
        <v>739</v>
      </c>
      <c r="I370" s="35" t="s">
        <v>839</v>
      </c>
      <c r="J370" s="35" t="s">
        <v>426</v>
      </c>
      <c r="K370" s="58"/>
      <c r="L370" s="91"/>
      <c r="M370" s="91"/>
      <c r="N370" s="96" t="b">
        <v>0</v>
      </c>
      <c r="O370" s="96" t="b">
        <v>0</v>
      </c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  <c r="AA370" s="92"/>
      <c r="AB370" s="92"/>
      <c r="AC370" s="92"/>
      <c r="AD370" s="92"/>
      <c r="AE370" s="92"/>
      <c r="AF370" s="92"/>
      <c r="AG370" s="92"/>
    </row>
    <row r="371" hidden="1">
      <c r="A371" s="86" t="str">
        <f t="shared" si="19"/>
        <v/>
      </c>
      <c r="B371" s="39"/>
      <c r="C371" s="103"/>
      <c r="D371" s="89"/>
      <c r="E371" s="124"/>
      <c r="F371" s="124"/>
      <c r="G371" s="26"/>
      <c r="H371" s="124"/>
      <c r="I371" s="124"/>
      <c r="J371" s="124"/>
      <c r="K371" s="91"/>
      <c r="L371" s="91"/>
      <c r="M371" s="91"/>
      <c r="N371" s="96" t="b">
        <v>0</v>
      </c>
      <c r="O371" s="96" t="b">
        <v>0</v>
      </c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  <c r="AA371" s="92"/>
      <c r="AB371" s="92"/>
      <c r="AC371" s="92"/>
      <c r="AD371" s="92"/>
      <c r="AE371" s="92"/>
      <c r="AF371" s="92"/>
      <c r="AG371" s="92"/>
    </row>
    <row r="372" hidden="1">
      <c r="A372" s="86" t="str">
        <f t="shared" si="19"/>
        <v/>
      </c>
      <c r="B372" s="123" t="s">
        <v>811</v>
      </c>
      <c r="C372" s="103"/>
      <c r="D372" s="64"/>
      <c r="E372" s="21"/>
      <c r="F372" s="21"/>
      <c r="G372" s="22"/>
      <c r="H372" s="21"/>
      <c r="I372" s="21"/>
      <c r="J372" s="21"/>
      <c r="K372" s="21"/>
      <c r="L372" s="21"/>
      <c r="M372" s="91"/>
      <c r="N372" s="96" t="b">
        <v>0</v>
      </c>
      <c r="O372" s="96" t="b">
        <v>0</v>
      </c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  <c r="AA372" s="92"/>
      <c r="AB372" s="92"/>
      <c r="AC372" s="92"/>
      <c r="AD372" s="92"/>
      <c r="AE372" s="92"/>
      <c r="AF372" s="92"/>
      <c r="AG372" s="92"/>
    </row>
    <row r="373" hidden="1">
      <c r="A373" s="86" t="str">
        <f t="shared" si="19"/>
        <v>602f8495efa02d12b8c065d8</v>
      </c>
      <c r="B373" s="57"/>
      <c r="C373" s="78" t="s">
        <v>812</v>
      </c>
      <c r="D373" s="107" t="s">
        <v>79</v>
      </c>
      <c r="E373" s="109" t="s">
        <v>462</v>
      </c>
      <c r="F373" s="109" t="s">
        <v>463</v>
      </c>
      <c r="G373" s="108">
        <v>0.5</v>
      </c>
      <c r="H373" s="109" t="s">
        <v>755</v>
      </c>
      <c r="I373" s="109" t="s">
        <v>840</v>
      </c>
      <c r="J373" s="109" t="s">
        <v>841</v>
      </c>
      <c r="K373" s="111"/>
      <c r="L373" s="111"/>
      <c r="M373" s="91"/>
      <c r="N373" s="96" t="b">
        <v>0</v>
      </c>
      <c r="O373" s="96" t="b">
        <v>0</v>
      </c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  <c r="AA373" s="92"/>
      <c r="AB373" s="92"/>
      <c r="AC373" s="92"/>
      <c r="AD373" s="92"/>
      <c r="AE373" s="92"/>
      <c r="AF373" s="92"/>
      <c r="AG373" s="92"/>
    </row>
    <row r="374" hidden="1">
      <c r="A374" s="86" t="str">
        <f t="shared" si="19"/>
        <v>6061ee4b4c11b057fb3b6f6c</v>
      </c>
      <c r="B374" s="57"/>
      <c r="C374" s="78" t="s">
        <v>812</v>
      </c>
      <c r="D374" s="107" t="s">
        <v>79</v>
      </c>
      <c r="E374" s="109" t="s">
        <v>842</v>
      </c>
      <c r="F374" s="109" t="s">
        <v>843</v>
      </c>
      <c r="G374" s="108">
        <v>0.5833333333333334</v>
      </c>
      <c r="H374" s="109" t="s">
        <v>755</v>
      </c>
      <c r="I374" s="109" t="s">
        <v>844</v>
      </c>
      <c r="J374" s="125" t="s">
        <v>845</v>
      </c>
      <c r="K374" s="111"/>
      <c r="L374" s="111"/>
      <c r="M374" s="91"/>
      <c r="N374" s="96" t="b">
        <v>0</v>
      </c>
      <c r="O374" s="96" t="b">
        <v>0</v>
      </c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  <c r="AA374" s="92"/>
      <c r="AB374" s="92"/>
      <c r="AC374" s="92"/>
      <c r="AD374" s="92"/>
      <c r="AE374" s="92"/>
      <c r="AF374" s="92"/>
      <c r="AG374" s="92"/>
    </row>
    <row r="375" hidden="1">
      <c r="A375" s="86" t="str">
        <f t="shared" si="19"/>
        <v>6009a357c669c201439d3516</v>
      </c>
      <c r="B375" s="57"/>
      <c r="C375" s="78" t="s">
        <v>812</v>
      </c>
      <c r="D375" s="107" t="s">
        <v>79</v>
      </c>
      <c r="E375" s="28" t="s">
        <v>846</v>
      </c>
      <c r="F375" s="28" t="s">
        <v>847</v>
      </c>
      <c r="G375" s="108">
        <v>0.6666666666666666</v>
      </c>
      <c r="H375" s="109" t="s">
        <v>458</v>
      </c>
      <c r="I375" s="109" t="s">
        <v>848</v>
      </c>
      <c r="J375" s="125" t="s">
        <v>849</v>
      </c>
      <c r="K375" s="109" t="s">
        <v>850</v>
      </c>
      <c r="L375" s="111"/>
      <c r="M375" s="91"/>
      <c r="N375" s="96" t="b">
        <v>0</v>
      </c>
      <c r="O375" s="96" t="b">
        <v>0</v>
      </c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  <c r="AA375" s="92"/>
      <c r="AB375" s="92"/>
      <c r="AC375" s="92"/>
      <c r="AD375" s="92"/>
      <c r="AE375" s="92"/>
      <c r="AF375" s="92"/>
      <c r="AG375" s="92"/>
    </row>
    <row r="376" hidden="1">
      <c r="A376" s="86" t="str">
        <f t="shared" si="19"/>
        <v>603f975810ae2239565ed6c1</v>
      </c>
      <c r="B376" s="57"/>
      <c r="C376" s="78" t="s">
        <v>812</v>
      </c>
      <c r="D376" s="107" t="s">
        <v>399</v>
      </c>
      <c r="E376" s="28" t="s">
        <v>851</v>
      </c>
      <c r="F376" s="28" t="s">
        <v>852</v>
      </c>
      <c r="G376" s="108">
        <v>0.75</v>
      </c>
      <c r="H376" s="109" t="s">
        <v>853</v>
      </c>
      <c r="I376" s="109" t="s">
        <v>854</v>
      </c>
      <c r="J376" s="28" t="s">
        <v>855</v>
      </c>
      <c r="K376" s="109" t="s">
        <v>856</v>
      </c>
      <c r="L376" s="111"/>
      <c r="M376" s="91"/>
      <c r="N376" s="96" t="b">
        <v>0</v>
      </c>
      <c r="O376" s="96" t="b">
        <v>0</v>
      </c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  <c r="AA376" s="92"/>
      <c r="AB376" s="92"/>
      <c r="AC376" s="92"/>
      <c r="AD376" s="92"/>
      <c r="AE376" s="92"/>
      <c r="AF376" s="92"/>
      <c r="AG376" s="92"/>
    </row>
    <row r="377" hidden="1">
      <c r="A377" s="86" t="str">
        <f t="shared" si="19"/>
        <v/>
      </c>
      <c r="B377" s="60"/>
      <c r="C377" s="103"/>
      <c r="D377" s="89"/>
      <c r="E377" s="124"/>
      <c r="F377" s="124"/>
      <c r="G377" s="26"/>
      <c r="H377" s="124"/>
      <c r="I377" s="124"/>
      <c r="J377" s="124"/>
      <c r="K377" s="91"/>
      <c r="L377" s="91"/>
      <c r="M377" s="91"/>
      <c r="N377" s="96" t="b">
        <v>0</v>
      </c>
      <c r="O377" s="96" t="b">
        <v>0</v>
      </c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  <c r="AA377" s="92"/>
      <c r="AB377" s="92"/>
      <c r="AC377" s="92"/>
      <c r="AD377" s="92"/>
      <c r="AE377" s="92"/>
      <c r="AF377" s="92"/>
      <c r="AG377" s="92"/>
    </row>
    <row r="378" hidden="1">
      <c r="A378" s="86" t="str">
        <f t="shared" si="19"/>
        <v/>
      </c>
      <c r="B378" s="87"/>
      <c r="C378" s="88">
        <v>44350.0</v>
      </c>
      <c r="D378" s="89"/>
      <c r="E378" s="124"/>
      <c r="F378" s="124"/>
      <c r="G378" s="26"/>
      <c r="H378" s="124"/>
      <c r="I378" s="124"/>
      <c r="J378" s="124"/>
      <c r="K378" s="91"/>
      <c r="L378" s="91"/>
      <c r="M378" s="91"/>
      <c r="N378" s="96" t="b">
        <v>0</v>
      </c>
      <c r="O378" s="96" t="b">
        <v>0</v>
      </c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  <c r="AA378" s="92"/>
      <c r="AB378" s="92"/>
      <c r="AC378" s="92"/>
      <c r="AD378" s="92"/>
      <c r="AE378" s="92"/>
      <c r="AF378" s="92"/>
      <c r="AG378" s="92"/>
    </row>
    <row r="379" hidden="1">
      <c r="A379" s="86" t="str">
        <f t="shared" si="19"/>
        <v/>
      </c>
      <c r="B379" s="18" t="s">
        <v>14</v>
      </c>
      <c r="C379" s="103"/>
      <c r="D379" s="89"/>
      <c r="E379" s="124"/>
      <c r="F379" s="124"/>
      <c r="G379" s="26"/>
      <c r="H379" s="124"/>
      <c r="I379" s="124"/>
      <c r="J379" s="124"/>
      <c r="K379" s="91"/>
      <c r="L379" s="91"/>
      <c r="M379" s="91"/>
      <c r="N379" s="96" t="b">
        <v>0</v>
      </c>
      <c r="O379" s="96" t="b">
        <v>0</v>
      </c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  <c r="AA379" s="92"/>
      <c r="AB379" s="92"/>
      <c r="AC379" s="92"/>
      <c r="AD379" s="92"/>
      <c r="AE379" s="92"/>
      <c r="AF379" s="92"/>
      <c r="AG379" s="92"/>
    </row>
    <row r="380" hidden="1">
      <c r="A380" s="86" t="str">
        <f t="shared" si="19"/>
        <v/>
      </c>
      <c r="B380" s="25"/>
      <c r="C380" s="80" t="s">
        <v>78</v>
      </c>
      <c r="D380" s="89"/>
      <c r="E380" s="124"/>
      <c r="F380" s="124"/>
      <c r="G380" s="94"/>
      <c r="H380" s="124"/>
      <c r="I380" s="124"/>
      <c r="J380" s="124"/>
      <c r="K380" s="91"/>
      <c r="L380" s="91"/>
      <c r="M380" s="91"/>
      <c r="N380" s="96" t="b">
        <v>0</v>
      </c>
      <c r="O380" s="96" t="b">
        <v>0</v>
      </c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  <c r="AA380" s="92"/>
      <c r="AB380" s="92"/>
      <c r="AC380" s="92"/>
      <c r="AD380" s="92"/>
      <c r="AE380" s="92"/>
      <c r="AF380" s="92"/>
      <c r="AG380" s="92"/>
    </row>
    <row r="381" hidden="1">
      <c r="A381" s="86" t="str">
        <f t="shared" si="19"/>
        <v>60893b511949c7198d258983</v>
      </c>
      <c r="B381" s="25"/>
      <c r="C381" s="80" t="s">
        <v>78</v>
      </c>
      <c r="D381" s="97" t="s">
        <v>79</v>
      </c>
      <c r="E381" s="98" t="s">
        <v>857</v>
      </c>
      <c r="F381" s="98" t="s">
        <v>858</v>
      </c>
      <c r="G381" s="94">
        <v>0.5</v>
      </c>
      <c r="H381" s="98" t="s">
        <v>349</v>
      </c>
      <c r="I381" s="98" t="s">
        <v>859</v>
      </c>
      <c r="J381" s="98" t="s">
        <v>860</v>
      </c>
      <c r="K381" s="91"/>
      <c r="L381" s="91"/>
      <c r="M381" s="91"/>
      <c r="N381" s="96" t="b">
        <v>0</v>
      </c>
      <c r="O381" s="96" t="b">
        <v>0</v>
      </c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  <c r="AA381" s="92"/>
      <c r="AB381" s="92"/>
      <c r="AC381" s="92"/>
      <c r="AD381" s="92"/>
      <c r="AE381" s="92"/>
      <c r="AF381" s="92"/>
      <c r="AG381" s="92"/>
    </row>
    <row r="382" hidden="1">
      <c r="A382" s="86" t="str">
        <f t="shared" si="19"/>
        <v>60625ef1f10f9f0feee7cd16</v>
      </c>
      <c r="B382" s="25"/>
      <c r="C382" s="80" t="s">
        <v>78</v>
      </c>
      <c r="D382" s="97" t="s">
        <v>79</v>
      </c>
      <c r="E382" s="98" t="s">
        <v>861</v>
      </c>
      <c r="F382" s="98" t="s">
        <v>862</v>
      </c>
      <c r="G382" s="94">
        <v>0.5833333333333334</v>
      </c>
      <c r="H382" s="98" t="s">
        <v>118</v>
      </c>
      <c r="I382" s="98" t="s">
        <v>863</v>
      </c>
      <c r="J382" s="98" t="s">
        <v>864</v>
      </c>
      <c r="K382" s="91"/>
      <c r="L382" s="91"/>
      <c r="M382" s="91"/>
      <c r="N382" s="96" t="b">
        <v>0</v>
      </c>
      <c r="O382" s="96" t="b">
        <v>0</v>
      </c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  <c r="AA382" s="92"/>
      <c r="AB382" s="92"/>
      <c r="AC382" s="92"/>
      <c r="AD382" s="92"/>
      <c r="AE382" s="92"/>
      <c r="AF382" s="92"/>
      <c r="AG382" s="92"/>
    </row>
    <row r="383" hidden="1">
      <c r="A383" s="86" t="str">
        <f t="shared" si="19"/>
        <v>60816235d067790a26c05d11</v>
      </c>
      <c r="B383" s="25"/>
      <c r="C383" s="80" t="s">
        <v>78</v>
      </c>
      <c r="D383" s="97" t="s">
        <v>79</v>
      </c>
      <c r="E383" s="32" t="s">
        <v>865</v>
      </c>
      <c r="F383" s="98" t="s">
        <v>866</v>
      </c>
      <c r="G383" s="94">
        <v>0.6666666666666666</v>
      </c>
      <c r="H383" s="98" t="s">
        <v>205</v>
      </c>
      <c r="I383" s="98" t="s">
        <v>867</v>
      </c>
      <c r="J383" s="98" t="s">
        <v>868</v>
      </c>
      <c r="K383" s="91"/>
      <c r="L383" s="91"/>
      <c r="M383" s="91"/>
      <c r="N383" s="96" t="b">
        <v>0</v>
      </c>
      <c r="O383" s="96" t="b">
        <v>0</v>
      </c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  <c r="AA383" s="92"/>
      <c r="AB383" s="92"/>
      <c r="AC383" s="92"/>
      <c r="AD383" s="92"/>
      <c r="AE383" s="92"/>
      <c r="AF383" s="92"/>
      <c r="AG383" s="92"/>
    </row>
    <row r="384" hidden="1">
      <c r="A384" s="86" t="str">
        <f t="shared" si="19"/>
        <v>6064a713b48e840df645f799</v>
      </c>
      <c r="B384" s="39"/>
      <c r="C384" s="128" t="s">
        <v>78</v>
      </c>
      <c r="D384" s="97" t="s">
        <v>79</v>
      </c>
      <c r="E384" s="98" t="s">
        <v>869</v>
      </c>
      <c r="F384" s="98" t="s">
        <v>870</v>
      </c>
      <c r="G384" s="99">
        <v>0.75</v>
      </c>
      <c r="H384" s="98" t="s">
        <v>205</v>
      </c>
      <c r="I384" s="98" t="s">
        <v>871</v>
      </c>
      <c r="J384" s="98" t="s">
        <v>872</v>
      </c>
      <c r="K384" s="91"/>
      <c r="L384" s="91"/>
      <c r="M384" s="91"/>
      <c r="N384" s="96" t="b">
        <v>0</v>
      </c>
      <c r="O384" s="96" t="b">
        <v>0</v>
      </c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  <c r="AA384" s="92"/>
      <c r="AB384" s="92"/>
      <c r="AC384" s="92"/>
      <c r="AD384" s="92"/>
      <c r="AE384" s="92"/>
      <c r="AF384" s="92"/>
      <c r="AG384" s="92"/>
    </row>
    <row r="385" hidden="1">
      <c r="A385" s="86" t="str">
        <f t="shared" si="19"/>
        <v/>
      </c>
      <c r="B385" s="123" t="s">
        <v>811</v>
      </c>
      <c r="C385" s="103"/>
      <c r="D385" s="89"/>
      <c r="E385" s="124"/>
      <c r="F385" s="124"/>
      <c r="G385" s="26"/>
      <c r="H385" s="124"/>
      <c r="I385" s="124"/>
      <c r="J385" s="124"/>
      <c r="K385" s="91"/>
      <c r="L385" s="91"/>
      <c r="M385" s="91"/>
      <c r="N385" s="96" t="b">
        <v>0</v>
      </c>
      <c r="O385" s="96" t="b">
        <v>0</v>
      </c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  <c r="AA385" s="92"/>
      <c r="AB385" s="92"/>
      <c r="AC385" s="92"/>
      <c r="AD385" s="92"/>
      <c r="AE385" s="92"/>
      <c r="AF385" s="92"/>
      <c r="AG385" s="92"/>
    </row>
    <row r="386" hidden="1">
      <c r="A386" s="86" t="str">
        <f t="shared" si="19"/>
        <v/>
      </c>
      <c r="B386" s="57"/>
      <c r="C386" s="78" t="s">
        <v>812</v>
      </c>
      <c r="D386" s="89"/>
      <c r="E386" s="124"/>
      <c r="F386" s="124"/>
      <c r="G386" s="41"/>
      <c r="H386" s="124"/>
      <c r="I386" s="124"/>
      <c r="J386" s="129"/>
      <c r="K386" s="91"/>
      <c r="L386" s="91"/>
      <c r="M386" s="91"/>
      <c r="N386" s="96" t="b">
        <v>0</v>
      </c>
      <c r="O386" s="96" t="b">
        <v>0</v>
      </c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  <c r="AA386" s="92"/>
      <c r="AB386" s="92"/>
      <c r="AC386" s="92"/>
      <c r="AD386" s="92"/>
      <c r="AE386" s="92"/>
      <c r="AF386" s="92"/>
      <c r="AG386" s="92"/>
    </row>
    <row r="387" hidden="1">
      <c r="A387" s="86" t="str">
        <f t="shared" si="19"/>
        <v>607c2718cd039c052bc8a925</v>
      </c>
      <c r="B387" s="57"/>
      <c r="C387" s="78" t="s">
        <v>812</v>
      </c>
      <c r="D387" s="97" t="s">
        <v>79</v>
      </c>
      <c r="E387" s="130" t="s">
        <v>873</v>
      </c>
      <c r="F387" s="130" t="s">
        <v>874</v>
      </c>
      <c r="G387" s="41" t="s">
        <v>417</v>
      </c>
      <c r="H387" s="98" t="s">
        <v>875</v>
      </c>
      <c r="I387" s="98" t="s">
        <v>876</v>
      </c>
      <c r="J387" s="131" t="s">
        <v>877</v>
      </c>
      <c r="K387" s="91"/>
      <c r="L387" s="91"/>
      <c r="M387" s="91"/>
      <c r="N387" s="96" t="b">
        <v>0</v>
      </c>
      <c r="O387" s="96" t="b">
        <v>0</v>
      </c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  <c r="AA387" s="92"/>
      <c r="AB387" s="92"/>
      <c r="AC387" s="92"/>
      <c r="AD387" s="92"/>
      <c r="AE387" s="92"/>
      <c r="AF387" s="92"/>
      <c r="AG387" s="92"/>
    </row>
    <row r="388" hidden="1">
      <c r="A388" s="86" t="str">
        <f t="shared" si="19"/>
        <v>5fff32b068b4946f548f8458</v>
      </c>
      <c r="B388" s="57"/>
      <c r="C388" s="78" t="s">
        <v>812</v>
      </c>
      <c r="D388" s="97" t="s">
        <v>79</v>
      </c>
      <c r="E388" s="32" t="s">
        <v>878</v>
      </c>
      <c r="F388" s="32" t="s">
        <v>879</v>
      </c>
      <c r="G388" s="41" t="s">
        <v>880</v>
      </c>
      <c r="H388" s="98" t="s">
        <v>881</v>
      </c>
      <c r="I388" s="32" t="s">
        <v>882</v>
      </c>
      <c r="J388" s="131" t="s">
        <v>883</v>
      </c>
      <c r="K388" s="91"/>
      <c r="L388" s="91"/>
      <c r="M388" s="91"/>
      <c r="N388" s="96" t="b">
        <v>0</v>
      </c>
      <c r="O388" s="96" t="b">
        <v>0</v>
      </c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  <c r="AA388" s="92"/>
      <c r="AB388" s="92"/>
      <c r="AC388" s="92"/>
      <c r="AD388" s="92"/>
      <c r="AE388" s="92"/>
      <c r="AF388" s="92"/>
      <c r="AG388" s="92"/>
    </row>
    <row r="389" hidden="1">
      <c r="A389" s="86" t="str">
        <f t="shared" si="19"/>
        <v>6082bde163fb10320e18e01d</v>
      </c>
      <c r="B389" s="57"/>
      <c r="C389" s="78" t="s">
        <v>812</v>
      </c>
      <c r="D389" s="97" t="s">
        <v>79</v>
      </c>
      <c r="E389" s="130" t="s">
        <v>884</v>
      </c>
      <c r="F389" s="130" t="s">
        <v>885</v>
      </c>
      <c r="G389" s="41" t="s">
        <v>180</v>
      </c>
      <c r="H389" s="98" t="s">
        <v>881</v>
      </c>
      <c r="I389" s="98" t="s">
        <v>886</v>
      </c>
      <c r="J389" s="132" t="s">
        <v>887</v>
      </c>
      <c r="K389" s="91"/>
      <c r="L389" s="91"/>
      <c r="M389" s="91"/>
      <c r="N389" s="96" t="b">
        <v>0</v>
      </c>
      <c r="O389" s="96" t="b">
        <v>0</v>
      </c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  <c r="AA389" s="92"/>
      <c r="AB389" s="92"/>
      <c r="AC389" s="92"/>
      <c r="AD389" s="92"/>
      <c r="AE389" s="92"/>
      <c r="AF389" s="92"/>
      <c r="AG389" s="92"/>
    </row>
    <row r="390" hidden="1">
      <c r="A390" s="86" t="str">
        <f t="shared" si="19"/>
        <v>60af9929212457d25f9bce3f</v>
      </c>
      <c r="B390" s="60"/>
      <c r="C390" s="78" t="s">
        <v>812</v>
      </c>
      <c r="D390" s="97" t="s">
        <v>79</v>
      </c>
      <c r="E390" s="98" t="s">
        <v>888</v>
      </c>
      <c r="F390" s="98" t="s">
        <v>889</v>
      </c>
      <c r="G390" s="41" t="s">
        <v>248</v>
      </c>
      <c r="H390" s="98" t="s">
        <v>890</v>
      </c>
      <c r="I390" s="98" t="s">
        <v>891</v>
      </c>
      <c r="J390" s="98" t="s">
        <v>892</v>
      </c>
      <c r="K390" s="91"/>
      <c r="L390" s="91"/>
      <c r="M390" s="91"/>
      <c r="N390" s="96" t="b">
        <v>0</v>
      </c>
      <c r="O390" s="96" t="b">
        <v>0</v>
      </c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  <c r="AA390" s="92"/>
      <c r="AB390" s="92"/>
      <c r="AC390" s="92"/>
      <c r="AD390" s="92"/>
      <c r="AE390" s="92"/>
      <c r="AF390" s="92"/>
      <c r="AG390" s="92"/>
    </row>
    <row r="391" hidden="1">
      <c r="A391" s="86"/>
      <c r="B391" s="133"/>
      <c r="C391" s="103"/>
      <c r="D391" s="97"/>
      <c r="E391" s="98"/>
      <c r="F391" s="98"/>
      <c r="G391" s="41"/>
      <c r="H391" s="98"/>
      <c r="I391" s="98"/>
      <c r="J391" s="98"/>
      <c r="K391" s="91"/>
      <c r="L391" s="91"/>
      <c r="M391" s="91"/>
      <c r="N391" s="96" t="b">
        <v>0</v>
      </c>
      <c r="O391" s="96" t="b">
        <v>0</v>
      </c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  <c r="AA391" s="92"/>
      <c r="AB391" s="92"/>
      <c r="AC391" s="92"/>
      <c r="AD391" s="92"/>
      <c r="AE391" s="92"/>
      <c r="AF391" s="92"/>
      <c r="AG391" s="92"/>
    </row>
    <row r="392" hidden="1">
      <c r="A392" s="86" t="str">
        <f t="shared" ref="A392:A394" si="20">E392</f>
        <v/>
      </c>
      <c r="B392" s="87"/>
      <c r="C392" s="88">
        <v>44351.0</v>
      </c>
      <c r="D392" s="89"/>
      <c r="E392" s="124"/>
      <c r="F392" s="124"/>
      <c r="G392" s="26"/>
      <c r="H392" s="124"/>
      <c r="I392" s="124"/>
      <c r="J392" s="124"/>
      <c r="K392" s="91"/>
      <c r="L392" s="91"/>
      <c r="M392" s="91"/>
      <c r="N392" s="96" t="b">
        <v>0</v>
      </c>
      <c r="O392" s="96" t="b">
        <v>0</v>
      </c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  <c r="AA392" s="92"/>
      <c r="AB392" s="92"/>
      <c r="AC392" s="92"/>
      <c r="AD392" s="92"/>
      <c r="AE392" s="92"/>
      <c r="AF392" s="92"/>
      <c r="AG392" s="92"/>
    </row>
    <row r="393" hidden="1">
      <c r="A393" s="86" t="str">
        <f t="shared" si="20"/>
        <v>60152799d9ee3cc853043f46</v>
      </c>
      <c r="B393" s="18" t="s">
        <v>14</v>
      </c>
      <c r="C393" s="80" t="s">
        <v>78</v>
      </c>
      <c r="D393" s="97" t="s">
        <v>79</v>
      </c>
      <c r="E393" s="32" t="s">
        <v>893</v>
      </c>
      <c r="F393" s="32" t="s">
        <v>894</v>
      </c>
      <c r="G393" s="41" t="s">
        <v>880</v>
      </c>
      <c r="H393" s="98" t="s">
        <v>211</v>
      </c>
      <c r="I393" s="98" t="s">
        <v>895</v>
      </c>
      <c r="J393" s="98" t="s">
        <v>896</v>
      </c>
      <c r="K393" s="91"/>
      <c r="L393" s="91"/>
      <c r="M393" s="91"/>
      <c r="N393" s="96" t="b">
        <v>0</v>
      </c>
      <c r="O393" s="96" t="b">
        <v>0</v>
      </c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  <c r="AA393" s="92"/>
      <c r="AB393" s="92"/>
      <c r="AC393" s="92"/>
      <c r="AD393" s="92"/>
      <c r="AE393" s="92"/>
      <c r="AF393" s="92"/>
      <c r="AG393" s="92"/>
    </row>
    <row r="394" hidden="1">
      <c r="A394" s="86" t="str">
        <f t="shared" si="20"/>
        <v>606df371aeffd7de253e3bd5</v>
      </c>
      <c r="B394" s="25"/>
      <c r="C394" s="80" t="s">
        <v>78</v>
      </c>
      <c r="D394" s="97" t="s">
        <v>79</v>
      </c>
      <c r="E394" s="98" t="s">
        <v>897</v>
      </c>
      <c r="F394" s="98" t="s">
        <v>898</v>
      </c>
      <c r="G394" s="99">
        <v>0.5833333333333334</v>
      </c>
      <c r="H394" s="98" t="s">
        <v>205</v>
      </c>
      <c r="I394" s="98" t="s">
        <v>899</v>
      </c>
      <c r="J394" s="98" t="s">
        <v>900</v>
      </c>
      <c r="K394" s="91"/>
      <c r="L394" s="91"/>
      <c r="M394" s="91"/>
      <c r="N394" s="96" t="b">
        <v>0</v>
      </c>
      <c r="O394" s="96" t="b">
        <v>0</v>
      </c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  <c r="AA394" s="92"/>
      <c r="AB394" s="92"/>
      <c r="AC394" s="92"/>
      <c r="AD394" s="92"/>
      <c r="AE394" s="92"/>
      <c r="AF394" s="92"/>
      <c r="AG394" s="92"/>
    </row>
    <row r="395" hidden="1">
      <c r="A395" s="86"/>
      <c r="B395" s="25"/>
      <c r="C395" s="80" t="s">
        <v>78</v>
      </c>
      <c r="D395" s="75" t="s">
        <v>901</v>
      </c>
      <c r="E395" s="28" t="s">
        <v>902</v>
      </c>
      <c r="F395" s="28" t="s">
        <v>903</v>
      </c>
      <c r="G395" s="67" t="s">
        <v>567</v>
      </c>
      <c r="H395" s="30" t="s">
        <v>205</v>
      </c>
      <c r="I395" s="30" t="s">
        <v>904</v>
      </c>
      <c r="J395" s="30" t="s">
        <v>905</v>
      </c>
      <c r="K395" s="42" t="s">
        <v>906</v>
      </c>
      <c r="L395" s="91"/>
      <c r="M395" s="91"/>
      <c r="N395" s="96" t="b">
        <v>0</v>
      </c>
      <c r="O395" s="96" t="b">
        <v>0</v>
      </c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  <c r="AA395" s="92"/>
      <c r="AB395" s="92"/>
      <c r="AC395" s="92"/>
      <c r="AD395" s="92"/>
      <c r="AE395" s="92"/>
      <c r="AF395" s="92"/>
      <c r="AG395" s="92"/>
    </row>
    <row r="396" hidden="1">
      <c r="A396" s="86" t="str">
        <f t="shared" ref="A396:A523" si="21">E396</f>
        <v>60a612c11dba00c87482f079</v>
      </c>
      <c r="B396" s="25"/>
      <c r="C396" s="80" t="s">
        <v>78</v>
      </c>
      <c r="D396" s="97" t="s">
        <v>79</v>
      </c>
      <c r="E396" s="98" t="s">
        <v>907</v>
      </c>
      <c r="F396" s="32" t="s">
        <v>908</v>
      </c>
      <c r="G396" s="41" t="s">
        <v>283</v>
      </c>
      <c r="H396" s="98" t="s">
        <v>909</v>
      </c>
      <c r="I396" s="98" t="s">
        <v>910</v>
      </c>
      <c r="J396" s="98" t="s">
        <v>911</v>
      </c>
      <c r="K396" s="91"/>
      <c r="L396" s="91"/>
      <c r="M396" s="91"/>
      <c r="N396" s="96" t="b">
        <v>0</v>
      </c>
      <c r="O396" s="96" t="b">
        <v>0</v>
      </c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  <c r="AA396" s="92"/>
      <c r="AB396" s="92"/>
      <c r="AC396" s="92"/>
      <c r="AD396" s="92"/>
      <c r="AE396" s="92"/>
      <c r="AF396" s="92"/>
      <c r="AG396" s="92"/>
    </row>
    <row r="397" hidden="1">
      <c r="A397" s="86" t="str">
        <f t="shared" si="21"/>
        <v/>
      </c>
      <c r="B397" s="25"/>
      <c r="C397" s="80" t="s">
        <v>78</v>
      </c>
      <c r="D397" s="97"/>
      <c r="E397" s="98"/>
      <c r="F397" s="32"/>
      <c r="G397" s="41"/>
      <c r="H397" s="98"/>
      <c r="I397" s="98"/>
      <c r="J397" s="98"/>
      <c r="K397" s="91"/>
      <c r="L397" s="91"/>
      <c r="M397" s="91"/>
      <c r="N397" s="96" t="b">
        <v>0</v>
      </c>
      <c r="O397" s="96" t="b">
        <v>0</v>
      </c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  <c r="AA397" s="92"/>
      <c r="AB397" s="92"/>
      <c r="AC397" s="92"/>
      <c r="AD397" s="92"/>
      <c r="AE397" s="92"/>
      <c r="AF397" s="92"/>
      <c r="AG397" s="92"/>
    </row>
    <row r="398" hidden="1">
      <c r="A398" s="86" t="str">
        <f t="shared" si="21"/>
        <v/>
      </c>
      <c r="B398" s="39"/>
      <c r="C398" s="103"/>
      <c r="D398" s="89"/>
      <c r="E398" s="124"/>
      <c r="F398" s="124"/>
      <c r="G398" s="26"/>
      <c r="H398" s="124"/>
      <c r="I398" s="124"/>
      <c r="J398" s="124"/>
      <c r="K398" s="91"/>
      <c r="L398" s="91"/>
      <c r="M398" s="91"/>
      <c r="N398" s="96" t="b">
        <v>0</v>
      </c>
      <c r="O398" s="96" t="b">
        <v>0</v>
      </c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  <c r="AA398" s="92"/>
      <c r="AB398" s="92"/>
      <c r="AC398" s="92"/>
      <c r="AD398" s="92"/>
      <c r="AE398" s="92"/>
      <c r="AF398" s="92"/>
      <c r="AG398" s="92"/>
    </row>
    <row r="399" hidden="1">
      <c r="A399" s="86" t="str">
        <f t="shared" si="21"/>
        <v>60043086a35105b0f4f7cb6d</v>
      </c>
      <c r="B399" s="123" t="s">
        <v>811</v>
      </c>
      <c r="C399" s="78" t="s">
        <v>812</v>
      </c>
      <c r="D399" s="134" t="s">
        <v>79</v>
      </c>
      <c r="E399" s="135" t="s">
        <v>912</v>
      </c>
      <c r="F399" s="135" t="s">
        <v>913</v>
      </c>
      <c r="G399" s="136" t="s">
        <v>713</v>
      </c>
      <c r="H399" s="137" t="s">
        <v>914</v>
      </c>
      <c r="I399" s="137" t="s">
        <v>915</v>
      </c>
      <c r="J399" s="137" t="s">
        <v>916</v>
      </c>
      <c r="K399" s="138"/>
      <c r="L399" s="91"/>
      <c r="M399" s="91"/>
      <c r="N399" s="96" t="b">
        <v>0</v>
      </c>
      <c r="O399" s="96" t="b">
        <v>0</v>
      </c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  <c r="AA399" s="92"/>
      <c r="AB399" s="92"/>
      <c r="AC399" s="92"/>
      <c r="AD399" s="92"/>
      <c r="AE399" s="92"/>
      <c r="AF399" s="92"/>
      <c r="AG399" s="92"/>
    </row>
    <row r="400" hidden="1">
      <c r="A400" s="86" t="str">
        <f t="shared" si="21"/>
        <v/>
      </c>
      <c r="B400" s="57"/>
      <c r="C400" s="78" t="s">
        <v>812</v>
      </c>
      <c r="D400" s="64"/>
      <c r="E400" s="21"/>
      <c r="F400" s="21"/>
      <c r="G400" s="22"/>
      <c r="H400" s="21"/>
      <c r="I400" s="21"/>
      <c r="J400" s="21"/>
      <c r="K400" s="21"/>
      <c r="L400" s="21"/>
      <c r="M400" s="91"/>
      <c r="N400" s="96" t="b">
        <v>0</v>
      </c>
      <c r="O400" s="96" t="b">
        <v>0</v>
      </c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  <c r="AA400" s="92"/>
      <c r="AB400" s="92"/>
      <c r="AC400" s="92"/>
      <c r="AD400" s="92"/>
      <c r="AE400" s="92"/>
      <c r="AF400" s="92"/>
      <c r="AG400" s="92"/>
    </row>
    <row r="401" hidden="1">
      <c r="A401" s="86" t="str">
        <f t="shared" si="21"/>
        <v>606d942de84f1210a6a20d04</v>
      </c>
      <c r="B401" s="57"/>
      <c r="C401" s="78" t="s">
        <v>812</v>
      </c>
      <c r="D401" s="139" t="s">
        <v>79</v>
      </c>
      <c r="E401" s="140" t="s">
        <v>917</v>
      </c>
      <c r="F401" s="140" t="s">
        <v>918</v>
      </c>
      <c r="G401" s="141">
        <v>0.5833333333333334</v>
      </c>
      <c r="H401" s="142" t="s">
        <v>290</v>
      </c>
      <c r="I401" s="142" t="s">
        <v>919</v>
      </c>
      <c r="J401" s="143" t="s">
        <v>920</v>
      </c>
      <c r="K401" s="144"/>
      <c r="L401" s="91"/>
      <c r="M401" s="91"/>
      <c r="N401" s="96" t="b">
        <v>0</v>
      </c>
      <c r="O401" s="96" t="b">
        <v>0</v>
      </c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  <c r="AA401" s="92"/>
      <c r="AB401" s="92"/>
      <c r="AC401" s="92"/>
      <c r="AD401" s="92"/>
      <c r="AE401" s="92"/>
      <c r="AF401" s="92"/>
      <c r="AG401" s="92"/>
    </row>
    <row r="402" hidden="1">
      <c r="A402" s="86" t="str">
        <f t="shared" si="21"/>
        <v>5ff42f29ce622f158ecd4335</v>
      </c>
      <c r="B402" s="57"/>
      <c r="C402" s="78" t="s">
        <v>812</v>
      </c>
      <c r="D402" s="139" t="s">
        <v>79</v>
      </c>
      <c r="E402" s="142" t="s">
        <v>921</v>
      </c>
      <c r="F402" s="142" t="s">
        <v>922</v>
      </c>
      <c r="G402" s="141">
        <v>0.6666666666666666</v>
      </c>
      <c r="H402" s="142" t="s">
        <v>290</v>
      </c>
      <c r="I402" s="142" t="s">
        <v>923</v>
      </c>
      <c r="J402" s="143" t="s">
        <v>924</v>
      </c>
      <c r="K402" s="144"/>
      <c r="L402" s="91"/>
      <c r="M402" s="91"/>
      <c r="N402" s="96" t="b">
        <v>0</v>
      </c>
      <c r="O402" s="96" t="b">
        <v>0</v>
      </c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  <c r="AA402" s="92"/>
      <c r="AB402" s="92"/>
      <c r="AC402" s="92"/>
      <c r="AD402" s="92"/>
      <c r="AE402" s="92"/>
      <c r="AF402" s="92"/>
      <c r="AG402" s="92"/>
    </row>
    <row r="403" hidden="1">
      <c r="A403" s="86" t="str">
        <f t="shared" si="21"/>
        <v>603f8a23430b925220620627</v>
      </c>
      <c r="B403" s="57"/>
      <c r="C403" s="78" t="s">
        <v>812</v>
      </c>
      <c r="D403" s="139" t="s">
        <v>79</v>
      </c>
      <c r="E403" s="140" t="s">
        <v>513</v>
      </c>
      <c r="F403" s="140" t="s">
        <v>514</v>
      </c>
      <c r="G403" s="141">
        <v>0.75</v>
      </c>
      <c r="H403" s="142" t="s">
        <v>290</v>
      </c>
      <c r="I403" s="142" t="s">
        <v>515</v>
      </c>
      <c r="J403" s="145" t="s">
        <v>516</v>
      </c>
      <c r="K403" s="144"/>
      <c r="L403" s="91"/>
      <c r="M403" s="91"/>
      <c r="N403" s="96" t="b">
        <v>0</v>
      </c>
      <c r="O403" s="96" t="b">
        <v>0</v>
      </c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  <c r="AA403" s="92"/>
      <c r="AB403" s="92"/>
      <c r="AC403" s="92"/>
      <c r="AD403" s="92"/>
      <c r="AE403" s="92"/>
      <c r="AF403" s="92"/>
      <c r="AG403" s="92"/>
    </row>
    <row r="404" hidden="1">
      <c r="A404" s="86" t="str">
        <f t="shared" si="21"/>
        <v/>
      </c>
      <c r="B404" s="60"/>
      <c r="C404" s="103"/>
      <c r="D404" s="89"/>
      <c r="E404" s="124"/>
      <c r="F404" s="124"/>
      <c r="G404" s="26"/>
      <c r="H404" s="32"/>
      <c r="I404" s="32"/>
      <c r="J404" s="124"/>
      <c r="K404" s="91"/>
      <c r="L404" s="91"/>
      <c r="M404" s="91"/>
      <c r="N404" s="96" t="b">
        <v>0</v>
      </c>
      <c r="O404" s="96" t="b">
        <v>0</v>
      </c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  <c r="AA404" s="92"/>
      <c r="AB404" s="92"/>
      <c r="AC404" s="92"/>
      <c r="AD404" s="92"/>
      <c r="AE404" s="92"/>
      <c r="AF404" s="92"/>
      <c r="AG404" s="92"/>
    </row>
    <row r="405" hidden="1">
      <c r="A405" s="86" t="str">
        <f t="shared" si="21"/>
        <v/>
      </c>
      <c r="B405" s="87"/>
      <c r="C405" s="88">
        <v>44354.0</v>
      </c>
      <c r="D405" s="89"/>
      <c r="E405" s="124"/>
      <c r="F405" s="124"/>
      <c r="G405" s="26"/>
      <c r="H405" s="124"/>
      <c r="I405" s="124"/>
      <c r="J405" s="124"/>
      <c r="K405" s="91"/>
      <c r="L405" s="91"/>
      <c r="M405" s="91"/>
      <c r="N405" s="96" t="b">
        <v>0</v>
      </c>
      <c r="O405" s="96" t="b">
        <v>0</v>
      </c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  <c r="AA405" s="92"/>
      <c r="AB405" s="92"/>
      <c r="AC405" s="92"/>
      <c r="AD405" s="92"/>
      <c r="AE405" s="92"/>
      <c r="AF405" s="92"/>
      <c r="AG405" s="92"/>
    </row>
    <row r="406" hidden="1">
      <c r="A406" s="86" t="str">
        <f t="shared" si="21"/>
        <v/>
      </c>
      <c r="B406" s="18" t="s">
        <v>14</v>
      </c>
      <c r="C406" s="103"/>
      <c r="D406" s="89"/>
      <c r="E406" s="124"/>
      <c r="F406" s="124"/>
      <c r="G406" s="26"/>
      <c r="H406" s="124"/>
      <c r="I406" s="124"/>
      <c r="J406" s="124"/>
      <c r="K406" s="91"/>
      <c r="L406" s="91"/>
      <c r="M406" s="91"/>
      <c r="N406" s="96" t="b">
        <v>0</v>
      </c>
      <c r="O406" s="96" t="b">
        <v>0</v>
      </c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  <c r="AA406" s="92"/>
      <c r="AB406" s="92"/>
      <c r="AC406" s="92"/>
      <c r="AD406" s="92"/>
      <c r="AE406" s="92"/>
      <c r="AF406" s="92"/>
      <c r="AG406" s="92"/>
    </row>
    <row r="407" hidden="1">
      <c r="A407" s="86" t="str">
        <f t="shared" si="21"/>
        <v>606df153c42d1929392765a8</v>
      </c>
      <c r="B407" s="25"/>
      <c r="C407" s="80" t="s">
        <v>78</v>
      </c>
      <c r="D407" s="97" t="s">
        <v>79</v>
      </c>
      <c r="E407" s="98" t="s">
        <v>925</v>
      </c>
      <c r="F407" s="98" t="s">
        <v>926</v>
      </c>
      <c r="G407" s="99">
        <v>0.4166666666666667</v>
      </c>
      <c r="H407" s="98" t="s">
        <v>118</v>
      </c>
      <c r="I407" s="98" t="s">
        <v>927</v>
      </c>
      <c r="J407" s="98" t="s">
        <v>928</v>
      </c>
      <c r="K407" s="91"/>
      <c r="L407" s="91"/>
      <c r="M407" s="91"/>
      <c r="N407" s="96" t="b">
        <v>0</v>
      </c>
      <c r="O407" s="96" t="b">
        <v>0</v>
      </c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  <c r="AA407" s="92"/>
      <c r="AB407" s="92"/>
      <c r="AC407" s="92"/>
      <c r="AD407" s="92"/>
      <c r="AE407" s="92"/>
      <c r="AF407" s="92"/>
      <c r="AG407" s="92"/>
    </row>
    <row r="408" hidden="1">
      <c r="A408" s="86" t="str">
        <f t="shared" si="21"/>
        <v>6009aacd9611de29decd0f2a</v>
      </c>
      <c r="B408" s="25"/>
      <c r="C408" s="80" t="s">
        <v>78</v>
      </c>
      <c r="D408" s="76" t="s">
        <v>79</v>
      </c>
      <c r="E408" s="42" t="s">
        <v>929</v>
      </c>
      <c r="F408" s="42" t="s">
        <v>930</v>
      </c>
      <c r="G408" s="33">
        <v>0.5</v>
      </c>
      <c r="H408" s="42" t="s">
        <v>931</v>
      </c>
      <c r="I408" s="42" t="s">
        <v>932</v>
      </c>
      <c r="J408" s="42" t="s">
        <v>933</v>
      </c>
      <c r="K408" s="21"/>
      <c r="L408" s="91"/>
      <c r="M408" s="91"/>
      <c r="N408" s="96" t="b">
        <v>0</v>
      </c>
      <c r="O408" s="96" t="b">
        <v>0</v>
      </c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  <c r="AA408" s="92"/>
      <c r="AB408" s="92"/>
      <c r="AC408" s="92"/>
      <c r="AD408" s="92"/>
      <c r="AE408" s="92"/>
      <c r="AF408" s="92"/>
      <c r="AG408" s="92"/>
    </row>
    <row r="409" hidden="1">
      <c r="A409" s="86" t="str">
        <f t="shared" si="21"/>
        <v>608d9a22cad486bbdd8d37ba</v>
      </c>
      <c r="B409" s="25"/>
      <c r="C409" s="80" t="s">
        <v>78</v>
      </c>
      <c r="D409" s="97" t="s">
        <v>79</v>
      </c>
      <c r="E409" s="98" t="s">
        <v>934</v>
      </c>
      <c r="F409" s="98" t="s">
        <v>935</v>
      </c>
      <c r="G409" s="99">
        <v>0.5625</v>
      </c>
      <c r="H409" s="98" t="s">
        <v>211</v>
      </c>
      <c r="I409" s="98" t="s">
        <v>936</v>
      </c>
      <c r="J409" s="98" t="s">
        <v>937</v>
      </c>
      <c r="K409" s="91"/>
      <c r="L409" s="91"/>
      <c r="M409" s="91"/>
      <c r="N409" s="96" t="b">
        <v>0</v>
      </c>
      <c r="O409" s="96" t="b">
        <v>0</v>
      </c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  <c r="AA409" s="92"/>
      <c r="AB409" s="92"/>
      <c r="AC409" s="92"/>
      <c r="AD409" s="92"/>
      <c r="AE409" s="92"/>
      <c r="AF409" s="92"/>
      <c r="AG409" s="92"/>
    </row>
    <row r="410" hidden="1">
      <c r="A410" s="86" t="str">
        <f t="shared" si="21"/>
        <v>60ad68052d0304da89e75f64</v>
      </c>
      <c r="B410" s="25"/>
      <c r="C410" s="146" t="s">
        <v>78</v>
      </c>
      <c r="D410" s="107" t="s">
        <v>79</v>
      </c>
      <c r="E410" s="109" t="s">
        <v>938</v>
      </c>
      <c r="F410" s="109" t="s">
        <v>939</v>
      </c>
      <c r="G410" s="108">
        <v>0.6666666666666666</v>
      </c>
      <c r="H410" s="109" t="s">
        <v>418</v>
      </c>
      <c r="I410" s="109" t="s">
        <v>940</v>
      </c>
      <c r="J410" s="109" t="s">
        <v>941</v>
      </c>
      <c r="K410" s="109" t="s">
        <v>850</v>
      </c>
      <c r="L410" s="91"/>
      <c r="M410" s="91"/>
      <c r="N410" s="96" t="b">
        <v>0</v>
      </c>
      <c r="O410" s="96" t="b">
        <v>0</v>
      </c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  <c r="AA410" s="92"/>
      <c r="AB410" s="92"/>
      <c r="AC410" s="92"/>
      <c r="AD410" s="92"/>
      <c r="AE410" s="92"/>
      <c r="AF410" s="92"/>
      <c r="AG410" s="92"/>
    </row>
    <row r="411" hidden="1">
      <c r="A411" s="86" t="str">
        <f t="shared" si="21"/>
        <v/>
      </c>
      <c r="B411" s="39"/>
      <c r="C411" s="103"/>
      <c r="D411" s="89"/>
      <c r="E411" s="124"/>
      <c r="F411" s="124"/>
      <c r="G411" s="26"/>
      <c r="H411" s="124"/>
      <c r="I411" s="124"/>
      <c r="J411" s="124"/>
      <c r="K411" s="91"/>
      <c r="L411" s="91"/>
      <c r="M411" s="91"/>
      <c r="N411" s="96" t="b">
        <v>0</v>
      </c>
      <c r="O411" s="96" t="b">
        <v>0</v>
      </c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  <c r="AA411" s="92"/>
      <c r="AB411" s="92"/>
      <c r="AC411" s="92"/>
      <c r="AD411" s="92"/>
      <c r="AE411" s="92"/>
      <c r="AF411" s="92"/>
      <c r="AG411" s="92"/>
    </row>
    <row r="412" hidden="1">
      <c r="A412" s="86" t="str">
        <f t="shared" si="21"/>
        <v/>
      </c>
      <c r="B412" s="123" t="s">
        <v>811</v>
      </c>
      <c r="C412" s="103"/>
      <c r="D412" s="97"/>
      <c r="E412" s="32"/>
      <c r="F412" s="32"/>
      <c r="G412" s="41"/>
      <c r="H412" s="98"/>
      <c r="I412" s="98"/>
      <c r="J412" s="98"/>
      <c r="K412" s="91"/>
      <c r="L412" s="91"/>
      <c r="M412" s="91"/>
      <c r="N412" s="96" t="b">
        <v>0</v>
      </c>
      <c r="O412" s="96" t="b">
        <v>0</v>
      </c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  <c r="AA412" s="92"/>
      <c r="AB412" s="92"/>
      <c r="AC412" s="92"/>
      <c r="AD412" s="92"/>
      <c r="AE412" s="92"/>
      <c r="AF412" s="92"/>
      <c r="AG412" s="92"/>
    </row>
    <row r="413" hidden="1">
      <c r="A413" s="86" t="str">
        <f t="shared" si="21"/>
        <v/>
      </c>
      <c r="B413" s="57"/>
      <c r="C413" s="78" t="s">
        <v>812</v>
      </c>
      <c r="D413" s="97"/>
      <c r="E413" s="98"/>
      <c r="F413" s="98"/>
      <c r="G413" s="99"/>
      <c r="H413" s="98"/>
      <c r="I413" s="98"/>
      <c r="J413" s="131"/>
      <c r="K413" s="91"/>
      <c r="L413" s="91"/>
      <c r="M413" s="91"/>
      <c r="N413" s="96" t="b">
        <v>0</v>
      </c>
      <c r="O413" s="96" t="b">
        <v>0</v>
      </c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  <c r="AA413" s="92"/>
      <c r="AB413" s="92"/>
      <c r="AC413" s="92"/>
      <c r="AD413" s="92"/>
      <c r="AE413" s="92"/>
      <c r="AF413" s="92"/>
      <c r="AG413" s="92"/>
    </row>
    <row r="414" hidden="1">
      <c r="A414" s="86" t="str">
        <f t="shared" si="21"/>
        <v>60926ee6337ea2aea76b4770</v>
      </c>
      <c r="B414" s="57"/>
      <c r="C414" s="78" t="s">
        <v>812</v>
      </c>
      <c r="D414" s="139" t="s">
        <v>79</v>
      </c>
      <c r="E414" s="140" t="s">
        <v>942</v>
      </c>
      <c r="F414" s="140" t="s">
        <v>943</v>
      </c>
      <c r="G414" s="141">
        <v>0.4583333333333333</v>
      </c>
      <c r="H414" s="142" t="s">
        <v>944</v>
      </c>
      <c r="I414" s="142" t="s">
        <v>945</v>
      </c>
      <c r="J414" s="143" t="s">
        <v>946</v>
      </c>
      <c r="K414" s="144"/>
      <c r="L414" s="144"/>
      <c r="M414" s="91"/>
      <c r="N414" s="96" t="b">
        <v>0</v>
      </c>
      <c r="O414" s="96" t="b">
        <v>0</v>
      </c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  <c r="AA414" s="92"/>
      <c r="AB414" s="92"/>
      <c r="AC414" s="92"/>
      <c r="AD414" s="92"/>
      <c r="AE414" s="92"/>
      <c r="AF414" s="92"/>
      <c r="AG414" s="92"/>
    </row>
    <row r="415" hidden="1">
      <c r="A415" s="86" t="str">
        <f t="shared" si="21"/>
        <v>6092a7512aee5c7e89da818d</v>
      </c>
      <c r="B415" s="57"/>
      <c r="C415" s="78" t="s">
        <v>812</v>
      </c>
      <c r="D415" s="139" t="s">
        <v>79</v>
      </c>
      <c r="E415" s="147" t="s">
        <v>947</v>
      </c>
      <c r="F415" s="147" t="s">
        <v>948</v>
      </c>
      <c r="G415" s="141">
        <v>0.5833333333333334</v>
      </c>
      <c r="H415" s="142" t="s">
        <v>949</v>
      </c>
      <c r="I415" s="142" t="s">
        <v>950</v>
      </c>
      <c r="J415" s="143" t="s">
        <v>951</v>
      </c>
      <c r="K415" s="144"/>
      <c r="L415" s="144"/>
      <c r="M415" s="91"/>
      <c r="N415" s="96" t="b">
        <v>0</v>
      </c>
      <c r="O415" s="96" t="b">
        <v>0</v>
      </c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  <c r="AA415" s="92"/>
      <c r="AB415" s="92"/>
      <c r="AC415" s="92"/>
      <c r="AD415" s="92"/>
      <c r="AE415" s="92"/>
      <c r="AF415" s="92"/>
      <c r="AG415" s="92"/>
    </row>
    <row r="416" hidden="1">
      <c r="A416" s="86" t="str">
        <f t="shared" si="21"/>
        <v>6070cfc5c8d2652f172bef3f</v>
      </c>
      <c r="B416" s="57"/>
      <c r="C416" s="78" t="s">
        <v>812</v>
      </c>
      <c r="D416" s="139" t="s">
        <v>79</v>
      </c>
      <c r="E416" s="142" t="s">
        <v>952</v>
      </c>
      <c r="F416" s="142" t="s">
        <v>953</v>
      </c>
      <c r="G416" s="141">
        <v>0.6666666666666666</v>
      </c>
      <c r="H416" s="142" t="s">
        <v>290</v>
      </c>
      <c r="I416" s="142" t="s">
        <v>954</v>
      </c>
      <c r="J416" s="143" t="s">
        <v>955</v>
      </c>
      <c r="K416" s="144"/>
      <c r="L416" s="144"/>
      <c r="M416" s="91"/>
      <c r="N416" s="96" t="b">
        <v>0</v>
      </c>
      <c r="O416" s="96" t="b">
        <v>0</v>
      </c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  <c r="AA416" s="92"/>
      <c r="AB416" s="92"/>
      <c r="AC416" s="92"/>
      <c r="AD416" s="92"/>
      <c r="AE416" s="92"/>
      <c r="AF416" s="92"/>
      <c r="AG416" s="92"/>
    </row>
    <row r="417" hidden="1">
      <c r="A417" s="86" t="str">
        <f t="shared" si="21"/>
        <v>6070197ae2b606dbaa1717e2</v>
      </c>
      <c r="B417" s="60"/>
      <c r="C417" s="103"/>
      <c r="D417" s="139" t="s">
        <v>79</v>
      </c>
      <c r="E417" s="142" t="s">
        <v>956</v>
      </c>
      <c r="F417" s="142" t="s">
        <v>957</v>
      </c>
      <c r="G417" s="141">
        <v>0.75</v>
      </c>
      <c r="H417" s="142" t="s">
        <v>290</v>
      </c>
      <c r="I417" s="142" t="s">
        <v>958</v>
      </c>
      <c r="J417" s="142" t="s">
        <v>959</v>
      </c>
      <c r="K417" s="144"/>
      <c r="L417" s="144"/>
      <c r="M417" s="91"/>
      <c r="N417" s="96" t="b">
        <v>0</v>
      </c>
      <c r="O417" s="96" t="b">
        <v>0</v>
      </c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  <c r="AA417" s="92"/>
      <c r="AB417" s="92"/>
      <c r="AC417" s="92"/>
      <c r="AD417" s="92"/>
      <c r="AE417" s="92"/>
      <c r="AF417" s="92"/>
      <c r="AG417" s="92"/>
    </row>
    <row r="418" hidden="1">
      <c r="A418" s="86" t="str">
        <f t="shared" si="21"/>
        <v/>
      </c>
      <c r="B418" s="87"/>
      <c r="C418" s="88">
        <v>44355.0</v>
      </c>
      <c r="D418" s="89"/>
      <c r="E418" s="124"/>
      <c r="F418" s="124"/>
      <c r="G418" s="26"/>
      <c r="H418" s="124"/>
      <c r="I418" s="124"/>
      <c r="J418" s="124"/>
      <c r="K418" s="91"/>
      <c r="L418" s="91"/>
      <c r="M418" s="91"/>
      <c r="N418" s="96" t="b">
        <v>0</v>
      </c>
      <c r="O418" s="96" t="b">
        <v>0</v>
      </c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  <c r="AA418" s="92"/>
      <c r="AB418" s="92"/>
      <c r="AC418" s="92"/>
      <c r="AD418" s="92"/>
      <c r="AE418" s="92"/>
      <c r="AF418" s="92"/>
      <c r="AG418" s="92"/>
    </row>
    <row r="419" hidden="1">
      <c r="A419" s="86" t="str">
        <f t="shared" si="21"/>
        <v/>
      </c>
      <c r="B419" s="18" t="s">
        <v>14</v>
      </c>
      <c r="C419" s="103"/>
      <c r="D419" s="89"/>
      <c r="E419" s="124"/>
      <c r="F419" s="124"/>
      <c r="G419" s="26"/>
      <c r="H419" s="124"/>
      <c r="I419" s="124"/>
      <c r="J419" s="124"/>
      <c r="K419" s="91"/>
      <c r="L419" s="91"/>
      <c r="M419" s="91"/>
      <c r="N419" s="96" t="b">
        <v>0</v>
      </c>
      <c r="O419" s="96" t="b">
        <v>0</v>
      </c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  <c r="AA419" s="92"/>
      <c r="AB419" s="92"/>
      <c r="AC419" s="92"/>
      <c r="AD419" s="92"/>
      <c r="AE419" s="92"/>
      <c r="AF419" s="92"/>
      <c r="AG419" s="92"/>
    </row>
    <row r="420" hidden="1">
      <c r="A420" s="86" t="str">
        <f t="shared" si="21"/>
        <v/>
      </c>
      <c r="B420" s="25"/>
      <c r="C420" s="80" t="s">
        <v>78</v>
      </c>
      <c r="D420" s="89"/>
      <c r="E420" s="124"/>
      <c r="F420" s="124"/>
      <c r="G420" s="99"/>
      <c r="H420" s="124"/>
      <c r="I420" s="124"/>
      <c r="J420" s="124"/>
      <c r="K420" s="91"/>
      <c r="L420" s="91"/>
      <c r="M420" s="91"/>
      <c r="N420" s="96" t="b">
        <v>0</v>
      </c>
      <c r="O420" s="96" t="b">
        <v>0</v>
      </c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  <c r="AA420" s="92"/>
      <c r="AB420" s="92"/>
      <c r="AC420" s="92"/>
      <c r="AD420" s="92"/>
      <c r="AE420" s="92"/>
      <c r="AF420" s="92"/>
      <c r="AG420" s="92"/>
    </row>
    <row r="421" hidden="1">
      <c r="A421" s="86" t="str">
        <f t="shared" si="21"/>
        <v>60a40f3f84b06f05ac4b1cd8</v>
      </c>
      <c r="B421" s="25"/>
      <c r="C421" s="80" t="s">
        <v>78</v>
      </c>
      <c r="D421" s="75" t="s">
        <v>79</v>
      </c>
      <c r="E421" s="30" t="s">
        <v>960</v>
      </c>
      <c r="F421" s="30" t="s">
        <v>961</v>
      </c>
      <c r="G421" s="29">
        <v>0.5</v>
      </c>
      <c r="H421" s="30" t="s">
        <v>82</v>
      </c>
      <c r="I421" s="30" t="s">
        <v>310</v>
      </c>
      <c r="J421" s="30" t="s">
        <v>311</v>
      </c>
      <c r="K421" s="83" t="s">
        <v>962</v>
      </c>
      <c r="L421" s="148"/>
      <c r="M421" s="91"/>
      <c r="N421" s="96" t="b">
        <v>0</v>
      </c>
      <c r="O421" s="96" t="b">
        <v>0</v>
      </c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  <c r="AA421" s="92"/>
      <c r="AB421" s="92"/>
      <c r="AC421" s="92"/>
      <c r="AD421" s="92"/>
      <c r="AE421" s="92"/>
      <c r="AF421" s="92"/>
      <c r="AG421" s="92"/>
    </row>
    <row r="422" hidden="1">
      <c r="A422" s="86" t="str">
        <f t="shared" si="21"/>
        <v>5fde7e21856302888054fbd8</v>
      </c>
      <c r="B422" s="25"/>
      <c r="C422" s="80" t="s">
        <v>78</v>
      </c>
      <c r="D422" s="107" t="s">
        <v>79</v>
      </c>
      <c r="E422" s="109" t="s">
        <v>963</v>
      </c>
      <c r="F422" s="109" t="s">
        <v>964</v>
      </c>
      <c r="G422" s="108">
        <v>0.5833333333333334</v>
      </c>
      <c r="H422" s="109" t="s">
        <v>82</v>
      </c>
      <c r="I422" s="109" t="s">
        <v>965</v>
      </c>
      <c r="J422" s="109" t="s">
        <v>966</v>
      </c>
      <c r="K422" s="149" t="s">
        <v>967</v>
      </c>
      <c r="L422" s="148"/>
      <c r="M422" s="91"/>
      <c r="N422" s="96" t="b">
        <v>0</v>
      </c>
      <c r="O422" s="96" t="b">
        <v>0</v>
      </c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  <c r="AA422" s="92"/>
      <c r="AB422" s="92"/>
      <c r="AC422" s="92"/>
      <c r="AD422" s="92"/>
      <c r="AE422" s="92"/>
      <c r="AF422" s="92"/>
      <c r="AG422" s="92"/>
    </row>
    <row r="423" hidden="1">
      <c r="A423" s="86" t="str">
        <f t="shared" si="21"/>
        <v>5fe8f60d12a85080b9bb58d3</v>
      </c>
      <c r="B423" s="25"/>
      <c r="C423" s="80" t="s">
        <v>78</v>
      </c>
      <c r="D423" s="107" t="s">
        <v>79</v>
      </c>
      <c r="E423" s="109" t="s">
        <v>968</v>
      </c>
      <c r="F423" s="109" t="s">
        <v>969</v>
      </c>
      <c r="G423" s="108">
        <v>0.6666666666666666</v>
      </c>
      <c r="H423" s="109" t="s">
        <v>82</v>
      </c>
      <c r="I423" s="109" t="s">
        <v>970</v>
      </c>
      <c r="J423" s="109" t="s">
        <v>971</v>
      </c>
      <c r="K423" s="149" t="s">
        <v>972</v>
      </c>
      <c r="L423" s="148"/>
      <c r="M423" s="91"/>
      <c r="N423" s="96" t="b">
        <v>0</v>
      </c>
      <c r="O423" s="96" t="b">
        <v>0</v>
      </c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  <c r="AA423" s="92"/>
      <c r="AB423" s="92"/>
      <c r="AC423" s="92"/>
      <c r="AD423" s="92"/>
      <c r="AE423" s="92"/>
      <c r="AF423" s="92"/>
      <c r="AG423" s="92"/>
    </row>
    <row r="424" hidden="1">
      <c r="A424" s="86" t="str">
        <f t="shared" si="21"/>
        <v>607f40c341375f30d5d92f1e</v>
      </c>
      <c r="B424" s="39"/>
      <c r="C424" s="103"/>
      <c r="D424" s="107" t="s">
        <v>79</v>
      </c>
      <c r="E424" s="109" t="s">
        <v>973</v>
      </c>
      <c r="F424" s="109" t="s">
        <v>974</v>
      </c>
      <c r="G424" s="108">
        <v>0.75</v>
      </c>
      <c r="H424" s="109" t="s">
        <v>211</v>
      </c>
      <c r="I424" s="109" t="s">
        <v>975</v>
      </c>
      <c r="J424" s="109" t="s">
        <v>976</v>
      </c>
      <c r="K424" s="149" t="s">
        <v>972</v>
      </c>
      <c r="L424" s="148"/>
      <c r="M424" s="91"/>
      <c r="N424" s="96" t="b">
        <v>0</v>
      </c>
      <c r="O424" s="96" t="b">
        <v>0</v>
      </c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  <c r="AA424" s="92"/>
      <c r="AB424" s="92"/>
      <c r="AC424" s="92"/>
      <c r="AD424" s="92"/>
      <c r="AE424" s="92"/>
      <c r="AF424" s="92"/>
      <c r="AG424" s="92"/>
    </row>
    <row r="425" hidden="1">
      <c r="A425" s="86" t="str">
        <f t="shared" si="21"/>
        <v/>
      </c>
      <c r="B425" s="123" t="s">
        <v>811</v>
      </c>
      <c r="C425" s="103"/>
      <c r="D425" s="97"/>
      <c r="E425" s="32"/>
      <c r="F425" s="32"/>
      <c r="G425" s="41"/>
      <c r="H425" s="98"/>
      <c r="I425" s="98"/>
      <c r="J425" s="98"/>
      <c r="K425" s="91"/>
      <c r="L425" s="91"/>
      <c r="M425" s="91"/>
      <c r="N425" s="96" t="b">
        <v>0</v>
      </c>
      <c r="O425" s="96" t="b">
        <v>0</v>
      </c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  <c r="AA425" s="92"/>
      <c r="AB425" s="92"/>
      <c r="AC425" s="92"/>
      <c r="AD425" s="92"/>
      <c r="AE425" s="92"/>
      <c r="AF425" s="92"/>
      <c r="AG425" s="92"/>
    </row>
    <row r="426" hidden="1">
      <c r="A426" s="86" t="str">
        <f t="shared" si="21"/>
        <v/>
      </c>
      <c r="B426" s="57"/>
      <c r="C426" s="78" t="s">
        <v>812</v>
      </c>
      <c r="D426" s="97"/>
      <c r="E426" s="98"/>
      <c r="F426" s="109"/>
      <c r="G426" s="108"/>
      <c r="H426" s="109"/>
      <c r="I426" s="98"/>
      <c r="J426" s="131"/>
      <c r="K426" s="91"/>
      <c r="L426" s="91"/>
      <c r="M426" s="91"/>
      <c r="N426" s="96" t="b">
        <v>0</v>
      </c>
      <c r="O426" s="96" t="b">
        <v>0</v>
      </c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  <c r="AA426" s="92"/>
      <c r="AB426" s="92"/>
      <c r="AC426" s="92"/>
      <c r="AD426" s="92"/>
      <c r="AE426" s="92"/>
      <c r="AF426" s="92"/>
      <c r="AG426" s="92"/>
    </row>
    <row r="427" hidden="1">
      <c r="A427" s="86" t="str">
        <f t="shared" si="21"/>
        <v/>
      </c>
      <c r="B427" s="57"/>
      <c r="C427" s="78" t="s">
        <v>812</v>
      </c>
      <c r="D427" s="97"/>
      <c r="E427" s="130"/>
      <c r="F427" s="126" t="s">
        <v>977</v>
      </c>
      <c r="G427" s="108"/>
      <c r="H427" s="109"/>
      <c r="I427" s="98"/>
      <c r="J427" s="131"/>
      <c r="K427" s="91"/>
      <c r="L427" s="91"/>
      <c r="M427" s="91"/>
      <c r="N427" s="96" t="b">
        <v>0</v>
      </c>
      <c r="O427" s="96" t="b">
        <v>0</v>
      </c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  <c r="AA427" s="92"/>
      <c r="AB427" s="92"/>
      <c r="AC427" s="92"/>
      <c r="AD427" s="92"/>
      <c r="AE427" s="92"/>
      <c r="AF427" s="92"/>
      <c r="AG427" s="92"/>
    </row>
    <row r="428" hidden="1">
      <c r="A428" s="86" t="str">
        <f t="shared" si="21"/>
        <v/>
      </c>
      <c r="B428" s="57"/>
      <c r="C428" s="78" t="s">
        <v>812</v>
      </c>
      <c r="D428" s="97"/>
      <c r="E428" s="32"/>
      <c r="F428" s="28"/>
      <c r="G428" s="108"/>
      <c r="H428" s="109"/>
      <c r="I428" s="98"/>
      <c r="J428" s="131"/>
      <c r="K428" s="91"/>
      <c r="L428" s="91"/>
      <c r="M428" s="91"/>
      <c r="N428" s="96" t="b">
        <v>0</v>
      </c>
      <c r="O428" s="96" t="b">
        <v>0</v>
      </c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  <c r="AA428" s="92"/>
      <c r="AB428" s="92"/>
      <c r="AC428" s="92"/>
      <c r="AD428" s="92"/>
      <c r="AE428" s="92"/>
      <c r="AF428" s="92"/>
      <c r="AG428" s="92"/>
    </row>
    <row r="429" hidden="1">
      <c r="A429" s="86" t="str">
        <f t="shared" si="21"/>
        <v/>
      </c>
      <c r="B429" s="57"/>
      <c r="C429" s="78" t="s">
        <v>812</v>
      </c>
      <c r="D429" s="97"/>
      <c r="E429" s="130"/>
      <c r="F429" s="130"/>
      <c r="G429" s="99"/>
      <c r="H429" s="98"/>
      <c r="I429" s="98"/>
      <c r="J429" s="132"/>
      <c r="K429" s="91"/>
      <c r="L429" s="91"/>
      <c r="M429" s="91"/>
      <c r="N429" s="96" t="b">
        <v>0</v>
      </c>
      <c r="O429" s="96" t="b">
        <v>0</v>
      </c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  <c r="AA429" s="92"/>
      <c r="AB429" s="92"/>
      <c r="AC429" s="92"/>
      <c r="AD429" s="92"/>
      <c r="AE429" s="92"/>
      <c r="AF429" s="92"/>
      <c r="AG429" s="92"/>
    </row>
    <row r="430" hidden="1">
      <c r="A430" s="86" t="str">
        <f t="shared" si="21"/>
        <v/>
      </c>
      <c r="B430" s="60"/>
      <c r="C430" s="103"/>
      <c r="D430" s="89"/>
      <c r="E430" s="124"/>
      <c r="F430" s="124"/>
      <c r="G430" s="26"/>
      <c r="H430" s="124"/>
      <c r="I430" s="124"/>
      <c r="J430" s="124"/>
      <c r="K430" s="91"/>
      <c r="L430" s="91"/>
      <c r="M430" s="91"/>
      <c r="N430" s="96" t="b">
        <v>0</v>
      </c>
      <c r="O430" s="96" t="b">
        <v>0</v>
      </c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  <c r="AA430" s="92"/>
      <c r="AB430" s="92"/>
      <c r="AC430" s="92"/>
      <c r="AD430" s="92"/>
      <c r="AE430" s="92"/>
      <c r="AF430" s="92"/>
      <c r="AG430" s="92"/>
    </row>
    <row r="431" hidden="1">
      <c r="A431" s="86" t="str">
        <f t="shared" si="21"/>
        <v/>
      </c>
      <c r="B431" s="87"/>
      <c r="C431" s="88">
        <v>44356.0</v>
      </c>
      <c r="D431" s="89"/>
      <c r="E431" s="124"/>
      <c r="F431" s="124"/>
      <c r="G431" s="26"/>
      <c r="H431" s="124"/>
      <c r="I431" s="124"/>
      <c r="J431" s="124"/>
      <c r="K431" s="91"/>
      <c r="L431" s="91"/>
      <c r="M431" s="91"/>
      <c r="N431" s="96" t="b">
        <v>0</v>
      </c>
      <c r="O431" s="96" t="b">
        <v>0</v>
      </c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  <c r="AA431" s="92"/>
      <c r="AB431" s="92"/>
      <c r="AC431" s="92"/>
      <c r="AD431" s="92"/>
      <c r="AE431" s="92"/>
      <c r="AF431" s="92"/>
      <c r="AG431" s="92"/>
    </row>
    <row r="432" hidden="1">
      <c r="A432" s="86" t="str">
        <f t="shared" si="21"/>
        <v/>
      </c>
      <c r="B432" s="18" t="s">
        <v>14</v>
      </c>
      <c r="C432" s="103"/>
      <c r="D432" s="97"/>
      <c r="E432" s="98"/>
      <c r="F432" s="98"/>
      <c r="G432" s="99"/>
      <c r="H432" s="98"/>
      <c r="I432" s="98"/>
      <c r="J432" s="98"/>
      <c r="K432" s="91"/>
      <c r="L432" s="91"/>
      <c r="M432" s="91"/>
      <c r="N432" s="96" t="b">
        <v>0</v>
      </c>
      <c r="O432" s="96" t="b">
        <v>0</v>
      </c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  <c r="AA432" s="92"/>
      <c r="AB432" s="92"/>
      <c r="AC432" s="92"/>
      <c r="AD432" s="92"/>
      <c r="AE432" s="92"/>
      <c r="AF432" s="92"/>
      <c r="AG432" s="92"/>
    </row>
    <row r="433" hidden="1">
      <c r="A433" s="86" t="str">
        <f t="shared" si="21"/>
        <v>60b65c2f056f302808fc4589</v>
      </c>
      <c r="B433" s="25"/>
      <c r="C433" s="80" t="s">
        <v>78</v>
      </c>
      <c r="D433" s="97" t="s">
        <v>79</v>
      </c>
      <c r="E433" s="98" t="s">
        <v>978</v>
      </c>
      <c r="F433" s="98" t="s">
        <v>979</v>
      </c>
      <c r="G433" s="99">
        <v>0.4166666666666667</v>
      </c>
      <c r="H433" s="98" t="s">
        <v>418</v>
      </c>
      <c r="I433" s="98" t="s">
        <v>980</v>
      </c>
      <c r="J433" s="98" t="s">
        <v>981</v>
      </c>
      <c r="K433" s="91"/>
      <c r="L433" s="91"/>
      <c r="M433" s="91"/>
      <c r="N433" s="96" t="b">
        <v>0</v>
      </c>
      <c r="O433" s="96" t="b">
        <v>0</v>
      </c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  <c r="AA433" s="92"/>
      <c r="AB433" s="92"/>
      <c r="AC433" s="92"/>
      <c r="AD433" s="92"/>
      <c r="AE433" s="92"/>
      <c r="AF433" s="92"/>
      <c r="AG433" s="92"/>
    </row>
    <row r="434" hidden="1">
      <c r="A434" s="86" t="str">
        <f t="shared" si="21"/>
        <v>60b152c681145620a92f9486</v>
      </c>
      <c r="B434" s="25"/>
      <c r="C434" s="80" t="s">
        <v>78</v>
      </c>
      <c r="D434" s="76" t="s">
        <v>79</v>
      </c>
      <c r="E434" s="30" t="s">
        <v>982</v>
      </c>
      <c r="F434" s="30" t="s">
        <v>983</v>
      </c>
      <c r="G434" s="29">
        <v>0.5833333333333334</v>
      </c>
      <c r="H434" s="30" t="s">
        <v>424</v>
      </c>
      <c r="I434" s="30" t="s">
        <v>984</v>
      </c>
      <c r="J434" s="30" t="s">
        <v>985</v>
      </c>
      <c r="K434" s="70"/>
      <c r="L434" s="91"/>
      <c r="M434" s="91"/>
      <c r="N434" s="96" t="b">
        <v>0</v>
      </c>
      <c r="O434" s="96" t="b">
        <v>0</v>
      </c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  <c r="AA434" s="92"/>
      <c r="AB434" s="92"/>
      <c r="AC434" s="92"/>
      <c r="AD434" s="92"/>
      <c r="AE434" s="92"/>
      <c r="AF434" s="92"/>
      <c r="AG434" s="92"/>
    </row>
    <row r="435" hidden="1">
      <c r="A435" s="86" t="str">
        <f t="shared" si="21"/>
        <v>60b15485dbae064b5a9085c4</v>
      </c>
      <c r="B435" s="25"/>
      <c r="C435" s="80" t="s">
        <v>78</v>
      </c>
      <c r="D435" s="97" t="s">
        <v>79</v>
      </c>
      <c r="E435" s="150" t="s">
        <v>986</v>
      </c>
      <c r="F435" s="150" t="s">
        <v>987</v>
      </c>
      <c r="G435" s="151">
        <v>0.6666666666666666</v>
      </c>
      <c r="H435" s="150" t="s">
        <v>82</v>
      </c>
      <c r="I435" s="150" t="s">
        <v>988</v>
      </c>
      <c r="J435" s="150" t="s">
        <v>989</v>
      </c>
      <c r="K435" s="152" t="s">
        <v>990</v>
      </c>
      <c r="L435" s="91"/>
      <c r="M435" s="91"/>
      <c r="N435" s="96" t="b">
        <v>0</v>
      </c>
      <c r="O435" s="96" t="b">
        <v>0</v>
      </c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  <c r="AA435" s="92"/>
      <c r="AB435" s="92"/>
      <c r="AC435" s="92"/>
      <c r="AD435" s="92"/>
      <c r="AE435" s="92"/>
      <c r="AF435" s="92"/>
      <c r="AG435" s="92"/>
    </row>
    <row r="436" hidden="1">
      <c r="A436" s="86" t="str">
        <f t="shared" si="21"/>
        <v>60813171d4c52417dd627a35</v>
      </c>
      <c r="B436" s="25"/>
      <c r="C436" s="80" t="s">
        <v>78</v>
      </c>
      <c r="D436" s="153" t="s">
        <v>991</v>
      </c>
      <c r="E436" s="28" t="s">
        <v>902</v>
      </c>
      <c r="F436" s="28" t="s">
        <v>903</v>
      </c>
      <c r="G436" s="29">
        <v>0.75</v>
      </c>
      <c r="H436" s="30" t="s">
        <v>205</v>
      </c>
      <c r="I436" s="30" t="s">
        <v>992</v>
      </c>
      <c r="J436" s="30" t="s">
        <v>905</v>
      </c>
      <c r="K436" s="111"/>
      <c r="L436" s="111"/>
      <c r="M436" s="91"/>
      <c r="N436" s="96" t="b">
        <v>0</v>
      </c>
      <c r="O436" s="96" t="b">
        <v>0</v>
      </c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  <c r="AA436" s="92"/>
      <c r="AB436" s="92"/>
      <c r="AC436" s="92"/>
      <c r="AD436" s="92"/>
      <c r="AE436" s="92"/>
      <c r="AF436" s="92"/>
      <c r="AG436" s="92"/>
    </row>
    <row r="437" hidden="1">
      <c r="A437" s="86" t="str">
        <f t="shared" si="21"/>
        <v/>
      </c>
      <c r="B437" s="39"/>
      <c r="C437" s="103"/>
      <c r="D437" s="89"/>
      <c r="E437" s="124"/>
      <c r="F437" s="124"/>
      <c r="G437" s="26"/>
      <c r="H437" s="124"/>
      <c r="I437" s="124"/>
      <c r="J437" s="124"/>
      <c r="K437" s="91"/>
      <c r="L437" s="91"/>
      <c r="M437" s="91"/>
      <c r="N437" s="96" t="b">
        <v>0</v>
      </c>
      <c r="O437" s="96" t="b">
        <v>0</v>
      </c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  <c r="AA437" s="92"/>
      <c r="AB437" s="92"/>
      <c r="AC437" s="92"/>
      <c r="AD437" s="92"/>
      <c r="AE437" s="92"/>
      <c r="AF437" s="92"/>
      <c r="AG437" s="92"/>
    </row>
    <row r="438" hidden="1">
      <c r="A438" s="86" t="str">
        <f t="shared" si="21"/>
        <v/>
      </c>
      <c r="B438" s="123" t="s">
        <v>811</v>
      </c>
      <c r="C438" s="103"/>
      <c r="D438" s="97"/>
      <c r="E438" s="32"/>
      <c r="F438" s="28"/>
      <c r="G438" s="112"/>
      <c r="H438" s="109"/>
      <c r="I438" s="98"/>
      <c r="J438" s="98"/>
      <c r="K438" s="91"/>
      <c r="L438" s="91"/>
      <c r="M438" s="91"/>
      <c r="N438" s="96" t="b">
        <v>0</v>
      </c>
      <c r="O438" s="96" t="b">
        <v>0</v>
      </c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  <c r="AA438" s="92"/>
      <c r="AB438" s="92"/>
      <c r="AC438" s="92"/>
      <c r="AD438" s="92"/>
      <c r="AE438" s="92"/>
      <c r="AF438" s="92"/>
      <c r="AG438" s="92"/>
    </row>
    <row r="439" hidden="1">
      <c r="A439" s="86" t="str">
        <f t="shared" si="21"/>
        <v/>
      </c>
      <c r="B439" s="57"/>
      <c r="C439" s="78" t="s">
        <v>812</v>
      </c>
      <c r="D439" s="97"/>
      <c r="E439" s="98"/>
      <c r="F439" s="109"/>
      <c r="G439" s="108"/>
      <c r="H439" s="109"/>
      <c r="I439" s="98"/>
      <c r="J439" s="131"/>
      <c r="K439" s="91"/>
      <c r="L439" s="91"/>
      <c r="M439" s="91"/>
      <c r="N439" s="96" t="b">
        <v>0</v>
      </c>
      <c r="O439" s="96" t="b">
        <v>0</v>
      </c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  <c r="AA439" s="92"/>
      <c r="AB439" s="92"/>
      <c r="AC439" s="92"/>
      <c r="AD439" s="92"/>
      <c r="AE439" s="92"/>
      <c r="AF439" s="92"/>
      <c r="AG439" s="92"/>
    </row>
    <row r="440" hidden="1">
      <c r="A440" s="86" t="str">
        <f t="shared" si="21"/>
        <v/>
      </c>
      <c r="B440" s="57"/>
      <c r="C440" s="78" t="s">
        <v>812</v>
      </c>
      <c r="D440" s="97"/>
      <c r="E440" s="130"/>
      <c r="F440" s="126" t="s">
        <v>977</v>
      </c>
      <c r="G440" s="108"/>
      <c r="H440" s="109"/>
      <c r="I440" s="98"/>
      <c r="J440" s="131"/>
      <c r="K440" s="91"/>
      <c r="L440" s="91"/>
      <c r="M440" s="91"/>
      <c r="N440" s="96" t="b">
        <v>0</v>
      </c>
      <c r="O440" s="96" t="b">
        <v>0</v>
      </c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  <c r="AA440" s="92"/>
      <c r="AB440" s="92"/>
      <c r="AC440" s="92"/>
      <c r="AD440" s="92"/>
      <c r="AE440" s="92"/>
      <c r="AF440" s="92"/>
      <c r="AG440" s="92"/>
    </row>
    <row r="441" hidden="1">
      <c r="A441" s="86" t="str">
        <f t="shared" si="21"/>
        <v/>
      </c>
      <c r="B441" s="57"/>
      <c r="C441" s="78" t="s">
        <v>812</v>
      </c>
      <c r="D441" s="97"/>
      <c r="E441" s="32"/>
      <c r="F441" s="28"/>
      <c r="G441" s="108"/>
      <c r="H441" s="109"/>
      <c r="I441" s="98"/>
      <c r="J441" s="131"/>
      <c r="K441" s="91"/>
      <c r="L441" s="91"/>
      <c r="M441" s="91"/>
      <c r="N441" s="96" t="b">
        <v>0</v>
      </c>
      <c r="O441" s="96" t="b">
        <v>0</v>
      </c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  <c r="AA441" s="92"/>
      <c r="AB441" s="92"/>
      <c r="AC441" s="92"/>
      <c r="AD441" s="92"/>
      <c r="AE441" s="92"/>
      <c r="AF441" s="92"/>
      <c r="AG441" s="92"/>
    </row>
    <row r="442" hidden="1">
      <c r="A442" s="86" t="str">
        <f t="shared" si="21"/>
        <v/>
      </c>
      <c r="B442" s="57"/>
      <c r="C442" s="78" t="s">
        <v>812</v>
      </c>
      <c r="D442" s="97"/>
      <c r="E442" s="130"/>
      <c r="F442" s="130"/>
      <c r="G442" s="99"/>
      <c r="H442" s="98"/>
      <c r="I442" s="98"/>
      <c r="J442" s="132"/>
      <c r="K442" s="91"/>
      <c r="L442" s="91"/>
      <c r="M442" s="91"/>
      <c r="N442" s="96" t="b">
        <v>0</v>
      </c>
      <c r="O442" s="96" t="b">
        <v>0</v>
      </c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  <c r="AA442" s="92"/>
      <c r="AB442" s="92"/>
      <c r="AC442" s="92"/>
      <c r="AD442" s="92"/>
      <c r="AE442" s="92"/>
      <c r="AF442" s="92"/>
      <c r="AG442" s="92"/>
    </row>
    <row r="443" hidden="1">
      <c r="A443" s="86" t="str">
        <f t="shared" si="21"/>
        <v/>
      </c>
      <c r="B443" s="60"/>
      <c r="C443" s="103"/>
      <c r="D443" s="89"/>
      <c r="E443" s="124"/>
      <c r="F443" s="124"/>
      <c r="G443" s="26"/>
      <c r="H443" s="124"/>
      <c r="I443" s="124"/>
      <c r="J443" s="124"/>
      <c r="K443" s="91"/>
      <c r="L443" s="91"/>
      <c r="M443" s="91"/>
      <c r="N443" s="96" t="b">
        <v>0</v>
      </c>
      <c r="O443" s="96" t="b">
        <v>0</v>
      </c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  <c r="AA443" s="92"/>
      <c r="AB443" s="92"/>
      <c r="AC443" s="92"/>
      <c r="AD443" s="92"/>
      <c r="AE443" s="92"/>
      <c r="AF443" s="92"/>
      <c r="AG443" s="92"/>
    </row>
    <row r="444" hidden="1">
      <c r="A444" s="86" t="str">
        <f t="shared" si="21"/>
        <v/>
      </c>
      <c r="B444" s="87"/>
      <c r="C444" s="88">
        <v>44357.0</v>
      </c>
      <c r="D444" s="89"/>
      <c r="E444" s="124"/>
      <c r="F444" s="124"/>
      <c r="G444" s="26"/>
      <c r="H444" s="124"/>
      <c r="I444" s="124"/>
      <c r="J444" s="124"/>
      <c r="K444" s="91"/>
      <c r="L444" s="91"/>
      <c r="M444" s="91"/>
      <c r="N444" s="96" t="b">
        <v>0</v>
      </c>
      <c r="O444" s="96" t="b">
        <v>0</v>
      </c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  <c r="AA444" s="92"/>
      <c r="AB444" s="92"/>
      <c r="AC444" s="92"/>
      <c r="AD444" s="92"/>
      <c r="AE444" s="92"/>
      <c r="AF444" s="92"/>
      <c r="AG444" s="92"/>
    </row>
    <row r="445" hidden="1">
      <c r="A445" s="86" t="str">
        <f t="shared" si="21"/>
        <v/>
      </c>
      <c r="B445" s="18" t="s">
        <v>14</v>
      </c>
      <c r="C445" s="103"/>
      <c r="D445" s="89"/>
      <c r="E445" s="124"/>
      <c r="F445" s="124"/>
      <c r="G445" s="26"/>
      <c r="H445" s="124"/>
      <c r="I445" s="124"/>
      <c r="J445" s="124"/>
      <c r="K445" s="91"/>
      <c r="L445" s="91"/>
      <c r="M445" s="91"/>
      <c r="N445" s="96" t="b">
        <v>0</v>
      </c>
      <c r="O445" s="96" t="b">
        <v>0</v>
      </c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  <c r="AA445" s="92"/>
      <c r="AB445" s="92"/>
      <c r="AC445" s="92"/>
      <c r="AD445" s="92"/>
      <c r="AE445" s="92"/>
      <c r="AF445" s="92"/>
      <c r="AG445" s="92"/>
    </row>
    <row r="446" hidden="1">
      <c r="A446" s="86" t="str">
        <f t="shared" si="21"/>
        <v>605cd2d0e81f5bc7fe859127</v>
      </c>
      <c r="B446" s="25"/>
      <c r="C446" s="80" t="s">
        <v>78</v>
      </c>
      <c r="D446" s="97" t="s">
        <v>399</v>
      </c>
      <c r="E446" s="124" t="s">
        <v>579</v>
      </c>
      <c r="F446" s="124" t="s">
        <v>580</v>
      </c>
      <c r="G446" s="99">
        <v>0.5833333333333334</v>
      </c>
      <c r="H446" s="98" t="s">
        <v>498</v>
      </c>
      <c r="I446" s="98" t="s">
        <v>993</v>
      </c>
      <c r="J446" s="129" t="s">
        <v>582</v>
      </c>
      <c r="K446" s="91"/>
      <c r="L446" s="91"/>
      <c r="M446" s="91"/>
      <c r="N446" s="96" t="b">
        <v>0</v>
      </c>
      <c r="O446" s="96" t="b">
        <v>0</v>
      </c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  <c r="AA446" s="92"/>
      <c r="AB446" s="92"/>
      <c r="AC446" s="92"/>
      <c r="AD446" s="92"/>
      <c r="AE446" s="92"/>
      <c r="AF446" s="92"/>
      <c r="AG446" s="92"/>
    </row>
    <row r="447" hidden="1">
      <c r="A447" s="86" t="str">
        <f t="shared" si="21"/>
        <v>60b7e0323ffe7f68658d4134</v>
      </c>
      <c r="B447" s="25"/>
      <c r="C447" s="80" t="s">
        <v>78</v>
      </c>
      <c r="D447" s="107" t="s">
        <v>399</v>
      </c>
      <c r="E447" s="28" t="s">
        <v>994</v>
      </c>
      <c r="F447" s="28" t="s">
        <v>995</v>
      </c>
      <c r="G447" s="108">
        <v>0.6666666666666666</v>
      </c>
      <c r="H447" s="109" t="s">
        <v>996</v>
      </c>
      <c r="I447" s="109" t="s">
        <v>997</v>
      </c>
      <c r="J447" s="28" t="s">
        <v>998</v>
      </c>
      <c r="K447" s="111"/>
      <c r="L447" s="91"/>
      <c r="M447" s="91"/>
      <c r="N447" s="96" t="b">
        <v>0</v>
      </c>
      <c r="O447" s="96" t="b">
        <v>0</v>
      </c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  <c r="AA447" s="92"/>
      <c r="AB447" s="92"/>
      <c r="AC447" s="92"/>
      <c r="AD447" s="92"/>
      <c r="AE447" s="92"/>
      <c r="AF447" s="92"/>
      <c r="AG447" s="92"/>
    </row>
    <row r="448" hidden="1">
      <c r="A448" s="86" t="str">
        <f t="shared" si="21"/>
        <v>603f9a63b2bbe6e9e5cca52c</v>
      </c>
      <c r="B448" s="25"/>
      <c r="C448" s="80" t="s">
        <v>78</v>
      </c>
      <c r="D448" s="107" t="s">
        <v>399</v>
      </c>
      <c r="E448" s="154" t="s">
        <v>146</v>
      </c>
      <c r="F448" s="154" t="s">
        <v>147</v>
      </c>
      <c r="G448" s="108">
        <v>0.7291666666666666</v>
      </c>
      <c r="H448" s="109" t="s">
        <v>996</v>
      </c>
      <c r="I448" s="155" t="s">
        <v>149</v>
      </c>
      <c r="J448" s="155" t="s">
        <v>150</v>
      </c>
      <c r="K448" s="111"/>
      <c r="L448" s="91"/>
      <c r="M448" s="91"/>
      <c r="N448" s="96" t="b">
        <v>0</v>
      </c>
      <c r="O448" s="96" t="b">
        <v>0</v>
      </c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  <c r="AA448" s="92"/>
      <c r="AB448" s="92"/>
      <c r="AC448" s="92"/>
      <c r="AD448" s="92"/>
      <c r="AE448" s="92"/>
      <c r="AF448" s="92"/>
      <c r="AG448" s="92"/>
    </row>
    <row r="449" hidden="1">
      <c r="A449" s="86" t="str">
        <f t="shared" si="21"/>
        <v>601561ceaa213a5e4ae355eb</v>
      </c>
      <c r="B449" s="25"/>
      <c r="C449" s="80" t="s">
        <v>78</v>
      </c>
      <c r="D449" s="107" t="s">
        <v>399</v>
      </c>
      <c r="E449" s="154" t="s">
        <v>137</v>
      </c>
      <c r="F449" s="154" t="s">
        <v>138</v>
      </c>
      <c r="G449" s="108">
        <v>0.7708333333333334</v>
      </c>
      <c r="H449" s="109" t="s">
        <v>233</v>
      </c>
      <c r="I449" s="109" t="s">
        <v>999</v>
      </c>
      <c r="J449" s="156" t="s">
        <v>140</v>
      </c>
      <c r="K449" s="109" t="s">
        <v>838</v>
      </c>
      <c r="L449" s="91"/>
      <c r="M449" s="91"/>
      <c r="N449" s="96" t="b">
        <v>0</v>
      </c>
      <c r="O449" s="96" t="b">
        <v>0</v>
      </c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  <c r="AA449" s="92"/>
      <c r="AB449" s="92"/>
      <c r="AC449" s="92"/>
      <c r="AD449" s="92"/>
      <c r="AE449" s="92"/>
      <c r="AF449" s="92"/>
      <c r="AG449" s="92"/>
    </row>
    <row r="450" hidden="1">
      <c r="A450" s="86" t="str">
        <f t="shared" si="21"/>
        <v/>
      </c>
      <c r="B450" s="39"/>
      <c r="C450" s="103"/>
      <c r="D450" s="64"/>
      <c r="E450" s="21"/>
      <c r="F450" s="21"/>
      <c r="G450" s="22"/>
      <c r="H450" s="21"/>
      <c r="I450" s="21"/>
      <c r="J450" s="21"/>
      <c r="K450" s="21"/>
      <c r="L450" s="21"/>
      <c r="M450" s="21"/>
      <c r="N450" s="96" t="b">
        <v>0</v>
      </c>
      <c r="O450" s="96" t="b">
        <v>0</v>
      </c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  <c r="AA450" s="92"/>
      <c r="AB450" s="92"/>
      <c r="AC450" s="92"/>
      <c r="AD450" s="92"/>
      <c r="AE450" s="92"/>
      <c r="AF450" s="92"/>
      <c r="AG450" s="92"/>
    </row>
    <row r="451" hidden="1">
      <c r="A451" s="86" t="str">
        <f t="shared" si="21"/>
        <v/>
      </c>
      <c r="B451" s="123" t="s">
        <v>811</v>
      </c>
      <c r="C451" s="103"/>
      <c r="D451" s="64"/>
      <c r="E451" s="21"/>
      <c r="F451" s="21"/>
      <c r="G451" s="22"/>
      <c r="H451" s="21"/>
      <c r="I451" s="21"/>
      <c r="J451" s="21"/>
      <c r="K451" s="21"/>
      <c r="L451" s="21"/>
      <c r="M451" s="21"/>
      <c r="N451" s="96" t="b">
        <v>0</v>
      </c>
      <c r="O451" s="96" t="b">
        <v>0</v>
      </c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  <c r="AA451" s="92"/>
      <c r="AB451" s="92"/>
      <c r="AC451" s="92"/>
      <c r="AD451" s="92"/>
      <c r="AE451" s="92"/>
      <c r="AF451" s="92"/>
      <c r="AG451" s="92"/>
    </row>
    <row r="452" hidden="1">
      <c r="A452" s="86" t="str">
        <f t="shared" si="21"/>
        <v>ALINMAYACAK</v>
      </c>
      <c r="B452" s="57"/>
      <c r="C452" s="78" t="s">
        <v>812</v>
      </c>
      <c r="D452" s="97"/>
      <c r="E452" s="54" t="s">
        <v>77</v>
      </c>
      <c r="F452" s="55"/>
      <c r="G452" s="99"/>
      <c r="H452" s="98"/>
      <c r="I452" s="98"/>
      <c r="J452" s="131"/>
      <c r="K452" s="91"/>
      <c r="L452" s="91"/>
      <c r="M452" s="91"/>
      <c r="N452" s="96" t="b">
        <v>0</v>
      </c>
      <c r="O452" s="96" t="b">
        <v>0</v>
      </c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  <c r="AA452" s="92"/>
      <c r="AB452" s="92"/>
      <c r="AC452" s="92"/>
      <c r="AD452" s="92"/>
      <c r="AE452" s="92"/>
      <c r="AF452" s="92"/>
      <c r="AG452" s="92"/>
    </row>
    <row r="453" hidden="1">
      <c r="A453" s="86" t="str">
        <f t="shared" si="21"/>
        <v/>
      </c>
      <c r="B453" s="57"/>
      <c r="C453" s="78" t="s">
        <v>812</v>
      </c>
      <c r="D453" s="97"/>
      <c r="E453" s="56"/>
      <c r="F453" s="57"/>
      <c r="G453" s="99"/>
      <c r="H453" s="98"/>
      <c r="I453" s="98"/>
      <c r="J453" s="131"/>
      <c r="K453" s="91"/>
      <c r="L453" s="91"/>
      <c r="M453" s="91"/>
      <c r="N453" s="96" t="b">
        <v>0</v>
      </c>
      <c r="O453" s="96" t="b">
        <v>0</v>
      </c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  <c r="AA453" s="92"/>
      <c r="AB453" s="92"/>
      <c r="AC453" s="92"/>
      <c r="AD453" s="92"/>
      <c r="AE453" s="92"/>
      <c r="AF453" s="92"/>
      <c r="AG453" s="92"/>
    </row>
    <row r="454" hidden="1">
      <c r="A454" s="86" t="str">
        <f t="shared" si="21"/>
        <v/>
      </c>
      <c r="B454" s="57"/>
      <c r="C454" s="78" t="s">
        <v>812</v>
      </c>
      <c r="D454" s="97"/>
      <c r="E454" s="56"/>
      <c r="F454" s="57"/>
      <c r="G454" s="99"/>
      <c r="H454" s="98"/>
      <c r="I454" s="98"/>
      <c r="J454" s="131"/>
      <c r="K454" s="91"/>
      <c r="L454" s="91"/>
      <c r="M454" s="91"/>
      <c r="N454" s="96" t="b">
        <v>0</v>
      </c>
      <c r="O454" s="96" t="b">
        <v>0</v>
      </c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  <c r="AA454" s="92"/>
      <c r="AB454" s="92"/>
      <c r="AC454" s="92"/>
      <c r="AD454" s="92"/>
      <c r="AE454" s="92"/>
      <c r="AF454" s="92"/>
      <c r="AG454" s="92"/>
    </row>
    <row r="455" hidden="1">
      <c r="A455" s="86" t="str">
        <f t="shared" si="21"/>
        <v/>
      </c>
      <c r="B455" s="57"/>
      <c r="C455" s="78" t="s">
        <v>812</v>
      </c>
      <c r="D455" s="97"/>
      <c r="E455" s="56"/>
      <c r="F455" s="57"/>
      <c r="G455" s="99"/>
      <c r="H455" s="98"/>
      <c r="I455" s="98"/>
      <c r="J455" s="132"/>
      <c r="K455" s="91"/>
      <c r="L455" s="91"/>
      <c r="M455" s="91"/>
      <c r="N455" s="96" t="b">
        <v>0</v>
      </c>
      <c r="O455" s="96" t="b">
        <v>0</v>
      </c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  <c r="AA455" s="92"/>
      <c r="AB455" s="92"/>
      <c r="AC455" s="92"/>
      <c r="AD455" s="92"/>
      <c r="AE455" s="92"/>
      <c r="AF455" s="92"/>
      <c r="AG455" s="92"/>
    </row>
    <row r="456" hidden="1">
      <c r="A456" s="86" t="str">
        <f t="shared" si="21"/>
        <v/>
      </c>
      <c r="B456" s="60"/>
      <c r="C456" s="103"/>
      <c r="D456" s="89"/>
      <c r="E456" s="59"/>
      <c r="F456" s="60"/>
      <c r="G456" s="26"/>
      <c r="H456" s="124"/>
      <c r="I456" s="124"/>
      <c r="J456" s="124"/>
      <c r="K456" s="91"/>
      <c r="L456" s="91"/>
      <c r="M456" s="91"/>
      <c r="N456" s="96" t="b">
        <v>0</v>
      </c>
      <c r="O456" s="96" t="b">
        <v>0</v>
      </c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  <c r="AA456" s="92"/>
      <c r="AB456" s="92"/>
      <c r="AC456" s="92"/>
      <c r="AD456" s="92"/>
      <c r="AE456" s="92"/>
      <c r="AF456" s="92"/>
      <c r="AG456" s="92"/>
    </row>
    <row r="457" hidden="1">
      <c r="A457" s="86" t="str">
        <f t="shared" si="21"/>
        <v/>
      </c>
      <c r="B457" s="87"/>
      <c r="C457" s="88">
        <v>44358.0</v>
      </c>
      <c r="D457" s="89"/>
      <c r="E457" s="124"/>
      <c r="F457" s="124"/>
      <c r="G457" s="26"/>
      <c r="H457" s="124"/>
      <c r="I457" s="124"/>
      <c r="J457" s="124"/>
      <c r="K457" s="91"/>
      <c r="L457" s="91"/>
      <c r="M457" s="91"/>
      <c r="N457" s="96" t="b">
        <v>0</v>
      </c>
      <c r="O457" s="96" t="b">
        <v>0</v>
      </c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  <c r="AA457" s="92"/>
      <c r="AB457" s="92"/>
      <c r="AC457" s="92"/>
      <c r="AD457" s="92"/>
      <c r="AE457" s="92"/>
      <c r="AF457" s="92"/>
      <c r="AG457" s="92"/>
    </row>
    <row r="458" hidden="1">
      <c r="A458" s="86" t="str">
        <f t="shared" si="21"/>
        <v/>
      </c>
      <c r="B458" s="18" t="s">
        <v>14</v>
      </c>
      <c r="C458" s="103"/>
      <c r="D458" s="89"/>
      <c r="E458" s="124"/>
      <c r="F458" s="124"/>
      <c r="G458" s="26"/>
      <c r="H458" s="124"/>
      <c r="I458" s="124"/>
      <c r="J458" s="124"/>
      <c r="K458" s="91"/>
      <c r="L458" s="91"/>
      <c r="M458" s="91"/>
      <c r="N458" s="96" t="b">
        <v>0</v>
      </c>
      <c r="O458" s="96" t="b">
        <v>0</v>
      </c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  <c r="AA458" s="92"/>
      <c r="AB458" s="92"/>
      <c r="AC458" s="92"/>
      <c r="AD458" s="92"/>
      <c r="AE458" s="92"/>
      <c r="AF458" s="92"/>
      <c r="AG458" s="92"/>
    </row>
    <row r="459" hidden="1">
      <c r="A459" s="86" t="str">
        <f t="shared" si="21"/>
        <v>60097759f69aa4324447497c</v>
      </c>
      <c r="B459" s="25"/>
      <c r="C459" s="80" t="s">
        <v>78</v>
      </c>
      <c r="D459" s="107" t="s">
        <v>79</v>
      </c>
      <c r="E459" s="109" t="s">
        <v>496</v>
      </c>
      <c r="F459" s="109" t="s">
        <v>497</v>
      </c>
      <c r="G459" s="108">
        <v>0.5</v>
      </c>
      <c r="H459" s="109" t="s">
        <v>349</v>
      </c>
      <c r="I459" s="109" t="s">
        <v>1000</v>
      </c>
      <c r="J459" s="28" t="s">
        <v>500</v>
      </c>
      <c r="K459" s="109" t="s">
        <v>1001</v>
      </c>
      <c r="L459" s="91"/>
      <c r="M459" s="91"/>
      <c r="N459" s="96" t="b">
        <v>0</v>
      </c>
      <c r="O459" s="96" t="b">
        <v>0</v>
      </c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  <c r="AA459" s="92"/>
      <c r="AB459" s="92"/>
      <c r="AC459" s="92"/>
      <c r="AD459" s="92"/>
      <c r="AE459" s="92"/>
      <c r="AF459" s="92"/>
      <c r="AG459" s="92"/>
    </row>
    <row r="460" hidden="1">
      <c r="A460" s="86" t="str">
        <f t="shared" si="21"/>
        <v>6005ea7de13dbd60c85bce0f</v>
      </c>
      <c r="B460" s="25"/>
      <c r="C460" s="80" t="s">
        <v>78</v>
      </c>
      <c r="D460" s="97" t="s">
        <v>79</v>
      </c>
      <c r="E460" s="42" t="s">
        <v>1002</v>
      </c>
      <c r="F460" s="42" t="s">
        <v>1003</v>
      </c>
      <c r="G460" s="33">
        <v>0.5833333333333334</v>
      </c>
      <c r="H460" s="42" t="s">
        <v>205</v>
      </c>
      <c r="I460" s="42" t="s">
        <v>1004</v>
      </c>
      <c r="J460" s="32" t="s">
        <v>1005</v>
      </c>
      <c r="K460" s="21"/>
      <c r="L460" s="91"/>
      <c r="M460" s="91"/>
      <c r="N460" s="96" t="b">
        <v>0</v>
      </c>
      <c r="O460" s="96" t="b">
        <v>0</v>
      </c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  <c r="AA460" s="92"/>
      <c r="AB460" s="92"/>
      <c r="AC460" s="92"/>
      <c r="AD460" s="92"/>
      <c r="AE460" s="92"/>
      <c r="AF460" s="92"/>
      <c r="AG460" s="92"/>
    </row>
    <row r="461" hidden="1">
      <c r="A461" s="86" t="str">
        <f t="shared" si="21"/>
        <v>60b4b6967b00bcb361078d00</v>
      </c>
      <c r="B461" s="25"/>
      <c r="C461" s="80" t="s">
        <v>78</v>
      </c>
      <c r="D461" s="97" t="s">
        <v>79</v>
      </c>
      <c r="E461" s="98" t="s">
        <v>1006</v>
      </c>
      <c r="F461" s="98" t="s">
        <v>1007</v>
      </c>
      <c r="G461" s="99">
        <v>0.6666666666666666</v>
      </c>
      <c r="H461" s="98" t="s">
        <v>258</v>
      </c>
      <c r="I461" s="98" t="s">
        <v>1008</v>
      </c>
      <c r="J461" s="32" t="s">
        <v>1009</v>
      </c>
      <c r="K461" s="91"/>
      <c r="L461" s="91"/>
      <c r="M461" s="91"/>
      <c r="N461" s="96" t="b">
        <v>0</v>
      </c>
      <c r="O461" s="96" t="b">
        <v>0</v>
      </c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  <c r="AA461" s="92"/>
      <c r="AB461" s="92"/>
      <c r="AC461" s="92"/>
      <c r="AD461" s="92"/>
      <c r="AE461" s="92"/>
      <c r="AF461" s="92"/>
      <c r="AG461" s="92"/>
    </row>
    <row r="462" hidden="1">
      <c r="A462" s="86" t="str">
        <f t="shared" si="21"/>
        <v/>
      </c>
      <c r="B462" s="25"/>
      <c r="C462" s="80" t="s">
        <v>78</v>
      </c>
      <c r="D462" s="97"/>
      <c r="E462" s="32"/>
      <c r="F462" s="98"/>
      <c r="G462" s="99"/>
      <c r="H462" s="98"/>
      <c r="I462" s="98"/>
      <c r="J462" s="32"/>
      <c r="K462" s="91"/>
      <c r="L462" s="91"/>
      <c r="M462" s="91"/>
      <c r="N462" s="96" t="b">
        <v>0</v>
      </c>
      <c r="O462" s="96" t="b">
        <v>0</v>
      </c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  <c r="AA462" s="92"/>
      <c r="AB462" s="92"/>
      <c r="AC462" s="92"/>
      <c r="AD462" s="92"/>
      <c r="AE462" s="92"/>
      <c r="AF462" s="92"/>
      <c r="AG462" s="92"/>
    </row>
    <row r="463" hidden="1">
      <c r="A463" s="86" t="str">
        <f t="shared" si="21"/>
        <v/>
      </c>
      <c r="B463" s="39"/>
      <c r="C463" s="103"/>
      <c r="D463" s="89"/>
      <c r="E463" s="124"/>
      <c r="F463" s="124"/>
      <c r="G463" s="26"/>
      <c r="H463" s="124"/>
      <c r="I463" s="124"/>
      <c r="J463" s="124"/>
      <c r="K463" s="91"/>
      <c r="L463" s="91"/>
      <c r="M463" s="91"/>
      <c r="N463" s="96" t="b">
        <v>0</v>
      </c>
      <c r="O463" s="96" t="b">
        <v>0</v>
      </c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  <c r="AA463" s="92"/>
      <c r="AB463" s="92"/>
      <c r="AC463" s="92"/>
      <c r="AD463" s="92"/>
      <c r="AE463" s="92"/>
      <c r="AF463" s="92"/>
      <c r="AG463" s="92"/>
    </row>
    <row r="464" hidden="1">
      <c r="A464" s="86" t="str">
        <f t="shared" si="21"/>
        <v>ALINMAYACAK</v>
      </c>
      <c r="B464" s="123" t="s">
        <v>811</v>
      </c>
      <c r="C464" s="103"/>
      <c r="D464" s="97"/>
      <c r="E464" s="54" t="s">
        <v>77</v>
      </c>
      <c r="F464" s="55"/>
      <c r="G464" s="41"/>
      <c r="H464" s="98"/>
      <c r="I464" s="98"/>
      <c r="J464" s="98"/>
      <c r="K464" s="91"/>
      <c r="L464" s="91"/>
      <c r="M464" s="91"/>
      <c r="N464" s="96" t="b">
        <v>0</v>
      </c>
      <c r="O464" s="96" t="b">
        <v>0</v>
      </c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  <c r="AA464" s="92"/>
      <c r="AB464" s="92"/>
      <c r="AC464" s="92"/>
      <c r="AD464" s="92"/>
      <c r="AE464" s="92"/>
      <c r="AF464" s="92"/>
      <c r="AG464" s="92"/>
    </row>
    <row r="465" hidden="1">
      <c r="A465" s="86" t="str">
        <f t="shared" si="21"/>
        <v/>
      </c>
      <c r="B465" s="57"/>
      <c r="C465" s="78" t="s">
        <v>812</v>
      </c>
      <c r="D465" s="97"/>
      <c r="E465" s="56"/>
      <c r="F465" s="57"/>
      <c r="G465" s="99"/>
      <c r="H465" s="98"/>
      <c r="I465" s="98"/>
      <c r="J465" s="131"/>
      <c r="K465" s="91"/>
      <c r="L465" s="91"/>
      <c r="M465" s="91"/>
      <c r="N465" s="96" t="b">
        <v>0</v>
      </c>
      <c r="O465" s="96" t="b">
        <v>0</v>
      </c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  <c r="AA465" s="92"/>
      <c r="AB465" s="92"/>
      <c r="AC465" s="92"/>
      <c r="AD465" s="92"/>
      <c r="AE465" s="92"/>
      <c r="AF465" s="92"/>
      <c r="AG465" s="92"/>
    </row>
    <row r="466" hidden="1">
      <c r="A466" s="86" t="str">
        <f t="shared" si="21"/>
        <v/>
      </c>
      <c r="B466" s="57"/>
      <c r="C466" s="78" t="s">
        <v>812</v>
      </c>
      <c r="D466" s="97"/>
      <c r="E466" s="56"/>
      <c r="F466" s="57"/>
      <c r="G466" s="99"/>
      <c r="H466" s="98"/>
      <c r="I466" s="98"/>
      <c r="J466" s="131"/>
      <c r="K466" s="91"/>
      <c r="L466" s="91"/>
      <c r="M466" s="91"/>
      <c r="N466" s="96" t="b">
        <v>0</v>
      </c>
      <c r="O466" s="96" t="b">
        <v>0</v>
      </c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  <c r="AA466" s="92"/>
      <c r="AB466" s="92"/>
      <c r="AC466" s="92"/>
      <c r="AD466" s="92"/>
      <c r="AE466" s="92"/>
      <c r="AF466" s="92"/>
      <c r="AG466" s="92"/>
    </row>
    <row r="467" hidden="1">
      <c r="A467" s="86" t="str">
        <f t="shared" si="21"/>
        <v/>
      </c>
      <c r="B467" s="57"/>
      <c r="C467" s="78" t="s">
        <v>812</v>
      </c>
      <c r="D467" s="97"/>
      <c r="E467" s="56"/>
      <c r="F467" s="57"/>
      <c r="G467" s="99"/>
      <c r="H467" s="98"/>
      <c r="I467" s="98"/>
      <c r="J467" s="131"/>
      <c r="K467" s="91"/>
      <c r="L467" s="91"/>
      <c r="M467" s="91"/>
      <c r="N467" s="96" t="b">
        <v>0</v>
      </c>
      <c r="O467" s="96" t="b">
        <v>0</v>
      </c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  <c r="AA467" s="92"/>
      <c r="AB467" s="92"/>
      <c r="AC467" s="92"/>
      <c r="AD467" s="92"/>
      <c r="AE467" s="92"/>
      <c r="AF467" s="92"/>
      <c r="AG467" s="92"/>
    </row>
    <row r="468" hidden="1">
      <c r="A468" s="86" t="str">
        <f t="shared" si="21"/>
        <v/>
      </c>
      <c r="B468" s="57"/>
      <c r="C468" s="78" t="s">
        <v>812</v>
      </c>
      <c r="D468" s="97"/>
      <c r="E468" s="59"/>
      <c r="F468" s="60"/>
      <c r="G468" s="99"/>
      <c r="H468" s="98"/>
      <c r="I468" s="98"/>
      <c r="J468" s="132"/>
      <c r="K468" s="91"/>
      <c r="L468" s="91"/>
      <c r="M468" s="91"/>
      <c r="N468" s="96" t="b">
        <v>0</v>
      </c>
      <c r="O468" s="96" t="b">
        <v>0</v>
      </c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  <c r="AA468" s="92"/>
      <c r="AB468" s="92"/>
      <c r="AC468" s="92"/>
      <c r="AD468" s="92"/>
      <c r="AE468" s="92"/>
      <c r="AF468" s="92"/>
      <c r="AG468" s="92"/>
    </row>
    <row r="469" hidden="1">
      <c r="A469" s="86" t="str">
        <f t="shared" si="21"/>
        <v/>
      </c>
      <c r="B469" s="60"/>
      <c r="C469" s="103"/>
      <c r="D469" s="89"/>
      <c r="E469" s="124"/>
      <c r="F469" s="124"/>
      <c r="G469" s="26"/>
      <c r="H469" s="124"/>
      <c r="I469" s="124"/>
      <c r="J469" s="124"/>
      <c r="K469" s="91"/>
      <c r="L469" s="91"/>
      <c r="M469" s="91"/>
      <c r="N469" s="96" t="b">
        <v>0</v>
      </c>
      <c r="O469" s="96" t="b">
        <v>0</v>
      </c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  <c r="AA469" s="92"/>
      <c r="AB469" s="92"/>
      <c r="AC469" s="92"/>
      <c r="AD469" s="92"/>
      <c r="AE469" s="92"/>
      <c r="AF469" s="92"/>
      <c r="AG469" s="92"/>
    </row>
    <row r="470" hidden="1">
      <c r="A470" s="86" t="str">
        <f t="shared" si="21"/>
        <v/>
      </c>
      <c r="B470" s="87"/>
      <c r="C470" s="88">
        <v>44361.0</v>
      </c>
      <c r="D470" s="89"/>
      <c r="E470" s="124"/>
      <c r="F470" s="124"/>
      <c r="G470" s="26"/>
      <c r="H470" s="124"/>
      <c r="I470" s="124"/>
      <c r="J470" s="124"/>
      <c r="K470" s="91"/>
      <c r="L470" s="91"/>
      <c r="M470" s="91"/>
      <c r="N470" s="96" t="b">
        <v>0</v>
      </c>
      <c r="O470" s="96" t="b">
        <v>0</v>
      </c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  <c r="AA470" s="92"/>
      <c r="AB470" s="92"/>
      <c r="AC470" s="92"/>
      <c r="AD470" s="92"/>
      <c r="AE470" s="92"/>
      <c r="AF470" s="92"/>
      <c r="AG470" s="92"/>
    </row>
    <row r="471" hidden="1">
      <c r="A471" s="86" t="str">
        <f t="shared" si="21"/>
        <v>607d37eac1d3357a66de3fb2</v>
      </c>
      <c r="B471" s="18" t="s">
        <v>14</v>
      </c>
      <c r="C471" s="103"/>
      <c r="D471" s="97" t="s">
        <v>79</v>
      </c>
      <c r="E471" s="98" t="s">
        <v>1010</v>
      </c>
      <c r="F471" s="98" t="s">
        <v>1011</v>
      </c>
      <c r="G471" s="99">
        <v>0.5</v>
      </c>
      <c r="H471" s="98" t="s">
        <v>211</v>
      </c>
      <c r="I471" s="98" t="s">
        <v>1012</v>
      </c>
      <c r="J471" s="98" t="s">
        <v>1013</v>
      </c>
      <c r="K471" s="91"/>
      <c r="L471" s="91"/>
      <c r="M471" s="91"/>
      <c r="N471" s="96" t="b">
        <v>0</v>
      </c>
      <c r="O471" s="96" t="b">
        <v>0</v>
      </c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  <c r="AA471" s="92"/>
      <c r="AB471" s="92"/>
      <c r="AC471" s="92"/>
      <c r="AD471" s="92"/>
      <c r="AE471" s="92"/>
      <c r="AF471" s="92"/>
      <c r="AG471" s="92"/>
    </row>
    <row r="472" hidden="1">
      <c r="A472" s="86" t="str">
        <f t="shared" si="21"/>
        <v>60b152c681145620a92f9486</v>
      </c>
      <c r="B472" s="25"/>
      <c r="C472" s="80" t="s">
        <v>78</v>
      </c>
      <c r="D472" s="157" t="s">
        <v>1014</v>
      </c>
      <c r="E472" s="48" t="s">
        <v>982</v>
      </c>
      <c r="F472" s="48" t="s">
        <v>983</v>
      </c>
      <c r="G472" s="46">
        <v>0.5833333333333334</v>
      </c>
      <c r="H472" s="48" t="s">
        <v>1015</v>
      </c>
      <c r="I472" s="48" t="s">
        <v>1016</v>
      </c>
      <c r="J472" s="48" t="s">
        <v>985</v>
      </c>
      <c r="K472" s="91"/>
      <c r="L472" s="91"/>
      <c r="M472" s="91"/>
      <c r="N472" s="96" t="b">
        <v>0</v>
      </c>
      <c r="O472" s="96" t="b">
        <v>0</v>
      </c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  <c r="AA472" s="92"/>
      <c r="AB472" s="92"/>
      <c r="AC472" s="92"/>
      <c r="AD472" s="92"/>
      <c r="AE472" s="92"/>
      <c r="AF472" s="92"/>
      <c r="AG472" s="92"/>
    </row>
    <row r="473" hidden="1">
      <c r="A473" s="86" t="str">
        <f t="shared" si="21"/>
        <v>6064f790f2765ebdcc9a11d2</v>
      </c>
      <c r="B473" s="25"/>
      <c r="C473" s="80" t="s">
        <v>78</v>
      </c>
      <c r="D473" s="97" t="s">
        <v>79</v>
      </c>
      <c r="E473" s="42" t="s">
        <v>1017</v>
      </c>
      <c r="F473" s="42" t="s">
        <v>1018</v>
      </c>
      <c r="G473" s="33">
        <v>0.6666666666666666</v>
      </c>
      <c r="H473" s="42" t="s">
        <v>424</v>
      </c>
      <c r="I473" s="42" t="s">
        <v>1019</v>
      </c>
      <c r="J473" s="32" t="s">
        <v>1020</v>
      </c>
      <c r="K473" s="21"/>
      <c r="L473" s="91"/>
      <c r="M473" s="91"/>
      <c r="N473" s="96" t="b">
        <v>0</v>
      </c>
      <c r="O473" s="96" t="b">
        <v>0</v>
      </c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  <c r="AA473" s="92"/>
      <c r="AB473" s="92"/>
      <c r="AC473" s="92"/>
      <c r="AD473" s="92"/>
      <c r="AE473" s="92"/>
      <c r="AF473" s="92"/>
      <c r="AG473" s="92"/>
    </row>
    <row r="474" hidden="1">
      <c r="A474" s="86" t="str">
        <f t="shared" si="21"/>
        <v>60351b31e12f9d6afb52a6f0</v>
      </c>
      <c r="B474" s="25"/>
      <c r="C474" s="80" t="s">
        <v>78</v>
      </c>
      <c r="D474" s="97" t="s">
        <v>79</v>
      </c>
      <c r="E474" s="98" t="s">
        <v>428</v>
      </c>
      <c r="F474" s="98" t="s">
        <v>429</v>
      </c>
      <c r="G474" s="99">
        <v>0.75</v>
      </c>
      <c r="H474" s="98" t="s">
        <v>424</v>
      </c>
      <c r="I474" s="98" t="s">
        <v>1021</v>
      </c>
      <c r="J474" s="32" t="s">
        <v>431</v>
      </c>
      <c r="K474" s="91"/>
      <c r="L474" s="91"/>
      <c r="M474" s="91"/>
      <c r="N474" s="96" t="b">
        <v>0</v>
      </c>
      <c r="O474" s="96" t="b">
        <v>0</v>
      </c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  <c r="AA474" s="92"/>
      <c r="AB474" s="92"/>
      <c r="AC474" s="92"/>
      <c r="AD474" s="92"/>
      <c r="AE474" s="92"/>
      <c r="AF474" s="92"/>
      <c r="AG474" s="92"/>
    </row>
    <row r="475" hidden="1">
      <c r="A475" s="86" t="str">
        <f t="shared" si="21"/>
        <v/>
      </c>
      <c r="B475" s="25"/>
      <c r="C475" s="80" t="s">
        <v>78</v>
      </c>
      <c r="D475" s="97"/>
      <c r="E475" s="32"/>
      <c r="F475" s="98"/>
      <c r="G475" s="99"/>
      <c r="H475" s="98"/>
      <c r="I475" s="98"/>
      <c r="J475" s="32"/>
      <c r="K475" s="91"/>
      <c r="L475" s="91"/>
      <c r="M475" s="91"/>
      <c r="N475" s="96" t="b">
        <v>0</v>
      </c>
      <c r="O475" s="96" t="b">
        <v>0</v>
      </c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  <c r="AA475" s="92"/>
      <c r="AB475" s="92"/>
      <c r="AC475" s="92"/>
      <c r="AD475" s="92"/>
      <c r="AE475" s="92"/>
      <c r="AF475" s="92"/>
      <c r="AG475" s="92"/>
    </row>
    <row r="476" hidden="1">
      <c r="A476" s="86" t="str">
        <f t="shared" si="21"/>
        <v/>
      </c>
      <c r="B476" s="39"/>
      <c r="C476" s="103"/>
      <c r="D476" s="89"/>
      <c r="E476" s="124"/>
      <c r="F476" s="124"/>
      <c r="G476" s="26"/>
      <c r="H476" s="124"/>
      <c r="I476" s="124"/>
      <c r="J476" s="124"/>
      <c r="K476" s="91"/>
      <c r="L476" s="91"/>
      <c r="M476" s="91"/>
      <c r="N476" s="96" t="b">
        <v>0</v>
      </c>
      <c r="O476" s="96" t="b">
        <v>0</v>
      </c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  <c r="AA476" s="92"/>
      <c r="AB476" s="92"/>
      <c r="AC476" s="92"/>
      <c r="AD476" s="92"/>
      <c r="AE476" s="92"/>
      <c r="AF476" s="92"/>
      <c r="AG476" s="92"/>
    </row>
    <row r="477" hidden="1">
      <c r="A477" s="86" t="str">
        <f t="shared" si="21"/>
        <v/>
      </c>
      <c r="B477" s="87"/>
      <c r="C477" s="88">
        <v>44362.0</v>
      </c>
      <c r="D477" s="89"/>
      <c r="E477" s="124"/>
      <c r="F477" s="124"/>
      <c r="G477" s="26"/>
      <c r="H477" s="124"/>
      <c r="I477" s="124"/>
      <c r="J477" s="124"/>
      <c r="K477" s="91"/>
      <c r="L477" s="91"/>
      <c r="M477" s="91"/>
      <c r="N477" s="96" t="b">
        <v>0</v>
      </c>
      <c r="O477" s="96" t="b">
        <v>0</v>
      </c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  <c r="AA477" s="92"/>
      <c r="AB477" s="92"/>
      <c r="AC477" s="92"/>
      <c r="AD477" s="92"/>
      <c r="AE477" s="92"/>
      <c r="AF477" s="92"/>
      <c r="AG477" s="92"/>
    </row>
    <row r="478" hidden="1">
      <c r="A478" s="86" t="str">
        <f t="shared" si="21"/>
        <v/>
      </c>
      <c r="B478" s="18" t="s">
        <v>14</v>
      </c>
      <c r="C478" s="103"/>
      <c r="D478" s="89"/>
      <c r="E478" s="124"/>
      <c r="F478" s="124"/>
      <c r="G478" s="26"/>
      <c r="H478" s="124"/>
      <c r="I478" s="124"/>
      <c r="J478" s="124"/>
      <c r="K478" s="91"/>
      <c r="L478" s="91"/>
      <c r="M478" s="91"/>
      <c r="N478" s="96" t="b">
        <v>0</v>
      </c>
      <c r="O478" s="96" t="b">
        <v>0</v>
      </c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  <c r="AA478" s="92"/>
      <c r="AB478" s="92"/>
      <c r="AC478" s="92"/>
      <c r="AD478" s="92"/>
      <c r="AE478" s="92"/>
      <c r="AF478" s="92"/>
      <c r="AG478" s="92"/>
    </row>
    <row r="479" hidden="1">
      <c r="A479" s="86" t="str">
        <f t="shared" si="21"/>
        <v>5fddcf4b2270ca593849a209</v>
      </c>
      <c r="B479" s="25"/>
      <c r="C479" s="80" t="s">
        <v>78</v>
      </c>
      <c r="D479" s="107" t="s">
        <v>79</v>
      </c>
      <c r="E479" s="109" t="s">
        <v>1022</v>
      </c>
      <c r="F479" s="109" t="s">
        <v>1023</v>
      </c>
      <c r="G479" s="108">
        <v>0.5</v>
      </c>
      <c r="H479" s="109" t="s">
        <v>82</v>
      </c>
      <c r="I479" s="109" t="s">
        <v>1024</v>
      </c>
      <c r="J479" s="28" t="s">
        <v>1025</v>
      </c>
      <c r="K479" s="109" t="s">
        <v>1026</v>
      </c>
      <c r="L479" s="91"/>
      <c r="M479" s="91"/>
      <c r="N479" s="96" t="b">
        <v>0</v>
      </c>
      <c r="O479" s="96" t="b">
        <v>0</v>
      </c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  <c r="AA479" s="92"/>
      <c r="AB479" s="92"/>
      <c r="AC479" s="92"/>
      <c r="AD479" s="92"/>
      <c r="AE479" s="92"/>
      <c r="AF479" s="92"/>
      <c r="AG479" s="92"/>
    </row>
    <row r="480" hidden="1">
      <c r="A480" s="86" t="str">
        <f t="shared" si="21"/>
        <v>606497e56c2d47de24514323</v>
      </c>
      <c r="B480" s="25"/>
      <c r="C480" s="80" t="s">
        <v>78</v>
      </c>
      <c r="D480" s="107" t="s">
        <v>79</v>
      </c>
      <c r="E480" s="30" t="s">
        <v>1027</v>
      </c>
      <c r="F480" s="30" t="s">
        <v>1028</v>
      </c>
      <c r="G480" s="29">
        <v>0.5833333333333334</v>
      </c>
      <c r="H480" s="30" t="s">
        <v>424</v>
      </c>
      <c r="I480" s="30" t="s">
        <v>1029</v>
      </c>
      <c r="J480" s="28" t="s">
        <v>1030</v>
      </c>
      <c r="K480" s="30" t="s">
        <v>1031</v>
      </c>
      <c r="L480" s="111"/>
      <c r="M480" s="91"/>
      <c r="N480" s="96" t="b">
        <v>0</v>
      </c>
      <c r="O480" s="96" t="b">
        <v>0</v>
      </c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  <c r="AA480" s="92"/>
      <c r="AB480" s="92"/>
      <c r="AC480" s="92"/>
      <c r="AD480" s="92"/>
      <c r="AE480" s="92"/>
      <c r="AF480" s="92"/>
      <c r="AG480" s="92"/>
    </row>
    <row r="481" hidden="1">
      <c r="A481" s="86" t="str">
        <f t="shared" si="21"/>
        <v>5ff337f371e89c939297d5dd</v>
      </c>
      <c r="B481" s="25"/>
      <c r="C481" s="80" t="s">
        <v>78</v>
      </c>
      <c r="D481" s="97" t="s">
        <v>79</v>
      </c>
      <c r="E481" s="98" t="s">
        <v>1032</v>
      </c>
      <c r="F481" s="98" t="s">
        <v>1033</v>
      </c>
      <c r="G481" s="99">
        <v>0.6666666666666666</v>
      </c>
      <c r="H481" s="98" t="s">
        <v>258</v>
      </c>
      <c r="I481" s="98" t="s">
        <v>1034</v>
      </c>
      <c r="J481" s="32" t="s">
        <v>1035</v>
      </c>
      <c r="K481" s="91"/>
      <c r="L481" s="91"/>
      <c r="M481" s="91"/>
      <c r="N481" s="96" t="b">
        <v>0</v>
      </c>
      <c r="O481" s="96" t="b">
        <v>0</v>
      </c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  <c r="AA481" s="92"/>
      <c r="AB481" s="92"/>
      <c r="AC481" s="92"/>
      <c r="AD481" s="92"/>
      <c r="AE481" s="92"/>
      <c r="AF481" s="92"/>
      <c r="AG481" s="92"/>
    </row>
    <row r="482" hidden="1">
      <c r="A482" s="86" t="str">
        <f t="shared" si="21"/>
        <v>60b26c15e2bd852e9a367a37</v>
      </c>
      <c r="B482" s="25"/>
      <c r="C482" s="80" t="s">
        <v>78</v>
      </c>
      <c r="D482" s="97" t="s">
        <v>79</v>
      </c>
      <c r="E482" s="32" t="s">
        <v>1036</v>
      </c>
      <c r="F482" s="98" t="s">
        <v>1037</v>
      </c>
      <c r="G482" s="99">
        <v>0.75</v>
      </c>
      <c r="H482" s="98" t="s">
        <v>82</v>
      </c>
      <c r="I482" s="98" t="s">
        <v>1038</v>
      </c>
      <c r="J482" s="32" t="s">
        <v>1039</v>
      </c>
      <c r="K482" s="91"/>
      <c r="L482" s="91"/>
      <c r="M482" s="91"/>
      <c r="N482" s="96" t="b">
        <v>0</v>
      </c>
      <c r="O482" s="96" t="b">
        <v>0</v>
      </c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  <c r="AA482" s="92"/>
      <c r="AB482" s="92"/>
      <c r="AC482" s="92"/>
      <c r="AD482" s="92"/>
      <c r="AE482" s="92"/>
      <c r="AF482" s="92"/>
      <c r="AG482" s="92"/>
    </row>
    <row r="483" hidden="1">
      <c r="A483" s="86" t="str">
        <f t="shared" si="21"/>
        <v/>
      </c>
      <c r="B483" s="39"/>
      <c r="C483" s="103"/>
      <c r="D483" s="89"/>
      <c r="E483" s="124"/>
      <c r="F483" s="124"/>
      <c r="G483" s="26"/>
      <c r="H483" s="124"/>
      <c r="I483" s="124"/>
      <c r="J483" s="124"/>
      <c r="K483" s="91"/>
      <c r="L483" s="91"/>
      <c r="M483" s="91"/>
      <c r="N483" s="96" t="b">
        <v>0</v>
      </c>
      <c r="O483" s="96" t="b">
        <v>0</v>
      </c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  <c r="AA483" s="92"/>
      <c r="AB483" s="92"/>
      <c r="AC483" s="92"/>
      <c r="AD483" s="92"/>
      <c r="AE483" s="92"/>
      <c r="AF483" s="92"/>
      <c r="AG483" s="92"/>
    </row>
    <row r="484" hidden="1">
      <c r="A484" s="86" t="str">
        <f t="shared" si="21"/>
        <v/>
      </c>
      <c r="B484" s="87"/>
      <c r="C484" s="88">
        <v>44363.0</v>
      </c>
      <c r="D484" s="89"/>
      <c r="E484" s="124"/>
      <c r="F484" s="124"/>
      <c r="G484" s="26"/>
      <c r="H484" s="124"/>
      <c r="I484" s="124"/>
      <c r="J484" s="124"/>
      <c r="K484" s="91"/>
      <c r="L484" s="91"/>
      <c r="M484" s="91"/>
      <c r="N484" s="96" t="b">
        <v>0</v>
      </c>
      <c r="O484" s="96" t="b">
        <v>0</v>
      </c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  <c r="AA484" s="92"/>
      <c r="AB484" s="92"/>
      <c r="AC484" s="92"/>
      <c r="AD484" s="92"/>
      <c r="AE484" s="92"/>
      <c r="AF484" s="92"/>
      <c r="AG484" s="92"/>
    </row>
    <row r="485" hidden="1">
      <c r="A485" s="86" t="str">
        <f t="shared" si="21"/>
        <v/>
      </c>
      <c r="B485" s="18" t="s">
        <v>14</v>
      </c>
      <c r="C485" s="103"/>
      <c r="D485" s="89"/>
      <c r="E485" s="124"/>
      <c r="F485" s="124"/>
      <c r="G485" s="26"/>
      <c r="H485" s="124"/>
      <c r="I485" s="124"/>
      <c r="J485" s="124"/>
      <c r="K485" s="91"/>
      <c r="L485" s="91"/>
      <c r="M485" s="91"/>
      <c r="N485" s="96" t="b">
        <v>0</v>
      </c>
      <c r="O485" s="96" t="b">
        <v>0</v>
      </c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  <c r="AA485" s="92"/>
      <c r="AB485" s="92"/>
      <c r="AC485" s="92"/>
      <c r="AD485" s="92"/>
      <c r="AE485" s="92"/>
      <c r="AF485" s="92"/>
      <c r="AG485" s="92"/>
    </row>
    <row r="486" hidden="1">
      <c r="A486" s="86" t="str">
        <f t="shared" si="21"/>
        <v>6081c45a5e38d46f2f0b6a42</v>
      </c>
      <c r="B486" s="25"/>
      <c r="C486" s="80" t="s">
        <v>78</v>
      </c>
      <c r="D486" s="107" t="s">
        <v>399</v>
      </c>
      <c r="E486" s="28" t="s">
        <v>1040</v>
      </c>
      <c r="F486" s="28" t="s">
        <v>1041</v>
      </c>
      <c r="G486" s="108">
        <v>0.5</v>
      </c>
      <c r="H486" s="109" t="s">
        <v>724</v>
      </c>
      <c r="I486" s="51" t="s">
        <v>1042</v>
      </c>
      <c r="J486" s="28" t="s">
        <v>1043</v>
      </c>
      <c r="K486" s="91"/>
      <c r="L486" s="91"/>
      <c r="M486" s="91"/>
      <c r="N486" s="96" t="b">
        <v>0</v>
      </c>
      <c r="O486" s="96" t="b">
        <v>0</v>
      </c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  <c r="AA486" s="92"/>
      <c r="AB486" s="92"/>
      <c r="AC486" s="92"/>
      <c r="AD486" s="92"/>
      <c r="AE486" s="92"/>
      <c r="AF486" s="92"/>
      <c r="AG486" s="92"/>
    </row>
    <row r="487" hidden="1">
      <c r="A487" s="86" t="str">
        <f t="shared" si="21"/>
        <v>6081ca7c95eb323e73a35255</v>
      </c>
      <c r="B487" s="25"/>
      <c r="C487" s="80" t="s">
        <v>78</v>
      </c>
      <c r="D487" s="97" t="s">
        <v>399</v>
      </c>
      <c r="E487" s="32" t="s">
        <v>1044</v>
      </c>
      <c r="F487" s="32" t="s">
        <v>1045</v>
      </c>
      <c r="G487" s="33">
        <v>0.5416666666666666</v>
      </c>
      <c r="H487" s="98" t="s">
        <v>724</v>
      </c>
      <c r="I487" s="42" t="s">
        <v>1046</v>
      </c>
      <c r="J487" s="32" t="s">
        <v>1047</v>
      </c>
      <c r="K487" s="21"/>
      <c r="L487" s="91"/>
      <c r="M487" s="91"/>
      <c r="N487" s="96" t="b">
        <v>0</v>
      </c>
      <c r="O487" s="96" t="b">
        <v>0</v>
      </c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  <c r="AA487" s="92"/>
      <c r="AB487" s="92"/>
      <c r="AC487" s="92"/>
      <c r="AD487" s="92"/>
      <c r="AE487" s="92"/>
      <c r="AF487" s="92"/>
      <c r="AG487" s="92"/>
    </row>
    <row r="488" hidden="1">
      <c r="A488" s="86" t="str">
        <f t="shared" si="21"/>
        <v>6034f430238d2c2bb960ec65</v>
      </c>
      <c r="B488" s="25"/>
      <c r="C488" s="80" t="s">
        <v>78</v>
      </c>
      <c r="D488" s="97" t="s">
        <v>79</v>
      </c>
      <c r="E488" s="32" t="s">
        <v>731</v>
      </c>
      <c r="F488" s="32" t="s">
        <v>732</v>
      </c>
      <c r="G488" s="41" t="s">
        <v>567</v>
      </c>
      <c r="H488" s="98" t="s">
        <v>724</v>
      </c>
      <c r="I488" s="98" t="s">
        <v>1048</v>
      </c>
      <c r="J488" s="32" t="s">
        <v>1049</v>
      </c>
      <c r="K488" s="91"/>
      <c r="L488" s="91"/>
      <c r="M488" s="91"/>
      <c r="N488" s="96" t="b">
        <v>0</v>
      </c>
      <c r="O488" s="96" t="b">
        <v>0</v>
      </c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  <c r="AA488" s="92"/>
      <c r="AB488" s="92"/>
      <c r="AC488" s="92"/>
      <c r="AD488" s="92"/>
      <c r="AE488" s="92"/>
      <c r="AF488" s="92"/>
      <c r="AG488" s="92"/>
    </row>
    <row r="489" hidden="1">
      <c r="A489" s="86" t="str">
        <f t="shared" si="21"/>
        <v>6063251ef4083e2f8e87ba7d</v>
      </c>
      <c r="B489" s="25"/>
      <c r="C489" s="80" t="s">
        <v>78</v>
      </c>
      <c r="D489" s="107" t="s">
        <v>399</v>
      </c>
      <c r="E489" s="154" t="s">
        <v>1050</v>
      </c>
      <c r="F489" s="154" t="s">
        <v>1051</v>
      </c>
      <c r="G489" s="108">
        <v>0.7083333333333334</v>
      </c>
      <c r="H489" s="109" t="s">
        <v>724</v>
      </c>
      <c r="I489" s="109" t="s">
        <v>1052</v>
      </c>
      <c r="J489" s="28" t="s">
        <v>1053</v>
      </c>
      <c r="K489" s="91"/>
      <c r="L489" s="91"/>
      <c r="M489" s="91"/>
      <c r="N489" s="96" t="b">
        <v>0</v>
      </c>
      <c r="O489" s="96" t="b">
        <v>0</v>
      </c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  <c r="AA489" s="92"/>
      <c r="AB489" s="92"/>
      <c r="AC489" s="92"/>
      <c r="AD489" s="92"/>
      <c r="AE489" s="92"/>
      <c r="AF489" s="92"/>
      <c r="AG489" s="92"/>
    </row>
    <row r="490" hidden="1">
      <c r="A490" s="86" t="str">
        <f t="shared" si="21"/>
        <v>60ad5f311d89cd5c726cb194</v>
      </c>
      <c r="B490" s="39"/>
      <c r="C490" s="80" t="s">
        <v>78</v>
      </c>
      <c r="D490" s="107" t="s">
        <v>399</v>
      </c>
      <c r="E490" s="28" t="s">
        <v>1054</v>
      </c>
      <c r="F490" s="28" t="s">
        <v>1055</v>
      </c>
      <c r="G490" s="108">
        <v>0.7083333333333334</v>
      </c>
      <c r="H490" s="109" t="s">
        <v>724</v>
      </c>
      <c r="I490" s="109" t="s">
        <v>1052</v>
      </c>
      <c r="J490" s="28" t="s">
        <v>1053</v>
      </c>
      <c r="K490" s="91"/>
      <c r="L490" s="91"/>
      <c r="M490" s="91"/>
      <c r="N490" s="96" t="b">
        <v>0</v>
      </c>
      <c r="O490" s="96" t="b">
        <v>0</v>
      </c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  <c r="AA490" s="92"/>
      <c r="AB490" s="92"/>
      <c r="AC490" s="92"/>
      <c r="AD490" s="92"/>
      <c r="AE490" s="92"/>
      <c r="AF490" s="92"/>
      <c r="AG490" s="92"/>
    </row>
    <row r="491" hidden="1">
      <c r="A491" s="86" t="str">
        <f t="shared" si="21"/>
        <v/>
      </c>
      <c r="B491" s="87"/>
      <c r="C491" s="88">
        <v>44364.0</v>
      </c>
      <c r="D491" s="89"/>
      <c r="E491" s="124"/>
      <c r="F491" s="124"/>
      <c r="G491" s="26"/>
      <c r="H491" s="124"/>
      <c r="I491" s="124"/>
      <c r="J491" s="124"/>
      <c r="K491" s="91"/>
      <c r="L491" s="91"/>
      <c r="M491" s="91"/>
      <c r="N491" s="96" t="b">
        <v>0</v>
      </c>
      <c r="O491" s="96" t="b">
        <v>0</v>
      </c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  <c r="AA491" s="92"/>
      <c r="AB491" s="92"/>
      <c r="AC491" s="92"/>
      <c r="AD491" s="92"/>
      <c r="AE491" s="92"/>
      <c r="AF491" s="92"/>
      <c r="AG491" s="92"/>
    </row>
    <row r="492" hidden="1">
      <c r="A492" s="86" t="str">
        <f t="shared" si="21"/>
        <v/>
      </c>
      <c r="B492" s="18" t="s">
        <v>14</v>
      </c>
      <c r="C492" s="103"/>
      <c r="D492" s="89"/>
      <c r="E492" s="124"/>
      <c r="F492" s="124"/>
      <c r="G492" s="26"/>
      <c r="H492" s="124"/>
      <c r="I492" s="124"/>
      <c r="J492" s="124"/>
      <c r="K492" s="91"/>
      <c r="L492" s="91"/>
      <c r="M492" s="91"/>
      <c r="N492" s="96" t="b">
        <v>0</v>
      </c>
      <c r="O492" s="96" t="b">
        <v>0</v>
      </c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  <c r="AA492" s="92"/>
      <c r="AB492" s="92"/>
      <c r="AC492" s="92"/>
      <c r="AD492" s="92"/>
      <c r="AE492" s="92"/>
      <c r="AF492" s="92"/>
      <c r="AG492" s="92"/>
    </row>
    <row r="493" hidden="1">
      <c r="A493" s="86" t="str">
        <f t="shared" si="21"/>
        <v>60891b25c7045572ea15faed</v>
      </c>
      <c r="B493" s="25"/>
      <c r="C493" s="80" t="s">
        <v>78</v>
      </c>
      <c r="D493" s="107" t="s">
        <v>79</v>
      </c>
      <c r="E493" s="109" t="s">
        <v>1056</v>
      </c>
      <c r="F493" s="109" t="s">
        <v>1057</v>
      </c>
      <c r="G493" s="112" t="s">
        <v>880</v>
      </c>
      <c r="H493" s="109" t="s">
        <v>211</v>
      </c>
      <c r="I493" s="109" t="s">
        <v>1058</v>
      </c>
      <c r="J493" s="28" t="s">
        <v>1059</v>
      </c>
      <c r="K493" s="91"/>
      <c r="L493" s="98" t="s">
        <v>1060</v>
      </c>
      <c r="M493" s="91"/>
      <c r="N493" s="96" t="b">
        <v>0</v>
      </c>
      <c r="O493" s="96" t="b">
        <v>0</v>
      </c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  <c r="AA493" s="92"/>
      <c r="AB493" s="92"/>
      <c r="AC493" s="92"/>
      <c r="AD493" s="92"/>
      <c r="AE493" s="92"/>
      <c r="AF493" s="92"/>
      <c r="AG493" s="92"/>
    </row>
    <row r="494" hidden="1">
      <c r="A494" s="86" t="str">
        <f t="shared" si="21"/>
        <v>6040c9a7dc8b32a64ac3f32a</v>
      </c>
      <c r="B494" s="25"/>
      <c r="C494" s="80" t="s">
        <v>78</v>
      </c>
      <c r="D494" s="107" t="s">
        <v>79</v>
      </c>
      <c r="E494" s="28" t="s">
        <v>571</v>
      </c>
      <c r="F494" s="109" t="s">
        <v>572</v>
      </c>
      <c r="G494" s="112" t="s">
        <v>417</v>
      </c>
      <c r="H494" s="109" t="s">
        <v>349</v>
      </c>
      <c r="I494" s="109" t="s">
        <v>573</v>
      </c>
      <c r="J494" s="28" t="s">
        <v>574</v>
      </c>
      <c r="K494" s="21"/>
      <c r="L494" s="91"/>
      <c r="M494" s="91"/>
      <c r="N494" s="96" t="b">
        <v>0</v>
      </c>
      <c r="O494" s="96" t="b">
        <v>0</v>
      </c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  <c r="AA494" s="92"/>
      <c r="AB494" s="92"/>
      <c r="AC494" s="92"/>
      <c r="AD494" s="92"/>
      <c r="AE494" s="92"/>
      <c r="AF494" s="92"/>
      <c r="AG494" s="92"/>
    </row>
    <row r="495" hidden="1">
      <c r="A495" s="86" t="str">
        <f t="shared" si="21"/>
        <v>60c132e26da71b341ecb6358</v>
      </c>
      <c r="B495" s="25"/>
      <c r="C495" s="80" t="s">
        <v>78</v>
      </c>
      <c r="D495" s="97" t="s">
        <v>79</v>
      </c>
      <c r="E495" s="98" t="s">
        <v>1061</v>
      </c>
      <c r="F495" s="98" t="s">
        <v>1062</v>
      </c>
      <c r="G495" s="41" t="s">
        <v>567</v>
      </c>
      <c r="H495" s="98" t="s">
        <v>258</v>
      </c>
      <c r="I495" s="98" t="s">
        <v>1063</v>
      </c>
      <c r="J495" s="32" t="s">
        <v>1064</v>
      </c>
      <c r="K495" s="91"/>
      <c r="L495" s="91"/>
      <c r="M495" s="91"/>
      <c r="N495" s="96" t="b">
        <v>0</v>
      </c>
      <c r="O495" s="96" t="b">
        <v>0</v>
      </c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  <c r="AA495" s="92"/>
      <c r="AB495" s="92"/>
      <c r="AC495" s="92"/>
      <c r="AD495" s="92"/>
      <c r="AE495" s="92"/>
      <c r="AF495" s="92"/>
      <c r="AG495" s="92"/>
    </row>
    <row r="496" hidden="1">
      <c r="A496" s="86" t="str">
        <f t="shared" si="21"/>
        <v>5ff5ced18335a9aef44f0f8a</v>
      </c>
      <c r="B496" s="25"/>
      <c r="C496" s="80" t="s">
        <v>78</v>
      </c>
      <c r="D496" s="107" t="s">
        <v>79</v>
      </c>
      <c r="E496" s="28" t="s">
        <v>1065</v>
      </c>
      <c r="F496" s="109" t="s">
        <v>1066</v>
      </c>
      <c r="G496" s="112" t="s">
        <v>283</v>
      </c>
      <c r="H496" s="109" t="s">
        <v>118</v>
      </c>
      <c r="I496" s="109" t="s">
        <v>1067</v>
      </c>
      <c r="J496" s="28" t="s">
        <v>1068</v>
      </c>
      <c r="K496" s="91"/>
      <c r="L496" s="91"/>
      <c r="M496" s="91"/>
      <c r="N496" s="96" t="b">
        <v>0</v>
      </c>
      <c r="O496" s="96" t="b">
        <v>0</v>
      </c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  <c r="AA496" s="92"/>
      <c r="AB496" s="92"/>
      <c r="AC496" s="92"/>
      <c r="AD496" s="92"/>
      <c r="AE496" s="92"/>
      <c r="AF496" s="92"/>
      <c r="AG496" s="92"/>
    </row>
    <row r="497" hidden="1">
      <c r="A497" s="86" t="str">
        <f t="shared" si="21"/>
        <v/>
      </c>
      <c r="B497" s="39"/>
      <c r="C497" s="103"/>
      <c r="D497" s="89"/>
      <c r="E497" s="124"/>
      <c r="F497" s="124"/>
      <c r="G497" s="26"/>
      <c r="H497" s="124"/>
      <c r="I497" s="124"/>
      <c r="J497" s="124"/>
      <c r="K497" s="91"/>
      <c r="L497" s="91"/>
      <c r="M497" s="91"/>
      <c r="N497" s="96" t="b">
        <v>0</v>
      </c>
      <c r="O497" s="96" t="b">
        <v>0</v>
      </c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  <c r="AA497" s="92"/>
      <c r="AB497" s="92"/>
      <c r="AC497" s="92"/>
      <c r="AD497" s="92"/>
      <c r="AE497" s="92"/>
      <c r="AF497" s="92"/>
      <c r="AG497" s="92"/>
    </row>
    <row r="498" hidden="1">
      <c r="A498" s="86" t="str">
        <f t="shared" si="21"/>
        <v/>
      </c>
      <c r="B498" s="87"/>
      <c r="C498" s="88">
        <v>44365.0</v>
      </c>
      <c r="D498" s="89"/>
      <c r="E498" s="124"/>
      <c r="F498" s="124"/>
      <c r="G498" s="26"/>
      <c r="H498" s="124"/>
      <c r="I498" s="124"/>
      <c r="J498" s="124"/>
      <c r="K498" s="91"/>
      <c r="L498" s="91"/>
      <c r="M498" s="91"/>
      <c r="N498" s="96" t="b">
        <v>0</v>
      </c>
      <c r="O498" s="96" t="b">
        <v>0</v>
      </c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  <c r="AA498" s="92"/>
      <c r="AB498" s="92"/>
      <c r="AC498" s="92"/>
      <c r="AD498" s="92"/>
      <c r="AE498" s="92"/>
      <c r="AF498" s="92"/>
      <c r="AG498" s="92"/>
    </row>
    <row r="499" hidden="1">
      <c r="A499" s="86" t="str">
        <f t="shared" si="21"/>
        <v/>
      </c>
      <c r="B499" s="18" t="s">
        <v>14</v>
      </c>
      <c r="C499" s="103"/>
      <c r="D499" s="89"/>
      <c r="E499" s="124"/>
      <c r="F499" s="124"/>
      <c r="G499" s="26"/>
      <c r="H499" s="124"/>
      <c r="I499" s="124"/>
      <c r="J499" s="124"/>
      <c r="K499" s="91"/>
      <c r="L499" s="91"/>
      <c r="M499" s="91"/>
      <c r="N499" s="96" t="b">
        <v>0</v>
      </c>
      <c r="O499" s="96" t="b">
        <v>0</v>
      </c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  <c r="AA499" s="92"/>
      <c r="AB499" s="92"/>
      <c r="AC499" s="92"/>
      <c r="AD499" s="92"/>
      <c r="AE499" s="92"/>
      <c r="AF499" s="92"/>
      <c r="AG499" s="92"/>
    </row>
    <row r="500" hidden="1">
      <c r="A500" s="86" t="str">
        <f t="shared" si="21"/>
        <v>6004478c49bc3d4820c9f558</v>
      </c>
      <c r="B500" s="25"/>
      <c r="C500" s="80" t="s">
        <v>78</v>
      </c>
      <c r="D500" s="97" t="s">
        <v>79</v>
      </c>
      <c r="E500" s="98" t="s">
        <v>1069</v>
      </c>
      <c r="F500" s="98" t="s">
        <v>1070</v>
      </c>
      <c r="G500" s="99">
        <v>0.5</v>
      </c>
      <c r="H500" s="98" t="s">
        <v>211</v>
      </c>
      <c r="I500" s="98" t="s">
        <v>1071</v>
      </c>
      <c r="J500" s="32" t="s">
        <v>1072</v>
      </c>
      <c r="K500" s="91"/>
      <c r="L500" s="91"/>
      <c r="M500" s="91"/>
      <c r="N500" s="96" t="b">
        <v>0</v>
      </c>
      <c r="O500" s="96" t="b">
        <v>0</v>
      </c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  <c r="AA500" s="92"/>
      <c r="AB500" s="92"/>
      <c r="AC500" s="92"/>
      <c r="AD500" s="92"/>
      <c r="AE500" s="92"/>
      <c r="AF500" s="92"/>
      <c r="AG500" s="92"/>
    </row>
    <row r="501" hidden="1">
      <c r="A501" s="86" t="str">
        <f t="shared" si="21"/>
        <v>6009580df9bae41bfa5376b8</v>
      </c>
      <c r="B501" s="25"/>
      <c r="C501" s="80" t="s">
        <v>78</v>
      </c>
      <c r="D501" s="107" t="s">
        <v>79</v>
      </c>
      <c r="E501" s="28" t="s">
        <v>281</v>
      </c>
      <c r="F501" s="109" t="s">
        <v>282</v>
      </c>
      <c r="G501" s="112" t="s">
        <v>1073</v>
      </c>
      <c r="H501" s="109" t="s">
        <v>224</v>
      </c>
      <c r="I501" s="109" t="s">
        <v>1074</v>
      </c>
      <c r="J501" s="28" t="s">
        <v>285</v>
      </c>
      <c r="K501" s="21"/>
      <c r="L501" s="91"/>
      <c r="M501" s="91"/>
      <c r="N501" s="96" t="b">
        <v>0</v>
      </c>
      <c r="O501" s="96" t="b">
        <v>0</v>
      </c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  <c r="AA501" s="92"/>
      <c r="AB501" s="92"/>
      <c r="AC501" s="92"/>
      <c r="AD501" s="92"/>
      <c r="AE501" s="92"/>
      <c r="AF501" s="92"/>
      <c r="AG501" s="92"/>
    </row>
    <row r="502" hidden="1">
      <c r="A502" s="86" t="str">
        <f t="shared" si="21"/>
        <v>60b7e0323ffe7f68658d4134</v>
      </c>
      <c r="B502" s="25"/>
      <c r="C502" s="80" t="s">
        <v>78</v>
      </c>
      <c r="D502" s="97" t="s">
        <v>79</v>
      </c>
      <c r="E502" s="98" t="s">
        <v>994</v>
      </c>
      <c r="F502" s="32" t="s">
        <v>995</v>
      </c>
      <c r="G502" s="99">
        <v>0.6666666666666666</v>
      </c>
      <c r="H502" s="98" t="s">
        <v>211</v>
      </c>
      <c r="I502" s="98" t="s">
        <v>1075</v>
      </c>
      <c r="J502" s="32" t="s">
        <v>998</v>
      </c>
      <c r="K502" s="91"/>
      <c r="L502" s="91"/>
      <c r="M502" s="91"/>
      <c r="N502" s="96" t="b">
        <v>0</v>
      </c>
      <c r="O502" s="96" t="b">
        <v>0</v>
      </c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  <c r="AA502" s="92"/>
      <c r="AB502" s="92"/>
      <c r="AC502" s="92"/>
      <c r="AD502" s="92"/>
      <c r="AE502" s="92"/>
      <c r="AF502" s="92"/>
      <c r="AG502" s="92"/>
    </row>
    <row r="503" hidden="1">
      <c r="A503" s="86" t="str">
        <f t="shared" si="21"/>
        <v>606256a3f0248b6461dcc7ed</v>
      </c>
      <c r="B503" s="25"/>
      <c r="C503" s="80" t="s">
        <v>78</v>
      </c>
      <c r="D503" s="107" t="s">
        <v>79</v>
      </c>
      <c r="E503" s="28" t="s">
        <v>320</v>
      </c>
      <c r="F503" s="109" t="s">
        <v>321</v>
      </c>
      <c r="G503" s="108">
        <v>0.7083333333333334</v>
      </c>
      <c r="H503" s="109" t="s">
        <v>211</v>
      </c>
      <c r="I503" s="109" t="s">
        <v>1076</v>
      </c>
      <c r="J503" s="28" t="s">
        <v>323</v>
      </c>
      <c r="K503" s="91"/>
      <c r="L503" s="91"/>
      <c r="M503" s="91"/>
      <c r="N503" s="96" t="b">
        <v>0</v>
      </c>
      <c r="O503" s="96" t="b">
        <v>0</v>
      </c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  <c r="AA503" s="92"/>
      <c r="AB503" s="92"/>
      <c r="AC503" s="92"/>
      <c r="AD503" s="92"/>
      <c r="AE503" s="92"/>
      <c r="AF503" s="92"/>
      <c r="AG503" s="92"/>
    </row>
    <row r="504" hidden="1">
      <c r="A504" s="86" t="str">
        <f t="shared" si="21"/>
        <v/>
      </c>
      <c r="B504" s="39"/>
      <c r="C504" s="103"/>
      <c r="D504" s="89"/>
      <c r="E504" s="124"/>
      <c r="F504" s="124"/>
      <c r="G504" s="26"/>
      <c r="H504" s="124"/>
      <c r="I504" s="124"/>
      <c r="J504" s="124"/>
      <c r="K504" s="91"/>
      <c r="L504" s="91"/>
      <c r="M504" s="91"/>
      <c r="N504" s="96" t="b">
        <v>0</v>
      </c>
      <c r="O504" s="96" t="b">
        <v>0</v>
      </c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  <c r="AA504" s="92"/>
      <c r="AB504" s="92"/>
      <c r="AC504" s="92"/>
      <c r="AD504" s="92"/>
      <c r="AE504" s="92"/>
      <c r="AF504" s="92"/>
      <c r="AG504" s="92"/>
    </row>
    <row r="505" hidden="1">
      <c r="A505" s="86" t="str">
        <f t="shared" si="21"/>
        <v/>
      </c>
      <c r="B505" s="87"/>
      <c r="C505" s="88">
        <v>44368.0</v>
      </c>
      <c r="D505" s="97"/>
      <c r="E505" s="98"/>
      <c r="F505" s="98"/>
      <c r="G505" s="41"/>
      <c r="H505" s="98"/>
      <c r="I505" s="98"/>
      <c r="J505" s="98"/>
      <c r="K505" s="91"/>
      <c r="L505" s="91"/>
      <c r="M505" s="91"/>
      <c r="N505" s="96" t="b">
        <v>0</v>
      </c>
      <c r="O505" s="96" t="b">
        <v>0</v>
      </c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  <c r="AA505" s="92"/>
      <c r="AB505" s="92"/>
      <c r="AC505" s="92"/>
      <c r="AD505" s="92"/>
      <c r="AE505" s="92"/>
      <c r="AF505" s="92"/>
      <c r="AG505" s="92"/>
    </row>
    <row r="506" hidden="1">
      <c r="A506" s="86" t="str">
        <f t="shared" si="21"/>
        <v/>
      </c>
      <c r="B506" s="18" t="s">
        <v>14</v>
      </c>
      <c r="C506" s="103"/>
      <c r="D506" s="97"/>
      <c r="E506" s="98"/>
      <c r="F506" s="98"/>
      <c r="G506" s="41"/>
      <c r="H506" s="98"/>
      <c r="I506" s="98"/>
      <c r="J506" s="98"/>
      <c r="K506" s="91"/>
      <c r="L506" s="91"/>
      <c r="M506" s="91"/>
      <c r="N506" s="96" t="b">
        <v>0</v>
      </c>
      <c r="O506" s="96" t="b">
        <v>0</v>
      </c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  <c r="AA506" s="92"/>
      <c r="AB506" s="92"/>
      <c r="AC506" s="92"/>
      <c r="AD506" s="92"/>
      <c r="AE506" s="92"/>
      <c r="AF506" s="92"/>
      <c r="AG506" s="92"/>
    </row>
    <row r="507" hidden="1">
      <c r="A507" s="86" t="str">
        <f t="shared" si="21"/>
        <v>60a40f3f84b06f05ac4b1cd8</v>
      </c>
      <c r="B507" s="25"/>
      <c r="C507" s="80" t="s">
        <v>78</v>
      </c>
      <c r="D507" s="107" t="s">
        <v>399</v>
      </c>
      <c r="E507" s="30" t="s">
        <v>960</v>
      </c>
      <c r="F507" s="30" t="s">
        <v>961</v>
      </c>
      <c r="G507" s="29">
        <v>0.4583333333333333</v>
      </c>
      <c r="H507" s="30" t="s">
        <v>233</v>
      </c>
      <c r="I507" s="30" t="s">
        <v>1077</v>
      </c>
      <c r="J507" s="30" t="s">
        <v>311</v>
      </c>
      <c r="K507" s="21"/>
      <c r="L507" s="91"/>
      <c r="M507" s="91"/>
      <c r="N507" s="96" t="b">
        <v>0</v>
      </c>
      <c r="O507" s="96" t="b">
        <v>0</v>
      </c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  <c r="AA507" s="92"/>
      <c r="AB507" s="92"/>
      <c r="AC507" s="92"/>
      <c r="AD507" s="92"/>
      <c r="AE507" s="92"/>
      <c r="AF507" s="92"/>
      <c r="AG507" s="92"/>
    </row>
    <row r="508" hidden="1">
      <c r="A508" s="86" t="str">
        <f t="shared" si="21"/>
        <v>60ad5e44cae636af5ef326af</v>
      </c>
      <c r="B508" s="25"/>
      <c r="C508" s="80" t="s">
        <v>78</v>
      </c>
      <c r="D508" s="97" t="s">
        <v>79</v>
      </c>
      <c r="E508" s="98" t="s">
        <v>1078</v>
      </c>
      <c r="F508" s="98" t="s">
        <v>1079</v>
      </c>
      <c r="G508" s="99">
        <v>0.5416666666666666</v>
      </c>
      <c r="H508" s="98" t="s">
        <v>258</v>
      </c>
      <c r="I508" s="98" t="s">
        <v>1080</v>
      </c>
      <c r="J508" s="98" t="s">
        <v>1081</v>
      </c>
      <c r="K508" s="91"/>
      <c r="L508" s="91"/>
      <c r="M508" s="91"/>
      <c r="N508" s="96" t="b">
        <v>0</v>
      </c>
      <c r="O508" s="96" t="b">
        <v>0</v>
      </c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  <c r="AA508" s="92"/>
      <c r="AB508" s="92"/>
      <c r="AC508" s="92"/>
      <c r="AD508" s="92"/>
      <c r="AE508" s="92"/>
      <c r="AF508" s="92"/>
      <c r="AG508" s="92"/>
    </row>
    <row r="509" hidden="1">
      <c r="A509" s="86" t="str">
        <f t="shared" si="21"/>
        <v>5fee09a82ccf25e5c42217d6</v>
      </c>
      <c r="B509" s="25"/>
      <c r="C509" s="80" t="s">
        <v>78</v>
      </c>
      <c r="D509" s="97" t="s">
        <v>399</v>
      </c>
      <c r="E509" s="32" t="s">
        <v>1082</v>
      </c>
      <c r="F509" s="32" t="s">
        <v>1083</v>
      </c>
      <c r="G509" s="99">
        <v>0.625</v>
      </c>
      <c r="H509" s="32" t="s">
        <v>233</v>
      </c>
      <c r="I509" s="98" t="s">
        <v>1084</v>
      </c>
      <c r="J509" s="32" t="s">
        <v>1085</v>
      </c>
      <c r="K509" s="98" t="s">
        <v>1086</v>
      </c>
      <c r="L509" s="91"/>
      <c r="M509" s="91"/>
      <c r="N509" s="96" t="b">
        <v>0</v>
      </c>
      <c r="O509" s="96" t="b">
        <v>0</v>
      </c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  <c r="AA509" s="92"/>
      <c r="AB509" s="92"/>
      <c r="AC509" s="92"/>
      <c r="AD509" s="92"/>
      <c r="AE509" s="92"/>
      <c r="AF509" s="92"/>
      <c r="AG509" s="92"/>
    </row>
    <row r="510" hidden="1">
      <c r="A510" s="86" t="str">
        <f t="shared" si="21"/>
        <v>5febc4b6e15215a57b9594d1</v>
      </c>
      <c r="B510" s="25"/>
      <c r="C510" s="80" t="s">
        <v>78</v>
      </c>
      <c r="D510" s="107" t="s">
        <v>399</v>
      </c>
      <c r="E510" s="28" t="s">
        <v>1087</v>
      </c>
      <c r="F510" s="28" t="s">
        <v>1088</v>
      </c>
      <c r="G510" s="108">
        <v>0.7083333333333334</v>
      </c>
      <c r="H510" s="28" t="s">
        <v>233</v>
      </c>
      <c r="I510" s="109" t="s">
        <v>1089</v>
      </c>
      <c r="J510" s="28" t="s">
        <v>1090</v>
      </c>
      <c r="K510" s="91"/>
      <c r="L510" s="91"/>
      <c r="M510" s="91"/>
      <c r="N510" s="96" t="b">
        <v>0</v>
      </c>
      <c r="O510" s="96" t="b">
        <v>0</v>
      </c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  <c r="AA510" s="92"/>
      <c r="AB510" s="92"/>
      <c r="AC510" s="92"/>
      <c r="AD510" s="92"/>
      <c r="AE510" s="92"/>
      <c r="AF510" s="92"/>
      <c r="AG510" s="92"/>
    </row>
    <row r="511" hidden="1">
      <c r="A511" s="86" t="str">
        <f t="shared" si="21"/>
        <v/>
      </c>
      <c r="B511" s="39"/>
      <c r="C511" s="103"/>
      <c r="D511" s="97"/>
      <c r="E511" s="98"/>
      <c r="F511" s="98"/>
      <c r="G511" s="41"/>
      <c r="H511" s="98"/>
      <c r="I511" s="98"/>
      <c r="J511" s="98"/>
      <c r="K511" s="91"/>
      <c r="L511" s="91"/>
      <c r="M511" s="91"/>
      <c r="N511" s="96" t="b">
        <v>0</v>
      </c>
      <c r="O511" s="96" t="b">
        <v>0</v>
      </c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  <c r="AA511" s="92"/>
      <c r="AB511" s="92"/>
      <c r="AC511" s="92"/>
      <c r="AD511" s="92"/>
      <c r="AE511" s="92"/>
      <c r="AF511" s="92"/>
      <c r="AG511" s="92"/>
    </row>
    <row r="512" hidden="1">
      <c r="A512" s="86" t="str">
        <f t="shared" si="21"/>
        <v/>
      </c>
      <c r="B512" s="87"/>
      <c r="C512" s="88">
        <v>44369.0</v>
      </c>
      <c r="D512" s="97"/>
      <c r="E512" s="98"/>
      <c r="F512" s="98"/>
      <c r="G512" s="41"/>
      <c r="H512" s="98"/>
      <c r="I512" s="98"/>
      <c r="J512" s="98"/>
      <c r="K512" s="91"/>
      <c r="L512" s="91"/>
      <c r="M512" s="91"/>
      <c r="N512" s="96" t="b">
        <v>0</v>
      </c>
      <c r="O512" s="96" t="b">
        <v>0</v>
      </c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  <c r="AA512" s="92"/>
      <c r="AB512" s="92"/>
      <c r="AC512" s="92"/>
      <c r="AD512" s="92"/>
      <c r="AE512" s="92"/>
      <c r="AF512" s="92"/>
      <c r="AG512" s="92"/>
    </row>
    <row r="513" hidden="1">
      <c r="A513" s="86" t="str">
        <f t="shared" si="21"/>
        <v/>
      </c>
      <c r="B513" s="18" t="s">
        <v>14</v>
      </c>
      <c r="C513" s="103"/>
      <c r="D513" s="97"/>
      <c r="E513" s="98"/>
      <c r="F513" s="98"/>
      <c r="G513" s="41"/>
      <c r="H513" s="98"/>
      <c r="I513" s="98"/>
      <c r="J513" s="98"/>
      <c r="K513" s="91"/>
      <c r="L513" s="91"/>
      <c r="M513" s="91"/>
      <c r="N513" s="96" t="b">
        <v>0</v>
      </c>
      <c r="O513" s="96" t="b">
        <v>0</v>
      </c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  <c r="AA513" s="92"/>
      <c r="AB513" s="92"/>
      <c r="AC513" s="92"/>
      <c r="AD513" s="92"/>
      <c r="AE513" s="92"/>
      <c r="AF513" s="92"/>
      <c r="AG513" s="92"/>
    </row>
    <row r="514" hidden="1">
      <c r="A514" s="86" t="str">
        <f t="shared" si="21"/>
        <v>6005ef6737de6271b1b37177</v>
      </c>
      <c r="B514" s="25"/>
      <c r="C514" s="80" t="s">
        <v>78</v>
      </c>
      <c r="D514" s="107" t="s">
        <v>79</v>
      </c>
      <c r="E514" s="109" t="s">
        <v>1091</v>
      </c>
      <c r="F514" s="109" t="s">
        <v>1092</v>
      </c>
      <c r="G514" s="108">
        <v>0.4583333333333333</v>
      </c>
      <c r="H514" s="109" t="s">
        <v>258</v>
      </c>
      <c r="I514" s="109" t="s">
        <v>1093</v>
      </c>
      <c r="J514" s="109" t="s">
        <v>1094</v>
      </c>
      <c r="K514" s="109" t="s">
        <v>1095</v>
      </c>
      <c r="L514" s="91"/>
      <c r="M514" s="91"/>
      <c r="N514" s="96" t="b">
        <v>0</v>
      </c>
      <c r="O514" s="96" t="b">
        <v>0</v>
      </c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  <c r="AA514" s="92"/>
      <c r="AB514" s="92"/>
      <c r="AC514" s="92"/>
      <c r="AD514" s="92"/>
      <c r="AE514" s="92"/>
      <c r="AF514" s="92"/>
      <c r="AG514" s="92"/>
    </row>
    <row r="515" hidden="1">
      <c r="A515" s="86" t="str">
        <f t="shared" si="21"/>
        <v>5fe8f60d12a85080b9bb58d3</v>
      </c>
      <c r="B515" s="25"/>
      <c r="C515" s="80" t="s">
        <v>78</v>
      </c>
      <c r="D515" s="97" t="s">
        <v>399</v>
      </c>
      <c r="E515" s="32" t="s">
        <v>968</v>
      </c>
      <c r="F515" s="32" t="s">
        <v>969</v>
      </c>
      <c r="G515" s="99">
        <v>0.5416666666666666</v>
      </c>
      <c r="H515" s="32" t="s">
        <v>233</v>
      </c>
      <c r="I515" s="98" t="s">
        <v>1096</v>
      </c>
      <c r="J515" s="32" t="s">
        <v>971</v>
      </c>
      <c r="K515" s="98" t="s">
        <v>1097</v>
      </c>
      <c r="L515" s="91"/>
      <c r="M515" s="91"/>
      <c r="N515" s="96" t="b">
        <v>0</v>
      </c>
      <c r="O515" s="96" t="b">
        <v>0</v>
      </c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  <c r="AA515" s="92"/>
      <c r="AB515" s="92"/>
      <c r="AC515" s="92"/>
      <c r="AD515" s="92"/>
      <c r="AE515" s="92"/>
      <c r="AF515" s="92"/>
      <c r="AG515" s="92"/>
    </row>
    <row r="516" hidden="1">
      <c r="A516" s="86" t="str">
        <f t="shared" si="21"/>
        <v>607f40c341375f30d5d92f1e</v>
      </c>
      <c r="B516" s="25"/>
      <c r="C516" s="80" t="s">
        <v>78</v>
      </c>
      <c r="D516" s="97" t="s">
        <v>399</v>
      </c>
      <c r="E516" s="98" t="s">
        <v>973</v>
      </c>
      <c r="F516" s="98" t="s">
        <v>974</v>
      </c>
      <c r="G516" s="99">
        <v>0.625</v>
      </c>
      <c r="H516" s="98" t="s">
        <v>996</v>
      </c>
      <c r="I516" s="98" t="s">
        <v>1098</v>
      </c>
      <c r="J516" s="98" t="s">
        <v>976</v>
      </c>
      <c r="K516" s="91"/>
      <c r="L516" s="91"/>
      <c r="M516" s="91"/>
      <c r="N516" s="96" t="b">
        <v>0</v>
      </c>
      <c r="O516" s="96" t="b">
        <v>0</v>
      </c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  <c r="AA516" s="92"/>
      <c r="AB516" s="92"/>
      <c r="AC516" s="92"/>
      <c r="AD516" s="92"/>
      <c r="AE516" s="92"/>
      <c r="AF516" s="92"/>
      <c r="AG516" s="92"/>
    </row>
    <row r="517" hidden="1">
      <c r="A517" s="86" t="str">
        <f t="shared" si="21"/>
        <v>60c139d42c8294bf2a86e7fb</v>
      </c>
      <c r="B517" s="25"/>
      <c r="C517" s="80" t="s">
        <v>78</v>
      </c>
      <c r="D517" s="97" t="s">
        <v>79</v>
      </c>
      <c r="E517" s="98" t="s">
        <v>1099</v>
      </c>
      <c r="F517" s="98" t="s">
        <v>1100</v>
      </c>
      <c r="G517" s="99">
        <v>0.6875</v>
      </c>
      <c r="H517" s="98" t="s">
        <v>205</v>
      </c>
      <c r="I517" s="98" t="s">
        <v>1101</v>
      </c>
      <c r="J517" s="98" t="s">
        <v>1102</v>
      </c>
      <c r="K517" s="91"/>
      <c r="L517" s="91"/>
      <c r="M517" s="91"/>
      <c r="N517" s="96" t="b">
        <v>0</v>
      </c>
      <c r="O517" s="96" t="b">
        <v>0</v>
      </c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  <c r="AA517" s="92"/>
      <c r="AB517" s="92"/>
      <c r="AC517" s="92"/>
      <c r="AD517" s="92"/>
      <c r="AE517" s="92"/>
      <c r="AF517" s="92"/>
      <c r="AG517" s="92"/>
    </row>
    <row r="518" hidden="1">
      <c r="A518" s="86" t="str">
        <f t="shared" si="21"/>
        <v/>
      </c>
      <c r="B518" s="39"/>
      <c r="C518" s="103"/>
      <c r="D518" s="97"/>
      <c r="E518" s="98"/>
      <c r="F518" s="32"/>
      <c r="G518" s="99"/>
      <c r="H518" s="98"/>
      <c r="I518" s="98"/>
      <c r="J518" s="98"/>
      <c r="K518" s="91"/>
      <c r="L518" s="91"/>
      <c r="M518" s="91"/>
      <c r="N518" s="96" t="b">
        <v>0</v>
      </c>
      <c r="O518" s="96" t="b">
        <v>0</v>
      </c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  <c r="AA518" s="92"/>
      <c r="AB518" s="92"/>
      <c r="AC518" s="92"/>
      <c r="AD518" s="92"/>
      <c r="AE518" s="92"/>
      <c r="AF518" s="92"/>
      <c r="AG518" s="92"/>
    </row>
    <row r="519" hidden="1">
      <c r="A519" s="86" t="str">
        <f t="shared" si="21"/>
        <v/>
      </c>
      <c r="B519" s="87"/>
      <c r="C519" s="88">
        <v>44370.0</v>
      </c>
      <c r="D519" s="97"/>
      <c r="E519" s="98"/>
      <c r="F519" s="98"/>
      <c r="G519" s="41"/>
      <c r="H519" s="98"/>
      <c r="I519" s="98"/>
      <c r="J519" s="98"/>
      <c r="K519" s="91"/>
      <c r="L519" s="91"/>
      <c r="M519" s="91"/>
      <c r="N519" s="96" t="b">
        <v>0</v>
      </c>
      <c r="O519" s="96" t="b">
        <v>0</v>
      </c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  <c r="AA519" s="92"/>
      <c r="AB519" s="92"/>
      <c r="AC519" s="92"/>
      <c r="AD519" s="92"/>
      <c r="AE519" s="92"/>
      <c r="AF519" s="92"/>
      <c r="AG519" s="92"/>
    </row>
    <row r="520" hidden="1">
      <c r="A520" s="86" t="str">
        <f t="shared" si="21"/>
        <v/>
      </c>
      <c r="B520" s="18" t="s">
        <v>14</v>
      </c>
      <c r="C520" s="103"/>
      <c r="D520" s="97"/>
      <c r="E520" s="98"/>
      <c r="F520" s="98"/>
      <c r="G520" s="41"/>
      <c r="H520" s="98"/>
      <c r="I520" s="98"/>
      <c r="J520" s="98"/>
      <c r="K520" s="91"/>
      <c r="L520" s="91"/>
      <c r="M520" s="91"/>
      <c r="N520" s="96" t="b">
        <v>0</v>
      </c>
      <c r="O520" s="96" t="b">
        <v>0</v>
      </c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  <c r="AA520" s="92"/>
      <c r="AB520" s="92"/>
      <c r="AC520" s="92"/>
      <c r="AD520" s="92"/>
      <c r="AE520" s="92"/>
      <c r="AF520" s="92"/>
      <c r="AG520" s="92"/>
    </row>
    <row r="521" hidden="1">
      <c r="A521" s="86" t="str">
        <f t="shared" si="21"/>
        <v>6096d8b5da616284e7bd406f</v>
      </c>
      <c r="B521" s="25"/>
      <c r="C521" s="80" t="s">
        <v>78</v>
      </c>
      <c r="D521" s="97" t="s">
        <v>79</v>
      </c>
      <c r="E521" s="28" t="s">
        <v>1103</v>
      </c>
      <c r="F521" s="28" t="s">
        <v>1104</v>
      </c>
      <c r="G521" s="108">
        <v>0.4583333333333333</v>
      </c>
      <c r="H521" s="30" t="s">
        <v>424</v>
      </c>
      <c r="I521" s="109" t="s">
        <v>1105</v>
      </c>
      <c r="J521" s="28" t="s">
        <v>1106</v>
      </c>
      <c r="K521" s="111"/>
      <c r="L521" s="91"/>
      <c r="M521" s="91"/>
      <c r="N521" s="96" t="b">
        <v>0</v>
      </c>
      <c r="O521" s="96" t="b">
        <v>0</v>
      </c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  <c r="AA521" s="92"/>
      <c r="AB521" s="92"/>
      <c r="AC521" s="92"/>
      <c r="AD521" s="92"/>
      <c r="AE521" s="92"/>
      <c r="AF521" s="92"/>
      <c r="AG521" s="92"/>
    </row>
    <row r="522" hidden="1">
      <c r="A522" s="86" t="str">
        <f t="shared" si="21"/>
        <v>60c130c26eb3ea6d430e073c</v>
      </c>
      <c r="B522" s="25"/>
      <c r="C522" s="80" t="s">
        <v>78</v>
      </c>
      <c r="D522" s="97" t="s">
        <v>79</v>
      </c>
      <c r="E522" s="28" t="s">
        <v>1107</v>
      </c>
      <c r="F522" s="28" t="s">
        <v>1108</v>
      </c>
      <c r="G522" s="108">
        <v>0.5416666666666666</v>
      </c>
      <c r="H522" s="109" t="s">
        <v>258</v>
      </c>
      <c r="I522" s="109" t="s">
        <v>1109</v>
      </c>
      <c r="J522" s="28" t="s">
        <v>1110</v>
      </c>
      <c r="K522" s="109"/>
      <c r="L522" s="91"/>
      <c r="M522" s="91"/>
      <c r="N522" s="96" t="b">
        <v>0</v>
      </c>
      <c r="O522" s="96" t="b">
        <v>0</v>
      </c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  <c r="AA522" s="92"/>
      <c r="AB522" s="92"/>
      <c r="AC522" s="92"/>
      <c r="AD522" s="92"/>
      <c r="AE522" s="92"/>
      <c r="AF522" s="92"/>
      <c r="AG522" s="92"/>
    </row>
    <row r="523" hidden="1">
      <c r="A523" s="86" t="str">
        <f t="shared" si="21"/>
        <v>602455c8cb7fffe69f20c0bd</v>
      </c>
      <c r="B523" s="25"/>
      <c r="C523" s="80" t="s">
        <v>78</v>
      </c>
      <c r="D523" s="97" t="s">
        <v>79</v>
      </c>
      <c r="E523" s="109" t="s">
        <v>132</v>
      </c>
      <c r="F523" s="109" t="s">
        <v>133</v>
      </c>
      <c r="G523" s="112" t="s">
        <v>567</v>
      </c>
      <c r="H523" s="109" t="s">
        <v>349</v>
      </c>
      <c r="I523" s="109" t="s">
        <v>1111</v>
      </c>
      <c r="J523" s="109" t="s">
        <v>136</v>
      </c>
      <c r="K523" s="111"/>
      <c r="L523" s="91"/>
      <c r="M523" s="91"/>
      <c r="N523" s="96" t="b">
        <v>0</v>
      </c>
      <c r="O523" s="96" t="b">
        <v>0</v>
      </c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  <c r="AA523" s="92"/>
      <c r="AB523" s="92"/>
      <c r="AC523" s="92"/>
      <c r="AD523" s="92"/>
      <c r="AE523" s="92"/>
      <c r="AF523" s="92"/>
      <c r="AG523" s="92"/>
    </row>
    <row r="524" hidden="1">
      <c r="A524" s="86"/>
      <c r="B524" s="25"/>
      <c r="C524" s="80"/>
      <c r="D524" s="97" t="s">
        <v>79</v>
      </c>
      <c r="E524" s="109" t="s">
        <v>1112</v>
      </c>
      <c r="F524" s="109" t="s">
        <v>1113</v>
      </c>
      <c r="G524" s="112" t="s">
        <v>283</v>
      </c>
      <c r="H524" s="109" t="s">
        <v>118</v>
      </c>
      <c r="I524" s="109" t="s">
        <v>1114</v>
      </c>
      <c r="J524" s="109" t="s">
        <v>1115</v>
      </c>
      <c r="K524" s="111"/>
      <c r="L524" s="91"/>
      <c r="M524" s="91"/>
      <c r="N524" s="96" t="b">
        <v>0</v>
      </c>
      <c r="O524" s="96" t="b">
        <v>0</v>
      </c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  <c r="AA524" s="92"/>
      <c r="AB524" s="92"/>
      <c r="AC524" s="92"/>
      <c r="AD524" s="92"/>
      <c r="AE524" s="92"/>
      <c r="AF524" s="92"/>
      <c r="AG524" s="92"/>
    </row>
    <row r="525" hidden="1">
      <c r="A525" s="86" t="str">
        <f t="shared" ref="A525:A622" si="22">E525</f>
        <v>6014baa482ce14cb3b583587</v>
      </c>
      <c r="B525" s="25"/>
      <c r="C525" s="80" t="s">
        <v>78</v>
      </c>
      <c r="D525" s="97" t="s">
        <v>79</v>
      </c>
      <c r="E525" s="28" t="s">
        <v>1116</v>
      </c>
      <c r="F525" s="28" t="s">
        <v>1117</v>
      </c>
      <c r="G525" s="108">
        <v>0.7083333333333334</v>
      </c>
      <c r="H525" s="109" t="s">
        <v>1118</v>
      </c>
      <c r="I525" s="109" t="s">
        <v>1119</v>
      </c>
      <c r="J525" s="109" t="s">
        <v>1120</v>
      </c>
      <c r="K525" s="91"/>
      <c r="L525" s="91"/>
      <c r="M525" s="91"/>
      <c r="N525" s="96" t="b">
        <v>0</v>
      </c>
      <c r="O525" s="96" t="b">
        <v>0</v>
      </c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  <c r="AA525" s="92"/>
      <c r="AB525" s="92"/>
      <c r="AC525" s="92"/>
      <c r="AD525" s="92"/>
      <c r="AE525" s="92"/>
      <c r="AF525" s="92"/>
      <c r="AG525" s="92"/>
    </row>
    <row r="526" hidden="1">
      <c r="A526" s="86" t="str">
        <f t="shared" si="22"/>
        <v/>
      </c>
      <c r="B526" s="39"/>
      <c r="C526" s="103"/>
      <c r="D526" s="97"/>
      <c r="E526" s="98"/>
      <c r="F526" s="32"/>
      <c r="G526" s="99"/>
      <c r="H526" s="98"/>
      <c r="I526" s="98"/>
      <c r="J526" s="98"/>
      <c r="K526" s="91"/>
      <c r="L526" s="91"/>
      <c r="M526" s="91"/>
      <c r="N526" s="96" t="b">
        <v>0</v>
      </c>
      <c r="O526" s="96" t="b">
        <v>0</v>
      </c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  <c r="AA526" s="92"/>
      <c r="AB526" s="92"/>
      <c r="AC526" s="92"/>
      <c r="AD526" s="92"/>
      <c r="AE526" s="92"/>
      <c r="AF526" s="92"/>
      <c r="AG526" s="92"/>
    </row>
    <row r="527" hidden="1">
      <c r="A527" s="86" t="str">
        <f t="shared" si="22"/>
        <v/>
      </c>
      <c r="B527" s="87"/>
      <c r="C527" s="88">
        <v>44371.0</v>
      </c>
      <c r="D527" s="97"/>
      <c r="E527" s="98"/>
      <c r="F527" s="98"/>
      <c r="G527" s="41"/>
      <c r="H527" s="98"/>
      <c r="I527" s="98"/>
      <c r="J527" s="98"/>
      <c r="K527" s="91"/>
      <c r="L527" s="91"/>
      <c r="M527" s="91"/>
      <c r="N527" s="96" t="b">
        <v>0</v>
      </c>
      <c r="O527" s="96" t="b">
        <v>0</v>
      </c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  <c r="AA527" s="92"/>
      <c r="AB527" s="92"/>
      <c r="AC527" s="92"/>
      <c r="AD527" s="92"/>
      <c r="AE527" s="92"/>
      <c r="AF527" s="92"/>
      <c r="AG527" s="92"/>
    </row>
    <row r="528" hidden="1">
      <c r="A528" s="86" t="str">
        <f t="shared" si="22"/>
        <v/>
      </c>
      <c r="B528" s="18" t="s">
        <v>14</v>
      </c>
      <c r="C528" s="103"/>
      <c r="D528" s="97"/>
      <c r="E528" s="98"/>
      <c r="F528" s="98"/>
      <c r="G528" s="41"/>
      <c r="H528" s="98"/>
      <c r="I528" s="98"/>
      <c r="J528" s="98"/>
      <c r="K528" s="91"/>
      <c r="L528" s="91"/>
      <c r="M528" s="91"/>
      <c r="N528" s="96" t="b">
        <v>0</v>
      </c>
      <c r="O528" s="96" t="b">
        <v>0</v>
      </c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  <c r="AA528" s="92"/>
      <c r="AB528" s="92"/>
      <c r="AC528" s="92"/>
      <c r="AD528" s="92"/>
      <c r="AE528" s="92"/>
      <c r="AF528" s="92"/>
      <c r="AG528" s="92"/>
    </row>
    <row r="529" hidden="1">
      <c r="A529" s="86" t="str">
        <f t="shared" si="22"/>
        <v>5fe5d2ed87a63b1f653166d1</v>
      </c>
      <c r="B529" s="25"/>
      <c r="C529" s="80" t="s">
        <v>78</v>
      </c>
      <c r="D529" s="107" t="s">
        <v>79</v>
      </c>
      <c r="E529" s="28" t="s">
        <v>73</v>
      </c>
      <c r="F529" s="28" t="s">
        <v>74</v>
      </c>
      <c r="G529" s="108">
        <v>0.4583333333333333</v>
      </c>
      <c r="H529" s="30" t="s">
        <v>1121</v>
      </c>
      <c r="I529" s="109" t="s">
        <v>1122</v>
      </c>
      <c r="J529" s="109" t="s">
        <v>1123</v>
      </c>
      <c r="K529" s="158" t="s">
        <v>1124</v>
      </c>
      <c r="L529" s="91"/>
      <c r="M529" s="91"/>
      <c r="N529" s="96" t="b">
        <v>0</v>
      </c>
      <c r="O529" s="96" t="b">
        <v>0</v>
      </c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  <c r="AA529" s="92"/>
      <c r="AB529" s="92"/>
      <c r="AC529" s="92"/>
      <c r="AD529" s="92"/>
      <c r="AE529" s="92"/>
      <c r="AF529" s="92"/>
      <c r="AG529" s="92"/>
    </row>
    <row r="530" hidden="1">
      <c r="A530" s="86" t="str">
        <f t="shared" si="22"/>
        <v>6063581c2eb4390ceeb65d94</v>
      </c>
      <c r="B530" s="25"/>
      <c r="C530" s="80" t="s">
        <v>78</v>
      </c>
      <c r="D530" s="97" t="s">
        <v>79</v>
      </c>
      <c r="E530" s="35" t="s">
        <v>1125</v>
      </c>
      <c r="F530" s="35" t="s">
        <v>1126</v>
      </c>
      <c r="G530" s="99">
        <v>0.5416666666666666</v>
      </c>
      <c r="H530" s="98" t="s">
        <v>349</v>
      </c>
      <c r="I530" s="98" t="s">
        <v>1127</v>
      </c>
      <c r="J530" s="35" t="s">
        <v>386</v>
      </c>
      <c r="K530" s="98"/>
      <c r="L530" s="91"/>
      <c r="M530" s="91"/>
      <c r="N530" s="96" t="b">
        <v>0</v>
      </c>
      <c r="O530" s="96" t="b">
        <v>0</v>
      </c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  <c r="AA530" s="92"/>
      <c r="AB530" s="92"/>
      <c r="AC530" s="92"/>
      <c r="AD530" s="92"/>
      <c r="AE530" s="92"/>
      <c r="AF530" s="92"/>
      <c r="AG530" s="92"/>
    </row>
    <row r="531" hidden="1">
      <c r="A531" s="86" t="str">
        <f t="shared" si="22"/>
        <v>5fff2f9ae348f68fd1a331b3</v>
      </c>
      <c r="B531" s="25"/>
      <c r="C531" s="80" t="s">
        <v>78</v>
      </c>
      <c r="D531" s="97" t="s">
        <v>79</v>
      </c>
      <c r="E531" s="32" t="s">
        <v>1128</v>
      </c>
      <c r="F531" s="32" t="s">
        <v>1129</v>
      </c>
      <c r="G531" s="99">
        <v>0.625</v>
      </c>
      <c r="H531" s="98" t="s">
        <v>211</v>
      </c>
      <c r="I531" s="98" t="s">
        <v>1130</v>
      </c>
      <c r="J531" s="32" t="s">
        <v>1131</v>
      </c>
      <c r="K531" s="91"/>
      <c r="L531" s="91"/>
      <c r="M531" s="91"/>
      <c r="N531" s="96" t="b">
        <v>0</v>
      </c>
      <c r="O531" s="96" t="b">
        <v>0</v>
      </c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  <c r="AA531" s="92"/>
      <c r="AB531" s="92"/>
      <c r="AC531" s="92"/>
      <c r="AD531" s="92"/>
      <c r="AE531" s="92"/>
      <c r="AF531" s="92"/>
      <c r="AG531" s="92"/>
    </row>
    <row r="532" hidden="1">
      <c r="A532" s="86" t="str">
        <f t="shared" si="22"/>
        <v>60ad613bdafd1b0b51133b54</v>
      </c>
      <c r="B532" s="25"/>
      <c r="C532" s="80" t="s">
        <v>78</v>
      </c>
      <c r="D532" s="107" t="s">
        <v>79</v>
      </c>
      <c r="E532" s="28" t="s">
        <v>1132</v>
      </c>
      <c r="F532" s="28" t="s">
        <v>1133</v>
      </c>
      <c r="G532" s="108">
        <v>0.7083333333333334</v>
      </c>
      <c r="H532" s="109" t="s">
        <v>211</v>
      </c>
      <c r="I532" s="109" t="s">
        <v>1134</v>
      </c>
      <c r="J532" s="28" t="s">
        <v>1135</v>
      </c>
      <c r="K532" s="111"/>
      <c r="L532" s="111"/>
      <c r="M532" s="91"/>
      <c r="N532" s="96" t="b">
        <v>0</v>
      </c>
      <c r="O532" s="96" t="b">
        <v>0</v>
      </c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  <c r="AA532" s="92"/>
      <c r="AB532" s="92"/>
      <c r="AC532" s="92"/>
      <c r="AD532" s="92"/>
      <c r="AE532" s="92"/>
      <c r="AF532" s="92"/>
      <c r="AG532" s="92"/>
    </row>
    <row r="533" hidden="1">
      <c r="A533" s="86" t="str">
        <f t="shared" si="22"/>
        <v/>
      </c>
      <c r="B533" s="39"/>
      <c r="C533" s="103"/>
      <c r="D533" s="97"/>
      <c r="E533" s="98"/>
      <c r="F533" s="32"/>
      <c r="G533" s="99"/>
      <c r="H533" s="98"/>
      <c r="I533" s="98"/>
      <c r="J533" s="98"/>
      <c r="K533" s="91"/>
      <c r="L533" s="91"/>
      <c r="M533" s="91"/>
      <c r="N533" s="96" t="b">
        <v>0</v>
      </c>
      <c r="O533" s="96" t="b">
        <v>0</v>
      </c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  <c r="AA533" s="92"/>
      <c r="AB533" s="92"/>
      <c r="AC533" s="92"/>
      <c r="AD533" s="92"/>
      <c r="AE533" s="92"/>
      <c r="AF533" s="92"/>
      <c r="AG533" s="92"/>
    </row>
    <row r="534" hidden="1">
      <c r="A534" s="86" t="str">
        <f t="shared" si="22"/>
        <v/>
      </c>
      <c r="B534" s="87"/>
      <c r="C534" s="88">
        <v>44372.0</v>
      </c>
      <c r="D534" s="97"/>
      <c r="E534" s="98"/>
      <c r="F534" s="98"/>
      <c r="G534" s="41"/>
      <c r="H534" s="98"/>
      <c r="I534" s="98"/>
      <c r="J534" s="98"/>
      <c r="K534" s="91"/>
      <c r="L534" s="91"/>
      <c r="M534" s="91"/>
      <c r="N534" s="96" t="b">
        <v>0</v>
      </c>
      <c r="O534" s="96" t="b">
        <v>0</v>
      </c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  <c r="AA534" s="92"/>
      <c r="AB534" s="92"/>
      <c r="AC534" s="92"/>
      <c r="AD534" s="92"/>
      <c r="AE534" s="92"/>
      <c r="AF534" s="92"/>
      <c r="AG534" s="92"/>
    </row>
    <row r="535" hidden="1">
      <c r="A535" s="86" t="str">
        <f t="shared" si="22"/>
        <v/>
      </c>
      <c r="B535" s="18" t="s">
        <v>14</v>
      </c>
      <c r="C535" s="103"/>
      <c r="D535" s="97"/>
      <c r="E535" s="98"/>
      <c r="F535" s="98"/>
      <c r="G535" s="41"/>
      <c r="H535" s="98"/>
      <c r="I535" s="98"/>
      <c r="J535" s="98"/>
      <c r="K535" s="91"/>
      <c r="L535" s="91"/>
      <c r="M535" s="91"/>
      <c r="N535" s="96" t="b">
        <v>0</v>
      </c>
      <c r="O535" s="96" t="b">
        <v>0</v>
      </c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  <c r="AA535" s="92"/>
      <c r="AB535" s="92"/>
      <c r="AC535" s="92"/>
      <c r="AD535" s="92"/>
      <c r="AE535" s="92"/>
      <c r="AF535" s="92"/>
      <c r="AG535" s="92"/>
    </row>
    <row r="536" hidden="1">
      <c r="A536" s="86" t="str">
        <f t="shared" si="22"/>
        <v>606d977c699d17565a74f794</v>
      </c>
      <c r="B536" s="25"/>
      <c r="C536" s="80" t="s">
        <v>78</v>
      </c>
      <c r="D536" s="97" t="s">
        <v>79</v>
      </c>
      <c r="E536" s="98" t="s">
        <v>1136</v>
      </c>
      <c r="F536" s="98" t="s">
        <v>1137</v>
      </c>
      <c r="G536" s="99">
        <v>0.4583333333333333</v>
      </c>
      <c r="H536" s="98" t="s">
        <v>1015</v>
      </c>
      <c r="I536" s="98" t="s">
        <v>1138</v>
      </c>
      <c r="J536" s="98" t="s">
        <v>1139</v>
      </c>
      <c r="K536" s="91"/>
      <c r="L536" s="91"/>
      <c r="M536" s="91"/>
      <c r="N536" s="96" t="b">
        <v>0</v>
      </c>
      <c r="O536" s="96" t="b">
        <v>0</v>
      </c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  <c r="AA536" s="92"/>
      <c r="AB536" s="92"/>
      <c r="AC536" s="92"/>
      <c r="AD536" s="92"/>
      <c r="AE536" s="92"/>
      <c r="AF536" s="92"/>
      <c r="AG536" s="92"/>
    </row>
    <row r="537" hidden="1">
      <c r="A537" s="86" t="str">
        <f t="shared" si="22"/>
        <v>60c13613d9132585f21f640a</v>
      </c>
      <c r="B537" s="25"/>
      <c r="C537" s="80" t="s">
        <v>78</v>
      </c>
      <c r="D537" s="97" t="s">
        <v>79</v>
      </c>
      <c r="E537" s="98" t="s">
        <v>1140</v>
      </c>
      <c r="F537" s="98" t="s">
        <v>1141</v>
      </c>
      <c r="G537" s="99">
        <v>0.5416666666666666</v>
      </c>
      <c r="H537" s="98" t="s">
        <v>909</v>
      </c>
      <c r="I537" s="98" t="s">
        <v>1142</v>
      </c>
      <c r="J537" s="98" t="s">
        <v>1143</v>
      </c>
      <c r="K537" s="91"/>
      <c r="L537" s="91"/>
      <c r="M537" s="91"/>
      <c r="N537" s="96" t="b">
        <v>0</v>
      </c>
      <c r="O537" s="96" t="b">
        <v>0</v>
      </c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  <c r="AA537" s="92"/>
      <c r="AB537" s="92"/>
      <c r="AC537" s="92"/>
      <c r="AD537" s="92"/>
      <c r="AE537" s="92"/>
      <c r="AF537" s="92"/>
      <c r="AG537" s="92"/>
    </row>
    <row r="538" hidden="1">
      <c r="A538" s="86" t="str">
        <f t="shared" si="22"/>
        <v>603a1b3f717836115614220d</v>
      </c>
      <c r="B538" s="25"/>
      <c r="C538" s="80" t="s">
        <v>78</v>
      </c>
      <c r="D538" s="107" t="s">
        <v>79</v>
      </c>
      <c r="E538" s="28" t="s">
        <v>34</v>
      </c>
      <c r="F538" s="28" t="s">
        <v>35</v>
      </c>
      <c r="G538" s="108">
        <v>0.625</v>
      </c>
      <c r="H538" s="30" t="s">
        <v>424</v>
      </c>
      <c r="I538" s="109" t="s">
        <v>1144</v>
      </c>
      <c r="J538" s="109" t="s">
        <v>39</v>
      </c>
      <c r="K538" s="111"/>
      <c r="L538" s="91"/>
      <c r="M538" s="98" t="s">
        <v>1145</v>
      </c>
      <c r="N538" s="96" t="b">
        <v>0</v>
      </c>
      <c r="O538" s="96" t="b">
        <v>0</v>
      </c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  <c r="AA538" s="92"/>
      <c r="AB538" s="92"/>
      <c r="AC538" s="92"/>
      <c r="AD538" s="92"/>
      <c r="AE538" s="92"/>
      <c r="AF538" s="92"/>
      <c r="AG538" s="92"/>
    </row>
    <row r="539" hidden="1">
      <c r="A539" s="86" t="str">
        <f t="shared" si="22"/>
        <v>6064f790f2765ebdcc9a11d2</v>
      </c>
      <c r="B539" s="25"/>
      <c r="C539" s="80" t="s">
        <v>78</v>
      </c>
      <c r="D539" s="107" t="s">
        <v>79</v>
      </c>
      <c r="E539" s="28" t="s">
        <v>1017</v>
      </c>
      <c r="F539" s="28" t="s">
        <v>1018</v>
      </c>
      <c r="G539" s="108">
        <v>0.7083333333333334</v>
      </c>
      <c r="H539" s="109" t="s">
        <v>1015</v>
      </c>
      <c r="I539" s="109" t="s">
        <v>1146</v>
      </c>
      <c r="J539" s="109" t="s">
        <v>1020</v>
      </c>
      <c r="K539" s="111"/>
      <c r="L539" s="91"/>
      <c r="M539" s="98" t="s">
        <v>1145</v>
      </c>
      <c r="N539" s="96" t="b">
        <v>0</v>
      </c>
      <c r="O539" s="96" t="b">
        <v>0</v>
      </c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  <c r="AA539" s="92"/>
      <c r="AB539" s="92"/>
      <c r="AC539" s="92"/>
      <c r="AD539" s="92"/>
      <c r="AE539" s="92"/>
      <c r="AF539" s="92"/>
      <c r="AG539" s="92"/>
    </row>
    <row r="540" hidden="1">
      <c r="A540" s="86" t="str">
        <f t="shared" si="22"/>
        <v/>
      </c>
      <c r="B540" s="39"/>
      <c r="C540" s="103"/>
      <c r="D540" s="97"/>
      <c r="E540" s="98"/>
      <c r="F540" s="98"/>
      <c r="G540" s="41"/>
      <c r="H540" s="98"/>
      <c r="I540" s="98"/>
      <c r="J540" s="98"/>
      <c r="K540" s="91"/>
      <c r="L540" s="91"/>
      <c r="M540" s="91"/>
      <c r="N540" s="96" t="b">
        <v>0</v>
      </c>
      <c r="O540" s="96" t="b">
        <v>0</v>
      </c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  <c r="AA540" s="92"/>
      <c r="AB540" s="92"/>
      <c r="AC540" s="92"/>
      <c r="AD540" s="92"/>
      <c r="AE540" s="92"/>
      <c r="AF540" s="92"/>
      <c r="AG540" s="92"/>
    </row>
    <row r="541" hidden="1">
      <c r="A541" s="86" t="str">
        <f t="shared" si="22"/>
        <v/>
      </c>
      <c r="B541" s="87"/>
      <c r="C541" s="88">
        <v>44375.0</v>
      </c>
      <c r="D541" s="97"/>
      <c r="E541" s="98"/>
      <c r="F541" s="98"/>
      <c r="G541" s="41"/>
      <c r="H541" s="98"/>
      <c r="I541" s="98"/>
      <c r="J541" s="98"/>
      <c r="K541" s="91"/>
      <c r="L541" s="91"/>
      <c r="M541" s="91"/>
      <c r="N541" s="96" t="b">
        <v>0</v>
      </c>
      <c r="O541" s="96" t="b">
        <v>0</v>
      </c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  <c r="AA541" s="92"/>
      <c r="AB541" s="92"/>
      <c r="AC541" s="92"/>
      <c r="AD541" s="92"/>
      <c r="AE541" s="92"/>
      <c r="AF541" s="92"/>
      <c r="AG541" s="92"/>
    </row>
    <row r="542" hidden="1">
      <c r="A542" s="86" t="str">
        <f t="shared" si="22"/>
        <v/>
      </c>
      <c r="B542" s="18" t="s">
        <v>1147</v>
      </c>
      <c r="C542" s="103"/>
      <c r="D542" s="97"/>
      <c r="E542" s="98"/>
      <c r="F542" s="98"/>
      <c r="G542" s="41"/>
      <c r="H542" s="98"/>
      <c r="I542" s="98"/>
      <c r="J542" s="98"/>
      <c r="K542" s="91"/>
      <c r="L542" s="91"/>
      <c r="M542" s="91"/>
      <c r="N542" s="96" t="b">
        <v>0</v>
      </c>
      <c r="O542" s="96" t="b">
        <v>0</v>
      </c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  <c r="AA542" s="92"/>
      <c r="AB542" s="92"/>
      <c r="AC542" s="92"/>
      <c r="AD542" s="92"/>
      <c r="AE542" s="92"/>
      <c r="AF542" s="92"/>
      <c r="AG542" s="92"/>
    </row>
    <row r="543" hidden="1">
      <c r="A543" s="86" t="str">
        <f t="shared" si="22"/>
        <v>60047f2044f1b4f8beba62fd</v>
      </c>
      <c r="B543" s="25"/>
      <c r="C543" s="80" t="s">
        <v>78</v>
      </c>
      <c r="D543" s="97" t="s">
        <v>79</v>
      </c>
      <c r="E543" s="32" t="s">
        <v>214</v>
      </c>
      <c r="F543" s="32" t="s">
        <v>215</v>
      </c>
      <c r="G543" s="99">
        <v>0.4166666666666667</v>
      </c>
      <c r="H543" s="98" t="s">
        <v>211</v>
      </c>
      <c r="I543" s="98" t="s">
        <v>1148</v>
      </c>
      <c r="J543" s="32" t="s">
        <v>217</v>
      </c>
      <c r="K543" s="98" t="s">
        <v>838</v>
      </c>
      <c r="L543" s="91"/>
      <c r="M543" s="91"/>
      <c r="N543" s="96" t="b">
        <v>0</v>
      </c>
      <c r="O543" s="96" t="b">
        <v>0</v>
      </c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  <c r="AA543" s="92"/>
      <c r="AB543" s="92"/>
      <c r="AC543" s="92"/>
      <c r="AD543" s="92"/>
      <c r="AE543" s="92"/>
      <c r="AF543" s="92"/>
      <c r="AG543" s="92"/>
    </row>
    <row r="544" hidden="1">
      <c r="A544" s="86" t="str">
        <f t="shared" si="22"/>
        <v>5fe8e78af0267c8b9e1285a4</v>
      </c>
      <c r="B544" s="25"/>
      <c r="C544" s="80" t="s">
        <v>78</v>
      </c>
      <c r="D544" s="97" t="s">
        <v>79</v>
      </c>
      <c r="E544" s="32" t="s">
        <v>270</v>
      </c>
      <c r="F544" s="32" t="s">
        <v>271</v>
      </c>
      <c r="G544" s="99">
        <v>0.5833333333333334</v>
      </c>
      <c r="H544" s="98" t="s">
        <v>211</v>
      </c>
      <c r="I544" s="98" t="s">
        <v>1149</v>
      </c>
      <c r="J544" s="32" t="s">
        <v>273</v>
      </c>
      <c r="K544" s="98" t="s">
        <v>838</v>
      </c>
      <c r="L544" s="91"/>
      <c r="M544" s="91"/>
      <c r="N544" s="96" t="b">
        <v>0</v>
      </c>
      <c r="O544" s="96" t="b">
        <v>0</v>
      </c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  <c r="AA544" s="92"/>
      <c r="AB544" s="92"/>
      <c r="AC544" s="92"/>
      <c r="AD544" s="92"/>
      <c r="AE544" s="92"/>
      <c r="AF544" s="92"/>
      <c r="AG544" s="92"/>
    </row>
    <row r="545" hidden="1">
      <c r="A545" s="86" t="str">
        <f t="shared" si="22"/>
        <v>608ff3d1db8fbb2f9010e311</v>
      </c>
      <c r="B545" s="25"/>
      <c r="C545" s="80" t="s">
        <v>78</v>
      </c>
      <c r="D545" s="97" t="s">
        <v>79</v>
      </c>
      <c r="E545" s="32" t="s">
        <v>1150</v>
      </c>
      <c r="F545" s="32" t="s">
        <v>1151</v>
      </c>
      <c r="G545" s="99">
        <v>0.6666666666666666</v>
      </c>
      <c r="H545" s="98" t="s">
        <v>349</v>
      </c>
      <c r="I545" s="98" t="s">
        <v>1152</v>
      </c>
      <c r="J545" s="32" t="s">
        <v>1153</v>
      </c>
      <c r="K545" s="91"/>
      <c r="L545" s="91"/>
      <c r="M545" s="91"/>
      <c r="N545" s="96" t="b">
        <v>0</v>
      </c>
      <c r="O545" s="96" t="b">
        <v>0</v>
      </c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  <c r="AA545" s="92"/>
      <c r="AB545" s="92"/>
      <c r="AC545" s="92"/>
      <c r="AD545" s="92"/>
      <c r="AE545" s="92"/>
      <c r="AF545" s="92"/>
      <c r="AG545" s="92"/>
    </row>
    <row r="546" hidden="1">
      <c r="A546" s="86" t="str">
        <f t="shared" si="22"/>
        <v>60259d2d55fa61292cfcb799</v>
      </c>
      <c r="B546" s="25"/>
      <c r="C546" s="80" t="s">
        <v>78</v>
      </c>
      <c r="D546" s="97" t="s">
        <v>79</v>
      </c>
      <c r="E546" s="32" t="s">
        <v>1154</v>
      </c>
      <c r="F546" s="32" t="s">
        <v>1155</v>
      </c>
      <c r="G546" s="99">
        <v>0.75</v>
      </c>
      <c r="H546" s="98" t="s">
        <v>211</v>
      </c>
      <c r="I546" s="98" t="s">
        <v>1156</v>
      </c>
      <c r="J546" s="21"/>
      <c r="K546" s="32" t="s">
        <v>1157</v>
      </c>
      <c r="L546" s="91"/>
      <c r="M546" s="91"/>
      <c r="N546" s="96" t="b">
        <v>0</v>
      </c>
      <c r="O546" s="96" t="b">
        <v>0</v>
      </c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  <c r="AA546" s="92"/>
      <c r="AB546" s="92"/>
      <c r="AC546" s="92"/>
      <c r="AD546" s="92"/>
      <c r="AE546" s="92"/>
      <c r="AF546" s="92"/>
      <c r="AG546" s="92"/>
    </row>
    <row r="547" hidden="1">
      <c r="A547" s="86" t="str">
        <f t="shared" si="22"/>
        <v/>
      </c>
      <c r="B547" s="39"/>
      <c r="C547" s="103"/>
      <c r="D547" s="97"/>
      <c r="E547" s="98"/>
      <c r="F547" s="98"/>
      <c r="G547" s="41"/>
      <c r="H547" s="98"/>
      <c r="I547" s="98"/>
      <c r="J547" s="98"/>
      <c r="K547" s="91"/>
      <c r="L547" s="91"/>
      <c r="M547" s="91"/>
      <c r="N547" s="96" t="b">
        <v>0</v>
      </c>
      <c r="O547" s="96" t="b">
        <v>0</v>
      </c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  <c r="AA547" s="92"/>
      <c r="AB547" s="92"/>
      <c r="AC547" s="92"/>
      <c r="AD547" s="92"/>
      <c r="AE547" s="92"/>
      <c r="AF547" s="92"/>
      <c r="AG547" s="92"/>
    </row>
    <row r="548" hidden="1">
      <c r="A548" s="86" t="str">
        <f t="shared" si="22"/>
        <v/>
      </c>
      <c r="B548" s="87"/>
      <c r="C548" s="88">
        <v>44376.0</v>
      </c>
      <c r="D548" s="97"/>
      <c r="E548" s="98"/>
      <c r="F548" s="98"/>
      <c r="G548" s="41"/>
      <c r="H548" s="98"/>
      <c r="I548" s="98"/>
      <c r="J548" s="98"/>
      <c r="K548" s="91"/>
      <c r="L548" s="91"/>
      <c r="M548" s="91"/>
      <c r="N548" s="96" t="b">
        <v>0</v>
      </c>
      <c r="O548" s="96" t="b">
        <v>0</v>
      </c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  <c r="AA548" s="92"/>
      <c r="AB548" s="92"/>
      <c r="AC548" s="92"/>
      <c r="AD548" s="92"/>
      <c r="AE548" s="92"/>
      <c r="AF548" s="92"/>
      <c r="AG548" s="92"/>
    </row>
    <row r="549" hidden="1">
      <c r="A549" s="86" t="str">
        <f t="shared" si="22"/>
        <v>60ab7c6f1d747dbaaa187bdf</v>
      </c>
      <c r="B549" s="18" t="s">
        <v>1147</v>
      </c>
      <c r="C549" s="103"/>
      <c r="D549" s="97" t="s">
        <v>79</v>
      </c>
      <c r="E549" s="32" t="s">
        <v>1158</v>
      </c>
      <c r="F549" s="32" t="s">
        <v>1159</v>
      </c>
      <c r="G549" s="99">
        <v>0.4375</v>
      </c>
      <c r="H549" s="98" t="s">
        <v>635</v>
      </c>
      <c r="I549" s="98" t="s">
        <v>1160</v>
      </c>
      <c r="J549" s="32" t="s">
        <v>1161</v>
      </c>
      <c r="K549" s="91"/>
      <c r="L549" s="91"/>
      <c r="M549" s="91"/>
      <c r="N549" s="96" t="b">
        <v>0</v>
      </c>
      <c r="O549" s="96" t="b">
        <v>0</v>
      </c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  <c r="AA549" s="92"/>
      <c r="AB549" s="92"/>
      <c r="AC549" s="92"/>
      <c r="AD549" s="92"/>
      <c r="AE549" s="92"/>
      <c r="AF549" s="92"/>
      <c r="AG549" s="92"/>
    </row>
    <row r="550" hidden="1">
      <c r="A550" s="86" t="str">
        <f t="shared" si="22"/>
        <v>60550a3fc6a1186e0a8a5102</v>
      </c>
      <c r="B550" s="25"/>
      <c r="C550" s="80" t="s">
        <v>78</v>
      </c>
      <c r="D550" s="107" t="s">
        <v>79</v>
      </c>
      <c r="E550" s="52" t="s">
        <v>1162</v>
      </c>
      <c r="F550" s="52" t="s">
        <v>1163</v>
      </c>
      <c r="G550" s="108">
        <v>0.5</v>
      </c>
      <c r="H550" s="28" t="s">
        <v>635</v>
      </c>
      <c r="I550" s="52" t="s">
        <v>1164</v>
      </c>
      <c r="J550" s="52" t="s">
        <v>1165</v>
      </c>
      <c r="K550" s="111"/>
      <c r="L550" s="91"/>
      <c r="M550" s="91"/>
      <c r="N550" s="96" t="b">
        <v>0</v>
      </c>
      <c r="O550" s="96" t="b">
        <v>0</v>
      </c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  <c r="AA550" s="92"/>
      <c r="AB550" s="92"/>
      <c r="AC550" s="92"/>
      <c r="AD550" s="92"/>
      <c r="AE550" s="92"/>
      <c r="AF550" s="92"/>
      <c r="AG550" s="92"/>
    </row>
    <row r="551" hidden="1">
      <c r="A551" s="86" t="str">
        <f t="shared" si="22"/>
        <v>602654d0e70ceefe5fb937d9</v>
      </c>
      <c r="B551" s="25"/>
      <c r="C551" s="80" t="s">
        <v>78</v>
      </c>
      <c r="D551" s="97" t="s">
        <v>79</v>
      </c>
      <c r="E551" s="32" t="s">
        <v>1166</v>
      </c>
      <c r="F551" s="32" t="s">
        <v>1167</v>
      </c>
      <c r="G551" s="99">
        <v>0.5833333333333334</v>
      </c>
      <c r="H551" s="32" t="s">
        <v>1168</v>
      </c>
      <c r="I551" s="32" t="s">
        <v>1169</v>
      </c>
      <c r="J551" s="32" t="s">
        <v>1170</v>
      </c>
      <c r="K551" s="91"/>
      <c r="L551" s="91"/>
      <c r="M551" s="91"/>
      <c r="N551" s="96" t="b">
        <v>0</v>
      </c>
      <c r="O551" s="96" t="b">
        <v>0</v>
      </c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  <c r="AA551" s="92"/>
      <c r="AB551" s="92"/>
      <c r="AC551" s="92"/>
      <c r="AD551" s="92"/>
      <c r="AE551" s="92"/>
      <c r="AF551" s="92"/>
      <c r="AG551" s="92"/>
    </row>
    <row r="552" hidden="1">
      <c r="A552" s="86" t="str">
        <f t="shared" si="22"/>
        <v>60847c88f372e1811924aa9a</v>
      </c>
      <c r="B552" s="25"/>
      <c r="C552" s="80" t="s">
        <v>78</v>
      </c>
      <c r="D552" s="97" t="s">
        <v>79</v>
      </c>
      <c r="E552" s="32" t="s">
        <v>1171</v>
      </c>
      <c r="F552" s="32" t="s">
        <v>1172</v>
      </c>
      <c r="G552" s="99">
        <v>0.6666666666666666</v>
      </c>
      <c r="H552" s="98" t="s">
        <v>1173</v>
      </c>
      <c r="I552" s="98" t="s">
        <v>1174</v>
      </c>
      <c r="J552" s="32" t="s">
        <v>1175</v>
      </c>
      <c r="K552" s="91"/>
      <c r="L552" s="91"/>
      <c r="M552" s="91"/>
      <c r="N552" s="96" t="b">
        <v>0</v>
      </c>
      <c r="O552" s="96" t="b">
        <v>0</v>
      </c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  <c r="AA552" s="92"/>
      <c r="AB552" s="92"/>
      <c r="AC552" s="92"/>
      <c r="AD552" s="92"/>
      <c r="AE552" s="92"/>
      <c r="AF552" s="92"/>
      <c r="AG552" s="92"/>
    </row>
    <row r="553" hidden="1">
      <c r="A553" s="86" t="str">
        <f t="shared" si="22"/>
        <v/>
      </c>
      <c r="B553" s="25"/>
      <c r="C553" s="80" t="s">
        <v>78</v>
      </c>
      <c r="D553" s="97"/>
      <c r="E553" s="98"/>
      <c r="F553" s="98"/>
      <c r="G553" s="99"/>
      <c r="H553" s="98"/>
      <c r="I553" s="98"/>
      <c r="J553" s="98"/>
      <c r="K553" s="91"/>
      <c r="L553" s="91"/>
      <c r="M553" s="91"/>
      <c r="N553" s="96" t="b">
        <v>0</v>
      </c>
      <c r="O553" s="96" t="b">
        <v>0</v>
      </c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  <c r="AA553" s="92"/>
      <c r="AB553" s="92"/>
      <c r="AC553" s="92"/>
      <c r="AD553" s="92"/>
      <c r="AE553" s="92"/>
      <c r="AF553" s="92"/>
      <c r="AG553" s="92"/>
    </row>
    <row r="554" hidden="1">
      <c r="A554" s="86" t="str">
        <f t="shared" si="22"/>
        <v/>
      </c>
      <c r="B554" s="39"/>
      <c r="C554" s="103"/>
      <c r="D554" s="97"/>
      <c r="E554" s="98"/>
      <c r="F554" s="98"/>
      <c r="G554" s="41"/>
      <c r="H554" s="98"/>
      <c r="I554" s="98"/>
      <c r="J554" s="98"/>
      <c r="K554" s="91"/>
      <c r="L554" s="91"/>
      <c r="M554" s="91"/>
      <c r="N554" s="96" t="b">
        <v>0</v>
      </c>
      <c r="O554" s="96" t="b">
        <v>0</v>
      </c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  <c r="AA554" s="92"/>
      <c r="AB554" s="92"/>
      <c r="AC554" s="92"/>
      <c r="AD554" s="92"/>
      <c r="AE554" s="92"/>
      <c r="AF554" s="92"/>
      <c r="AG554" s="92"/>
    </row>
    <row r="555" hidden="1">
      <c r="A555" s="86" t="str">
        <f t="shared" si="22"/>
        <v/>
      </c>
      <c r="B555" s="87"/>
      <c r="C555" s="88">
        <v>44377.0</v>
      </c>
      <c r="D555" s="97"/>
      <c r="E555" s="98"/>
      <c r="F555" s="98"/>
      <c r="G555" s="41"/>
      <c r="H555" s="98"/>
      <c r="I555" s="98"/>
      <c r="J555" s="98"/>
      <c r="K555" s="91"/>
      <c r="L555" s="91"/>
      <c r="M555" s="91"/>
      <c r="N555" s="96" t="b">
        <v>0</v>
      </c>
      <c r="O555" s="96" t="b">
        <v>0</v>
      </c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  <c r="AA555" s="92"/>
      <c r="AB555" s="92"/>
      <c r="AC555" s="92"/>
      <c r="AD555" s="92"/>
      <c r="AE555" s="92"/>
      <c r="AF555" s="92"/>
      <c r="AG555" s="92"/>
    </row>
    <row r="556" hidden="1">
      <c r="A556" s="86" t="str">
        <f t="shared" si="22"/>
        <v/>
      </c>
      <c r="B556" s="18" t="s">
        <v>1147</v>
      </c>
      <c r="C556" s="103"/>
      <c r="D556" s="97"/>
      <c r="E556" s="98"/>
      <c r="F556" s="98"/>
      <c r="G556" s="41"/>
      <c r="H556" s="98"/>
      <c r="I556" s="98"/>
      <c r="J556" s="98"/>
      <c r="K556" s="91"/>
      <c r="L556" s="91"/>
      <c r="M556" s="91"/>
      <c r="N556" s="96" t="b">
        <v>0</v>
      </c>
      <c r="O556" s="96" t="b">
        <v>0</v>
      </c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  <c r="AA556" s="92"/>
      <c r="AB556" s="92"/>
      <c r="AC556" s="92"/>
      <c r="AD556" s="92"/>
      <c r="AE556" s="92"/>
      <c r="AF556" s="92"/>
      <c r="AG556" s="92"/>
    </row>
    <row r="557" hidden="1">
      <c r="A557" s="86" t="str">
        <f t="shared" si="22"/>
        <v>5ff752f0292a61f3e5b13ff8</v>
      </c>
      <c r="B557" s="25"/>
      <c r="C557" s="80" t="s">
        <v>78</v>
      </c>
      <c r="D557" s="97" t="s">
        <v>399</v>
      </c>
      <c r="E557" s="32" t="s">
        <v>1176</v>
      </c>
      <c r="F557" s="32" t="s">
        <v>1177</v>
      </c>
      <c r="G557" s="99">
        <v>0.4583333333333333</v>
      </c>
      <c r="H557" s="98" t="s">
        <v>233</v>
      </c>
      <c r="I557" s="98" t="s">
        <v>1178</v>
      </c>
      <c r="J557" s="32" t="s">
        <v>1179</v>
      </c>
      <c r="K557" s="91"/>
      <c r="L557" s="91"/>
      <c r="M557" s="91"/>
      <c r="N557" s="96" t="b">
        <v>0</v>
      </c>
      <c r="O557" s="96" t="b">
        <v>0</v>
      </c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  <c r="AA557" s="92"/>
      <c r="AB557" s="92"/>
      <c r="AC557" s="92"/>
      <c r="AD557" s="92"/>
      <c r="AE557" s="92"/>
      <c r="AF557" s="92"/>
      <c r="AG557" s="92"/>
    </row>
    <row r="558" hidden="1">
      <c r="A558" s="86" t="str">
        <f t="shared" si="22"/>
        <v>60b15485dbae064b5a9085c4</v>
      </c>
      <c r="B558" s="25"/>
      <c r="C558" s="80" t="s">
        <v>78</v>
      </c>
      <c r="D558" s="97" t="s">
        <v>79</v>
      </c>
      <c r="E558" s="98" t="s">
        <v>986</v>
      </c>
      <c r="F558" s="98" t="s">
        <v>987</v>
      </c>
      <c r="G558" s="99">
        <v>0.5416666666666666</v>
      </c>
      <c r="H558" s="98" t="s">
        <v>233</v>
      </c>
      <c r="I558" s="98" t="s">
        <v>1180</v>
      </c>
      <c r="J558" s="98" t="s">
        <v>989</v>
      </c>
      <c r="K558" s="91"/>
      <c r="L558" s="91"/>
      <c r="M558" s="91"/>
      <c r="N558" s="96" t="b">
        <v>0</v>
      </c>
      <c r="O558" s="96" t="b">
        <v>0</v>
      </c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  <c r="AA558" s="92"/>
      <c r="AB558" s="92"/>
      <c r="AC558" s="92"/>
      <c r="AD558" s="92"/>
      <c r="AE558" s="92"/>
      <c r="AF558" s="92"/>
      <c r="AG558" s="92"/>
    </row>
    <row r="559" hidden="1">
      <c r="A559" s="86" t="str">
        <f t="shared" si="22"/>
        <v>607f3ed7d4c524317b62315f</v>
      </c>
      <c r="B559" s="25"/>
      <c r="C559" s="80" t="s">
        <v>78</v>
      </c>
      <c r="D559" s="107" t="s">
        <v>79</v>
      </c>
      <c r="E559" s="28" t="s">
        <v>1181</v>
      </c>
      <c r="F559" s="28" t="s">
        <v>1182</v>
      </c>
      <c r="G559" s="108">
        <v>0.625</v>
      </c>
      <c r="H559" s="109" t="s">
        <v>82</v>
      </c>
      <c r="I559" s="109" t="s">
        <v>1183</v>
      </c>
      <c r="J559" s="28" t="s">
        <v>1184</v>
      </c>
      <c r="K559" s="98"/>
      <c r="L559" s="91"/>
      <c r="M559" s="91"/>
      <c r="N559" s="96" t="b">
        <v>0</v>
      </c>
      <c r="O559" s="96" t="b">
        <v>0</v>
      </c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  <c r="AA559" s="92"/>
      <c r="AB559" s="92"/>
      <c r="AC559" s="92"/>
      <c r="AD559" s="92"/>
      <c r="AE559" s="92"/>
      <c r="AF559" s="92"/>
      <c r="AG559" s="92"/>
    </row>
    <row r="560" hidden="1">
      <c r="A560" s="86" t="str">
        <f t="shared" si="22"/>
        <v>60d0f33870291c8654424539</v>
      </c>
      <c r="B560" s="25"/>
      <c r="C560" s="80" t="s">
        <v>78</v>
      </c>
      <c r="D560" s="159" t="s">
        <v>399</v>
      </c>
      <c r="E560" s="160" t="s">
        <v>1185</v>
      </c>
      <c r="F560" s="160" t="s">
        <v>1186</v>
      </c>
      <c r="G560" s="161">
        <v>0.7083333333333334</v>
      </c>
      <c r="H560" s="162" t="s">
        <v>233</v>
      </c>
      <c r="I560" s="160" t="s">
        <v>1187</v>
      </c>
      <c r="J560" s="160" t="s">
        <v>1188</v>
      </c>
      <c r="K560" s="91"/>
      <c r="L560" s="91"/>
      <c r="M560" s="91"/>
      <c r="N560" s="96" t="b">
        <v>0</v>
      </c>
      <c r="O560" s="96" t="b">
        <v>0</v>
      </c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  <c r="AA560" s="92"/>
      <c r="AB560" s="92"/>
      <c r="AC560" s="92"/>
      <c r="AD560" s="92"/>
      <c r="AE560" s="92"/>
      <c r="AF560" s="92"/>
      <c r="AG560" s="92"/>
    </row>
    <row r="561" hidden="1">
      <c r="A561" s="86" t="str">
        <f t="shared" si="22"/>
        <v/>
      </c>
      <c r="B561" s="39"/>
      <c r="C561" s="103"/>
      <c r="D561" s="97"/>
      <c r="E561" s="98"/>
      <c r="F561" s="98"/>
      <c r="G561" s="41"/>
      <c r="H561" s="98"/>
      <c r="I561" s="98"/>
      <c r="J561" s="98"/>
      <c r="K561" s="91"/>
      <c r="L561" s="91"/>
      <c r="M561" s="91"/>
      <c r="N561" s="96" t="b">
        <v>0</v>
      </c>
      <c r="O561" s="96" t="b">
        <v>0</v>
      </c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  <c r="AA561" s="92"/>
      <c r="AB561" s="92"/>
      <c r="AC561" s="92"/>
      <c r="AD561" s="92"/>
      <c r="AE561" s="92"/>
      <c r="AF561" s="92"/>
      <c r="AG561" s="92"/>
    </row>
    <row r="562" hidden="1">
      <c r="A562" s="86" t="str">
        <f t="shared" si="22"/>
        <v/>
      </c>
      <c r="B562" s="87"/>
      <c r="C562" s="88">
        <v>44378.0</v>
      </c>
      <c r="D562" s="97"/>
      <c r="E562" s="98"/>
      <c r="F562" s="98"/>
      <c r="G562" s="41"/>
      <c r="H562" s="98"/>
      <c r="I562" s="98"/>
      <c r="J562" s="98"/>
      <c r="K562" s="91"/>
      <c r="L562" s="91"/>
      <c r="M562" s="91"/>
      <c r="N562" s="96" t="b">
        <v>0</v>
      </c>
      <c r="O562" s="96" t="b">
        <v>0</v>
      </c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  <c r="AA562" s="92"/>
      <c r="AB562" s="92"/>
      <c r="AC562" s="92"/>
      <c r="AD562" s="92"/>
      <c r="AE562" s="92"/>
      <c r="AF562" s="92"/>
      <c r="AG562" s="92"/>
    </row>
    <row r="563" hidden="1">
      <c r="A563" s="86" t="str">
        <f t="shared" si="22"/>
        <v/>
      </c>
      <c r="B563" s="18" t="s">
        <v>1147</v>
      </c>
      <c r="C563" s="103"/>
      <c r="D563" s="97"/>
      <c r="E563" s="98"/>
      <c r="F563" s="98"/>
      <c r="G563" s="163" t="s">
        <v>1189</v>
      </c>
      <c r="H563" s="164"/>
      <c r="I563" s="149"/>
      <c r="J563" s="98"/>
      <c r="K563" s="91"/>
      <c r="L563" s="91"/>
      <c r="M563" s="91"/>
      <c r="N563" s="96" t="b">
        <v>0</v>
      </c>
      <c r="O563" s="96" t="b">
        <v>0</v>
      </c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  <c r="AA563" s="92"/>
      <c r="AB563" s="92"/>
      <c r="AC563" s="92"/>
      <c r="AD563" s="92"/>
      <c r="AE563" s="92"/>
      <c r="AF563" s="92"/>
      <c r="AG563" s="92"/>
    </row>
    <row r="564" hidden="1">
      <c r="A564" s="86" t="str">
        <f t="shared" si="22"/>
        <v>604d370e2acc7942c3b93b2d</v>
      </c>
      <c r="B564" s="25"/>
      <c r="C564" s="80" t="s">
        <v>78</v>
      </c>
      <c r="D564" s="97" t="s">
        <v>79</v>
      </c>
      <c r="E564" s="35" t="s">
        <v>293</v>
      </c>
      <c r="F564" s="35" t="s">
        <v>294</v>
      </c>
      <c r="G564" s="99">
        <v>0.4166666666666667</v>
      </c>
      <c r="H564" s="165" t="s">
        <v>290</v>
      </c>
      <c r="I564" s="98" t="s">
        <v>1190</v>
      </c>
      <c r="J564" s="35" t="s">
        <v>297</v>
      </c>
      <c r="K564" s="98" t="s">
        <v>838</v>
      </c>
      <c r="L564" s="91"/>
      <c r="M564" s="91"/>
      <c r="N564" s="96" t="b">
        <v>0</v>
      </c>
      <c r="O564" s="96" t="b">
        <v>0</v>
      </c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  <c r="AA564" s="92"/>
      <c r="AB564" s="92"/>
      <c r="AC564" s="92"/>
      <c r="AD564" s="92"/>
      <c r="AE564" s="92"/>
      <c r="AF564" s="92"/>
      <c r="AG564" s="92"/>
    </row>
    <row r="565" hidden="1">
      <c r="A565" s="86" t="str">
        <f t="shared" si="22"/>
        <v>606addd5d418364065d5b2a4</v>
      </c>
      <c r="B565" s="25"/>
      <c r="C565" s="80" t="s">
        <v>78</v>
      </c>
      <c r="D565" s="97" t="s">
        <v>79</v>
      </c>
      <c r="E565" s="32" t="s">
        <v>1191</v>
      </c>
      <c r="F565" s="32" t="s">
        <v>1192</v>
      </c>
      <c r="G565" s="99">
        <v>0.5833333333333334</v>
      </c>
      <c r="H565" s="98" t="s">
        <v>290</v>
      </c>
      <c r="I565" s="98" t="s">
        <v>1193</v>
      </c>
      <c r="J565" s="32" t="s">
        <v>1194</v>
      </c>
      <c r="K565" s="91"/>
      <c r="L565" s="91"/>
      <c r="M565" s="91"/>
      <c r="N565" s="96" t="b">
        <v>0</v>
      </c>
      <c r="O565" s="96" t="b">
        <v>0</v>
      </c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  <c r="AA565" s="92"/>
      <c r="AB565" s="92"/>
      <c r="AC565" s="92"/>
      <c r="AD565" s="92"/>
      <c r="AE565" s="92"/>
      <c r="AF565" s="92"/>
      <c r="AG565" s="92"/>
    </row>
    <row r="566" hidden="1">
      <c r="A566" s="86" t="str">
        <f t="shared" si="22"/>
        <v>6068c05fea511aada565be77</v>
      </c>
      <c r="B566" s="25"/>
      <c r="C566" s="80" t="s">
        <v>78</v>
      </c>
      <c r="D566" s="107" t="s">
        <v>79</v>
      </c>
      <c r="E566" s="28" t="s">
        <v>1195</v>
      </c>
      <c r="F566" s="28" t="s">
        <v>1196</v>
      </c>
      <c r="G566" s="108">
        <v>0.6666666666666666</v>
      </c>
      <c r="H566" s="109" t="s">
        <v>635</v>
      </c>
      <c r="I566" s="109" t="s">
        <v>1197</v>
      </c>
      <c r="J566" s="28" t="s">
        <v>1198</v>
      </c>
      <c r="K566" s="98"/>
      <c r="L566" s="91"/>
      <c r="M566" s="91"/>
      <c r="N566" s="96" t="b">
        <v>0</v>
      </c>
      <c r="O566" s="96" t="b">
        <v>0</v>
      </c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  <c r="AA566" s="92"/>
      <c r="AB566" s="92"/>
      <c r="AC566" s="92"/>
      <c r="AD566" s="92"/>
      <c r="AE566" s="92"/>
      <c r="AF566" s="92"/>
      <c r="AG566" s="92"/>
    </row>
    <row r="567" hidden="1">
      <c r="A567" s="86" t="str">
        <f t="shared" si="22"/>
        <v>6087c5dc22a2d64a4e8d8f52</v>
      </c>
      <c r="B567" s="25"/>
      <c r="C567" s="80" t="s">
        <v>78</v>
      </c>
      <c r="D567" s="97" t="s">
        <v>79</v>
      </c>
      <c r="E567" s="32" t="s">
        <v>1199</v>
      </c>
      <c r="F567" s="32" t="s">
        <v>1200</v>
      </c>
      <c r="G567" s="99">
        <v>0.75</v>
      </c>
      <c r="H567" s="98" t="s">
        <v>290</v>
      </c>
      <c r="I567" s="98" t="s">
        <v>1201</v>
      </c>
      <c r="J567" s="32" t="s">
        <v>1202</v>
      </c>
      <c r="K567" s="91"/>
      <c r="L567" s="91"/>
      <c r="M567" s="91"/>
      <c r="N567" s="96" t="b">
        <v>0</v>
      </c>
      <c r="O567" s="96" t="b">
        <v>0</v>
      </c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  <c r="AA567" s="92"/>
      <c r="AB567" s="92"/>
      <c r="AC567" s="92"/>
      <c r="AD567" s="92"/>
      <c r="AE567" s="92"/>
      <c r="AF567" s="92"/>
      <c r="AG567" s="92"/>
    </row>
    <row r="568" hidden="1">
      <c r="A568" s="86" t="str">
        <f t="shared" si="22"/>
        <v/>
      </c>
      <c r="B568" s="39"/>
      <c r="C568" s="103"/>
      <c r="D568" s="97"/>
      <c r="E568" s="98"/>
      <c r="F568" s="98"/>
      <c r="G568" s="41"/>
      <c r="H568" s="98"/>
      <c r="I568" s="98"/>
      <c r="J568" s="98"/>
      <c r="K568" s="91"/>
      <c r="L568" s="91"/>
      <c r="M568" s="91"/>
      <c r="N568" s="96" t="b">
        <v>0</v>
      </c>
      <c r="O568" s="96" t="b">
        <v>0</v>
      </c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  <c r="AA568" s="92"/>
      <c r="AB568" s="92"/>
      <c r="AC568" s="92"/>
      <c r="AD568" s="92"/>
      <c r="AE568" s="92"/>
      <c r="AF568" s="92"/>
      <c r="AG568" s="92"/>
    </row>
    <row r="569" hidden="1">
      <c r="A569" s="86" t="str">
        <f t="shared" si="22"/>
        <v/>
      </c>
      <c r="B569" s="87"/>
      <c r="C569" s="88">
        <v>44379.0</v>
      </c>
      <c r="D569" s="97"/>
      <c r="E569" s="98"/>
      <c r="F569" s="98"/>
      <c r="G569" s="41"/>
      <c r="H569" s="98"/>
      <c r="I569" s="98"/>
      <c r="J569" s="98"/>
      <c r="K569" s="91"/>
      <c r="L569" s="91"/>
      <c r="M569" s="91"/>
      <c r="N569" s="96" t="b">
        <v>0</v>
      </c>
      <c r="O569" s="96" t="b">
        <v>0</v>
      </c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  <c r="AA569" s="92"/>
      <c r="AB569" s="92"/>
      <c r="AC569" s="92"/>
      <c r="AD569" s="92"/>
      <c r="AE569" s="92"/>
      <c r="AF569" s="92"/>
      <c r="AG569" s="92"/>
    </row>
    <row r="570" hidden="1">
      <c r="A570" s="86" t="str">
        <f t="shared" si="22"/>
        <v>5fedaaa82ccf25435121fd29</v>
      </c>
      <c r="B570" s="18" t="s">
        <v>1147</v>
      </c>
      <c r="C570" s="103"/>
      <c r="D570" s="97" t="s">
        <v>79</v>
      </c>
      <c r="E570" s="32" t="s">
        <v>1203</v>
      </c>
      <c r="F570" s="32" t="s">
        <v>1204</v>
      </c>
      <c r="G570" s="99">
        <v>0.4583333333333333</v>
      </c>
      <c r="H570" s="98" t="s">
        <v>1205</v>
      </c>
      <c r="I570" s="98" t="s">
        <v>1206</v>
      </c>
      <c r="J570" s="32" t="s">
        <v>1207</v>
      </c>
      <c r="K570" s="91"/>
      <c r="L570" s="91"/>
      <c r="M570" s="91"/>
      <c r="N570" s="96" t="b">
        <v>0</v>
      </c>
      <c r="O570" s="96" t="b">
        <v>0</v>
      </c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  <c r="AA570" s="92"/>
      <c r="AB570" s="92"/>
      <c r="AC570" s="92"/>
      <c r="AD570" s="92"/>
      <c r="AE570" s="92"/>
      <c r="AF570" s="92"/>
      <c r="AG570" s="92"/>
    </row>
    <row r="571" hidden="1">
      <c r="A571" s="86" t="str">
        <f t="shared" si="22"/>
        <v>60c35ce25a0319012f4ab7bd</v>
      </c>
      <c r="B571" s="25"/>
      <c r="C571" s="80" t="s">
        <v>78</v>
      </c>
      <c r="D571" s="97" t="s">
        <v>79</v>
      </c>
      <c r="E571" s="32" t="s">
        <v>1208</v>
      </c>
      <c r="F571" s="32" t="s">
        <v>1209</v>
      </c>
      <c r="G571" s="99">
        <v>0.5416666666666666</v>
      </c>
      <c r="H571" s="98" t="s">
        <v>949</v>
      </c>
      <c r="I571" s="98" t="s">
        <v>1210</v>
      </c>
      <c r="J571" s="32" t="s">
        <v>1211</v>
      </c>
      <c r="K571" s="91"/>
      <c r="L571" s="91"/>
      <c r="M571" s="91"/>
      <c r="N571" s="96" t="b">
        <v>0</v>
      </c>
      <c r="O571" s="96" t="b">
        <v>0</v>
      </c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  <c r="AA571" s="92"/>
      <c r="AB571" s="92"/>
      <c r="AC571" s="92"/>
      <c r="AD571" s="92"/>
      <c r="AE571" s="92"/>
      <c r="AF571" s="92"/>
      <c r="AG571" s="92"/>
    </row>
    <row r="572" hidden="1">
      <c r="A572" s="86" t="str">
        <f t="shared" si="22"/>
        <v>60a26792cdfc1054829fca36</v>
      </c>
      <c r="B572" s="25"/>
      <c r="C572" s="80" t="s">
        <v>78</v>
      </c>
      <c r="D572" s="97" t="s">
        <v>79</v>
      </c>
      <c r="E572" s="32" t="s">
        <v>1212</v>
      </c>
      <c r="F572" s="32" t="s">
        <v>1213</v>
      </c>
      <c r="G572" s="99">
        <v>0.625</v>
      </c>
      <c r="H572" s="98" t="s">
        <v>1214</v>
      </c>
      <c r="I572" s="98" t="s">
        <v>1215</v>
      </c>
      <c r="J572" s="32" t="s">
        <v>1216</v>
      </c>
      <c r="K572" s="91"/>
      <c r="L572" s="91"/>
      <c r="M572" s="91"/>
      <c r="N572" s="96" t="b">
        <v>0</v>
      </c>
      <c r="O572" s="96" t="b">
        <v>0</v>
      </c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  <c r="AA572" s="92"/>
      <c r="AB572" s="92"/>
      <c r="AC572" s="92"/>
      <c r="AD572" s="92"/>
      <c r="AE572" s="92"/>
      <c r="AF572" s="92"/>
      <c r="AG572" s="92"/>
    </row>
    <row r="573" hidden="1">
      <c r="A573" s="86" t="str">
        <f t="shared" si="22"/>
        <v>60af971c521633e1bffc15bb</v>
      </c>
      <c r="B573" s="25"/>
      <c r="C573" s="80" t="s">
        <v>78</v>
      </c>
      <c r="D573" s="107" t="s">
        <v>399</v>
      </c>
      <c r="E573" s="28" t="s">
        <v>1217</v>
      </c>
      <c r="F573" s="28" t="s">
        <v>1218</v>
      </c>
      <c r="G573" s="108">
        <v>0.7083333333333334</v>
      </c>
      <c r="H573" s="109" t="s">
        <v>407</v>
      </c>
      <c r="I573" s="109" t="s">
        <v>1219</v>
      </c>
      <c r="J573" s="28" t="s">
        <v>1220</v>
      </c>
      <c r="K573" s="111"/>
      <c r="L573" s="111"/>
      <c r="M573" s="91"/>
      <c r="N573" s="96" t="b">
        <v>0</v>
      </c>
      <c r="O573" s="96" t="b">
        <v>0</v>
      </c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  <c r="AA573" s="92"/>
      <c r="AB573" s="92"/>
      <c r="AC573" s="92"/>
      <c r="AD573" s="92"/>
      <c r="AE573" s="92"/>
      <c r="AF573" s="92"/>
      <c r="AG573" s="92"/>
    </row>
    <row r="574" hidden="1">
      <c r="A574" s="86" t="str">
        <f t="shared" si="22"/>
        <v>60cb124c381b50eecfc77fd4</v>
      </c>
      <c r="B574" s="25"/>
      <c r="C574" s="80" t="s">
        <v>78</v>
      </c>
      <c r="D574" s="107" t="s">
        <v>399</v>
      </c>
      <c r="E574" s="28" t="s">
        <v>1221</v>
      </c>
      <c r="F574" s="28" t="s">
        <v>1222</v>
      </c>
      <c r="G574" s="108">
        <v>0.7708333333333334</v>
      </c>
      <c r="H574" s="109" t="s">
        <v>407</v>
      </c>
      <c r="I574" s="115" t="s">
        <v>1223</v>
      </c>
      <c r="J574" s="28" t="s">
        <v>1224</v>
      </c>
      <c r="K574" s="98" t="s">
        <v>1225</v>
      </c>
      <c r="L574" s="91"/>
      <c r="M574" s="91"/>
      <c r="N574" s="96" t="b">
        <v>0</v>
      </c>
      <c r="O574" s="96" t="b">
        <v>0</v>
      </c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  <c r="AA574" s="92"/>
      <c r="AB574" s="92"/>
      <c r="AC574" s="92"/>
      <c r="AD574" s="92"/>
      <c r="AE574" s="92"/>
      <c r="AF574" s="92"/>
      <c r="AG574" s="92"/>
    </row>
    <row r="575" hidden="1">
      <c r="A575" s="86" t="str">
        <f t="shared" si="22"/>
        <v/>
      </c>
      <c r="B575" s="39"/>
      <c r="C575" s="103"/>
      <c r="D575" s="97"/>
      <c r="E575" s="98"/>
      <c r="F575" s="98"/>
      <c r="G575" s="41"/>
      <c r="H575" s="98"/>
      <c r="I575" s="98"/>
      <c r="J575" s="98"/>
      <c r="K575" s="91"/>
      <c r="L575" s="91"/>
      <c r="M575" s="91"/>
      <c r="N575" s="96" t="b">
        <v>0</v>
      </c>
      <c r="O575" s="96" t="b">
        <v>0</v>
      </c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  <c r="AA575" s="92"/>
      <c r="AB575" s="92"/>
      <c r="AC575" s="92"/>
      <c r="AD575" s="92"/>
      <c r="AE575" s="92"/>
      <c r="AF575" s="92"/>
      <c r="AG575" s="92"/>
    </row>
    <row r="576" hidden="1">
      <c r="A576" s="86" t="str">
        <f t="shared" si="22"/>
        <v/>
      </c>
      <c r="B576" s="166"/>
      <c r="C576" s="88">
        <v>44382.0</v>
      </c>
      <c r="D576" s="97"/>
      <c r="E576" s="98"/>
      <c r="F576" s="98"/>
      <c r="G576" s="41"/>
      <c r="H576" s="98"/>
      <c r="I576" s="98"/>
      <c r="J576" s="98"/>
      <c r="K576" s="91"/>
      <c r="L576" s="91"/>
      <c r="M576" s="91"/>
      <c r="N576" s="96" t="b">
        <v>0</v>
      </c>
      <c r="O576" s="96" t="b">
        <v>0</v>
      </c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  <c r="AA576" s="92"/>
      <c r="AB576" s="92"/>
      <c r="AC576" s="92"/>
      <c r="AD576" s="92"/>
      <c r="AE576" s="92"/>
      <c r="AF576" s="92"/>
      <c r="AG576" s="92"/>
    </row>
    <row r="577" hidden="1">
      <c r="A577" s="86" t="str">
        <f t="shared" si="22"/>
        <v/>
      </c>
      <c r="B577" s="18" t="s">
        <v>1147</v>
      </c>
      <c r="C577" s="103"/>
      <c r="D577" s="97"/>
      <c r="E577" s="32"/>
      <c r="F577" s="32"/>
      <c r="G577" s="99"/>
      <c r="H577" s="98"/>
      <c r="I577" s="98"/>
      <c r="J577" s="32"/>
      <c r="K577" s="91"/>
      <c r="L577" s="91"/>
      <c r="M577" s="91"/>
      <c r="N577" s="96" t="b">
        <v>0</v>
      </c>
      <c r="O577" s="96" t="b">
        <v>0</v>
      </c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  <c r="AA577" s="92"/>
      <c r="AB577" s="92"/>
      <c r="AC577" s="92"/>
      <c r="AD577" s="92"/>
      <c r="AE577" s="92"/>
      <c r="AF577" s="92"/>
      <c r="AG577" s="92"/>
    </row>
    <row r="578" hidden="1">
      <c r="A578" s="86" t="str">
        <f t="shared" si="22"/>
        <v>5ff42f29ce622f158ecd4335</v>
      </c>
      <c r="B578" s="25"/>
      <c r="C578" s="80" t="s">
        <v>78</v>
      </c>
      <c r="D578" s="97" t="s">
        <v>79</v>
      </c>
      <c r="E578" s="32" t="s">
        <v>921</v>
      </c>
      <c r="F578" s="32" t="s">
        <v>922</v>
      </c>
      <c r="G578" s="41" t="s">
        <v>283</v>
      </c>
      <c r="H578" s="98" t="s">
        <v>290</v>
      </c>
      <c r="I578" s="98" t="s">
        <v>1226</v>
      </c>
      <c r="J578" s="32" t="s">
        <v>924</v>
      </c>
      <c r="K578" s="91"/>
      <c r="L578" s="91"/>
      <c r="M578" s="91"/>
      <c r="N578" s="96" t="b">
        <v>0</v>
      </c>
      <c r="O578" s="96" t="b">
        <v>0</v>
      </c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  <c r="AA578" s="92"/>
      <c r="AB578" s="92"/>
      <c r="AC578" s="92"/>
      <c r="AD578" s="92"/>
      <c r="AE578" s="92"/>
      <c r="AF578" s="92"/>
      <c r="AG578" s="92"/>
    </row>
    <row r="579" hidden="1">
      <c r="A579" s="86" t="str">
        <f t="shared" si="22"/>
        <v>60b272f5f6e30aadd1d0a301</v>
      </c>
      <c r="B579" s="25"/>
      <c r="C579" s="80" t="s">
        <v>78</v>
      </c>
      <c r="D579" s="107" t="s">
        <v>79</v>
      </c>
      <c r="E579" s="28" t="s">
        <v>1227</v>
      </c>
      <c r="F579" s="28" t="s">
        <v>1228</v>
      </c>
      <c r="G579" s="112" t="s">
        <v>449</v>
      </c>
      <c r="H579" s="109" t="s">
        <v>290</v>
      </c>
      <c r="I579" s="109" t="s">
        <v>1229</v>
      </c>
      <c r="J579" s="28" t="s">
        <v>1230</v>
      </c>
      <c r="K579" s="91"/>
      <c r="L579" s="91"/>
      <c r="M579" s="91"/>
      <c r="N579" s="96" t="b">
        <v>0</v>
      </c>
      <c r="O579" s="96" t="b">
        <v>0</v>
      </c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  <c r="AA579" s="92"/>
      <c r="AB579" s="92"/>
      <c r="AC579" s="92"/>
      <c r="AD579" s="92"/>
      <c r="AE579" s="92"/>
      <c r="AF579" s="92"/>
      <c r="AG579" s="92"/>
    </row>
    <row r="580" hidden="1">
      <c r="A580" s="86" t="str">
        <f t="shared" si="22"/>
        <v>60950a2402644c32578396a6</v>
      </c>
      <c r="B580" s="25"/>
      <c r="C580" s="80" t="s">
        <v>78</v>
      </c>
      <c r="D580" s="97" t="s">
        <v>79</v>
      </c>
      <c r="E580" s="32" t="s">
        <v>826</v>
      </c>
      <c r="F580" s="32" t="s">
        <v>827</v>
      </c>
      <c r="G580" s="41" t="s">
        <v>180</v>
      </c>
      <c r="H580" s="98" t="s">
        <v>290</v>
      </c>
      <c r="I580" s="98" t="s">
        <v>1231</v>
      </c>
      <c r="J580" s="32" t="s">
        <v>829</v>
      </c>
      <c r="K580" s="91"/>
      <c r="L580" s="91"/>
      <c r="M580" s="91"/>
      <c r="N580" s="96" t="b">
        <v>0</v>
      </c>
      <c r="O580" s="96" t="b">
        <v>0</v>
      </c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  <c r="AA580" s="92"/>
      <c r="AB580" s="92"/>
      <c r="AC580" s="92"/>
      <c r="AD580" s="92"/>
      <c r="AE580" s="92"/>
      <c r="AF580" s="92"/>
      <c r="AG580" s="92"/>
    </row>
    <row r="581" hidden="1">
      <c r="A581" s="86" t="str">
        <f t="shared" si="22"/>
        <v>608d965ec6f49173393d5ed2</v>
      </c>
      <c r="B581" s="25"/>
      <c r="C581" s="80" t="s">
        <v>78</v>
      </c>
      <c r="D581" s="107" t="s">
        <v>79</v>
      </c>
      <c r="E581" s="28" t="s">
        <v>1232</v>
      </c>
      <c r="F581" s="28" t="s">
        <v>1233</v>
      </c>
      <c r="G581" s="112" t="s">
        <v>248</v>
      </c>
      <c r="H581" s="109" t="s">
        <v>290</v>
      </c>
      <c r="I581" s="115" t="s">
        <v>1234</v>
      </c>
      <c r="J581" s="28" t="s">
        <v>1235</v>
      </c>
      <c r="K581" s="109"/>
      <c r="L581" s="111"/>
      <c r="M581" s="91"/>
      <c r="N581" s="96" t="b">
        <v>0</v>
      </c>
      <c r="O581" s="96" t="b">
        <v>0</v>
      </c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  <c r="AA581" s="92"/>
      <c r="AB581" s="92"/>
      <c r="AC581" s="92"/>
      <c r="AD581" s="92"/>
      <c r="AE581" s="92"/>
      <c r="AF581" s="92"/>
      <c r="AG581" s="92"/>
    </row>
    <row r="582" hidden="1">
      <c r="A582" s="86" t="str">
        <f t="shared" si="22"/>
        <v/>
      </c>
      <c r="B582" s="39"/>
      <c r="C582" s="103"/>
      <c r="D582" s="97"/>
      <c r="E582" s="98"/>
      <c r="F582" s="98"/>
      <c r="G582" s="41"/>
      <c r="H582" s="98"/>
      <c r="I582" s="98"/>
      <c r="J582" s="98"/>
      <c r="K582" s="91"/>
      <c r="L582" s="91"/>
      <c r="M582" s="91"/>
      <c r="N582" s="96" t="b">
        <v>0</v>
      </c>
      <c r="O582" s="96" t="b">
        <v>0</v>
      </c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  <c r="AA582" s="92"/>
      <c r="AB582" s="92"/>
      <c r="AC582" s="92"/>
      <c r="AD582" s="92"/>
      <c r="AE582" s="92"/>
      <c r="AF582" s="92"/>
      <c r="AG582" s="92"/>
    </row>
    <row r="583" hidden="1">
      <c r="A583" s="86" t="str">
        <f t="shared" si="22"/>
        <v/>
      </c>
      <c r="B583" s="166"/>
      <c r="C583" s="88">
        <v>44383.0</v>
      </c>
      <c r="D583" s="97"/>
      <c r="E583" s="98"/>
      <c r="F583" s="98"/>
      <c r="G583" s="41"/>
      <c r="H583" s="98"/>
      <c r="I583" s="98"/>
      <c r="J583" s="98"/>
      <c r="K583" s="91"/>
      <c r="L583" s="91"/>
      <c r="M583" s="91"/>
      <c r="N583" s="96" t="b">
        <v>0</v>
      </c>
      <c r="O583" s="96" t="b">
        <v>0</v>
      </c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  <c r="AA583" s="92"/>
      <c r="AB583" s="92"/>
      <c r="AC583" s="92"/>
      <c r="AD583" s="92"/>
      <c r="AE583" s="92"/>
      <c r="AF583" s="92"/>
      <c r="AG583" s="92"/>
    </row>
    <row r="584" hidden="1">
      <c r="A584" s="86" t="str">
        <f t="shared" si="22"/>
        <v/>
      </c>
      <c r="B584" s="123" t="s">
        <v>286</v>
      </c>
      <c r="C584" s="103"/>
      <c r="D584" s="97"/>
      <c r="E584" s="32"/>
      <c r="F584" s="32"/>
      <c r="G584" s="99"/>
      <c r="H584" s="98"/>
      <c r="I584" s="98"/>
      <c r="J584" s="32"/>
      <c r="K584" s="91"/>
      <c r="L584" s="91"/>
      <c r="M584" s="91"/>
      <c r="N584" s="96" t="b">
        <v>0</v>
      </c>
      <c r="O584" s="96" t="b">
        <v>0</v>
      </c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  <c r="AA584" s="92"/>
      <c r="AB584" s="92"/>
      <c r="AC584" s="92"/>
      <c r="AD584" s="92"/>
      <c r="AE584" s="92"/>
      <c r="AF584" s="92"/>
      <c r="AG584" s="92"/>
    </row>
    <row r="585" hidden="1">
      <c r="A585" s="86" t="str">
        <f t="shared" si="22"/>
        <v>5fe0ca7523ff89b4c3a74ee2</v>
      </c>
      <c r="B585" s="57"/>
      <c r="C585" s="80" t="s">
        <v>78</v>
      </c>
      <c r="D585" s="97" t="s">
        <v>79</v>
      </c>
      <c r="E585" s="32" t="s">
        <v>1236</v>
      </c>
      <c r="F585" s="32" t="s">
        <v>1237</v>
      </c>
      <c r="G585" s="99">
        <v>0.4583333333333333</v>
      </c>
      <c r="H585" s="98" t="s">
        <v>367</v>
      </c>
      <c r="I585" s="98" t="s">
        <v>1238</v>
      </c>
      <c r="J585" s="32" t="s">
        <v>1239</v>
      </c>
      <c r="K585" s="91"/>
      <c r="L585" s="91"/>
      <c r="M585" s="91"/>
      <c r="N585" s="96" t="b">
        <v>0</v>
      </c>
      <c r="O585" s="96" t="b">
        <v>0</v>
      </c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  <c r="AA585" s="92"/>
      <c r="AB585" s="92"/>
      <c r="AC585" s="92"/>
      <c r="AD585" s="92"/>
      <c r="AE585" s="92"/>
      <c r="AF585" s="92"/>
      <c r="AG585" s="92"/>
    </row>
    <row r="586" hidden="1">
      <c r="A586" s="86" t="str">
        <f t="shared" si="22"/>
        <v>6024169af4cd367fdc80da8a</v>
      </c>
      <c r="B586" s="57"/>
      <c r="C586" s="80" t="s">
        <v>78</v>
      </c>
      <c r="D586" s="107" t="s">
        <v>79</v>
      </c>
      <c r="E586" s="28" t="s">
        <v>1240</v>
      </c>
      <c r="F586" s="28" t="s">
        <v>1241</v>
      </c>
      <c r="G586" s="108">
        <v>0.6458333333333334</v>
      </c>
      <c r="H586" s="109" t="s">
        <v>1242</v>
      </c>
      <c r="I586" s="109" t="s">
        <v>1243</v>
      </c>
      <c r="J586" s="28" t="s">
        <v>1244</v>
      </c>
      <c r="K586" s="91"/>
      <c r="L586" s="91"/>
      <c r="M586" s="91"/>
      <c r="N586" s="96" t="b">
        <v>0</v>
      </c>
      <c r="O586" s="96" t="b">
        <v>0</v>
      </c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  <c r="AA586" s="92"/>
      <c r="AB586" s="92"/>
      <c r="AC586" s="92"/>
      <c r="AD586" s="92"/>
      <c r="AE586" s="92"/>
      <c r="AF586" s="92"/>
      <c r="AG586" s="92"/>
    </row>
    <row r="587" hidden="1">
      <c r="A587" s="86" t="str">
        <f t="shared" si="22"/>
        <v>602721f33a2e4e6b65d17d17</v>
      </c>
      <c r="B587" s="57"/>
      <c r="C587" s="80" t="s">
        <v>78</v>
      </c>
      <c r="D587" s="97" t="s">
        <v>79</v>
      </c>
      <c r="E587" s="32" t="s">
        <v>1245</v>
      </c>
      <c r="F587" s="32" t="s">
        <v>1246</v>
      </c>
      <c r="G587" s="99">
        <v>0.7291666666666666</v>
      </c>
      <c r="H587" s="98" t="s">
        <v>1247</v>
      </c>
      <c r="I587" s="32" t="s">
        <v>1248</v>
      </c>
      <c r="J587" s="32" t="s">
        <v>1249</v>
      </c>
      <c r="K587" s="91"/>
      <c r="L587" s="91"/>
      <c r="M587" s="91"/>
      <c r="N587" s="96" t="b">
        <v>0</v>
      </c>
      <c r="O587" s="96" t="b">
        <v>0</v>
      </c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  <c r="AA587" s="92"/>
      <c r="AB587" s="92"/>
      <c r="AC587" s="92"/>
      <c r="AD587" s="92"/>
      <c r="AE587" s="92"/>
      <c r="AF587" s="92"/>
      <c r="AG587" s="92"/>
    </row>
    <row r="588" hidden="1">
      <c r="A588" s="86" t="str">
        <f t="shared" si="22"/>
        <v>60ab83a73c8a9047235d87f4</v>
      </c>
      <c r="B588" s="57"/>
      <c r="C588" s="80" t="s">
        <v>78</v>
      </c>
      <c r="D588" s="97" t="s">
        <v>79</v>
      </c>
      <c r="E588" s="32" t="s">
        <v>1250</v>
      </c>
      <c r="F588" s="32" t="s">
        <v>1251</v>
      </c>
      <c r="G588" s="99">
        <v>0.7708333333333334</v>
      </c>
      <c r="H588" s="98" t="s">
        <v>439</v>
      </c>
      <c r="I588" s="36" t="s">
        <v>1252</v>
      </c>
      <c r="J588" s="32" t="s">
        <v>1253</v>
      </c>
      <c r="K588" s="98"/>
      <c r="L588" s="91"/>
      <c r="M588" s="91"/>
      <c r="N588" s="96" t="b">
        <v>0</v>
      </c>
      <c r="O588" s="96" t="b">
        <v>0</v>
      </c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  <c r="AA588" s="92"/>
      <c r="AB588" s="92"/>
      <c r="AC588" s="92"/>
      <c r="AD588" s="92"/>
      <c r="AE588" s="92"/>
      <c r="AF588" s="92"/>
      <c r="AG588" s="92"/>
    </row>
    <row r="589" hidden="1">
      <c r="A589" s="86" t="str">
        <f t="shared" si="22"/>
        <v/>
      </c>
      <c r="B589" s="60"/>
      <c r="C589" s="80" t="s">
        <v>78</v>
      </c>
      <c r="D589" s="97"/>
      <c r="E589" s="32"/>
      <c r="F589" s="32"/>
      <c r="G589" s="167"/>
      <c r="H589" s="98"/>
      <c r="I589" s="32"/>
      <c r="J589" s="32"/>
      <c r="K589" s="91"/>
      <c r="L589" s="91"/>
      <c r="M589" s="91"/>
      <c r="N589" s="96" t="b">
        <v>0</v>
      </c>
      <c r="O589" s="96" t="b">
        <v>0</v>
      </c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  <c r="AA589" s="92"/>
      <c r="AB589" s="92"/>
      <c r="AC589" s="92"/>
      <c r="AD589" s="92"/>
      <c r="AE589" s="92"/>
      <c r="AF589" s="92"/>
      <c r="AG589" s="92"/>
    </row>
    <row r="590" hidden="1">
      <c r="A590" s="86" t="str">
        <f t="shared" si="22"/>
        <v/>
      </c>
      <c r="B590" s="123" t="s">
        <v>1254</v>
      </c>
      <c r="C590" s="168"/>
      <c r="D590" s="89"/>
      <c r="E590" s="169"/>
      <c r="F590" s="169"/>
      <c r="G590" s="94"/>
      <c r="H590" s="124"/>
      <c r="I590" s="124"/>
      <c r="J590" s="169"/>
      <c r="K590" s="91"/>
      <c r="L590" s="91"/>
      <c r="M590" s="91"/>
      <c r="N590" s="96" t="b">
        <v>0</v>
      </c>
      <c r="O590" s="96" t="b">
        <v>0</v>
      </c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  <c r="AA590" s="92"/>
      <c r="AB590" s="92"/>
      <c r="AC590" s="92"/>
      <c r="AD590" s="92"/>
      <c r="AE590" s="92"/>
      <c r="AF590" s="92"/>
      <c r="AG590" s="92"/>
    </row>
    <row r="591" hidden="1">
      <c r="A591" s="86" t="str">
        <f t="shared" si="22"/>
        <v>607d3f59748155445cdef8f5</v>
      </c>
      <c r="B591" s="57"/>
      <c r="C591" s="170" t="s">
        <v>78</v>
      </c>
      <c r="D591" s="97" t="s">
        <v>79</v>
      </c>
      <c r="E591" s="32" t="s">
        <v>1255</v>
      </c>
      <c r="F591" s="32" t="s">
        <v>1256</v>
      </c>
      <c r="G591" s="99">
        <v>0.4583333333333333</v>
      </c>
      <c r="H591" s="98" t="s">
        <v>82</v>
      </c>
      <c r="I591" s="98" t="s">
        <v>1257</v>
      </c>
      <c r="J591" s="32" t="s">
        <v>1258</v>
      </c>
      <c r="K591" s="91"/>
      <c r="L591" s="91"/>
      <c r="M591" s="91"/>
      <c r="N591" s="96" t="b">
        <v>0</v>
      </c>
      <c r="O591" s="96" t="b">
        <v>0</v>
      </c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  <c r="AA591" s="92"/>
      <c r="AB591" s="92"/>
      <c r="AC591" s="92"/>
      <c r="AD591" s="92"/>
      <c r="AE591" s="92"/>
      <c r="AF591" s="92"/>
      <c r="AG591" s="92"/>
    </row>
    <row r="592" hidden="1">
      <c r="A592" s="86" t="str">
        <f t="shared" si="22"/>
        <v>60cf6ef83d4f628fd7324b2c</v>
      </c>
      <c r="B592" s="57"/>
      <c r="C592" s="170" t="s">
        <v>78</v>
      </c>
      <c r="D592" s="75" t="s">
        <v>79</v>
      </c>
      <c r="E592" s="28" t="s">
        <v>1259</v>
      </c>
      <c r="F592" s="28" t="s">
        <v>1260</v>
      </c>
      <c r="G592" s="29">
        <v>0.5</v>
      </c>
      <c r="H592" s="30" t="s">
        <v>211</v>
      </c>
      <c r="I592" s="30" t="s">
        <v>1261</v>
      </c>
      <c r="J592" s="28" t="s">
        <v>1262</v>
      </c>
      <c r="K592" s="111"/>
      <c r="L592" s="98" t="s">
        <v>1263</v>
      </c>
      <c r="M592" s="91"/>
      <c r="N592" s="96" t="b">
        <v>0</v>
      </c>
      <c r="O592" s="96" t="b">
        <v>0</v>
      </c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  <c r="AA592" s="92"/>
      <c r="AB592" s="92"/>
      <c r="AC592" s="92"/>
      <c r="AD592" s="92"/>
      <c r="AE592" s="92"/>
      <c r="AF592" s="92"/>
      <c r="AG592" s="92"/>
    </row>
    <row r="593" hidden="1">
      <c r="A593" s="86" t="str">
        <f t="shared" si="22"/>
        <v>606360337692c7715bfcad87</v>
      </c>
      <c r="B593" s="57"/>
      <c r="C593" s="170" t="s">
        <v>78</v>
      </c>
      <c r="D593" s="97" t="s">
        <v>399</v>
      </c>
      <c r="E593" s="32" t="s">
        <v>689</v>
      </c>
      <c r="F593" s="32" t="s">
        <v>690</v>
      </c>
      <c r="G593" s="40" t="s">
        <v>449</v>
      </c>
      <c r="H593" s="42" t="s">
        <v>996</v>
      </c>
      <c r="I593" s="36" t="s">
        <v>1264</v>
      </c>
      <c r="J593" s="32" t="s">
        <v>692</v>
      </c>
      <c r="K593" s="98" t="s">
        <v>838</v>
      </c>
      <c r="L593" s="91"/>
      <c r="M593" s="91"/>
      <c r="N593" s="96" t="b">
        <v>0</v>
      </c>
      <c r="O593" s="96" t="b">
        <v>0</v>
      </c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  <c r="AA593" s="92"/>
      <c r="AB593" s="92"/>
      <c r="AC593" s="92"/>
      <c r="AD593" s="92"/>
      <c r="AE593" s="92"/>
      <c r="AF593" s="92"/>
      <c r="AG593" s="92"/>
    </row>
    <row r="594" hidden="1">
      <c r="A594" s="86" t="str">
        <f t="shared" si="22"/>
        <v>60cf803e7761e5799d054248</v>
      </c>
      <c r="B594" s="57"/>
      <c r="C594" s="170" t="s">
        <v>78</v>
      </c>
      <c r="D594" s="97" t="s">
        <v>79</v>
      </c>
      <c r="E594" s="32" t="s">
        <v>1265</v>
      </c>
      <c r="F594" s="32" t="s">
        <v>1266</v>
      </c>
      <c r="G594" s="171" t="s">
        <v>180</v>
      </c>
      <c r="H594" s="98" t="s">
        <v>205</v>
      </c>
      <c r="I594" s="32" t="s">
        <v>1267</v>
      </c>
      <c r="J594" s="32" t="s">
        <v>1268</v>
      </c>
      <c r="K594" s="91"/>
      <c r="L594" s="91"/>
      <c r="M594" s="91"/>
      <c r="N594" s="96" t="b">
        <v>0</v>
      </c>
      <c r="O594" s="96" t="b">
        <v>0</v>
      </c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  <c r="AA594" s="92"/>
      <c r="AB594" s="92"/>
      <c r="AC594" s="92"/>
      <c r="AD594" s="92"/>
      <c r="AE594" s="92"/>
      <c r="AF594" s="92"/>
      <c r="AG594" s="92"/>
    </row>
    <row r="595" hidden="1">
      <c r="A595" s="86" t="str">
        <f t="shared" si="22"/>
        <v/>
      </c>
      <c r="B595" s="60"/>
      <c r="C595" s="172"/>
      <c r="D595" s="89"/>
      <c r="E595" s="124"/>
      <c r="F595" s="124"/>
      <c r="G595" s="94"/>
      <c r="H595" s="124"/>
      <c r="I595" s="124"/>
      <c r="J595" s="124"/>
      <c r="K595" s="91"/>
      <c r="L595" s="91"/>
      <c r="M595" s="91"/>
      <c r="N595" s="96" t="b">
        <v>0</v>
      </c>
      <c r="O595" s="96" t="b">
        <v>0</v>
      </c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  <c r="AA595" s="92"/>
      <c r="AB595" s="92"/>
      <c r="AC595" s="92"/>
      <c r="AD595" s="92"/>
      <c r="AE595" s="92"/>
      <c r="AF595" s="92"/>
      <c r="AG595" s="92"/>
    </row>
    <row r="596" hidden="1">
      <c r="A596" s="86" t="str">
        <f t="shared" si="22"/>
        <v/>
      </c>
      <c r="B596" s="166"/>
      <c r="C596" s="88">
        <v>44384.0</v>
      </c>
      <c r="D596" s="97"/>
      <c r="E596" s="98"/>
      <c r="F596" s="98"/>
      <c r="G596" s="41"/>
      <c r="H596" s="98"/>
      <c r="I596" s="98"/>
      <c r="J596" s="98"/>
      <c r="K596" s="91"/>
      <c r="L596" s="91"/>
      <c r="M596" s="91"/>
      <c r="N596" s="96" t="b">
        <v>0</v>
      </c>
      <c r="O596" s="96" t="b">
        <v>0</v>
      </c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  <c r="AA596" s="92"/>
      <c r="AB596" s="92"/>
      <c r="AC596" s="92"/>
      <c r="AD596" s="92"/>
      <c r="AE596" s="92"/>
      <c r="AF596" s="92"/>
      <c r="AG596" s="92"/>
    </row>
    <row r="597" hidden="1">
      <c r="A597" s="86" t="str">
        <f t="shared" si="22"/>
        <v/>
      </c>
      <c r="B597" s="123" t="s">
        <v>286</v>
      </c>
      <c r="C597" s="103"/>
      <c r="D597" s="97"/>
      <c r="E597" s="32"/>
      <c r="F597" s="32"/>
      <c r="G597" s="99"/>
      <c r="H597" s="98"/>
      <c r="I597" s="98"/>
      <c r="J597" s="32"/>
      <c r="K597" s="91"/>
      <c r="L597" s="91"/>
      <c r="M597" s="91"/>
      <c r="N597" s="96" t="b">
        <v>0</v>
      </c>
      <c r="O597" s="96" t="b">
        <v>0</v>
      </c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  <c r="AA597" s="92"/>
      <c r="AB597" s="92"/>
      <c r="AC597" s="92"/>
      <c r="AD597" s="92"/>
      <c r="AE597" s="92"/>
      <c r="AF597" s="92"/>
      <c r="AG597" s="92"/>
    </row>
    <row r="598" hidden="1">
      <c r="A598" s="86" t="str">
        <f t="shared" si="22"/>
        <v>60ba2b0599f04867ce41e82c</v>
      </c>
      <c r="B598" s="57"/>
      <c r="C598" s="80" t="s">
        <v>78</v>
      </c>
      <c r="D598" s="97" t="s">
        <v>79</v>
      </c>
      <c r="E598" s="32" t="s">
        <v>1269</v>
      </c>
      <c r="F598" s="32" t="s">
        <v>1270</v>
      </c>
      <c r="G598" s="99">
        <v>0.5</v>
      </c>
      <c r="H598" s="98" t="s">
        <v>755</v>
      </c>
      <c r="I598" s="98" t="s">
        <v>1271</v>
      </c>
      <c r="J598" s="32" t="s">
        <v>1272</v>
      </c>
      <c r="K598" s="91"/>
      <c r="L598" s="91"/>
      <c r="M598" s="91"/>
      <c r="N598" s="96" t="b">
        <v>0</v>
      </c>
      <c r="O598" s="96" t="b">
        <v>0</v>
      </c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  <c r="AA598" s="92"/>
      <c r="AB598" s="92"/>
      <c r="AC598" s="92"/>
      <c r="AD598" s="92"/>
      <c r="AE598" s="92"/>
      <c r="AF598" s="92"/>
      <c r="AG598" s="92"/>
    </row>
    <row r="599" hidden="1">
      <c r="A599" s="86" t="str">
        <f t="shared" si="22"/>
        <v>60a6621352f92b5819d70cf0</v>
      </c>
      <c r="B599" s="57"/>
      <c r="C599" s="80" t="s">
        <v>78</v>
      </c>
      <c r="D599" s="97" t="s">
        <v>79</v>
      </c>
      <c r="E599" s="32" t="s">
        <v>1273</v>
      </c>
      <c r="F599" s="32" t="s">
        <v>1274</v>
      </c>
      <c r="G599" s="99">
        <v>0.5833333333333334</v>
      </c>
      <c r="H599" s="98" t="s">
        <v>1275</v>
      </c>
      <c r="I599" s="98" t="s">
        <v>1276</v>
      </c>
      <c r="J599" s="32" t="s">
        <v>1277</v>
      </c>
      <c r="K599" s="91"/>
      <c r="L599" s="91"/>
      <c r="M599" s="91"/>
      <c r="N599" s="96" t="b">
        <v>0</v>
      </c>
      <c r="O599" s="96" t="b">
        <v>0</v>
      </c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  <c r="AA599" s="92"/>
      <c r="AB599" s="92"/>
      <c r="AC599" s="92"/>
      <c r="AD599" s="92"/>
      <c r="AE599" s="92"/>
      <c r="AF599" s="92"/>
      <c r="AG599" s="92"/>
    </row>
    <row r="600" hidden="1">
      <c r="A600" s="86" t="str">
        <f t="shared" si="22"/>
        <v>60149bbabb98bb30ff37b329</v>
      </c>
      <c r="B600" s="57"/>
      <c r="C600" s="80" t="s">
        <v>78</v>
      </c>
      <c r="D600" s="107" t="s">
        <v>79</v>
      </c>
      <c r="E600" s="28" t="s">
        <v>1278</v>
      </c>
      <c r="F600" s="28" t="s">
        <v>1279</v>
      </c>
      <c r="G600" s="108">
        <v>0.6666666666666666</v>
      </c>
      <c r="H600" s="109" t="s">
        <v>755</v>
      </c>
      <c r="I600" s="109" t="s">
        <v>1280</v>
      </c>
      <c r="J600" s="28" t="s">
        <v>1281</v>
      </c>
      <c r="K600" s="109" t="s">
        <v>1282</v>
      </c>
      <c r="L600" s="91"/>
      <c r="M600" s="91"/>
      <c r="N600" s="96" t="b">
        <v>0</v>
      </c>
      <c r="O600" s="96" t="b">
        <v>0</v>
      </c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  <c r="AA600" s="92"/>
      <c r="AB600" s="92"/>
      <c r="AC600" s="92"/>
      <c r="AD600" s="92"/>
      <c r="AE600" s="92"/>
      <c r="AF600" s="92"/>
      <c r="AG600" s="92"/>
    </row>
    <row r="601" hidden="1">
      <c r="A601" s="86" t="str">
        <f t="shared" si="22"/>
        <v>5fe9a329333ef5df88aef60f</v>
      </c>
      <c r="B601" s="57"/>
      <c r="C601" s="80" t="s">
        <v>78</v>
      </c>
      <c r="D601" s="97" t="s">
        <v>79</v>
      </c>
      <c r="E601" s="32" t="s">
        <v>1283</v>
      </c>
      <c r="F601" s="32" t="s">
        <v>1284</v>
      </c>
      <c r="G601" s="99">
        <v>0.75</v>
      </c>
      <c r="H601" s="98" t="s">
        <v>367</v>
      </c>
      <c r="I601" s="36" t="s">
        <v>1285</v>
      </c>
      <c r="J601" s="32" t="s">
        <v>1286</v>
      </c>
      <c r="K601" s="98"/>
      <c r="L601" s="91"/>
      <c r="M601" s="91"/>
      <c r="N601" s="96" t="b">
        <v>0</v>
      </c>
      <c r="O601" s="96" t="b">
        <v>0</v>
      </c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  <c r="AA601" s="92"/>
      <c r="AB601" s="92"/>
      <c r="AC601" s="92"/>
      <c r="AD601" s="92"/>
      <c r="AE601" s="92"/>
      <c r="AF601" s="92"/>
      <c r="AG601" s="92"/>
    </row>
    <row r="602" hidden="1">
      <c r="A602" s="86" t="str">
        <f t="shared" si="22"/>
        <v>60d98e5c8b7ca9ddf5de2173</v>
      </c>
      <c r="B602" s="60"/>
      <c r="C602" s="80" t="s">
        <v>78</v>
      </c>
      <c r="D602" s="97" t="s">
        <v>79</v>
      </c>
      <c r="E602" s="32" t="s">
        <v>1287</v>
      </c>
      <c r="F602" s="32" t="s">
        <v>1288</v>
      </c>
      <c r="G602" s="33">
        <v>0.6666666666666666</v>
      </c>
      <c r="H602" s="42" t="s">
        <v>1275</v>
      </c>
      <c r="I602" s="42" t="s">
        <v>1289</v>
      </c>
      <c r="J602" s="32" t="s">
        <v>1290</v>
      </c>
      <c r="K602" s="21"/>
      <c r="L602" s="91"/>
      <c r="M602" s="91"/>
      <c r="N602" s="96" t="b">
        <v>0</v>
      </c>
      <c r="O602" s="96" t="b">
        <v>0</v>
      </c>
      <c r="P602" s="173"/>
      <c r="Q602" s="173"/>
      <c r="R602" s="173"/>
      <c r="S602" s="173"/>
      <c r="T602" s="173"/>
      <c r="U602" s="173"/>
      <c r="V602" s="173"/>
      <c r="W602" s="173"/>
      <c r="X602" s="173"/>
      <c r="Y602" s="173"/>
      <c r="Z602" s="173"/>
      <c r="AA602" s="173"/>
      <c r="AB602" s="173"/>
      <c r="AC602" s="173"/>
      <c r="AD602" s="173"/>
      <c r="AE602" s="173"/>
      <c r="AF602" s="173"/>
      <c r="AG602" s="173"/>
    </row>
    <row r="603" hidden="1">
      <c r="A603" s="86" t="str">
        <f t="shared" si="22"/>
        <v/>
      </c>
      <c r="B603" s="123" t="s">
        <v>1254</v>
      </c>
      <c r="C603" s="168"/>
      <c r="D603" s="89"/>
      <c r="E603" s="21"/>
      <c r="F603" s="21"/>
      <c r="G603" s="22"/>
      <c r="H603" s="21"/>
      <c r="I603" s="21"/>
      <c r="J603" s="21"/>
      <c r="K603" s="21"/>
      <c r="L603" s="91"/>
      <c r="M603" s="91"/>
      <c r="N603" s="96" t="b">
        <v>0</v>
      </c>
      <c r="O603" s="96" t="b">
        <v>0</v>
      </c>
      <c r="P603" s="173"/>
      <c r="Q603" s="173"/>
      <c r="R603" s="173"/>
      <c r="S603" s="173"/>
      <c r="T603" s="173"/>
      <c r="U603" s="173"/>
      <c r="V603" s="173"/>
      <c r="W603" s="173"/>
      <c r="X603" s="173"/>
      <c r="Y603" s="173"/>
      <c r="Z603" s="173"/>
      <c r="AA603" s="173"/>
      <c r="AB603" s="173"/>
      <c r="AC603" s="173"/>
      <c r="AD603" s="173"/>
      <c r="AE603" s="173"/>
      <c r="AF603" s="173"/>
      <c r="AG603" s="173"/>
    </row>
    <row r="604" hidden="1">
      <c r="A604" s="86" t="str">
        <f t="shared" si="22"/>
        <v/>
      </c>
      <c r="B604" s="57"/>
      <c r="C604" s="170" t="s">
        <v>78</v>
      </c>
      <c r="D604" s="97"/>
      <c r="E604" s="32"/>
      <c r="F604" s="32"/>
      <c r="G604" s="33"/>
      <c r="H604" s="21"/>
      <c r="I604" s="21"/>
      <c r="J604" s="21"/>
      <c r="K604" s="98"/>
      <c r="L604" s="91"/>
      <c r="M604" s="91"/>
      <c r="N604" s="96" t="b">
        <v>0</v>
      </c>
      <c r="O604" s="96" t="b">
        <v>0</v>
      </c>
      <c r="P604" s="173"/>
      <c r="Q604" s="173"/>
      <c r="R604" s="173"/>
      <c r="S604" s="173"/>
      <c r="T604" s="173"/>
      <c r="U604" s="173"/>
      <c r="V604" s="173"/>
      <c r="W604" s="173"/>
      <c r="X604" s="173"/>
      <c r="Y604" s="173"/>
      <c r="Z604" s="173"/>
      <c r="AA604" s="173"/>
      <c r="AB604" s="173"/>
      <c r="AC604" s="173"/>
      <c r="AD604" s="173"/>
      <c r="AE604" s="173"/>
      <c r="AF604" s="173"/>
      <c r="AG604" s="173"/>
    </row>
    <row r="605" hidden="1">
      <c r="A605" s="86" t="str">
        <f t="shared" si="22"/>
        <v>60243b5f49682f1040a0d0e9</v>
      </c>
      <c r="B605" s="57"/>
      <c r="C605" s="170" t="s">
        <v>78</v>
      </c>
      <c r="D605" s="97" t="s">
        <v>79</v>
      </c>
      <c r="E605" s="42" t="s">
        <v>1291</v>
      </c>
      <c r="F605" s="42" t="s">
        <v>1292</v>
      </c>
      <c r="G605" s="33">
        <v>0.5416666666666666</v>
      </c>
      <c r="H605" s="42" t="s">
        <v>87</v>
      </c>
      <c r="I605" s="42" t="s">
        <v>1293</v>
      </c>
      <c r="J605" s="42" t="s">
        <v>1294</v>
      </c>
      <c r="K605" s="21"/>
      <c r="L605" s="91"/>
      <c r="M605" s="91"/>
      <c r="N605" s="96" t="b">
        <v>0</v>
      </c>
      <c r="O605" s="96" t="b">
        <v>0</v>
      </c>
      <c r="P605" s="173"/>
      <c r="Q605" s="173"/>
      <c r="R605" s="173"/>
      <c r="S605" s="173"/>
      <c r="T605" s="173"/>
      <c r="U605" s="173"/>
      <c r="V605" s="173"/>
      <c r="W605" s="173"/>
      <c r="X605" s="173"/>
      <c r="Y605" s="173"/>
      <c r="Z605" s="173"/>
      <c r="AA605" s="173"/>
      <c r="AB605" s="173"/>
      <c r="AC605" s="173"/>
      <c r="AD605" s="173"/>
      <c r="AE605" s="173"/>
      <c r="AF605" s="173"/>
      <c r="AG605" s="173"/>
    </row>
    <row r="606" hidden="1">
      <c r="A606" s="86" t="str">
        <f t="shared" si="22"/>
        <v>603f9a63b2bbe6e9e5cca52c</v>
      </c>
      <c r="B606" s="57"/>
      <c r="C606" s="170" t="s">
        <v>78</v>
      </c>
      <c r="D606" s="76" t="s">
        <v>1014</v>
      </c>
      <c r="E606" s="32" t="s">
        <v>146</v>
      </c>
      <c r="F606" s="32" t="s">
        <v>147</v>
      </c>
      <c r="G606" s="33">
        <v>0.625</v>
      </c>
      <c r="H606" s="42" t="s">
        <v>211</v>
      </c>
      <c r="I606" s="42" t="s">
        <v>1295</v>
      </c>
      <c r="J606" s="36" t="s">
        <v>1296</v>
      </c>
      <c r="K606" s="21"/>
      <c r="L606" s="91"/>
      <c r="M606" s="91"/>
      <c r="N606" s="96" t="b">
        <v>0</v>
      </c>
      <c r="O606" s="96" t="b">
        <v>0</v>
      </c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  <c r="AA606" s="92"/>
      <c r="AB606" s="92"/>
      <c r="AC606" s="92"/>
      <c r="AD606" s="92"/>
      <c r="AE606" s="92"/>
      <c r="AF606" s="92"/>
      <c r="AG606" s="92"/>
    </row>
    <row r="607" hidden="1">
      <c r="A607" s="86" t="str">
        <f t="shared" si="22"/>
        <v>6004752be2740f29fb19e69d</v>
      </c>
      <c r="B607" s="57"/>
      <c r="C607" s="170" t="s">
        <v>78</v>
      </c>
      <c r="D607" s="107" t="s">
        <v>399</v>
      </c>
      <c r="E607" s="28" t="s">
        <v>278</v>
      </c>
      <c r="F607" s="28" t="s">
        <v>279</v>
      </c>
      <c r="G607" s="29">
        <v>0.7083333333333334</v>
      </c>
      <c r="H607" s="30" t="s">
        <v>996</v>
      </c>
      <c r="I607" s="30" t="s">
        <v>1297</v>
      </c>
      <c r="J607" s="28" t="s">
        <v>1298</v>
      </c>
      <c r="K607" s="42" t="s">
        <v>838</v>
      </c>
      <c r="L607" s="91"/>
      <c r="M607" s="91"/>
      <c r="N607" s="96" t="b">
        <v>0</v>
      </c>
      <c r="O607" s="96" t="b">
        <v>0</v>
      </c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  <c r="AA607" s="92"/>
      <c r="AB607" s="92"/>
      <c r="AC607" s="92"/>
      <c r="AD607" s="92"/>
      <c r="AE607" s="92"/>
      <c r="AF607" s="92"/>
      <c r="AG607" s="92"/>
    </row>
    <row r="608" hidden="1">
      <c r="A608" s="86" t="str">
        <f t="shared" si="22"/>
        <v>608daf0ff372e1844825d8c2</v>
      </c>
      <c r="B608" s="60"/>
      <c r="C608" s="172"/>
      <c r="D608" s="97" t="s">
        <v>79</v>
      </c>
      <c r="E608" s="42" t="s">
        <v>1299</v>
      </c>
      <c r="F608" s="42" t="s">
        <v>1300</v>
      </c>
      <c r="G608" s="33">
        <v>0.75</v>
      </c>
      <c r="H608" s="42" t="s">
        <v>1301</v>
      </c>
      <c r="I608" s="42" t="s">
        <v>1302</v>
      </c>
      <c r="J608" s="42" t="s">
        <v>1303</v>
      </c>
      <c r="K608" s="21"/>
      <c r="L608" s="91"/>
      <c r="M608" s="91"/>
      <c r="N608" s="96" t="b">
        <v>0</v>
      </c>
      <c r="O608" s="96" t="b">
        <v>0</v>
      </c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  <c r="AA608" s="92"/>
      <c r="AB608" s="92"/>
      <c r="AC608" s="92"/>
      <c r="AD608" s="92"/>
      <c r="AE608" s="92"/>
      <c r="AF608" s="92"/>
      <c r="AG608" s="92"/>
    </row>
    <row r="609" hidden="1">
      <c r="A609" s="86" t="str">
        <f t="shared" si="22"/>
        <v/>
      </c>
      <c r="B609" s="166"/>
      <c r="C609" s="88">
        <v>44385.0</v>
      </c>
      <c r="D609" s="89"/>
      <c r="E609" s="124"/>
      <c r="F609" s="124"/>
      <c r="G609" s="26"/>
      <c r="H609" s="124"/>
      <c r="I609" s="124"/>
      <c r="J609" s="124"/>
      <c r="K609" s="91"/>
      <c r="L609" s="91"/>
      <c r="M609" s="91"/>
      <c r="N609" s="96" t="b">
        <v>0</v>
      </c>
      <c r="O609" s="96" t="b">
        <v>0</v>
      </c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  <c r="AA609" s="92"/>
      <c r="AB609" s="92"/>
      <c r="AC609" s="92"/>
      <c r="AD609" s="92"/>
      <c r="AE609" s="92"/>
      <c r="AF609" s="92"/>
      <c r="AG609" s="92"/>
    </row>
    <row r="610" hidden="1">
      <c r="A610" s="86" t="str">
        <f t="shared" si="22"/>
        <v/>
      </c>
      <c r="B610" s="123" t="s">
        <v>286</v>
      </c>
      <c r="C610" s="103"/>
      <c r="D610" s="89"/>
      <c r="E610" s="169"/>
      <c r="F610" s="169"/>
      <c r="G610" s="94"/>
      <c r="H610" s="124"/>
      <c r="I610" s="124"/>
      <c r="J610" s="169"/>
      <c r="K610" s="91"/>
      <c r="L610" s="91"/>
      <c r="M610" s="91"/>
      <c r="N610" s="96" t="b">
        <v>0</v>
      </c>
      <c r="O610" s="96" t="b">
        <v>0</v>
      </c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  <c r="AA610" s="92"/>
      <c r="AB610" s="92"/>
      <c r="AC610" s="92"/>
      <c r="AD610" s="92"/>
      <c r="AE610" s="92"/>
      <c r="AF610" s="92"/>
      <c r="AG610" s="92"/>
    </row>
    <row r="611" hidden="1">
      <c r="A611" s="86" t="str">
        <f t="shared" si="22"/>
        <v/>
      </c>
      <c r="B611" s="57"/>
      <c r="C611" s="80" t="s">
        <v>78</v>
      </c>
      <c r="D611" s="89"/>
      <c r="E611" s="169"/>
      <c r="F611" s="169"/>
      <c r="G611" s="99"/>
      <c r="H611" s="124"/>
      <c r="I611" s="124"/>
      <c r="J611" s="169"/>
      <c r="K611" s="91"/>
      <c r="L611" s="91"/>
      <c r="M611" s="91"/>
      <c r="N611" s="96" t="b">
        <v>0</v>
      </c>
      <c r="O611" s="96" t="b">
        <v>0</v>
      </c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  <c r="AA611" s="92"/>
      <c r="AB611" s="92"/>
      <c r="AC611" s="92"/>
      <c r="AD611" s="92"/>
      <c r="AE611" s="92"/>
      <c r="AF611" s="92"/>
      <c r="AG611" s="92"/>
    </row>
    <row r="612" hidden="1">
      <c r="A612" s="86" t="str">
        <f t="shared" si="22"/>
        <v>60b4baf2b8aa7c519afefaec</v>
      </c>
      <c r="B612" s="57"/>
      <c r="C612" s="80" t="s">
        <v>78</v>
      </c>
      <c r="D612" s="107" t="s">
        <v>79</v>
      </c>
      <c r="E612" s="28" t="s">
        <v>1304</v>
      </c>
      <c r="F612" s="28" t="s">
        <v>1305</v>
      </c>
      <c r="G612" s="108">
        <v>0.5</v>
      </c>
      <c r="H612" s="109" t="s">
        <v>1306</v>
      </c>
      <c r="I612" s="109" t="s">
        <v>1307</v>
      </c>
      <c r="J612" s="110" t="s">
        <v>1308</v>
      </c>
      <c r="K612" s="98" t="s">
        <v>1309</v>
      </c>
      <c r="L612" s="91"/>
      <c r="M612" s="91"/>
      <c r="N612" s="96" t="b">
        <v>0</v>
      </c>
      <c r="O612" s="96" t="b">
        <v>0</v>
      </c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  <c r="AA612" s="92"/>
      <c r="AB612" s="92"/>
      <c r="AC612" s="92"/>
      <c r="AD612" s="92"/>
      <c r="AE612" s="92"/>
      <c r="AF612" s="92"/>
      <c r="AG612" s="92"/>
    </row>
    <row r="613" ht="14.25" hidden="1" customHeight="1">
      <c r="A613" s="86" t="str">
        <f t="shared" si="22"/>
        <v>606b11a43d414a62105abadf</v>
      </c>
      <c r="B613" s="57"/>
      <c r="C613" s="80" t="s">
        <v>78</v>
      </c>
      <c r="D613" s="97" t="s">
        <v>79</v>
      </c>
      <c r="E613" s="32" t="s">
        <v>1310</v>
      </c>
      <c r="F613" s="32" t="s">
        <v>1311</v>
      </c>
      <c r="G613" s="99">
        <v>0.5833333333333334</v>
      </c>
      <c r="H613" s="98" t="s">
        <v>1312</v>
      </c>
      <c r="I613" s="98" t="s">
        <v>1313</v>
      </c>
      <c r="J613" s="32" t="s">
        <v>1314</v>
      </c>
      <c r="K613" s="91"/>
      <c r="L613" s="91"/>
      <c r="M613" s="91"/>
      <c r="N613" s="96" t="b">
        <v>0</v>
      </c>
      <c r="O613" s="96" t="b">
        <v>0</v>
      </c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  <c r="AA613" s="92"/>
      <c r="AB613" s="92"/>
      <c r="AC613" s="92"/>
      <c r="AD613" s="92"/>
      <c r="AE613" s="92"/>
      <c r="AF613" s="92"/>
      <c r="AG613" s="92"/>
    </row>
    <row r="614" ht="14.25" hidden="1" customHeight="1">
      <c r="A614" s="86" t="str">
        <f t="shared" si="22"/>
        <v>6004360d507e76ca4428edd6</v>
      </c>
      <c r="B614" s="57"/>
      <c r="C614" s="80" t="s">
        <v>78</v>
      </c>
      <c r="D614" s="97" t="s">
        <v>79</v>
      </c>
      <c r="E614" s="32" t="s">
        <v>1315</v>
      </c>
      <c r="F614" s="32" t="s">
        <v>1316</v>
      </c>
      <c r="G614" s="99">
        <v>0.6666666666666666</v>
      </c>
      <c r="H614" s="98" t="s">
        <v>362</v>
      </c>
      <c r="I614" s="98" t="s">
        <v>1317</v>
      </c>
      <c r="J614" s="32" t="s">
        <v>1318</v>
      </c>
      <c r="K614" s="91"/>
      <c r="L614" s="91"/>
      <c r="M614" s="91"/>
      <c r="N614" s="96" t="b">
        <v>0</v>
      </c>
      <c r="O614" s="96" t="b">
        <v>0</v>
      </c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  <c r="AA614" s="92"/>
      <c r="AB614" s="92"/>
      <c r="AC614" s="92"/>
      <c r="AD614" s="92"/>
      <c r="AE614" s="92"/>
      <c r="AF614" s="92"/>
      <c r="AG614" s="92"/>
    </row>
    <row r="615" ht="14.25" hidden="1" customHeight="1">
      <c r="A615" s="86" t="str">
        <f t="shared" si="22"/>
        <v>602f81e4aa09e0832c2ab6e0</v>
      </c>
      <c r="B615" s="60"/>
      <c r="C615" s="80" t="s">
        <v>78</v>
      </c>
      <c r="D615" s="107" t="s">
        <v>79</v>
      </c>
      <c r="E615" s="28" t="s">
        <v>1319</v>
      </c>
      <c r="F615" s="28" t="s">
        <v>1320</v>
      </c>
      <c r="G615" s="108">
        <v>0.75</v>
      </c>
      <c r="H615" s="109" t="s">
        <v>1321</v>
      </c>
      <c r="I615" s="109" t="s">
        <v>1322</v>
      </c>
      <c r="J615" s="28" t="s">
        <v>1323</v>
      </c>
      <c r="K615" s="91"/>
      <c r="L615" s="91"/>
      <c r="M615" s="91"/>
      <c r="N615" s="96" t="b">
        <v>0</v>
      </c>
      <c r="O615" s="96" t="b">
        <v>0</v>
      </c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  <c r="AA615" s="92"/>
      <c r="AB615" s="92"/>
      <c r="AC615" s="92"/>
      <c r="AD615" s="92"/>
      <c r="AE615" s="92"/>
      <c r="AF615" s="92"/>
      <c r="AG615" s="92"/>
    </row>
    <row r="616" ht="19.5" hidden="1" customHeight="1">
      <c r="A616" s="86" t="str">
        <f t="shared" si="22"/>
        <v/>
      </c>
      <c r="B616" s="123" t="s">
        <v>1254</v>
      </c>
      <c r="C616" s="168"/>
      <c r="D616" s="89"/>
      <c r="E616" s="169"/>
      <c r="F616" s="169"/>
      <c r="G616" s="26"/>
      <c r="H616" s="124"/>
      <c r="I616" s="124"/>
      <c r="J616" s="169"/>
      <c r="K616" s="91"/>
      <c r="L616" s="91"/>
      <c r="M616" s="91"/>
      <c r="N616" s="96" t="b">
        <v>0</v>
      </c>
      <c r="O616" s="96" t="b">
        <v>0</v>
      </c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  <c r="AA616" s="92"/>
      <c r="AB616" s="92"/>
      <c r="AC616" s="92"/>
      <c r="AD616" s="92"/>
      <c r="AE616" s="92"/>
      <c r="AF616" s="92"/>
      <c r="AG616" s="92"/>
    </row>
    <row r="617" ht="16.5" hidden="1" customHeight="1">
      <c r="A617" s="86" t="str">
        <f t="shared" si="22"/>
        <v>6096dc57b2587e49c837b717</v>
      </c>
      <c r="B617" s="57"/>
      <c r="C617" s="170" t="s">
        <v>78</v>
      </c>
      <c r="D617" s="97" t="s">
        <v>79</v>
      </c>
      <c r="E617" s="32" t="s">
        <v>782</v>
      </c>
      <c r="F617" s="32" t="s">
        <v>783</v>
      </c>
      <c r="G617" s="99">
        <v>0.4166666666666667</v>
      </c>
      <c r="H617" s="98" t="s">
        <v>82</v>
      </c>
      <c r="I617" s="98" t="s">
        <v>1324</v>
      </c>
      <c r="J617" s="105" t="s">
        <v>786</v>
      </c>
      <c r="K617" s="91"/>
      <c r="L617" s="98" t="s">
        <v>1325</v>
      </c>
      <c r="M617" s="91"/>
      <c r="N617" s="96" t="b">
        <v>0</v>
      </c>
      <c r="O617" s="96" t="b">
        <v>0</v>
      </c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  <c r="AA617" s="92"/>
      <c r="AB617" s="92"/>
      <c r="AC617" s="92"/>
      <c r="AD617" s="92"/>
      <c r="AE617" s="92"/>
      <c r="AF617" s="92"/>
      <c r="AG617" s="92"/>
    </row>
    <row r="618" ht="18.75" hidden="1" customHeight="1">
      <c r="A618" s="86" t="str">
        <f t="shared" si="22"/>
        <v/>
      </c>
      <c r="B618" s="57"/>
      <c r="C618" s="170" t="s">
        <v>78</v>
      </c>
      <c r="D618" s="89"/>
      <c r="E618" s="169"/>
      <c r="F618" s="169"/>
      <c r="G618" s="99">
        <v>0.5</v>
      </c>
      <c r="H618" s="124"/>
      <c r="I618" s="174"/>
      <c r="J618" s="175"/>
      <c r="K618" s="91"/>
      <c r="L618" s="91"/>
      <c r="M618" s="91"/>
      <c r="N618" s="96" t="b">
        <v>0</v>
      </c>
      <c r="O618" s="96" t="b">
        <v>0</v>
      </c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  <c r="AA618" s="92"/>
      <c r="AB618" s="92"/>
      <c r="AC618" s="92"/>
      <c r="AD618" s="92"/>
      <c r="AE618" s="92"/>
      <c r="AF618" s="92"/>
      <c r="AG618" s="92"/>
    </row>
    <row r="619" hidden="1">
      <c r="A619" s="86" t="str">
        <f t="shared" si="22"/>
        <v>600607a335cc59bdcefd45d5</v>
      </c>
      <c r="B619" s="57"/>
      <c r="C619" s="170" t="s">
        <v>78</v>
      </c>
      <c r="D619" s="107" t="s">
        <v>79</v>
      </c>
      <c r="E619" s="28" t="s">
        <v>1326</v>
      </c>
      <c r="F619" s="28" t="s">
        <v>1327</v>
      </c>
      <c r="G619" s="108">
        <v>0.6041666666666666</v>
      </c>
      <c r="H619" s="109" t="s">
        <v>211</v>
      </c>
      <c r="I619" s="109" t="s">
        <v>1328</v>
      </c>
      <c r="J619" s="28" t="s">
        <v>1329</v>
      </c>
      <c r="K619" s="91"/>
      <c r="L619" s="91"/>
      <c r="M619" s="91"/>
      <c r="N619" s="96" t="b">
        <v>0</v>
      </c>
      <c r="O619" s="96" t="b">
        <v>0</v>
      </c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  <c r="AA619" s="92"/>
      <c r="AB619" s="92"/>
      <c r="AC619" s="92"/>
      <c r="AD619" s="92"/>
      <c r="AE619" s="92"/>
      <c r="AF619" s="92"/>
      <c r="AG619" s="92"/>
    </row>
    <row r="620" hidden="1">
      <c r="A620" s="86" t="str">
        <f t="shared" si="22"/>
        <v>60c764adf4e3fb7c12958b9f</v>
      </c>
      <c r="B620" s="57"/>
      <c r="C620" s="170" t="s">
        <v>78</v>
      </c>
      <c r="D620" s="176" t="s">
        <v>79</v>
      </c>
      <c r="E620" s="177" t="s">
        <v>1330</v>
      </c>
      <c r="F620" s="177" t="s">
        <v>1331</v>
      </c>
      <c r="G620" s="178">
        <v>0.6875</v>
      </c>
      <c r="H620" s="179" t="s">
        <v>1332</v>
      </c>
      <c r="I620" s="179" t="s">
        <v>1333</v>
      </c>
      <c r="J620" s="180" t="s">
        <v>1334</v>
      </c>
      <c r="K620" s="91"/>
      <c r="L620" s="91"/>
      <c r="M620" s="91"/>
      <c r="N620" s="96" t="b">
        <v>0</v>
      </c>
      <c r="O620" s="96" t="b">
        <v>0</v>
      </c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  <c r="AA620" s="92"/>
      <c r="AB620" s="92"/>
      <c r="AC620" s="92"/>
      <c r="AD620" s="92"/>
      <c r="AE620" s="92"/>
      <c r="AF620" s="92"/>
      <c r="AG620" s="92"/>
    </row>
    <row r="621" hidden="1">
      <c r="A621" s="86" t="str">
        <f t="shared" si="22"/>
        <v/>
      </c>
      <c r="B621" s="60"/>
      <c r="C621" s="172"/>
      <c r="D621" s="89"/>
      <c r="E621" s="124"/>
      <c r="F621" s="124"/>
      <c r="G621" s="26"/>
      <c r="H621" s="124"/>
      <c r="I621" s="124"/>
      <c r="J621" s="124"/>
      <c r="K621" s="91"/>
      <c r="L621" s="91"/>
      <c r="M621" s="91"/>
      <c r="N621" s="96" t="b">
        <v>0</v>
      </c>
      <c r="O621" s="96" t="b">
        <v>0</v>
      </c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  <c r="AA621" s="92"/>
      <c r="AB621" s="92"/>
      <c r="AC621" s="92"/>
      <c r="AD621" s="92"/>
      <c r="AE621" s="92"/>
      <c r="AF621" s="92"/>
      <c r="AG621" s="92"/>
    </row>
    <row r="622" hidden="1">
      <c r="A622" s="86" t="str">
        <f t="shared" si="22"/>
        <v/>
      </c>
      <c r="B622" s="166"/>
      <c r="C622" s="88">
        <v>44386.0</v>
      </c>
      <c r="D622" s="89"/>
      <c r="E622" s="124"/>
      <c r="F622" s="124"/>
      <c r="G622" s="26"/>
      <c r="H622" s="124"/>
      <c r="I622" s="124"/>
      <c r="J622" s="124"/>
      <c r="K622" s="91"/>
      <c r="L622" s="91"/>
      <c r="M622" s="91"/>
      <c r="N622" s="96" t="b">
        <v>0</v>
      </c>
      <c r="O622" s="96" t="b">
        <v>0</v>
      </c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  <c r="AA622" s="92"/>
      <c r="AB622" s="92"/>
      <c r="AC622" s="92"/>
      <c r="AD622" s="92"/>
      <c r="AE622" s="92"/>
      <c r="AF622" s="92"/>
      <c r="AG622" s="92"/>
    </row>
    <row r="623" hidden="1">
      <c r="A623" s="86" t="str">
        <f t="shared" ref="A623:A626" si="23">E630</f>
        <v>6014715a1b5f9b31bd20a7eb</v>
      </c>
      <c r="B623" s="123" t="s">
        <v>286</v>
      </c>
      <c r="C623" s="103"/>
      <c r="D623" s="181"/>
      <c r="E623" s="43"/>
      <c r="F623" s="43"/>
      <c r="G623" s="81"/>
      <c r="H623" s="43"/>
      <c r="I623" s="43"/>
      <c r="J623" s="43"/>
      <c r="K623" s="43"/>
      <c r="L623" s="91"/>
      <c r="M623" s="91"/>
      <c r="N623" s="96"/>
      <c r="O623" s="96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  <c r="AA623" s="92"/>
      <c r="AB623" s="92"/>
      <c r="AC623" s="92"/>
      <c r="AD623" s="92"/>
      <c r="AE623" s="92"/>
      <c r="AF623" s="92"/>
      <c r="AG623" s="92"/>
    </row>
    <row r="624" hidden="1">
      <c r="A624" s="86" t="str">
        <f t="shared" si="23"/>
        <v>607ed7af974e0832e20c4c09</v>
      </c>
      <c r="B624" s="57"/>
      <c r="C624" s="80" t="s">
        <v>78</v>
      </c>
      <c r="D624" s="97" t="s">
        <v>79</v>
      </c>
      <c r="E624" s="32" t="s">
        <v>1335</v>
      </c>
      <c r="F624" s="32" t="s">
        <v>1336</v>
      </c>
      <c r="G624" s="99">
        <v>0.4583333333333333</v>
      </c>
      <c r="H624" s="98" t="s">
        <v>1337</v>
      </c>
      <c r="I624" s="182" t="s">
        <v>1338</v>
      </c>
      <c r="J624" s="98" t="s">
        <v>1339</v>
      </c>
      <c r="K624" s="91"/>
      <c r="L624" s="91"/>
      <c r="M624" s="91"/>
      <c r="N624" s="96"/>
      <c r="O624" s="96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  <c r="AA624" s="92"/>
      <c r="AB624" s="92"/>
      <c r="AC624" s="92"/>
      <c r="AD624" s="92"/>
      <c r="AE624" s="92"/>
      <c r="AF624" s="92"/>
      <c r="AG624" s="92"/>
    </row>
    <row r="625" hidden="1">
      <c r="A625" s="86" t="str">
        <f t="shared" si="23"/>
        <v>6063065cb71fbc0cc919823f</v>
      </c>
      <c r="B625" s="57"/>
      <c r="C625" s="80" t="s">
        <v>78</v>
      </c>
      <c r="D625" s="97" t="s">
        <v>79</v>
      </c>
      <c r="E625" s="35" t="s">
        <v>1340</v>
      </c>
      <c r="F625" s="35" t="s">
        <v>1341</v>
      </c>
      <c r="G625" s="99">
        <v>0.5625</v>
      </c>
      <c r="H625" s="98" t="s">
        <v>1342</v>
      </c>
      <c r="I625" s="182" t="s">
        <v>1338</v>
      </c>
      <c r="J625" s="35" t="s">
        <v>627</v>
      </c>
      <c r="K625" s="91"/>
      <c r="L625" s="91"/>
      <c r="M625" s="91"/>
      <c r="N625" s="96"/>
      <c r="O625" s="96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  <c r="AA625" s="92"/>
      <c r="AB625" s="92"/>
      <c r="AC625" s="92"/>
      <c r="AD625" s="92"/>
      <c r="AE625" s="92"/>
      <c r="AF625" s="92"/>
      <c r="AG625" s="92"/>
    </row>
    <row r="626" hidden="1">
      <c r="A626" s="86" t="str">
        <f t="shared" si="23"/>
        <v>603f975810ae2239565ed6c1</v>
      </c>
      <c r="B626" s="57"/>
      <c r="C626" s="80" t="s">
        <v>78</v>
      </c>
      <c r="D626" s="97" t="s">
        <v>79</v>
      </c>
      <c r="E626" s="32" t="s">
        <v>1343</v>
      </c>
      <c r="F626" s="32" t="s">
        <v>1344</v>
      </c>
      <c r="G626" s="99">
        <v>0.6458333333333334</v>
      </c>
      <c r="H626" s="98" t="s">
        <v>1345</v>
      </c>
      <c r="I626" s="32" t="s">
        <v>1346</v>
      </c>
      <c r="J626" s="32" t="s">
        <v>1347</v>
      </c>
      <c r="K626" s="91"/>
      <c r="L626" s="91"/>
      <c r="M626" s="91"/>
      <c r="N626" s="96"/>
      <c r="O626" s="96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  <c r="AA626" s="92"/>
      <c r="AB626" s="92"/>
      <c r="AC626" s="92"/>
      <c r="AD626" s="92"/>
      <c r="AE626" s="92"/>
      <c r="AF626" s="92"/>
      <c r="AG626" s="92"/>
    </row>
    <row r="627" hidden="1">
      <c r="A627" s="86" t="str">
        <f>#REF!</f>
        <v>#REF!</v>
      </c>
      <c r="B627" s="57"/>
      <c r="C627" s="80" t="s">
        <v>78</v>
      </c>
      <c r="D627" s="97" t="s">
        <v>79</v>
      </c>
      <c r="E627" s="183" t="s">
        <v>633</v>
      </c>
      <c r="F627" s="183" t="s">
        <v>634</v>
      </c>
      <c r="G627" s="99">
        <v>0.7291666666666666</v>
      </c>
      <c r="H627" s="98" t="s">
        <v>635</v>
      </c>
      <c r="I627" s="98" t="s">
        <v>1348</v>
      </c>
      <c r="J627" s="183" t="s">
        <v>637</v>
      </c>
      <c r="K627" s="91"/>
      <c r="L627" s="91"/>
      <c r="M627" s="91"/>
      <c r="N627" s="96"/>
      <c r="O627" s="96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  <c r="AA627" s="92"/>
      <c r="AB627" s="92"/>
      <c r="AC627" s="92"/>
      <c r="AD627" s="92"/>
      <c r="AE627" s="92"/>
      <c r="AF627" s="92"/>
      <c r="AG627" s="92"/>
    </row>
    <row r="628" hidden="1">
      <c r="A628" s="86" t="str">
        <f t="shared" ref="A628:A629" si="24">E628</f>
        <v/>
      </c>
      <c r="B628" s="60"/>
      <c r="C628" s="80" t="s">
        <v>78</v>
      </c>
      <c r="D628" s="89"/>
      <c r="E628" s="124"/>
      <c r="F628" s="124"/>
      <c r="G628" s="99"/>
      <c r="H628" s="124"/>
      <c r="I628" s="35"/>
      <c r="J628" s="98"/>
      <c r="K628" s="91"/>
      <c r="L628" s="91"/>
      <c r="M628" s="91"/>
      <c r="N628" s="96"/>
      <c r="O628" s="96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  <c r="AA628" s="92"/>
      <c r="AB628" s="92"/>
      <c r="AC628" s="92"/>
      <c r="AD628" s="92"/>
      <c r="AE628" s="92"/>
      <c r="AF628" s="92"/>
      <c r="AG628" s="92"/>
    </row>
    <row r="629" hidden="1">
      <c r="A629" s="86" t="str">
        <f t="shared" si="24"/>
        <v/>
      </c>
      <c r="B629" s="123" t="s">
        <v>1254</v>
      </c>
      <c r="C629" s="168"/>
      <c r="D629" s="97"/>
      <c r="E629" s="98"/>
      <c r="F629" s="98"/>
      <c r="G629" s="41"/>
      <c r="H629" s="98"/>
      <c r="I629" s="98"/>
      <c r="J629" s="98"/>
      <c r="K629" s="91"/>
      <c r="L629" s="91"/>
      <c r="M629" s="91"/>
      <c r="N629" s="96"/>
      <c r="O629" s="96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  <c r="AA629" s="92"/>
      <c r="AB629" s="92"/>
      <c r="AC629" s="92"/>
      <c r="AD629" s="92"/>
      <c r="AE629" s="92"/>
      <c r="AF629" s="92"/>
      <c r="AG629" s="92"/>
    </row>
    <row r="630" hidden="1">
      <c r="A630" s="86" t="str">
        <f t="shared" ref="A630:A633" si="25">E624</f>
        <v>60be2d07f6cacd5f0925b459</v>
      </c>
      <c r="B630" s="57"/>
      <c r="C630" s="170" t="s">
        <v>78</v>
      </c>
      <c r="D630" s="97" t="s">
        <v>79</v>
      </c>
      <c r="E630" s="32" t="s">
        <v>1349</v>
      </c>
      <c r="F630" s="32" t="s">
        <v>1350</v>
      </c>
      <c r="G630" s="99">
        <v>0.4166666666666667</v>
      </c>
      <c r="H630" s="98" t="s">
        <v>439</v>
      </c>
      <c r="I630" s="32" t="s">
        <v>1351</v>
      </c>
      <c r="J630" s="32" t="s">
        <v>1352</v>
      </c>
      <c r="K630" s="91"/>
      <c r="L630" s="91"/>
      <c r="M630" s="91"/>
      <c r="N630" s="96"/>
      <c r="O630" s="96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  <c r="AA630" s="92"/>
      <c r="AB630" s="92"/>
      <c r="AC630" s="92"/>
      <c r="AD630" s="92"/>
      <c r="AE630" s="92"/>
      <c r="AF630" s="92"/>
      <c r="AG630" s="92"/>
    </row>
    <row r="631" hidden="1">
      <c r="A631" s="86" t="str">
        <f t="shared" si="25"/>
        <v>60647c612eb4390bf5b6cbc5</v>
      </c>
      <c r="B631" s="57"/>
      <c r="C631" s="170" t="s">
        <v>78</v>
      </c>
      <c r="D631" s="107" t="s">
        <v>79</v>
      </c>
      <c r="E631" s="184" t="s">
        <v>1353</v>
      </c>
      <c r="F631" s="184" t="s">
        <v>1354</v>
      </c>
      <c r="G631" s="108">
        <v>0.5</v>
      </c>
      <c r="H631" s="109" t="s">
        <v>439</v>
      </c>
      <c r="I631" s="109" t="s">
        <v>1355</v>
      </c>
      <c r="J631" s="184" t="s">
        <v>1356</v>
      </c>
      <c r="K631" s="91"/>
      <c r="L631" s="91"/>
      <c r="M631" s="91"/>
      <c r="N631" s="96"/>
      <c r="O631" s="96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  <c r="AA631" s="92"/>
      <c r="AB631" s="92"/>
      <c r="AC631" s="92"/>
      <c r="AD631" s="92"/>
      <c r="AE631" s="92"/>
      <c r="AF631" s="92"/>
      <c r="AG631" s="92"/>
    </row>
    <row r="632" hidden="1">
      <c r="A632" s="86" t="str">
        <f t="shared" si="25"/>
        <v>60c7a9c42af36124594ca3c4</v>
      </c>
      <c r="B632" s="57"/>
      <c r="C632" s="170" t="s">
        <v>78</v>
      </c>
      <c r="D632" s="97" t="s">
        <v>79</v>
      </c>
      <c r="E632" s="35" t="s">
        <v>1357</v>
      </c>
      <c r="F632" s="35" t="s">
        <v>1358</v>
      </c>
      <c r="G632" s="99">
        <v>0.5833333333333334</v>
      </c>
      <c r="H632" s="98" t="s">
        <v>1337</v>
      </c>
      <c r="I632" s="35" t="s">
        <v>1359</v>
      </c>
      <c r="J632" s="35" t="s">
        <v>1360</v>
      </c>
      <c r="K632" s="91"/>
      <c r="L632" s="91"/>
      <c r="M632" s="91"/>
      <c r="N632" s="96"/>
      <c r="O632" s="96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  <c r="AA632" s="92"/>
      <c r="AB632" s="92"/>
      <c r="AC632" s="92"/>
      <c r="AD632" s="92"/>
      <c r="AE632" s="92"/>
      <c r="AF632" s="92"/>
      <c r="AG632" s="92"/>
    </row>
    <row r="633" ht="19.5" hidden="1" customHeight="1">
      <c r="A633" s="86" t="str">
        <f t="shared" si="25"/>
        <v>60144a7015c659f7cfa3182d</v>
      </c>
      <c r="B633" s="57"/>
      <c r="C633" s="170" t="s">
        <v>78</v>
      </c>
      <c r="D633" s="97" t="s">
        <v>79</v>
      </c>
      <c r="E633" s="183" t="s">
        <v>851</v>
      </c>
      <c r="F633" s="183" t="s">
        <v>852</v>
      </c>
      <c r="G633" s="99">
        <v>0.6666666666666666</v>
      </c>
      <c r="H633" s="98" t="s">
        <v>724</v>
      </c>
      <c r="I633" s="183" t="s">
        <v>1361</v>
      </c>
      <c r="J633" s="183" t="s">
        <v>855</v>
      </c>
      <c r="K633" s="98" t="s">
        <v>1362</v>
      </c>
      <c r="L633" s="91"/>
      <c r="M633" s="91"/>
      <c r="N633" s="96"/>
      <c r="O633" s="96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  <c r="AA633" s="92"/>
      <c r="AB633" s="92"/>
      <c r="AC633" s="92"/>
      <c r="AD633" s="92"/>
      <c r="AE633" s="92"/>
      <c r="AF633" s="92"/>
      <c r="AG633" s="92"/>
    </row>
    <row r="634" ht="15.75" hidden="1" customHeight="1">
      <c r="A634" s="86" t="str">
        <f t="shared" ref="A634:A639" si="26">E634</f>
        <v/>
      </c>
      <c r="B634" s="60"/>
      <c r="C634" s="172"/>
      <c r="D634" s="97"/>
      <c r="E634" s="98"/>
      <c r="F634" s="98"/>
      <c r="G634" s="41"/>
      <c r="H634" s="98"/>
      <c r="I634" s="98"/>
      <c r="J634" s="98"/>
      <c r="K634" s="91"/>
      <c r="L634" s="91"/>
      <c r="M634" s="91"/>
      <c r="N634" s="96" t="b">
        <v>0</v>
      </c>
      <c r="O634" s="96" t="b">
        <v>0</v>
      </c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  <c r="AA634" s="92"/>
      <c r="AB634" s="92"/>
      <c r="AC634" s="92"/>
      <c r="AD634" s="92"/>
      <c r="AE634" s="92"/>
      <c r="AF634" s="92"/>
      <c r="AG634" s="92"/>
    </row>
    <row r="635" hidden="1">
      <c r="A635" s="86" t="str">
        <f t="shared" si="26"/>
        <v/>
      </c>
      <c r="B635" s="185"/>
      <c r="C635" s="82"/>
      <c r="D635" s="97"/>
      <c r="E635" s="98"/>
      <c r="F635" s="98"/>
      <c r="G635" s="41"/>
      <c r="H635" s="98"/>
      <c r="I635" s="98"/>
      <c r="J635" s="32"/>
      <c r="K635" s="91"/>
      <c r="L635" s="91"/>
      <c r="M635" s="91"/>
      <c r="N635" s="96" t="b">
        <v>0</v>
      </c>
      <c r="O635" s="96" t="b">
        <v>0</v>
      </c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  <c r="AA635" s="92"/>
      <c r="AB635" s="92"/>
      <c r="AC635" s="92"/>
      <c r="AD635" s="92"/>
      <c r="AE635" s="92"/>
      <c r="AF635" s="92"/>
      <c r="AG635" s="92"/>
    </row>
    <row r="636" hidden="1">
      <c r="A636" s="86" t="str">
        <f t="shared" si="26"/>
        <v/>
      </c>
      <c r="B636" s="166"/>
      <c r="C636" s="88">
        <v>44389.0</v>
      </c>
      <c r="D636" s="97"/>
      <c r="E636" s="98"/>
      <c r="F636" s="98"/>
      <c r="G636" s="41"/>
      <c r="H636" s="98"/>
      <c r="I636" s="98"/>
      <c r="J636" s="98"/>
      <c r="K636" s="91"/>
      <c r="L636" s="91"/>
      <c r="M636" s="91"/>
      <c r="N636" s="96" t="b">
        <v>0</v>
      </c>
      <c r="O636" s="96" t="b">
        <v>0</v>
      </c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  <c r="AA636" s="92"/>
      <c r="AB636" s="92"/>
      <c r="AC636" s="92"/>
      <c r="AD636" s="92"/>
      <c r="AE636" s="92"/>
      <c r="AF636" s="92"/>
      <c r="AG636" s="92"/>
    </row>
    <row r="637" hidden="1">
      <c r="A637" s="86" t="str">
        <f t="shared" si="26"/>
        <v/>
      </c>
      <c r="B637" s="123" t="s">
        <v>286</v>
      </c>
      <c r="C637" s="103"/>
      <c r="D637" s="97"/>
      <c r="E637" s="98"/>
      <c r="F637" s="98"/>
      <c r="G637" s="41"/>
      <c r="H637" s="98"/>
      <c r="I637" s="98"/>
      <c r="J637" s="98"/>
      <c r="K637" s="91"/>
      <c r="L637" s="91"/>
      <c r="M637" s="91"/>
      <c r="N637" s="96" t="b">
        <v>0</v>
      </c>
      <c r="O637" s="96" t="b">
        <v>0</v>
      </c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  <c r="AA637" s="92"/>
      <c r="AB637" s="92"/>
      <c r="AC637" s="92"/>
      <c r="AD637" s="92"/>
      <c r="AE637" s="92"/>
      <c r="AF637" s="92"/>
      <c r="AG637" s="92"/>
    </row>
    <row r="638" hidden="1">
      <c r="A638" s="86" t="str">
        <f t="shared" si="26"/>
        <v>601454f76c1642d7e590d3a2</v>
      </c>
      <c r="B638" s="57"/>
      <c r="C638" s="80" t="s">
        <v>78</v>
      </c>
      <c r="D638" s="97" t="s">
        <v>79</v>
      </c>
      <c r="E638" s="183" t="s">
        <v>1363</v>
      </c>
      <c r="F638" s="183" t="s">
        <v>1364</v>
      </c>
      <c r="G638" s="99">
        <v>0.5</v>
      </c>
      <c r="H638" s="98" t="s">
        <v>658</v>
      </c>
      <c r="I638" s="98" t="s">
        <v>1365</v>
      </c>
      <c r="J638" s="183" t="s">
        <v>1366</v>
      </c>
      <c r="K638" s="91"/>
      <c r="L638" s="91"/>
      <c r="M638" s="91"/>
      <c r="N638" s="96" t="b">
        <v>0</v>
      </c>
      <c r="O638" s="96" t="b">
        <v>0</v>
      </c>
      <c r="P638" s="173"/>
      <c r="Q638" s="173"/>
      <c r="R638" s="173"/>
      <c r="S638" s="173"/>
      <c r="T638" s="173"/>
      <c r="U638" s="173"/>
      <c r="V638" s="173"/>
      <c r="W638" s="173"/>
      <c r="X638" s="173"/>
      <c r="Y638" s="173"/>
      <c r="Z638" s="173"/>
      <c r="AA638" s="173"/>
      <c r="AB638" s="173"/>
      <c r="AC638" s="173"/>
      <c r="AD638" s="173"/>
      <c r="AE638" s="173"/>
      <c r="AF638" s="173"/>
      <c r="AG638" s="173"/>
    </row>
    <row r="639" hidden="1">
      <c r="A639" s="86" t="str">
        <f t="shared" si="26"/>
        <v>605ccbd14b0475de36589b4c</v>
      </c>
      <c r="B639" s="57"/>
      <c r="C639" s="80" t="s">
        <v>78</v>
      </c>
      <c r="D639" s="97" t="s">
        <v>79</v>
      </c>
      <c r="E639" s="186" t="s">
        <v>1367</v>
      </c>
      <c r="F639" s="186" t="s">
        <v>1368</v>
      </c>
      <c r="G639" s="99">
        <v>0.5833333333333334</v>
      </c>
      <c r="H639" s="98" t="s">
        <v>1345</v>
      </c>
      <c r="I639" s="98" t="s">
        <v>1369</v>
      </c>
      <c r="J639" s="186" t="s">
        <v>301</v>
      </c>
      <c r="K639" s="91"/>
      <c r="L639" s="98" t="s">
        <v>838</v>
      </c>
      <c r="M639" s="91"/>
      <c r="N639" s="96" t="b">
        <v>0</v>
      </c>
      <c r="O639" s="96" t="b">
        <v>0</v>
      </c>
      <c r="P639" s="173"/>
      <c r="Q639" s="173"/>
      <c r="R639" s="173"/>
      <c r="S639" s="173"/>
      <c r="T639" s="173"/>
      <c r="U639" s="173"/>
      <c r="V639" s="173"/>
      <c r="W639" s="173"/>
      <c r="X639" s="173"/>
      <c r="Y639" s="173"/>
      <c r="Z639" s="173"/>
      <c r="AA639" s="173"/>
      <c r="AB639" s="173"/>
      <c r="AC639" s="173"/>
      <c r="AD639" s="173"/>
      <c r="AE639" s="173"/>
      <c r="AF639" s="173"/>
      <c r="AG639" s="173"/>
    </row>
    <row r="640" hidden="1">
      <c r="A640" s="86" t="str">
        <f t="shared" ref="A640:A643" si="27">#REF!</f>
        <v>#REF!</v>
      </c>
      <c r="B640" s="57"/>
      <c r="C640" s="80" t="s">
        <v>78</v>
      </c>
      <c r="D640" s="187" t="s">
        <v>79</v>
      </c>
      <c r="E640" s="183" t="s">
        <v>735</v>
      </c>
      <c r="F640" s="183" t="s">
        <v>736</v>
      </c>
      <c r="G640" s="188">
        <v>0.6666666666666666</v>
      </c>
      <c r="H640" s="189" t="s">
        <v>724</v>
      </c>
      <c r="I640" s="183" t="s">
        <v>1370</v>
      </c>
      <c r="J640" s="183" t="s">
        <v>738</v>
      </c>
      <c r="K640" s="43"/>
      <c r="L640" s="91"/>
      <c r="M640" s="91"/>
      <c r="N640" s="96" t="b">
        <v>0</v>
      </c>
      <c r="O640" s="96" t="b">
        <v>0</v>
      </c>
      <c r="P640" s="173"/>
      <c r="Q640" s="173"/>
      <c r="R640" s="173"/>
      <c r="S640" s="173"/>
      <c r="T640" s="173"/>
      <c r="U640" s="173"/>
      <c r="V640" s="173"/>
      <c r="W640" s="173"/>
      <c r="X640" s="173"/>
      <c r="Y640" s="173"/>
      <c r="Z640" s="173"/>
      <c r="AA640" s="173"/>
      <c r="AB640" s="173"/>
      <c r="AC640" s="173"/>
      <c r="AD640" s="173"/>
      <c r="AE640" s="173"/>
      <c r="AF640" s="173"/>
      <c r="AG640" s="173"/>
    </row>
    <row r="641" hidden="1">
      <c r="A641" s="86" t="str">
        <f t="shared" si="27"/>
        <v>#REF!</v>
      </c>
      <c r="B641" s="57"/>
      <c r="C641" s="80" t="s">
        <v>78</v>
      </c>
      <c r="D641" s="190" t="s">
        <v>1371</v>
      </c>
      <c r="E641" s="191" t="s">
        <v>813</v>
      </c>
      <c r="F641" s="191" t="s">
        <v>814</v>
      </c>
      <c r="G641" s="192">
        <v>0.75</v>
      </c>
      <c r="H641" s="191" t="s">
        <v>290</v>
      </c>
      <c r="I641" s="191" t="s">
        <v>1372</v>
      </c>
      <c r="J641" s="191" t="s">
        <v>816</v>
      </c>
      <c r="K641" s="43"/>
      <c r="L641" s="91"/>
      <c r="M641" s="91"/>
      <c r="N641" s="96" t="b">
        <v>0</v>
      </c>
      <c r="O641" s="96" t="b">
        <v>0</v>
      </c>
      <c r="P641" s="173"/>
      <c r="Q641" s="173"/>
      <c r="R641" s="173"/>
      <c r="S641" s="173"/>
      <c r="T641" s="173"/>
      <c r="U641" s="173"/>
      <c r="V641" s="173"/>
      <c r="W641" s="173"/>
      <c r="X641" s="173"/>
      <c r="Y641" s="173"/>
      <c r="Z641" s="173"/>
      <c r="AA641" s="173"/>
      <c r="AB641" s="173"/>
      <c r="AC641" s="173"/>
      <c r="AD641" s="173"/>
      <c r="AE641" s="173"/>
      <c r="AF641" s="173"/>
      <c r="AG641" s="173"/>
    </row>
    <row r="642" hidden="1">
      <c r="A642" s="86" t="str">
        <f t="shared" si="27"/>
        <v>#REF!</v>
      </c>
      <c r="B642" s="60"/>
      <c r="C642" s="80" t="s">
        <v>78</v>
      </c>
      <c r="D642" s="181"/>
      <c r="E642" s="43"/>
      <c r="F642" s="43"/>
      <c r="G642" s="81"/>
      <c r="H642" s="43"/>
      <c r="I642" s="43"/>
      <c r="J642" s="43"/>
      <c r="K642" s="43"/>
      <c r="L642" s="91"/>
      <c r="M642" s="91"/>
      <c r="N642" s="96" t="b">
        <v>0</v>
      </c>
      <c r="O642" s="96" t="b">
        <v>0</v>
      </c>
      <c r="P642" s="173"/>
      <c r="Q642" s="173"/>
      <c r="R642" s="173"/>
      <c r="S642" s="173"/>
      <c r="T642" s="173"/>
      <c r="U642" s="173"/>
      <c r="V642" s="173"/>
      <c r="W642" s="173"/>
      <c r="X642" s="173"/>
      <c r="Y642" s="173"/>
      <c r="Z642" s="173"/>
      <c r="AA642" s="173"/>
      <c r="AB642" s="173"/>
      <c r="AC642" s="173"/>
      <c r="AD642" s="173"/>
      <c r="AE642" s="173"/>
      <c r="AF642" s="173"/>
      <c r="AG642" s="173"/>
    </row>
    <row r="643" hidden="1">
      <c r="A643" s="86" t="str">
        <f t="shared" si="27"/>
        <v>#REF!</v>
      </c>
      <c r="B643" s="18" t="s">
        <v>1254</v>
      </c>
      <c r="C643" s="103"/>
      <c r="D643" s="181"/>
      <c r="E643" s="43"/>
      <c r="F643" s="43"/>
      <c r="G643" s="81"/>
      <c r="H643" s="43"/>
      <c r="I643" s="43"/>
      <c r="J643" s="43"/>
      <c r="K643" s="43"/>
      <c r="L643" s="91"/>
      <c r="M643" s="91"/>
      <c r="N643" s="96" t="b">
        <v>0</v>
      </c>
      <c r="O643" s="96" t="b">
        <v>0</v>
      </c>
      <c r="P643" s="173"/>
      <c r="Q643" s="173"/>
      <c r="R643" s="173"/>
      <c r="S643" s="173"/>
      <c r="T643" s="173"/>
      <c r="U643" s="173"/>
      <c r="V643" s="173"/>
      <c r="W643" s="173"/>
      <c r="X643" s="173"/>
      <c r="Y643" s="173"/>
      <c r="Z643" s="173"/>
      <c r="AA643" s="173"/>
      <c r="AB643" s="173"/>
      <c r="AC643" s="173"/>
      <c r="AD643" s="173"/>
      <c r="AE643" s="173"/>
      <c r="AF643" s="173"/>
      <c r="AG643" s="173"/>
    </row>
    <row r="644" hidden="1">
      <c r="A644" s="86" t="str">
        <f t="shared" ref="A644:A690" si="28">E644</f>
        <v>60c35819f7e1f73ae8ba1573</v>
      </c>
      <c r="B644" s="25"/>
      <c r="C644" s="170" t="s">
        <v>78</v>
      </c>
      <c r="D644" s="97" t="s">
        <v>399</v>
      </c>
      <c r="E644" s="183" t="s">
        <v>1373</v>
      </c>
      <c r="F644" s="183" t="s">
        <v>1374</v>
      </c>
      <c r="G644" s="99">
        <v>0.4583333333333333</v>
      </c>
      <c r="H644" s="98" t="s">
        <v>658</v>
      </c>
      <c r="I644" s="183" t="s">
        <v>1375</v>
      </c>
      <c r="J644" s="183" t="s">
        <v>1376</v>
      </c>
      <c r="K644" s="91"/>
      <c r="L644" s="91"/>
      <c r="M644" s="91"/>
      <c r="N644" s="96" t="b">
        <v>0</v>
      </c>
      <c r="O644" s="96" t="b">
        <v>0</v>
      </c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  <c r="AA644" s="92"/>
      <c r="AB644" s="92"/>
      <c r="AC644" s="92"/>
      <c r="AD644" s="92"/>
      <c r="AE644" s="92"/>
      <c r="AF644" s="92"/>
      <c r="AG644" s="92"/>
    </row>
    <row r="645" hidden="1">
      <c r="A645" s="86" t="str">
        <f t="shared" si="28"/>
        <v>6038e746618c3a6c2222da02</v>
      </c>
      <c r="B645" s="25"/>
      <c r="C645" s="170" t="s">
        <v>78</v>
      </c>
      <c r="D645" s="97" t="s">
        <v>399</v>
      </c>
      <c r="E645" s="183" t="s">
        <v>534</v>
      </c>
      <c r="F645" s="183" t="s">
        <v>535</v>
      </c>
      <c r="G645" s="99">
        <v>0.5416666666666666</v>
      </c>
      <c r="H645" s="98" t="s">
        <v>1242</v>
      </c>
      <c r="I645" s="183" t="s">
        <v>1377</v>
      </c>
      <c r="J645" s="183" t="s">
        <v>537</v>
      </c>
      <c r="K645" s="91"/>
      <c r="L645" s="91"/>
      <c r="M645" s="91"/>
      <c r="N645" s="96" t="b">
        <v>0</v>
      </c>
      <c r="O645" s="96" t="b">
        <v>0</v>
      </c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  <c r="AA645" s="92"/>
      <c r="AB645" s="92"/>
      <c r="AC645" s="92"/>
      <c r="AD645" s="92"/>
      <c r="AE645" s="92"/>
      <c r="AF645" s="92"/>
      <c r="AG645" s="92"/>
    </row>
    <row r="646" hidden="1">
      <c r="A646" s="86" t="str">
        <f t="shared" si="28"/>
        <v>60149da9d9ee3c18140420b6</v>
      </c>
      <c r="B646" s="25"/>
      <c r="C646" s="170" t="s">
        <v>78</v>
      </c>
      <c r="D646" s="97" t="s">
        <v>399</v>
      </c>
      <c r="E646" s="177" t="s">
        <v>661</v>
      </c>
      <c r="F646" s="177" t="s">
        <v>662</v>
      </c>
      <c r="G646" s="178">
        <v>0.625</v>
      </c>
      <c r="H646" s="179" t="s">
        <v>658</v>
      </c>
      <c r="I646" s="193" t="s">
        <v>663</v>
      </c>
      <c r="J646" s="180" t="s">
        <v>664</v>
      </c>
      <c r="K646" s="91"/>
      <c r="L646" s="91"/>
      <c r="M646" s="91"/>
      <c r="N646" s="96" t="b">
        <v>0</v>
      </c>
      <c r="O646" s="96" t="b">
        <v>0</v>
      </c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  <c r="AA646" s="92"/>
      <c r="AB646" s="92"/>
      <c r="AC646" s="92"/>
      <c r="AD646" s="92"/>
      <c r="AE646" s="92"/>
      <c r="AF646" s="92"/>
      <c r="AG646" s="92"/>
    </row>
    <row r="647" hidden="1">
      <c r="A647" s="86" t="str">
        <f t="shared" si="28"/>
        <v>5fdcf95c6b913e71c8a562c7</v>
      </c>
      <c r="B647" s="25"/>
      <c r="C647" s="170" t="s">
        <v>78</v>
      </c>
      <c r="D647" s="97" t="s">
        <v>399</v>
      </c>
      <c r="E647" s="183" t="s">
        <v>1378</v>
      </c>
      <c r="F647" s="183" t="s">
        <v>1379</v>
      </c>
      <c r="G647" s="99">
        <v>0.7083333333333334</v>
      </c>
      <c r="H647" s="98" t="s">
        <v>1242</v>
      </c>
      <c r="I647" s="183" t="s">
        <v>1380</v>
      </c>
      <c r="J647" s="98" t="s">
        <v>1381</v>
      </c>
      <c r="K647" s="91"/>
      <c r="L647" s="91"/>
      <c r="M647" s="91"/>
      <c r="N647" s="96" t="b">
        <v>0</v>
      </c>
      <c r="O647" s="96" t="b">
        <v>0</v>
      </c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  <c r="AA647" s="92"/>
      <c r="AB647" s="92"/>
      <c r="AC647" s="92"/>
      <c r="AD647" s="92"/>
      <c r="AE647" s="92"/>
      <c r="AF647" s="92"/>
      <c r="AG647" s="92"/>
    </row>
    <row r="648" hidden="1">
      <c r="A648" s="86" t="str">
        <f t="shared" si="28"/>
        <v/>
      </c>
      <c r="B648" s="39"/>
      <c r="C648" s="172"/>
      <c r="D648" s="97"/>
      <c r="E648" s="98"/>
      <c r="F648" s="98"/>
      <c r="G648" s="41"/>
      <c r="H648" s="98"/>
      <c r="I648" s="98"/>
      <c r="J648" s="98"/>
      <c r="K648" s="91"/>
      <c r="L648" s="91"/>
      <c r="M648" s="91"/>
      <c r="N648" s="96" t="b">
        <v>0</v>
      </c>
      <c r="O648" s="96" t="b">
        <v>0</v>
      </c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  <c r="AA648" s="92"/>
      <c r="AB648" s="92"/>
      <c r="AC648" s="92"/>
      <c r="AD648" s="92"/>
      <c r="AE648" s="92"/>
      <c r="AF648" s="92"/>
      <c r="AG648" s="92"/>
    </row>
    <row r="649" hidden="1">
      <c r="A649" s="86" t="str">
        <f t="shared" si="28"/>
        <v/>
      </c>
      <c r="B649" s="166"/>
      <c r="C649" s="88">
        <v>44390.0</v>
      </c>
      <c r="D649" s="97"/>
      <c r="E649" s="98"/>
      <c r="F649" s="98"/>
      <c r="G649" s="41"/>
      <c r="H649" s="98"/>
      <c r="I649" s="98"/>
      <c r="J649" s="98"/>
      <c r="K649" s="91"/>
      <c r="L649" s="91"/>
      <c r="M649" s="91"/>
      <c r="N649" s="96" t="b">
        <v>0</v>
      </c>
      <c r="O649" s="96" t="b">
        <v>0</v>
      </c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  <c r="AA649" s="92"/>
      <c r="AB649" s="92"/>
      <c r="AC649" s="92"/>
      <c r="AD649" s="92"/>
      <c r="AE649" s="92"/>
      <c r="AF649" s="92"/>
      <c r="AG649" s="92"/>
    </row>
    <row r="650" hidden="1">
      <c r="A650" s="86" t="str">
        <f t="shared" si="28"/>
        <v/>
      </c>
      <c r="B650" s="123" t="s">
        <v>286</v>
      </c>
      <c r="C650" s="103"/>
      <c r="D650" s="97"/>
      <c r="E650" s="98"/>
      <c r="F650" s="98"/>
      <c r="G650" s="41"/>
      <c r="H650" s="98"/>
      <c r="I650" s="98"/>
      <c r="J650" s="98"/>
      <c r="K650" s="91"/>
      <c r="L650" s="91"/>
      <c r="M650" s="91"/>
      <c r="N650" s="96" t="b">
        <v>0</v>
      </c>
      <c r="O650" s="96" t="b">
        <v>0</v>
      </c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  <c r="AA650" s="92"/>
      <c r="AB650" s="92"/>
      <c r="AC650" s="92"/>
      <c r="AD650" s="92"/>
      <c r="AE650" s="92"/>
      <c r="AF650" s="92"/>
      <c r="AG650" s="92"/>
    </row>
    <row r="651" hidden="1">
      <c r="A651" s="86" t="str">
        <f t="shared" si="28"/>
        <v>60043086a35105b0f4f7cb6d</v>
      </c>
      <c r="B651" s="57"/>
      <c r="C651" s="80" t="s">
        <v>78</v>
      </c>
      <c r="D651" s="97" t="s">
        <v>79</v>
      </c>
      <c r="E651" s="183" t="s">
        <v>912</v>
      </c>
      <c r="F651" s="183" t="s">
        <v>913</v>
      </c>
      <c r="G651" s="99">
        <v>0.4583333333333333</v>
      </c>
      <c r="H651" s="98" t="s">
        <v>1382</v>
      </c>
      <c r="I651" s="98" t="s">
        <v>1383</v>
      </c>
      <c r="J651" s="183" t="s">
        <v>1384</v>
      </c>
      <c r="K651" s="98" t="s">
        <v>1385</v>
      </c>
      <c r="L651" s="91"/>
      <c r="M651" s="91"/>
      <c r="N651" s="96" t="b">
        <v>0</v>
      </c>
      <c r="O651" s="96" t="b">
        <v>0</v>
      </c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  <c r="AA651" s="92"/>
      <c r="AB651" s="92"/>
      <c r="AC651" s="92"/>
      <c r="AD651" s="92"/>
      <c r="AE651" s="92"/>
      <c r="AF651" s="92"/>
      <c r="AG651" s="92"/>
    </row>
    <row r="652" hidden="1">
      <c r="A652" s="86" t="str">
        <f t="shared" si="28"/>
        <v>5ffe23ee4a4dfa3a5caba607</v>
      </c>
      <c r="B652" s="57"/>
      <c r="C652" s="80" t="s">
        <v>78</v>
      </c>
      <c r="D652" s="107" t="s">
        <v>79</v>
      </c>
      <c r="E652" s="184" t="s">
        <v>1386</v>
      </c>
      <c r="F652" s="184" t="s">
        <v>1387</v>
      </c>
      <c r="G652" s="112" t="s">
        <v>1388</v>
      </c>
      <c r="H652" s="109" t="s">
        <v>1389</v>
      </c>
      <c r="I652" s="109" t="s">
        <v>1390</v>
      </c>
      <c r="J652" s="184" t="s">
        <v>1391</v>
      </c>
      <c r="K652" s="91"/>
      <c r="L652" s="98"/>
      <c r="M652" s="91"/>
      <c r="N652" s="96" t="b">
        <v>0</v>
      </c>
      <c r="O652" s="96" t="b">
        <v>0</v>
      </c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  <c r="AA652" s="92"/>
      <c r="AB652" s="92"/>
      <c r="AC652" s="92"/>
      <c r="AD652" s="92"/>
      <c r="AE652" s="92"/>
      <c r="AF652" s="92"/>
      <c r="AG652" s="92"/>
    </row>
    <row r="653" hidden="1">
      <c r="A653" s="86" t="str">
        <f t="shared" si="28"/>
        <v>5fde85951e9538311b9554e3</v>
      </c>
      <c r="B653" s="57"/>
      <c r="C653" s="80" t="s">
        <v>78</v>
      </c>
      <c r="D653" s="187" t="s">
        <v>79</v>
      </c>
      <c r="E653" s="183" t="s">
        <v>472</v>
      </c>
      <c r="F653" s="183" t="s">
        <v>473</v>
      </c>
      <c r="G653" s="188">
        <v>0.6666666666666666</v>
      </c>
      <c r="H653" s="189" t="s">
        <v>1392</v>
      </c>
      <c r="I653" s="183" t="s">
        <v>1393</v>
      </c>
      <c r="J653" s="183" t="s">
        <v>1394</v>
      </c>
      <c r="K653" s="189" t="s">
        <v>1395</v>
      </c>
      <c r="L653" s="91"/>
      <c r="M653" s="91"/>
      <c r="N653" s="96" t="b">
        <v>0</v>
      </c>
      <c r="O653" s="96" t="b">
        <v>0</v>
      </c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  <c r="AA653" s="92"/>
      <c r="AB653" s="92"/>
      <c r="AC653" s="92"/>
      <c r="AD653" s="92"/>
      <c r="AE653" s="92"/>
      <c r="AF653" s="92"/>
      <c r="AG653" s="92"/>
    </row>
    <row r="654" hidden="1">
      <c r="A654" s="86" t="str">
        <f t="shared" si="28"/>
        <v>602f8495efa02d12b8c065d8</v>
      </c>
      <c r="B654" s="57"/>
      <c r="C654" s="80" t="s">
        <v>78</v>
      </c>
      <c r="D654" s="187" t="s">
        <v>79</v>
      </c>
      <c r="E654" s="183" t="s">
        <v>462</v>
      </c>
      <c r="F654" s="183" t="s">
        <v>463</v>
      </c>
      <c r="G654" s="188">
        <v>0.75</v>
      </c>
      <c r="H654" s="189" t="s">
        <v>1392</v>
      </c>
      <c r="I654" s="189" t="s">
        <v>1396</v>
      </c>
      <c r="J654" s="183" t="s">
        <v>841</v>
      </c>
      <c r="K654" s="189" t="s">
        <v>1395</v>
      </c>
      <c r="L654" s="91"/>
      <c r="M654" s="91"/>
      <c r="N654" s="96" t="b">
        <v>0</v>
      </c>
      <c r="O654" s="96" t="b">
        <v>0</v>
      </c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  <c r="AA654" s="92"/>
      <c r="AB654" s="92"/>
      <c r="AC654" s="92"/>
      <c r="AD654" s="92"/>
      <c r="AE654" s="92"/>
      <c r="AF654" s="92"/>
      <c r="AG654" s="92"/>
    </row>
    <row r="655" hidden="1">
      <c r="A655" s="86" t="str">
        <f t="shared" si="28"/>
        <v/>
      </c>
      <c r="B655" s="60"/>
      <c r="C655" s="80" t="s">
        <v>78</v>
      </c>
      <c r="D655" s="181"/>
      <c r="E655" s="43"/>
      <c r="F655" s="43"/>
      <c r="G655" s="81"/>
      <c r="H655" s="43"/>
      <c r="I655" s="43"/>
      <c r="J655" s="43"/>
      <c r="K655" s="43"/>
      <c r="L655" s="91"/>
      <c r="M655" s="91"/>
      <c r="N655" s="96" t="b">
        <v>0</v>
      </c>
      <c r="O655" s="96" t="b">
        <v>0</v>
      </c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  <c r="AA655" s="92"/>
      <c r="AB655" s="92"/>
      <c r="AC655" s="92"/>
      <c r="AD655" s="92"/>
      <c r="AE655" s="92"/>
      <c r="AF655" s="92"/>
      <c r="AG655" s="92"/>
    </row>
    <row r="656" hidden="1">
      <c r="A656" s="86" t="str">
        <f t="shared" si="28"/>
        <v/>
      </c>
      <c r="B656" s="18" t="s">
        <v>1254</v>
      </c>
      <c r="C656" s="103"/>
      <c r="D656" s="181"/>
      <c r="E656" s="43"/>
      <c r="F656" s="43"/>
      <c r="G656" s="81"/>
      <c r="H656" s="43"/>
      <c r="I656" s="43"/>
      <c r="J656" s="43"/>
      <c r="K656" s="43"/>
      <c r="L656" s="91"/>
      <c r="M656" s="91"/>
      <c r="N656" s="96" t="b">
        <v>0</v>
      </c>
      <c r="O656" s="96" t="b">
        <v>0</v>
      </c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  <c r="AA656" s="92"/>
      <c r="AB656" s="92"/>
      <c r="AC656" s="92"/>
      <c r="AD656" s="92"/>
      <c r="AE656" s="92"/>
      <c r="AF656" s="92"/>
      <c r="AG656" s="92"/>
    </row>
    <row r="657" hidden="1">
      <c r="A657" s="86" t="str">
        <f t="shared" si="28"/>
        <v/>
      </c>
      <c r="B657" s="25"/>
      <c r="C657" s="170" t="s">
        <v>78</v>
      </c>
      <c r="D657" s="97"/>
      <c r="E657" s="98"/>
      <c r="F657" s="98"/>
      <c r="G657" s="41"/>
      <c r="H657" s="98"/>
      <c r="I657" s="98"/>
      <c r="J657" s="98"/>
      <c r="K657" s="91"/>
      <c r="L657" s="91"/>
      <c r="M657" s="91"/>
      <c r="N657" s="96" t="b">
        <v>0</v>
      </c>
      <c r="O657" s="96" t="b">
        <v>0</v>
      </c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  <c r="AA657" s="92"/>
      <c r="AB657" s="92"/>
      <c r="AC657" s="92"/>
      <c r="AD657" s="92"/>
      <c r="AE657" s="92"/>
      <c r="AF657" s="92"/>
      <c r="AG657" s="92"/>
    </row>
    <row r="658" hidden="1">
      <c r="A658" s="86" t="str">
        <f t="shared" si="28"/>
        <v>607fed8479796fc8e55a55a8</v>
      </c>
      <c r="B658" s="25"/>
      <c r="C658" s="170" t="s">
        <v>78</v>
      </c>
      <c r="D658" s="107" t="s">
        <v>79</v>
      </c>
      <c r="E658" s="184" t="s">
        <v>1397</v>
      </c>
      <c r="F658" s="184" t="s">
        <v>1398</v>
      </c>
      <c r="G658" s="112" t="s">
        <v>417</v>
      </c>
      <c r="H658" s="109" t="s">
        <v>875</v>
      </c>
      <c r="I658" s="109" t="s">
        <v>1399</v>
      </c>
      <c r="J658" s="109" t="s">
        <v>1400</v>
      </c>
      <c r="K658" s="111"/>
      <c r="L658" s="111"/>
      <c r="M658" s="91"/>
      <c r="N658" s="96" t="b">
        <v>0</v>
      </c>
      <c r="O658" s="96" t="b">
        <v>0</v>
      </c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  <c r="AA658" s="92"/>
      <c r="AB658" s="92"/>
      <c r="AC658" s="92"/>
      <c r="AD658" s="92"/>
      <c r="AE658" s="92"/>
      <c r="AF658" s="92"/>
      <c r="AG658" s="92"/>
    </row>
    <row r="659" hidden="1">
      <c r="A659" s="86" t="str">
        <f t="shared" si="28"/>
        <v>6026f5c38474c4cc5b38b906</v>
      </c>
      <c r="B659" s="25"/>
      <c r="C659" s="170" t="s">
        <v>78</v>
      </c>
      <c r="D659" s="107" t="s">
        <v>79</v>
      </c>
      <c r="E659" s="184" t="s">
        <v>707</v>
      </c>
      <c r="F659" s="184" t="s">
        <v>708</v>
      </c>
      <c r="G659" s="112" t="s">
        <v>449</v>
      </c>
      <c r="H659" s="109" t="s">
        <v>290</v>
      </c>
      <c r="I659" s="109" t="s">
        <v>1401</v>
      </c>
      <c r="J659" s="109" t="s">
        <v>710</v>
      </c>
      <c r="K659" s="91"/>
      <c r="L659" s="91"/>
      <c r="M659" s="91"/>
      <c r="N659" s="96" t="b">
        <v>0</v>
      </c>
      <c r="O659" s="96" t="b">
        <v>0</v>
      </c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  <c r="AA659" s="92"/>
      <c r="AB659" s="92"/>
      <c r="AC659" s="92"/>
      <c r="AD659" s="92"/>
      <c r="AE659" s="92"/>
      <c r="AF659" s="92"/>
      <c r="AG659" s="92"/>
    </row>
    <row r="660" hidden="1">
      <c r="A660" s="86" t="str">
        <f t="shared" si="28"/>
        <v>6070cfc5c8d2652f172bef3f</v>
      </c>
      <c r="B660" s="25"/>
      <c r="C660" s="170" t="s">
        <v>78</v>
      </c>
      <c r="D660" s="97" t="s">
        <v>79</v>
      </c>
      <c r="E660" s="183" t="s">
        <v>952</v>
      </c>
      <c r="F660" s="183" t="s">
        <v>953</v>
      </c>
      <c r="G660" s="41" t="s">
        <v>180</v>
      </c>
      <c r="H660" s="98" t="s">
        <v>290</v>
      </c>
      <c r="I660" s="98" t="s">
        <v>1402</v>
      </c>
      <c r="J660" s="98" t="s">
        <v>955</v>
      </c>
      <c r="K660" s="91"/>
      <c r="L660" s="91"/>
      <c r="M660" s="91"/>
      <c r="N660" s="96" t="b">
        <v>0</v>
      </c>
      <c r="O660" s="96" t="b">
        <v>0</v>
      </c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  <c r="AA660" s="92"/>
      <c r="AB660" s="92"/>
      <c r="AC660" s="92"/>
      <c r="AD660" s="92"/>
      <c r="AE660" s="92"/>
      <c r="AF660" s="92"/>
      <c r="AG660" s="92"/>
    </row>
    <row r="661" hidden="1">
      <c r="A661" s="86" t="str">
        <f t="shared" si="28"/>
        <v>6092aed86b49890c5a9068f7</v>
      </c>
      <c r="B661" s="39"/>
      <c r="C661" s="194" t="s">
        <v>78</v>
      </c>
      <c r="D661" s="107" t="s">
        <v>79</v>
      </c>
      <c r="E661" s="184" t="s">
        <v>817</v>
      </c>
      <c r="F661" s="184" t="s">
        <v>818</v>
      </c>
      <c r="G661" s="112" t="s">
        <v>248</v>
      </c>
      <c r="H661" s="109" t="s">
        <v>290</v>
      </c>
      <c r="I661" s="109" t="s">
        <v>819</v>
      </c>
      <c r="J661" s="109" t="s">
        <v>820</v>
      </c>
      <c r="K661" s="91"/>
      <c r="L661" s="91"/>
      <c r="M661" s="91"/>
      <c r="N661" s="96" t="b">
        <v>0</v>
      </c>
      <c r="O661" s="96" t="b">
        <v>0</v>
      </c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  <c r="AA661" s="92"/>
      <c r="AB661" s="92"/>
      <c r="AC661" s="92"/>
      <c r="AD661" s="92"/>
      <c r="AE661" s="92"/>
      <c r="AF661" s="92"/>
      <c r="AG661" s="92"/>
    </row>
    <row r="662" hidden="1">
      <c r="A662" s="86" t="str">
        <f t="shared" si="28"/>
        <v>6026e63de70cee5859b95a1f</v>
      </c>
      <c r="B662" s="166"/>
      <c r="C662" s="88">
        <v>44391.0</v>
      </c>
      <c r="D662" s="97" t="s">
        <v>79</v>
      </c>
      <c r="E662" s="183" t="s">
        <v>1403</v>
      </c>
      <c r="F662" s="183" t="s">
        <v>1404</v>
      </c>
      <c r="G662" s="99">
        <v>0.8333333333333334</v>
      </c>
      <c r="H662" s="98" t="s">
        <v>1405</v>
      </c>
      <c r="I662" s="98" t="s">
        <v>1406</v>
      </c>
      <c r="J662" s="183" t="s">
        <v>1407</v>
      </c>
      <c r="K662" s="91"/>
      <c r="L662" s="91"/>
      <c r="M662" s="91"/>
      <c r="N662" s="96" t="b">
        <v>0</v>
      </c>
      <c r="O662" s="96" t="b">
        <v>0</v>
      </c>
      <c r="P662" s="173"/>
      <c r="Q662" s="173"/>
      <c r="R662" s="173"/>
      <c r="S662" s="173"/>
      <c r="T662" s="173"/>
      <c r="U662" s="173"/>
      <c r="V662" s="173"/>
      <c r="W662" s="173"/>
      <c r="X662" s="173"/>
      <c r="Y662" s="173"/>
      <c r="Z662" s="173"/>
      <c r="AA662" s="173"/>
      <c r="AB662" s="173"/>
      <c r="AC662" s="173"/>
      <c r="AD662" s="173"/>
      <c r="AE662" s="173"/>
      <c r="AF662" s="173"/>
      <c r="AG662" s="173"/>
    </row>
    <row r="663" hidden="1">
      <c r="A663" s="86" t="str">
        <f t="shared" si="28"/>
        <v/>
      </c>
      <c r="B663" s="123" t="s">
        <v>286</v>
      </c>
      <c r="C663" s="103"/>
      <c r="D663" s="97"/>
      <c r="E663" s="98"/>
      <c r="F663" s="98"/>
      <c r="G663" s="41"/>
      <c r="H663" s="98"/>
      <c r="I663" s="98"/>
      <c r="J663" s="98"/>
      <c r="K663" s="91"/>
      <c r="L663" s="91"/>
      <c r="M663" s="91"/>
      <c r="N663" s="96" t="b">
        <v>0</v>
      </c>
      <c r="O663" s="96" t="b">
        <v>0</v>
      </c>
      <c r="P663" s="173"/>
      <c r="Q663" s="173"/>
      <c r="R663" s="173"/>
      <c r="S663" s="173"/>
      <c r="T663" s="173"/>
      <c r="U663" s="173"/>
      <c r="V663" s="173"/>
      <c r="W663" s="173"/>
      <c r="X663" s="173"/>
      <c r="Y663" s="173"/>
      <c r="Z663" s="173"/>
      <c r="AA663" s="173"/>
      <c r="AB663" s="173"/>
      <c r="AC663" s="173"/>
      <c r="AD663" s="173"/>
      <c r="AE663" s="173"/>
      <c r="AF663" s="173"/>
      <c r="AG663" s="173"/>
    </row>
    <row r="664" hidden="1">
      <c r="A664" s="86" t="str">
        <f t="shared" si="28"/>
        <v>60b760396dda9e614ad2ae17</v>
      </c>
      <c r="B664" s="57"/>
      <c r="C664" s="80" t="s">
        <v>78</v>
      </c>
      <c r="D664" s="107" t="s">
        <v>79</v>
      </c>
      <c r="E664" s="184" t="s">
        <v>1408</v>
      </c>
      <c r="F664" s="184" t="s">
        <v>1409</v>
      </c>
      <c r="G664" s="108">
        <v>0.4166666666666667</v>
      </c>
      <c r="H664" s="109" t="s">
        <v>1410</v>
      </c>
      <c r="I664" s="109" t="s">
        <v>1411</v>
      </c>
      <c r="J664" s="183" t="s">
        <v>1412</v>
      </c>
      <c r="K664" s="91"/>
      <c r="L664" s="91"/>
      <c r="M664" s="91"/>
      <c r="N664" s="96" t="b">
        <v>0</v>
      </c>
      <c r="O664" s="96" t="b">
        <v>0</v>
      </c>
      <c r="P664" s="173"/>
      <c r="Q664" s="173"/>
      <c r="R664" s="173"/>
      <c r="S664" s="173"/>
      <c r="T664" s="173"/>
      <c r="U664" s="173"/>
      <c r="V664" s="173"/>
      <c r="W664" s="173"/>
      <c r="X664" s="173"/>
      <c r="Y664" s="173"/>
      <c r="Z664" s="173"/>
      <c r="AA664" s="173"/>
      <c r="AB664" s="173"/>
      <c r="AC664" s="173"/>
      <c r="AD664" s="173"/>
      <c r="AE664" s="173"/>
      <c r="AF664" s="173"/>
      <c r="AG664" s="173"/>
    </row>
    <row r="665" hidden="1">
      <c r="A665" s="86" t="str">
        <f t="shared" si="28"/>
        <v>605cbe1a34f5ff789c56f248</v>
      </c>
      <c r="B665" s="57"/>
      <c r="C665" s="80" t="s">
        <v>78</v>
      </c>
      <c r="D665" s="97" t="s">
        <v>79</v>
      </c>
      <c r="E665" s="183" t="s">
        <v>1413</v>
      </c>
      <c r="F665" s="183" t="s">
        <v>1414</v>
      </c>
      <c r="G665" s="99">
        <v>0.5</v>
      </c>
      <c r="H665" s="98" t="s">
        <v>407</v>
      </c>
      <c r="I665" s="98" t="s">
        <v>1415</v>
      </c>
      <c r="J665" s="183" t="s">
        <v>1416</v>
      </c>
      <c r="K665" s="91"/>
      <c r="L665" s="91"/>
      <c r="M665" s="91"/>
      <c r="N665" s="96" t="b">
        <v>0</v>
      </c>
      <c r="O665" s="96" t="b">
        <v>0</v>
      </c>
      <c r="P665" s="173"/>
      <c r="Q665" s="173"/>
      <c r="R665" s="173"/>
      <c r="S665" s="173"/>
      <c r="T665" s="173"/>
      <c r="U665" s="173"/>
      <c r="V665" s="173"/>
      <c r="W665" s="173"/>
      <c r="X665" s="173"/>
      <c r="Y665" s="173"/>
      <c r="Z665" s="173"/>
      <c r="AA665" s="173"/>
      <c r="AB665" s="173"/>
      <c r="AC665" s="173"/>
      <c r="AD665" s="173"/>
      <c r="AE665" s="173"/>
      <c r="AF665" s="173"/>
      <c r="AG665" s="173"/>
    </row>
    <row r="666" hidden="1">
      <c r="A666" s="86" t="str">
        <f t="shared" si="28"/>
        <v>601478d34e3bdf5eed67385c</v>
      </c>
      <c r="B666" s="57"/>
      <c r="C666" s="80" t="s">
        <v>78</v>
      </c>
      <c r="D666" s="97" t="s">
        <v>79</v>
      </c>
      <c r="E666" s="183" t="s">
        <v>1417</v>
      </c>
      <c r="F666" s="183" t="s">
        <v>1418</v>
      </c>
      <c r="G666" s="99">
        <v>0.6666666666666666</v>
      </c>
      <c r="H666" s="98" t="s">
        <v>1419</v>
      </c>
      <c r="I666" s="98" t="s">
        <v>1420</v>
      </c>
      <c r="J666" s="183" t="s">
        <v>1421</v>
      </c>
      <c r="K666" s="91"/>
      <c r="L666" s="91"/>
      <c r="M666" s="91"/>
      <c r="N666" s="96" t="b">
        <v>0</v>
      </c>
      <c r="O666" s="96" t="b">
        <v>0</v>
      </c>
      <c r="P666" s="173"/>
      <c r="Q666" s="173"/>
      <c r="R666" s="173"/>
      <c r="S666" s="173"/>
      <c r="T666" s="173"/>
      <c r="U666" s="173"/>
      <c r="V666" s="173"/>
      <c r="W666" s="173"/>
      <c r="X666" s="173"/>
      <c r="Y666" s="173"/>
      <c r="Z666" s="173"/>
      <c r="AA666" s="173"/>
      <c r="AB666" s="173"/>
      <c r="AC666" s="173"/>
      <c r="AD666" s="173"/>
      <c r="AE666" s="173"/>
      <c r="AF666" s="173"/>
      <c r="AG666" s="173"/>
    </row>
    <row r="667" hidden="1">
      <c r="A667" s="86" t="str">
        <f t="shared" si="28"/>
        <v>605a504ededd7880ef6c4815</v>
      </c>
      <c r="B667" s="57"/>
      <c r="C667" s="80" t="s">
        <v>78</v>
      </c>
      <c r="D667" s="97" t="s">
        <v>79</v>
      </c>
      <c r="E667" s="98" t="s">
        <v>1422</v>
      </c>
      <c r="F667" s="98" t="s">
        <v>1423</v>
      </c>
      <c r="G667" s="99">
        <v>0.75</v>
      </c>
      <c r="H667" s="98" t="s">
        <v>478</v>
      </c>
      <c r="I667" s="98" t="s">
        <v>1424</v>
      </c>
      <c r="J667" s="98" t="s">
        <v>1425</v>
      </c>
      <c r="K667" s="91"/>
      <c r="L667" s="91"/>
      <c r="M667" s="91"/>
      <c r="N667" s="96" t="b">
        <v>0</v>
      </c>
      <c r="O667" s="96" t="b">
        <v>0</v>
      </c>
      <c r="P667" s="173"/>
      <c r="Q667" s="173"/>
      <c r="R667" s="173"/>
      <c r="S667" s="173"/>
      <c r="T667" s="173"/>
      <c r="U667" s="173"/>
      <c r="V667" s="173"/>
      <c r="W667" s="173"/>
      <c r="X667" s="173"/>
      <c r="Y667" s="173"/>
      <c r="Z667" s="173"/>
      <c r="AA667" s="173"/>
      <c r="AB667" s="173"/>
      <c r="AC667" s="173"/>
      <c r="AD667" s="173"/>
      <c r="AE667" s="173"/>
      <c r="AF667" s="173"/>
      <c r="AG667" s="173"/>
    </row>
    <row r="668" hidden="1">
      <c r="A668" s="86" t="str">
        <f t="shared" si="28"/>
        <v/>
      </c>
      <c r="B668" s="60"/>
      <c r="C668" s="80" t="s">
        <v>78</v>
      </c>
      <c r="D668" s="181"/>
      <c r="E668" s="43"/>
      <c r="F668" s="43"/>
      <c r="G668" s="81"/>
      <c r="H668" s="43"/>
      <c r="I668" s="43"/>
      <c r="J668" s="43"/>
      <c r="K668" s="91"/>
      <c r="L668" s="91"/>
      <c r="M668" s="91"/>
      <c r="N668" s="96" t="b">
        <v>0</v>
      </c>
      <c r="O668" s="96" t="b">
        <v>0</v>
      </c>
      <c r="P668" s="173"/>
      <c r="Q668" s="173"/>
      <c r="R668" s="173"/>
      <c r="S668" s="173"/>
      <c r="T668" s="173"/>
      <c r="U668" s="173"/>
      <c r="V668" s="173"/>
      <c r="W668" s="173"/>
      <c r="X668" s="173"/>
      <c r="Y668" s="173"/>
      <c r="Z668" s="173"/>
      <c r="AA668" s="173"/>
      <c r="AB668" s="173"/>
      <c r="AC668" s="173"/>
      <c r="AD668" s="173"/>
      <c r="AE668" s="173"/>
      <c r="AF668" s="173"/>
      <c r="AG668" s="173"/>
    </row>
    <row r="669" hidden="1">
      <c r="A669" s="86" t="str">
        <f t="shared" si="28"/>
        <v/>
      </c>
      <c r="B669" s="18" t="s">
        <v>1426</v>
      </c>
      <c r="C669" s="103"/>
      <c r="D669" s="97"/>
      <c r="E669" s="98"/>
      <c r="F669" s="98"/>
      <c r="G669" s="41"/>
      <c r="H669" s="98"/>
      <c r="I669" s="98"/>
      <c r="J669" s="98"/>
      <c r="K669" s="91"/>
      <c r="L669" s="91"/>
      <c r="M669" s="91"/>
      <c r="N669" s="96" t="b">
        <v>0</v>
      </c>
      <c r="O669" s="96" t="b">
        <v>0</v>
      </c>
      <c r="P669" s="173"/>
      <c r="Q669" s="173"/>
      <c r="R669" s="173"/>
      <c r="S669" s="173"/>
      <c r="T669" s="173"/>
      <c r="U669" s="173"/>
      <c r="V669" s="173"/>
      <c r="W669" s="173"/>
      <c r="X669" s="173"/>
      <c r="Y669" s="173"/>
      <c r="Z669" s="173"/>
      <c r="AA669" s="173"/>
      <c r="AB669" s="173"/>
      <c r="AC669" s="173"/>
      <c r="AD669" s="173"/>
      <c r="AE669" s="173"/>
      <c r="AF669" s="173"/>
      <c r="AG669" s="173"/>
    </row>
    <row r="670" hidden="1">
      <c r="A670" s="86" t="str">
        <f t="shared" si="28"/>
        <v/>
      </c>
      <c r="B670" s="25"/>
      <c r="C670" s="170" t="s">
        <v>78</v>
      </c>
      <c r="D670" s="181"/>
      <c r="E670" s="43"/>
      <c r="F670" s="43"/>
      <c r="G670" s="81"/>
      <c r="H670" s="43"/>
      <c r="I670" s="43"/>
      <c r="J670" s="43"/>
      <c r="K670" s="91"/>
      <c r="L670" s="91"/>
      <c r="M670" s="91"/>
      <c r="N670" s="96" t="b">
        <v>0</v>
      </c>
      <c r="O670" s="96" t="b">
        <v>0</v>
      </c>
      <c r="P670" s="173"/>
      <c r="Q670" s="173"/>
      <c r="R670" s="173"/>
      <c r="S670" s="173"/>
      <c r="T670" s="173"/>
      <c r="U670" s="173"/>
      <c r="V670" s="173"/>
      <c r="W670" s="173"/>
      <c r="X670" s="173"/>
      <c r="Y670" s="173"/>
      <c r="Z670" s="173"/>
      <c r="AA670" s="173"/>
      <c r="AB670" s="173"/>
      <c r="AC670" s="173"/>
      <c r="AD670" s="173"/>
      <c r="AE670" s="173"/>
      <c r="AF670" s="173"/>
      <c r="AG670" s="173"/>
    </row>
    <row r="671" hidden="1">
      <c r="A671" s="86" t="str">
        <f t="shared" si="28"/>
        <v>605ba958c18a3cb7c78ea6bd</v>
      </c>
      <c r="B671" s="25"/>
      <c r="C671" s="170" t="s">
        <v>78</v>
      </c>
      <c r="D671" s="97" t="s">
        <v>79</v>
      </c>
      <c r="E671" s="98" t="s">
        <v>1427</v>
      </c>
      <c r="F671" s="98" t="s">
        <v>1428</v>
      </c>
      <c r="G671" s="99">
        <v>0.4791666666666667</v>
      </c>
      <c r="H671" s="98" t="s">
        <v>339</v>
      </c>
      <c r="I671" s="98" t="s">
        <v>1429</v>
      </c>
      <c r="J671" s="98" t="s">
        <v>1430</v>
      </c>
      <c r="K671" s="91"/>
      <c r="L671" s="91"/>
      <c r="M671" s="91"/>
      <c r="N671" s="96" t="b">
        <v>0</v>
      </c>
      <c r="O671" s="96" t="b">
        <v>0</v>
      </c>
      <c r="P671" s="173"/>
      <c r="Q671" s="173"/>
      <c r="R671" s="173"/>
      <c r="S671" s="173"/>
      <c r="T671" s="173"/>
      <c r="U671" s="173"/>
      <c r="V671" s="173"/>
      <c r="W671" s="173"/>
      <c r="X671" s="173"/>
      <c r="Y671" s="173"/>
      <c r="Z671" s="173"/>
      <c r="AA671" s="173"/>
      <c r="AB671" s="173"/>
      <c r="AC671" s="173"/>
      <c r="AD671" s="173"/>
      <c r="AE671" s="173"/>
      <c r="AF671" s="173"/>
      <c r="AG671" s="173"/>
    </row>
    <row r="672" hidden="1">
      <c r="A672" s="86" t="str">
        <f t="shared" si="28"/>
        <v>60585e4294997b3393a549bb</v>
      </c>
      <c r="B672" s="25"/>
      <c r="C672" s="170" t="s">
        <v>78</v>
      </c>
      <c r="D672" s="97" t="s">
        <v>79</v>
      </c>
      <c r="E672" s="183" t="s">
        <v>1431</v>
      </c>
      <c r="F672" s="183" t="s">
        <v>1432</v>
      </c>
      <c r="G672" s="99">
        <v>0.5833333333333334</v>
      </c>
      <c r="H672" s="98" t="s">
        <v>1433</v>
      </c>
      <c r="I672" s="98" t="s">
        <v>1434</v>
      </c>
      <c r="J672" s="183" t="s">
        <v>1435</v>
      </c>
      <c r="K672" s="91"/>
      <c r="L672" s="91"/>
      <c r="M672" s="91"/>
      <c r="N672" s="96" t="b">
        <v>0</v>
      </c>
      <c r="O672" s="96" t="b">
        <v>0</v>
      </c>
      <c r="P672" s="173"/>
      <c r="Q672" s="173"/>
      <c r="R672" s="173"/>
      <c r="S672" s="173"/>
      <c r="T672" s="173"/>
      <c r="U672" s="173"/>
      <c r="V672" s="173"/>
      <c r="W672" s="173"/>
      <c r="X672" s="173"/>
      <c r="Y672" s="173"/>
      <c r="Z672" s="173"/>
      <c r="AA672" s="173"/>
      <c r="AB672" s="173"/>
      <c r="AC672" s="173"/>
      <c r="AD672" s="173"/>
      <c r="AE672" s="173"/>
      <c r="AF672" s="173"/>
      <c r="AG672" s="173"/>
    </row>
    <row r="673" hidden="1">
      <c r="A673" s="86" t="str">
        <f t="shared" si="28"/>
        <v>60c0b2522fd0ca584b66115b</v>
      </c>
      <c r="B673" s="25"/>
      <c r="C673" s="170" t="s">
        <v>78</v>
      </c>
      <c r="D673" s="97" t="s">
        <v>79</v>
      </c>
      <c r="E673" s="183" t="s">
        <v>1436</v>
      </c>
      <c r="F673" s="183" t="s">
        <v>1437</v>
      </c>
      <c r="G673" s="99">
        <v>0.6666666666666666</v>
      </c>
      <c r="H673" s="98" t="s">
        <v>1433</v>
      </c>
      <c r="I673" s="98" t="s">
        <v>1438</v>
      </c>
      <c r="J673" s="183" t="s">
        <v>1439</v>
      </c>
      <c r="K673" s="91"/>
      <c r="L673" s="91"/>
      <c r="M673" s="91"/>
      <c r="N673" s="96" t="b">
        <v>0</v>
      </c>
      <c r="O673" s="96" t="b">
        <v>0</v>
      </c>
      <c r="P673" s="173"/>
      <c r="Q673" s="173"/>
      <c r="R673" s="173"/>
      <c r="S673" s="173"/>
      <c r="T673" s="173"/>
      <c r="U673" s="173"/>
      <c r="V673" s="173"/>
      <c r="W673" s="173"/>
      <c r="X673" s="173"/>
      <c r="Y673" s="173"/>
      <c r="Z673" s="173"/>
      <c r="AA673" s="173"/>
      <c r="AB673" s="173"/>
      <c r="AC673" s="173"/>
      <c r="AD673" s="173"/>
      <c r="AE673" s="173"/>
      <c r="AF673" s="173"/>
      <c r="AG673" s="173"/>
    </row>
    <row r="674" hidden="1">
      <c r="A674" s="86" t="str">
        <f t="shared" si="28"/>
        <v>602c1e3c85b2c6a4d426448b</v>
      </c>
      <c r="B674" s="39"/>
      <c r="C674" s="194" t="s">
        <v>78</v>
      </c>
      <c r="D674" s="97" t="s">
        <v>79</v>
      </c>
      <c r="E674" s="183" t="s">
        <v>1440</v>
      </c>
      <c r="F674" s="183" t="s">
        <v>1441</v>
      </c>
      <c r="G674" s="99">
        <v>0.7916666666666666</v>
      </c>
      <c r="H674" s="98" t="s">
        <v>290</v>
      </c>
      <c r="I674" s="183" t="s">
        <v>1442</v>
      </c>
      <c r="J674" s="183" t="s">
        <v>1443</v>
      </c>
      <c r="K674" s="91"/>
      <c r="L674" s="91"/>
      <c r="M674" s="91"/>
      <c r="N674" s="96" t="b">
        <v>0</v>
      </c>
      <c r="O674" s="96" t="b">
        <v>0</v>
      </c>
      <c r="P674" s="173"/>
      <c r="Q674" s="173"/>
      <c r="R674" s="173"/>
      <c r="S674" s="173"/>
      <c r="T674" s="173"/>
      <c r="U674" s="173"/>
      <c r="V674" s="173"/>
      <c r="W674" s="173"/>
      <c r="X674" s="173"/>
      <c r="Y674" s="173"/>
      <c r="Z674" s="173"/>
      <c r="AA674" s="173"/>
      <c r="AB674" s="173"/>
      <c r="AC674" s="173"/>
      <c r="AD674" s="173"/>
      <c r="AE674" s="173"/>
      <c r="AF674" s="173"/>
      <c r="AG674" s="173"/>
    </row>
    <row r="675" hidden="1">
      <c r="A675" s="86" t="str">
        <f t="shared" si="28"/>
        <v/>
      </c>
      <c r="B675" s="166"/>
      <c r="C675" s="88">
        <v>44392.0</v>
      </c>
      <c r="D675" s="97"/>
      <c r="E675" s="98"/>
      <c r="F675" s="98"/>
      <c r="G675" s="41"/>
      <c r="H675" s="98"/>
      <c r="I675" s="98"/>
      <c r="J675" s="98"/>
      <c r="K675" s="91"/>
      <c r="L675" s="91"/>
      <c r="M675" s="91"/>
      <c r="N675" s="96" t="b">
        <v>0</v>
      </c>
      <c r="O675" s="96" t="b">
        <v>0</v>
      </c>
      <c r="P675" s="173"/>
      <c r="Q675" s="173"/>
      <c r="R675" s="173"/>
      <c r="S675" s="173"/>
      <c r="T675" s="173"/>
      <c r="U675" s="173"/>
      <c r="V675" s="173"/>
      <c r="W675" s="173"/>
      <c r="X675" s="173"/>
      <c r="Y675" s="173"/>
      <c r="Z675" s="173"/>
      <c r="AA675" s="173"/>
      <c r="AB675" s="173"/>
      <c r="AC675" s="173"/>
      <c r="AD675" s="173"/>
      <c r="AE675" s="173"/>
      <c r="AF675" s="173"/>
      <c r="AG675" s="173"/>
    </row>
    <row r="676" hidden="1">
      <c r="A676" s="86" t="str">
        <f t="shared" si="28"/>
        <v/>
      </c>
      <c r="B676" s="123" t="s">
        <v>286</v>
      </c>
      <c r="C676" s="78" t="s">
        <v>78</v>
      </c>
      <c r="D676" s="181"/>
      <c r="E676" s="43"/>
      <c r="F676" s="43"/>
      <c r="G676" s="81"/>
      <c r="H676" s="43"/>
      <c r="I676" s="43"/>
      <c r="J676" s="43"/>
      <c r="K676" s="91"/>
      <c r="L676" s="91"/>
      <c r="M676" s="91"/>
      <c r="N676" s="96" t="b">
        <v>0</v>
      </c>
      <c r="O676" s="96" t="b">
        <v>0</v>
      </c>
      <c r="P676" s="173"/>
      <c r="Q676" s="173"/>
      <c r="R676" s="173"/>
      <c r="S676" s="173"/>
      <c r="T676" s="173"/>
      <c r="U676" s="173"/>
      <c r="V676" s="173"/>
      <c r="W676" s="173"/>
      <c r="X676" s="173"/>
      <c r="Y676" s="173"/>
      <c r="Z676" s="173"/>
      <c r="AA676" s="173"/>
      <c r="AB676" s="173"/>
      <c r="AC676" s="173"/>
      <c r="AD676" s="173"/>
      <c r="AE676" s="173"/>
      <c r="AF676" s="173"/>
      <c r="AG676" s="173"/>
    </row>
    <row r="677" hidden="1">
      <c r="A677" s="86" t="str">
        <f t="shared" si="28"/>
        <v>6081c888c6f49166243bd48a</v>
      </c>
      <c r="B677" s="57"/>
      <c r="C677" s="80" t="s">
        <v>78</v>
      </c>
      <c r="D677" s="97" t="s">
        <v>79</v>
      </c>
      <c r="E677" s="183" t="s">
        <v>1444</v>
      </c>
      <c r="F677" s="183" t="s">
        <v>1445</v>
      </c>
      <c r="G677" s="99">
        <v>0.5</v>
      </c>
      <c r="H677" s="98" t="s">
        <v>755</v>
      </c>
      <c r="I677" s="98" t="s">
        <v>1446</v>
      </c>
      <c r="J677" s="183" t="s">
        <v>1447</v>
      </c>
      <c r="K677" s="91"/>
      <c r="L677" s="91"/>
      <c r="M677" s="91"/>
      <c r="N677" s="96" t="b">
        <v>0</v>
      </c>
      <c r="O677" s="96" t="b">
        <v>0</v>
      </c>
      <c r="P677" s="173"/>
      <c r="Q677" s="173"/>
      <c r="R677" s="173"/>
      <c r="S677" s="173"/>
      <c r="T677" s="173"/>
      <c r="U677" s="173"/>
      <c r="V677" s="173"/>
      <c r="W677" s="173"/>
      <c r="X677" s="173"/>
      <c r="Y677" s="173"/>
      <c r="Z677" s="173"/>
      <c r="AA677" s="173"/>
      <c r="AB677" s="173"/>
      <c r="AC677" s="173"/>
      <c r="AD677" s="173"/>
      <c r="AE677" s="173"/>
      <c r="AF677" s="173"/>
      <c r="AG677" s="173"/>
    </row>
    <row r="678" hidden="1">
      <c r="A678" s="86" t="str">
        <f t="shared" si="28"/>
        <v>6014af9f6c1642019c90d947</v>
      </c>
      <c r="B678" s="57"/>
      <c r="C678" s="80" t="s">
        <v>78</v>
      </c>
      <c r="D678" s="107" t="s">
        <v>79</v>
      </c>
      <c r="E678" s="184" t="s">
        <v>468</v>
      </c>
      <c r="F678" s="184" t="s">
        <v>469</v>
      </c>
      <c r="G678" s="108">
        <v>0.5416666666666666</v>
      </c>
      <c r="H678" s="184" t="s">
        <v>755</v>
      </c>
      <c r="I678" s="184" t="s">
        <v>1448</v>
      </c>
      <c r="J678" s="184" t="s">
        <v>1449</v>
      </c>
      <c r="K678" s="91"/>
      <c r="L678" s="91"/>
      <c r="M678" s="91"/>
      <c r="N678" s="96" t="b">
        <v>0</v>
      </c>
      <c r="O678" s="96" t="b">
        <v>0</v>
      </c>
      <c r="P678" s="173"/>
      <c r="Q678" s="173"/>
      <c r="R678" s="173"/>
      <c r="S678" s="173"/>
      <c r="T678" s="173"/>
      <c r="U678" s="173"/>
      <c r="V678" s="173"/>
      <c r="W678" s="173"/>
      <c r="X678" s="173"/>
      <c r="Y678" s="173"/>
      <c r="Z678" s="173"/>
      <c r="AA678" s="173"/>
      <c r="AB678" s="173"/>
      <c r="AC678" s="173"/>
      <c r="AD678" s="173"/>
      <c r="AE678" s="173"/>
      <c r="AF678" s="173"/>
      <c r="AG678" s="173"/>
    </row>
    <row r="679" hidden="1">
      <c r="A679" s="86" t="str">
        <f t="shared" si="28"/>
        <v>605cc5ad8b08d16a7efa6dbe</v>
      </c>
      <c r="B679" s="57"/>
      <c r="C679" s="80" t="s">
        <v>78</v>
      </c>
      <c r="D679" s="97" t="s">
        <v>79</v>
      </c>
      <c r="E679" s="186" t="s">
        <v>1450</v>
      </c>
      <c r="F679" s="186" t="s">
        <v>1451</v>
      </c>
      <c r="G679" s="99">
        <v>0.625</v>
      </c>
      <c r="H679" s="98" t="s">
        <v>367</v>
      </c>
      <c r="I679" s="98" t="s">
        <v>1452</v>
      </c>
      <c r="J679" s="186" t="s">
        <v>1453</v>
      </c>
      <c r="K679" s="91"/>
      <c r="L679" s="91"/>
      <c r="M679" s="91"/>
      <c r="N679" s="96" t="b">
        <v>0</v>
      </c>
      <c r="O679" s="96" t="b">
        <v>0</v>
      </c>
      <c r="P679" s="173"/>
      <c r="Q679" s="173"/>
      <c r="R679" s="173"/>
      <c r="S679" s="173"/>
      <c r="T679" s="173"/>
      <c r="U679" s="173"/>
      <c r="V679" s="173"/>
      <c r="W679" s="173"/>
      <c r="X679" s="173"/>
      <c r="Y679" s="173"/>
      <c r="Z679" s="173"/>
      <c r="AA679" s="173"/>
      <c r="AB679" s="173"/>
      <c r="AC679" s="173"/>
      <c r="AD679" s="173"/>
      <c r="AE679" s="173"/>
      <c r="AF679" s="173"/>
      <c r="AG679" s="173"/>
    </row>
    <row r="680" hidden="1">
      <c r="A680" s="86" t="str">
        <f t="shared" si="28"/>
        <v>602723d249e2e4577cf36426</v>
      </c>
      <c r="B680" s="57"/>
      <c r="C680" s="80" t="s">
        <v>78</v>
      </c>
      <c r="D680" s="107" t="s">
        <v>79</v>
      </c>
      <c r="E680" s="195" t="s">
        <v>1454</v>
      </c>
      <c r="F680" s="195" t="s">
        <v>1455</v>
      </c>
      <c r="G680" s="196">
        <v>0.75</v>
      </c>
      <c r="H680" s="195" t="s">
        <v>1456</v>
      </c>
      <c r="I680" s="195" t="s">
        <v>1457</v>
      </c>
      <c r="J680" s="195" t="s">
        <v>1458</v>
      </c>
      <c r="K680" s="91"/>
      <c r="L680" s="91"/>
      <c r="M680" s="91"/>
      <c r="N680" s="96" t="b">
        <v>0</v>
      </c>
      <c r="O680" s="96" t="b">
        <v>0</v>
      </c>
      <c r="P680" s="173"/>
      <c r="Q680" s="173"/>
      <c r="R680" s="173"/>
      <c r="S680" s="173"/>
      <c r="T680" s="173"/>
      <c r="U680" s="173"/>
      <c r="V680" s="173"/>
      <c r="W680" s="173"/>
      <c r="X680" s="173"/>
      <c r="Y680" s="173"/>
      <c r="Z680" s="173"/>
      <c r="AA680" s="173"/>
      <c r="AB680" s="173"/>
      <c r="AC680" s="173"/>
      <c r="AD680" s="173"/>
      <c r="AE680" s="173"/>
      <c r="AF680" s="173"/>
      <c r="AG680" s="173"/>
    </row>
    <row r="681" hidden="1">
      <c r="A681" s="86" t="str">
        <f t="shared" si="28"/>
        <v/>
      </c>
      <c r="B681" s="60"/>
      <c r="C681" s="80" t="s">
        <v>78</v>
      </c>
      <c r="D681" s="97"/>
      <c r="E681" s="98"/>
      <c r="F681" s="98"/>
      <c r="G681" s="41"/>
      <c r="H681" s="98"/>
      <c r="I681" s="98"/>
      <c r="J681" s="98"/>
      <c r="K681" s="91"/>
      <c r="L681" s="91"/>
      <c r="M681" s="91"/>
      <c r="N681" s="96" t="b">
        <v>0</v>
      </c>
      <c r="O681" s="96" t="b">
        <v>0</v>
      </c>
      <c r="P681" s="173"/>
      <c r="Q681" s="173"/>
      <c r="R681" s="173"/>
      <c r="S681" s="173"/>
      <c r="T681" s="173"/>
      <c r="U681" s="173"/>
      <c r="V681" s="173"/>
      <c r="W681" s="173"/>
      <c r="X681" s="173"/>
      <c r="Y681" s="173"/>
      <c r="Z681" s="173"/>
      <c r="AA681" s="173"/>
      <c r="AB681" s="173"/>
      <c r="AC681" s="173"/>
      <c r="AD681" s="173"/>
      <c r="AE681" s="173"/>
      <c r="AF681" s="173"/>
      <c r="AG681" s="173"/>
    </row>
    <row r="682" hidden="1">
      <c r="A682" s="86" t="str">
        <f t="shared" si="28"/>
        <v/>
      </c>
      <c r="B682" s="18" t="s">
        <v>1426</v>
      </c>
      <c r="C682" s="103"/>
      <c r="D682" s="97"/>
      <c r="E682" s="98"/>
      <c r="F682" s="98"/>
      <c r="G682" s="41"/>
      <c r="H682" s="98"/>
      <c r="I682" s="98"/>
      <c r="J682" s="98"/>
      <c r="K682" s="91"/>
      <c r="L682" s="91"/>
      <c r="M682" s="91"/>
      <c r="N682" s="96" t="b">
        <v>0</v>
      </c>
      <c r="O682" s="96" t="b">
        <v>0</v>
      </c>
      <c r="P682" s="173"/>
      <c r="Q682" s="173"/>
      <c r="R682" s="173"/>
      <c r="S682" s="173"/>
      <c r="T682" s="173"/>
      <c r="U682" s="173"/>
      <c r="V682" s="173"/>
      <c r="W682" s="173"/>
      <c r="X682" s="173"/>
      <c r="Y682" s="173"/>
      <c r="Z682" s="173"/>
      <c r="AA682" s="173"/>
      <c r="AB682" s="173"/>
      <c r="AC682" s="173"/>
      <c r="AD682" s="173"/>
      <c r="AE682" s="173"/>
      <c r="AF682" s="173"/>
      <c r="AG682" s="173"/>
    </row>
    <row r="683" hidden="1">
      <c r="A683" s="86" t="str">
        <f t="shared" si="28"/>
        <v>60152908caa06121ef7f660d</v>
      </c>
      <c r="B683" s="25"/>
      <c r="C683" s="170" t="s">
        <v>78</v>
      </c>
      <c r="D683" s="97" t="s">
        <v>79</v>
      </c>
      <c r="E683" s="183" t="s">
        <v>1459</v>
      </c>
      <c r="F683" s="183" t="s">
        <v>1460</v>
      </c>
      <c r="G683" s="99">
        <v>0.4583333333333333</v>
      </c>
      <c r="H683" s="98" t="s">
        <v>1461</v>
      </c>
      <c r="I683" s="98" t="s">
        <v>1462</v>
      </c>
      <c r="J683" s="183" t="s">
        <v>1463</v>
      </c>
      <c r="K683" s="91"/>
      <c r="L683" s="91"/>
      <c r="M683" s="91"/>
      <c r="N683" s="96" t="b">
        <v>0</v>
      </c>
      <c r="O683" s="96" t="b">
        <v>0</v>
      </c>
      <c r="P683" s="173"/>
      <c r="Q683" s="173"/>
      <c r="R683" s="173"/>
      <c r="S683" s="173"/>
      <c r="T683" s="173"/>
      <c r="U683" s="173"/>
      <c r="V683" s="173"/>
      <c r="W683" s="173"/>
      <c r="X683" s="173"/>
      <c r="Y683" s="173"/>
      <c r="Z683" s="173"/>
      <c r="AA683" s="173"/>
      <c r="AB683" s="173"/>
      <c r="AC683" s="173"/>
      <c r="AD683" s="173"/>
      <c r="AE683" s="173"/>
      <c r="AF683" s="173"/>
      <c r="AG683" s="173"/>
    </row>
    <row r="684" hidden="1">
      <c r="A684" s="86" t="str">
        <f t="shared" si="28"/>
        <v>60099d43c795bd680d42a691</v>
      </c>
      <c r="B684" s="25"/>
      <c r="C684" s="170" t="s">
        <v>78</v>
      </c>
      <c r="D684" s="97" t="s">
        <v>79</v>
      </c>
      <c r="E684" s="183" t="s">
        <v>1464</v>
      </c>
      <c r="F684" s="183" t="s">
        <v>1465</v>
      </c>
      <c r="G684" s="99">
        <v>0.5416666666666666</v>
      </c>
      <c r="H684" s="98" t="s">
        <v>1466</v>
      </c>
      <c r="I684" s="98" t="s">
        <v>1467</v>
      </c>
      <c r="J684" s="183" t="s">
        <v>1468</v>
      </c>
      <c r="K684" s="91"/>
      <c r="L684" s="91"/>
      <c r="M684" s="91"/>
      <c r="N684" s="96" t="b">
        <v>0</v>
      </c>
      <c r="O684" s="96" t="b">
        <v>0</v>
      </c>
      <c r="P684" s="173"/>
      <c r="Q684" s="173"/>
      <c r="R684" s="173"/>
      <c r="S684" s="173"/>
      <c r="T684" s="173"/>
      <c r="U684" s="173"/>
      <c r="V684" s="173"/>
      <c r="W684" s="173"/>
      <c r="X684" s="173"/>
      <c r="Y684" s="173"/>
      <c r="Z684" s="173"/>
      <c r="AA684" s="173"/>
      <c r="AB684" s="173"/>
      <c r="AC684" s="173"/>
      <c r="AD684" s="173"/>
      <c r="AE684" s="173"/>
      <c r="AF684" s="173"/>
      <c r="AG684" s="173"/>
    </row>
    <row r="685" hidden="1">
      <c r="A685" s="86" t="str">
        <f t="shared" si="28"/>
        <v>6037b3c2f717328f374384be</v>
      </c>
      <c r="B685" s="25"/>
      <c r="C685" s="170" t="s">
        <v>78</v>
      </c>
      <c r="D685" s="97" t="s">
        <v>79</v>
      </c>
      <c r="E685" s="183" t="s">
        <v>1469</v>
      </c>
      <c r="F685" s="183" t="s">
        <v>1470</v>
      </c>
      <c r="G685" s="99">
        <v>0.6458333333333334</v>
      </c>
      <c r="H685" s="98" t="s">
        <v>1471</v>
      </c>
      <c r="I685" s="183" t="s">
        <v>1472</v>
      </c>
      <c r="J685" s="183" t="s">
        <v>1473</v>
      </c>
      <c r="K685" s="91"/>
      <c r="L685" s="91"/>
      <c r="M685" s="91"/>
      <c r="N685" s="96" t="b">
        <v>0</v>
      </c>
      <c r="O685" s="96" t="b">
        <v>0</v>
      </c>
      <c r="P685" s="173"/>
      <c r="Q685" s="173"/>
      <c r="R685" s="173"/>
      <c r="S685" s="173"/>
      <c r="T685" s="173"/>
      <c r="U685" s="173"/>
      <c r="V685" s="173"/>
      <c r="W685" s="173"/>
      <c r="X685" s="173"/>
      <c r="Y685" s="173"/>
      <c r="Z685" s="173"/>
      <c r="AA685" s="173"/>
      <c r="AB685" s="173"/>
      <c r="AC685" s="173"/>
      <c r="AD685" s="173"/>
      <c r="AE685" s="173"/>
      <c r="AF685" s="173"/>
      <c r="AG685" s="173"/>
    </row>
    <row r="686" hidden="1">
      <c r="A686" s="86" t="str">
        <f t="shared" si="28"/>
        <v>601554f1f8fb0bde31fa2b19</v>
      </c>
      <c r="B686" s="25"/>
      <c r="C686" s="170" t="s">
        <v>78</v>
      </c>
      <c r="D686" s="107" t="s">
        <v>79</v>
      </c>
      <c r="E686" s="184" t="s">
        <v>1474</v>
      </c>
      <c r="F686" s="184" t="s">
        <v>1475</v>
      </c>
      <c r="G686" s="112" t="s">
        <v>1476</v>
      </c>
      <c r="H686" s="109" t="s">
        <v>1477</v>
      </c>
      <c r="I686" s="184" t="s">
        <v>1478</v>
      </c>
      <c r="J686" s="184" t="s">
        <v>1479</v>
      </c>
      <c r="K686" s="91"/>
      <c r="L686" s="91"/>
      <c r="M686" s="91"/>
      <c r="N686" s="96" t="b">
        <v>0</v>
      </c>
      <c r="O686" s="96" t="b">
        <v>0</v>
      </c>
      <c r="P686" s="173"/>
      <c r="Q686" s="173"/>
      <c r="R686" s="173"/>
      <c r="S686" s="173"/>
      <c r="T686" s="173"/>
      <c r="U686" s="173"/>
      <c r="V686" s="173"/>
      <c r="W686" s="173"/>
      <c r="X686" s="173"/>
      <c r="Y686" s="173"/>
      <c r="Z686" s="173"/>
      <c r="AA686" s="173"/>
      <c r="AB686" s="173"/>
      <c r="AC686" s="173"/>
      <c r="AD686" s="173"/>
      <c r="AE686" s="173"/>
      <c r="AF686" s="173"/>
      <c r="AG686" s="173"/>
    </row>
    <row r="687" hidden="1">
      <c r="A687" s="86" t="str">
        <f t="shared" si="28"/>
        <v/>
      </c>
      <c r="B687" s="39"/>
      <c r="C687" s="194" t="s">
        <v>78</v>
      </c>
      <c r="D687" s="97"/>
      <c r="E687" s="98"/>
      <c r="F687" s="98"/>
      <c r="G687" s="41"/>
      <c r="H687" s="98"/>
      <c r="I687" s="98"/>
      <c r="J687" s="98"/>
      <c r="K687" s="91"/>
      <c r="L687" s="91"/>
      <c r="M687" s="91"/>
      <c r="N687" s="96" t="b">
        <v>0</v>
      </c>
      <c r="O687" s="96" t="b">
        <v>0</v>
      </c>
      <c r="P687" s="173"/>
      <c r="Q687" s="173"/>
      <c r="R687" s="173"/>
      <c r="S687" s="173"/>
      <c r="T687" s="173"/>
      <c r="U687" s="173"/>
      <c r="V687" s="173"/>
      <c r="W687" s="173"/>
      <c r="X687" s="173"/>
      <c r="Y687" s="173"/>
      <c r="Z687" s="173"/>
      <c r="AA687" s="173"/>
      <c r="AB687" s="173"/>
      <c r="AC687" s="173"/>
      <c r="AD687" s="173"/>
      <c r="AE687" s="173"/>
      <c r="AF687" s="173"/>
      <c r="AG687" s="173"/>
    </row>
    <row r="688" hidden="1">
      <c r="A688" s="86" t="str">
        <f t="shared" si="28"/>
        <v/>
      </c>
      <c r="B688" s="197"/>
      <c r="C688" s="198">
        <v>44393.0</v>
      </c>
      <c r="D688" s="97"/>
      <c r="E688" s="98"/>
      <c r="F688" s="98"/>
      <c r="G688" s="41"/>
      <c r="H688" s="98"/>
      <c r="I688" s="98"/>
      <c r="J688" s="98"/>
      <c r="K688" s="91"/>
      <c r="L688" s="91"/>
      <c r="M688" s="91"/>
      <c r="N688" s="96" t="b">
        <v>0</v>
      </c>
      <c r="O688" s="96" t="b">
        <v>0</v>
      </c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  <c r="AA688" s="92"/>
      <c r="AB688" s="92"/>
      <c r="AC688" s="92"/>
      <c r="AD688" s="92"/>
      <c r="AE688" s="92"/>
      <c r="AF688" s="92"/>
      <c r="AG688" s="92"/>
    </row>
    <row r="689" hidden="1">
      <c r="A689" s="86" t="str">
        <f t="shared" si="28"/>
        <v/>
      </c>
      <c r="B689" s="199" t="s">
        <v>286</v>
      </c>
      <c r="C689" s="200"/>
      <c r="D689" s="97"/>
      <c r="E689" s="98"/>
      <c r="F689" s="98"/>
      <c r="G689" s="41"/>
      <c r="H689" s="98"/>
      <c r="I689" s="98"/>
      <c r="J689" s="98"/>
      <c r="K689" s="91"/>
      <c r="L689" s="91"/>
      <c r="M689" s="91"/>
      <c r="N689" s="96" t="b">
        <v>0</v>
      </c>
      <c r="O689" s="96" t="b">
        <v>0</v>
      </c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  <c r="AA689" s="92"/>
      <c r="AB689" s="92"/>
      <c r="AC689" s="92"/>
      <c r="AD689" s="92"/>
      <c r="AE689" s="92"/>
      <c r="AF689" s="92"/>
      <c r="AG689" s="92"/>
    </row>
    <row r="690" hidden="1">
      <c r="A690" s="86" t="str">
        <f t="shared" si="28"/>
        <v>60d63e04f2d80c0928254778</v>
      </c>
      <c r="B690" s="25"/>
      <c r="C690" s="201" t="s">
        <v>78</v>
      </c>
      <c r="D690" s="97" t="s">
        <v>79</v>
      </c>
      <c r="E690" s="183" t="s">
        <v>1480</v>
      </c>
      <c r="F690" s="183" t="s">
        <v>1481</v>
      </c>
      <c r="G690" s="99">
        <v>0.5</v>
      </c>
      <c r="H690" s="98" t="s">
        <v>1482</v>
      </c>
      <c r="I690" s="183" t="s">
        <v>1483</v>
      </c>
      <c r="J690" s="183" t="s">
        <v>1484</v>
      </c>
      <c r="K690" s="91"/>
      <c r="L690" s="91"/>
      <c r="M690" s="91"/>
      <c r="N690" s="96" t="b">
        <v>0</v>
      </c>
      <c r="O690" s="96" t="b">
        <v>0</v>
      </c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  <c r="AA690" s="92"/>
      <c r="AB690" s="92"/>
      <c r="AC690" s="92"/>
      <c r="AD690" s="92"/>
      <c r="AE690" s="92"/>
      <c r="AF690" s="92"/>
      <c r="AG690" s="92"/>
    </row>
    <row r="691" hidden="1">
      <c r="A691" s="86"/>
      <c r="B691" s="25"/>
      <c r="C691" s="201" t="s">
        <v>78</v>
      </c>
      <c r="D691" s="97" t="s">
        <v>79</v>
      </c>
      <c r="E691" s="183" t="s">
        <v>1485</v>
      </c>
      <c r="F691" s="183" t="s">
        <v>1486</v>
      </c>
      <c r="G691" s="99">
        <v>0.5833333333333334</v>
      </c>
      <c r="H691" s="183" t="s">
        <v>568</v>
      </c>
      <c r="I691" s="183" t="s">
        <v>1487</v>
      </c>
      <c r="J691" s="183" t="s">
        <v>1488</v>
      </c>
      <c r="K691" s="91"/>
      <c r="L691" s="91"/>
      <c r="M691" s="91"/>
      <c r="N691" s="96" t="b">
        <v>0</v>
      </c>
      <c r="O691" s="96" t="b">
        <v>0</v>
      </c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  <c r="AA691" s="92"/>
      <c r="AB691" s="92"/>
      <c r="AC691" s="92"/>
      <c r="AD691" s="92"/>
      <c r="AE691" s="92"/>
      <c r="AF691" s="92"/>
      <c r="AG691" s="92"/>
    </row>
    <row r="692" hidden="1">
      <c r="A692" s="86"/>
      <c r="B692" s="25"/>
      <c r="C692" s="201" t="s">
        <v>78</v>
      </c>
      <c r="D692" s="97" t="s">
        <v>79</v>
      </c>
      <c r="E692" s="183" t="s">
        <v>410</v>
      </c>
      <c r="F692" s="183" t="s">
        <v>411</v>
      </c>
      <c r="G692" s="99">
        <v>0.6666666666666666</v>
      </c>
      <c r="H692" s="98" t="s">
        <v>890</v>
      </c>
      <c r="I692" s="98" t="s">
        <v>1489</v>
      </c>
      <c r="J692" s="183" t="s">
        <v>414</v>
      </c>
      <c r="K692" s="91"/>
      <c r="L692" s="91"/>
      <c r="M692" s="91"/>
      <c r="N692" s="96" t="b">
        <v>0</v>
      </c>
      <c r="O692" s="96" t="b">
        <v>0</v>
      </c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  <c r="AA692" s="92"/>
      <c r="AB692" s="92"/>
      <c r="AC692" s="92"/>
      <c r="AD692" s="92"/>
      <c r="AE692" s="92"/>
      <c r="AF692" s="92"/>
      <c r="AG692" s="92"/>
    </row>
    <row r="693" hidden="1">
      <c r="A693" s="86"/>
      <c r="B693" s="25"/>
      <c r="C693" s="201" t="s">
        <v>78</v>
      </c>
      <c r="D693" s="97" t="s">
        <v>79</v>
      </c>
      <c r="E693" s="183" t="s">
        <v>670</v>
      </c>
      <c r="F693" s="183" t="s">
        <v>671</v>
      </c>
      <c r="G693" s="99">
        <v>0.75</v>
      </c>
      <c r="H693" s="98" t="s">
        <v>658</v>
      </c>
      <c r="I693" s="183" t="s">
        <v>1490</v>
      </c>
      <c r="J693" s="183" t="s">
        <v>674</v>
      </c>
      <c r="K693" s="91"/>
      <c r="L693" s="91"/>
      <c r="M693" s="91"/>
      <c r="N693" s="96" t="b">
        <v>0</v>
      </c>
      <c r="O693" s="96" t="b">
        <v>0</v>
      </c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  <c r="AA693" s="92"/>
      <c r="AB693" s="92"/>
      <c r="AC693" s="92"/>
      <c r="AD693" s="92"/>
      <c r="AE693" s="92"/>
      <c r="AF693" s="92"/>
      <c r="AG693" s="92"/>
    </row>
    <row r="694" hidden="1">
      <c r="A694" s="86"/>
      <c r="B694" s="39"/>
      <c r="C694" s="201" t="s">
        <v>78</v>
      </c>
      <c r="D694" s="97" t="s">
        <v>79</v>
      </c>
      <c r="E694" s="98" t="s">
        <v>1491</v>
      </c>
      <c r="F694" s="98" t="s">
        <v>1492</v>
      </c>
      <c r="G694" s="99">
        <v>0.8333333333333334</v>
      </c>
      <c r="H694" s="98" t="s">
        <v>1493</v>
      </c>
      <c r="I694" s="98" t="s">
        <v>1494</v>
      </c>
      <c r="J694" s="98" t="s">
        <v>1495</v>
      </c>
      <c r="K694" s="91"/>
      <c r="L694" s="91"/>
      <c r="M694" s="91"/>
      <c r="N694" s="96" t="b">
        <v>0</v>
      </c>
      <c r="O694" s="96" t="b">
        <v>0</v>
      </c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  <c r="AA694" s="92"/>
      <c r="AB694" s="92"/>
      <c r="AC694" s="92"/>
      <c r="AD694" s="92"/>
      <c r="AE694" s="92"/>
      <c r="AF694" s="92"/>
      <c r="AG694" s="92"/>
    </row>
    <row r="695" hidden="1">
      <c r="A695" s="86"/>
      <c r="B695" s="199" t="s">
        <v>1426</v>
      </c>
      <c r="C695" s="200"/>
      <c r="D695" s="97"/>
      <c r="E695" s="98"/>
      <c r="F695" s="98"/>
      <c r="G695" s="41"/>
      <c r="H695" s="98"/>
      <c r="I695" s="98"/>
      <c r="J695" s="98"/>
      <c r="K695" s="91"/>
      <c r="L695" s="91"/>
      <c r="M695" s="91"/>
      <c r="N695" s="96" t="b">
        <v>0</v>
      </c>
      <c r="O695" s="96" t="b">
        <v>0</v>
      </c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  <c r="AA695" s="92"/>
      <c r="AB695" s="92"/>
      <c r="AC695" s="92"/>
      <c r="AD695" s="92"/>
      <c r="AE695" s="92"/>
      <c r="AF695" s="92"/>
      <c r="AG695" s="92"/>
    </row>
    <row r="696" hidden="1">
      <c r="A696" s="86"/>
      <c r="B696" s="25"/>
      <c r="C696" s="201" t="s">
        <v>78</v>
      </c>
      <c r="D696" s="97"/>
      <c r="E696" s="98"/>
      <c r="F696" s="98"/>
      <c r="G696" s="99"/>
      <c r="H696" s="98"/>
      <c r="I696" s="98"/>
      <c r="J696" s="98"/>
      <c r="K696" s="91"/>
      <c r="L696" s="91"/>
      <c r="M696" s="91"/>
      <c r="N696" s="96" t="b">
        <v>0</v>
      </c>
      <c r="O696" s="96" t="b">
        <v>0</v>
      </c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  <c r="AA696" s="92"/>
      <c r="AB696" s="92"/>
      <c r="AC696" s="92"/>
      <c r="AD696" s="92"/>
      <c r="AE696" s="92"/>
      <c r="AF696" s="92"/>
      <c r="AG696" s="92"/>
    </row>
    <row r="697" hidden="1">
      <c r="A697" s="86"/>
      <c r="B697" s="25"/>
      <c r="C697" s="201" t="s">
        <v>78</v>
      </c>
      <c r="D697" s="107" t="s">
        <v>79</v>
      </c>
      <c r="E697" s="184" t="s">
        <v>1496</v>
      </c>
      <c r="F697" s="109" t="s">
        <v>1497</v>
      </c>
      <c r="G697" s="108">
        <v>0.5833333333333334</v>
      </c>
      <c r="H697" s="109" t="s">
        <v>1498</v>
      </c>
      <c r="I697" s="184" t="s">
        <v>1499</v>
      </c>
      <c r="J697" s="109" t="s">
        <v>1500</v>
      </c>
      <c r="K697" s="91"/>
      <c r="L697" s="91"/>
      <c r="M697" s="91"/>
      <c r="N697" s="96" t="b">
        <v>0</v>
      </c>
      <c r="O697" s="96" t="b">
        <v>0</v>
      </c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  <c r="AA697" s="92"/>
      <c r="AB697" s="92"/>
      <c r="AC697" s="92"/>
      <c r="AD697" s="92"/>
      <c r="AE697" s="92"/>
      <c r="AF697" s="92"/>
      <c r="AG697" s="92"/>
    </row>
    <row r="698" hidden="1">
      <c r="A698" s="86"/>
      <c r="B698" s="25"/>
      <c r="C698" s="201" t="s">
        <v>78</v>
      </c>
      <c r="D698" s="97" t="s">
        <v>79</v>
      </c>
      <c r="E698" s="183" t="s">
        <v>1501</v>
      </c>
      <c r="F698" s="183" t="s">
        <v>1502</v>
      </c>
      <c r="G698" s="99">
        <v>0.6666666666666666</v>
      </c>
      <c r="H698" s="98" t="s">
        <v>1498</v>
      </c>
      <c r="I698" s="183" t="s">
        <v>1503</v>
      </c>
      <c r="J698" s="183" t="s">
        <v>1504</v>
      </c>
      <c r="K698" s="91"/>
      <c r="L698" s="91"/>
      <c r="M698" s="91"/>
      <c r="N698" s="96" t="b">
        <v>0</v>
      </c>
      <c r="O698" s="96" t="b">
        <v>0</v>
      </c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  <c r="AA698" s="92"/>
      <c r="AB698" s="92"/>
      <c r="AC698" s="92"/>
      <c r="AD698" s="92"/>
      <c r="AE698" s="92"/>
      <c r="AF698" s="92"/>
      <c r="AG698" s="92"/>
    </row>
    <row r="699" hidden="1">
      <c r="A699" s="86"/>
      <c r="B699" s="25"/>
      <c r="C699" s="201" t="s">
        <v>78</v>
      </c>
      <c r="D699" s="183" t="s">
        <v>79</v>
      </c>
      <c r="E699" s="183" t="s">
        <v>1505</v>
      </c>
      <c r="F699" s="183" t="s">
        <v>1506</v>
      </c>
      <c r="G699" s="99">
        <v>0.75</v>
      </c>
      <c r="H699" s="98" t="s">
        <v>1507</v>
      </c>
      <c r="I699" s="183" t="s">
        <v>1508</v>
      </c>
      <c r="J699" s="183" t="s">
        <v>1509</v>
      </c>
      <c r="K699" s="91"/>
      <c r="L699" s="91"/>
      <c r="M699" s="91"/>
      <c r="N699" s="96" t="b">
        <v>0</v>
      </c>
      <c r="O699" s="96" t="b">
        <v>0</v>
      </c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  <c r="AA699" s="92"/>
      <c r="AB699" s="92"/>
      <c r="AC699" s="92"/>
      <c r="AD699" s="92"/>
      <c r="AE699" s="92"/>
      <c r="AF699" s="92"/>
      <c r="AG699" s="92"/>
    </row>
    <row r="700" hidden="1">
      <c r="A700" s="86"/>
      <c r="B700" s="39"/>
      <c r="C700" s="201" t="s">
        <v>78</v>
      </c>
      <c r="D700" s="97" t="s">
        <v>79</v>
      </c>
      <c r="E700" s="183" t="s">
        <v>1510</v>
      </c>
      <c r="F700" s="98" t="s">
        <v>1511</v>
      </c>
      <c r="G700" s="99">
        <v>0.8333333333333334</v>
      </c>
      <c r="H700" s="98" t="s">
        <v>1498</v>
      </c>
      <c r="I700" s="98" t="s">
        <v>1512</v>
      </c>
      <c r="J700" s="183" t="s">
        <v>1513</v>
      </c>
      <c r="K700" s="91"/>
      <c r="L700" s="91"/>
      <c r="M700" s="91"/>
      <c r="N700" s="96" t="b">
        <v>0</v>
      </c>
      <c r="O700" s="96" t="b">
        <v>0</v>
      </c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  <c r="AA700" s="92"/>
      <c r="AB700" s="92"/>
      <c r="AC700" s="92"/>
      <c r="AD700" s="92"/>
      <c r="AE700" s="92"/>
      <c r="AF700" s="92"/>
      <c r="AG700" s="92"/>
    </row>
    <row r="701" hidden="1">
      <c r="A701" s="86"/>
      <c r="B701" s="166"/>
      <c r="C701" s="88">
        <v>44403.0</v>
      </c>
      <c r="D701" s="97"/>
      <c r="E701" s="98"/>
      <c r="F701" s="98"/>
      <c r="G701" s="41"/>
      <c r="H701" s="98"/>
      <c r="I701" s="98"/>
      <c r="J701" s="98"/>
      <c r="K701" s="91"/>
      <c r="L701" s="91"/>
      <c r="M701" s="91"/>
      <c r="N701" s="96" t="b">
        <v>0</v>
      </c>
      <c r="O701" s="96" t="b">
        <v>0</v>
      </c>
      <c r="P701" s="173"/>
      <c r="Q701" s="173"/>
      <c r="R701" s="173"/>
      <c r="S701" s="173"/>
      <c r="T701" s="173"/>
      <c r="U701" s="173"/>
      <c r="V701" s="173"/>
      <c r="W701" s="173"/>
      <c r="X701" s="173"/>
      <c r="Y701" s="173"/>
      <c r="Z701" s="173"/>
      <c r="AA701" s="173"/>
      <c r="AB701" s="173"/>
      <c r="AC701" s="173"/>
      <c r="AD701" s="173"/>
      <c r="AE701" s="173"/>
      <c r="AF701" s="173"/>
      <c r="AG701" s="173"/>
    </row>
    <row r="702" hidden="1">
      <c r="A702" s="86"/>
      <c r="B702" s="123" t="s">
        <v>286</v>
      </c>
      <c r="C702" s="78" t="s">
        <v>78</v>
      </c>
      <c r="D702" s="181"/>
      <c r="E702" s="43"/>
      <c r="F702" s="191" t="s">
        <v>1514</v>
      </c>
      <c r="G702" s="202"/>
      <c r="H702" s="98"/>
      <c r="I702" s="98"/>
      <c r="J702" s="98"/>
      <c r="K702" s="91"/>
      <c r="L702" s="91"/>
      <c r="M702" s="91"/>
      <c r="N702" s="96" t="b">
        <v>0</v>
      </c>
      <c r="O702" s="96" t="b">
        <v>0</v>
      </c>
      <c r="P702" s="173"/>
      <c r="Q702" s="173"/>
      <c r="R702" s="173"/>
      <c r="S702" s="173"/>
      <c r="T702" s="173"/>
      <c r="U702" s="173"/>
      <c r="V702" s="173"/>
      <c r="W702" s="173"/>
      <c r="X702" s="173"/>
      <c r="Y702" s="173"/>
      <c r="Z702" s="173"/>
      <c r="AA702" s="173"/>
      <c r="AB702" s="173"/>
      <c r="AC702" s="173"/>
      <c r="AD702" s="173"/>
      <c r="AE702" s="173"/>
      <c r="AF702" s="173"/>
      <c r="AG702" s="173"/>
    </row>
    <row r="703" hidden="1">
      <c r="A703" s="86"/>
      <c r="B703" s="57"/>
      <c r="C703" s="80" t="s">
        <v>78</v>
      </c>
      <c r="D703" s="97" t="s">
        <v>79</v>
      </c>
      <c r="E703" s="183" t="s">
        <v>1515</v>
      </c>
      <c r="F703" s="183" t="s">
        <v>1516</v>
      </c>
      <c r="G703" s="99">
        <v>0.4583333333333333</v>
      </c>
      <c r="H703" s="98" t="s">
        <v>1242</v>
      </c>
      <c r="I703" s="98" t="s">
        <v>1517</v>
      </c>
      <c r="J703" s="183" t="s">
        <v>1518</v>
      </c>
      <c r="K703" s="91"/>
      <c r="L703" s="91"/>
      <c r="M703" s="91"/>
      <c r="N703" s="96" t="b">
        <v>0</v>
      </c>
      <c r="O703" s="96" t="b">
        <v>0</v>
      </c>
      <c r="P703" s="173"/>
      <c r="Q703" s="173"/>
      <c r="R703" s="173"/>
      <c r="S703" s="173"/>
      <c r="T703" s="173"/>
      <c r="U703" s="173"/>
      <c r="V703" s="173"/>
      <c r="W703" s="173"/>
      <c r="X703" s="173"/>
      <c r="Y703" s="173"/>
      <c r="Z703" s="173"/>
      <c r="AA703" s="173"/>
      <c r="AB703" s="173"/>
      <c r="AC703" s="173"/>
      <c r="AD703" s="173"/>
      <c r="AE703" s="173"/>
      <c r="AF703" s="173"/>
      <c r="AG703" s="173"/>
    </row>
    <row r="704" hidden="1">
      <c r="A704" s="86"/>
      <c r="B704" s="57"/>
      <c r="C704" s="80" t="s">
        <v>78</v>
      </c>
      <c r="D704" s="97" t="s">
        <v>79</v>
      </c>
      <c r="E704" s="183" t="s">
        <v>1519</v>
      </c>
      <c r="F704" s="183" t="s">
        <v>1520</v>
      </c>
      <c r="G704" s="99">
        <v>0.5416666666666666</v>
      </c>
      <c r="H704" s="98" t="s">
        <v>1521</v>
      </c>
      <c r="I704" s="98" t="s">
        <v>1522</v>
      </c>
      <c r="J704" s="203" t="s">
        <v>1523</v>
      </c>
      <c r="K704" s="91"/>
      <c r="L704" s="91"/>
      <c r="M704" s="91"/>
      <c r="N704" s="96" t="b">
        <v>0</v>
      </c>
      <c r="O704" s="96" t="b">
        <v>0</v>
      </c>
      <c r="P704" s="173"/>
      <c r="Q704" s="173"/>
      <c r="R704" s="173"/>
      <c r="S704" s="173"/>
      <c r="T704" s="173"/>
      <c r="U704" s="173"/>
      <c r="V704" s="173"/>
      <c r="W704" s="173"/>
      <c r="X704" s="173"/>
      <c r="Y704" s="173"/>
      <c r="Z704" s="173"/>
      <c r="AA704" s="173"/>
      <c r="AB704" s="173"/>
      <c r="AC704" s="173"/>
      <c r="AD704" s="173"/>
      <c r="AE704" s="173"/>
      <c r="AF704" s="173"/>
      <c r="AG704" s="173"/>
    </row>
    <row r="705" hidden="1">
      <c r="A705" s="86"/>
      <c r="B705" s="57"/>
      <c r="C705" s="80" t="s">
        <v>78</v>
      </c>
      <c r="D705" s="97" t="s">
        <v>79</v>
      </c>
      <c r="E705" s="183" t="s">
        <v>665</v>
      </c>
      <c r="F705" s="183" t="s">
        <v>666</v>
      </c>
      <c r="G705" s="99">
        <v>0.625</v>
      </c>
      <c r="H705" s="98" t="s">
        <v>1524</v>
      </c>
      <c r="I705" s="98" t="s">
        <v>1525</v>
      </c>
      <c r="J705" s="183" t="s">
        <v>668</v>
      </c>
      <c r="K705" s="91"/>
      <c r="L705" s="91"/>
      <c r="M705" s="91"/>
      <c r="N705" s="96" t="b">
        <v>0</v>
      </c>
      <c r="O705" s="96" t="b">
        <v>0</v>
      </c>
      <c r="P705" s="173"/>
      <c r="Q705" s="173"/>
      <c r="R705" s="173"/>
      <c r="S705" s="173"/>
      <c r="T705" s="173"/>
      <c r="U705" s="173"/>
      <c r="V705" s="173"/>
      <c r="W705" s="173"/>
      <c r="X705" s="173"/>
      <c r="Y705" s="173"/>
      <c r="Z705" s="173"/>
      <c r="AA705" s="173"/>
      <c r="AB705" s="173"/>
      <c r="AC705" s="173"/>
      <c r="AD705" s="173"/>
      <c r="AE705" s="173"/>
      <c r="AF705" s="173"/>
      <c r="AG705" s="173"/>
    </row>
    <row r="706" hidden="1">
      <c r="A706" s="86"/>
      <c r="B706" s="57"/>
      <c r="C706" s="80" t="s">
        <v>78</v>
      </c>
      <c r="D706" s="107" t="s">
        <v>79</v>
      </c>
      <c r="E706" s="184" t="s">
        <v>1526</v>
      </c>
      <c r="F706" s="184" t="s">
        <v>1527</v>
      </c>
      <c r="G706" s="108">
        <v>0.7083333333333334</v>
      </c>
      <c r="H706" s="109" t="s">
        <v>672</v>
      </c>
      <c r="I706" s="109" t="s">
        <v>1528</v>
      </c>
      <c r="J706" s="184" t="s">
        <v>1529</v>
      </c>
      <c r="K706" s="91"/>
      <c r="L706" s="91"/>
      <c r="M706" s="91"/>
      <c r="N706" s="96" t="b">
        <v>0</v>
      </c>
      <c r="O706" s="96" t="b">
        <v>0</v>
      </c>
      <c r="P706" s="173"/>
      <c r="Q706" s="173"/>
      <c r="R706" s="173"/>
      <c r="S706" s="173"/>
      <c r="T706" s="173"/>
      <c r="U706" s="173"/>
      <c r="V706" s="173"/>
      <c r="W706" s="173"/>
      <c r="X706" s="173"/>
      <c r="Y706" s="173"/>
      <c r="Z706" s="173"/>
      <c r="AA706" s="173"/>
      <c r="AB706" s="173"/>
      <c r="AC706" s="173"/>
      <c r="AD706" s="173"/>
      <c r="AE706" s="173"/>
      <c r="AF706" s="173"/>
      <c r="AG706" s="173"/>
    </row>
    <row r="707" hidden="1">
      <c r="A707" s="86"/>
      <c r="B707" s="60"/>
      <c r="C707" s="80" t="s">
        <v>78</v>
      </c>
      <c r="D707" s="97"/>
      <c r="E707" s="98"/>
      <c r="F707" s="98"/>
      <c r="G707" s="41"/>
      <c r="H707" s="98"/>
      <c r="I707" s="98"/>
      <c r="J707" s="98"/>
      <c r="K707" s="91"/>
      <c r="L707" s="91"/>
      <c r="M707" s="91"/>
      <c r="N707" s="96" t="b">
        <v>0</v>
      </c>
      <c r="O707" s="96" t="b">
        <v>0</v>
      </c>
      <c r="P707" s="173"/>
      <c r="Q707" s="173"/>
      <c r="R707" s="173"/>
      <c r="S707" s="173"/>
      <c r="T707" s="173"/>
      <c r="U707" s="173"/>
      <c r="V707" s="173"/>
      <c r="W707" s="173"/>
      <c r="X707" s="173"/>
      <c r="Y707" s="173"/>
      <c r="Z707" s="173"/>
      <c r="AA707" s="173"/>
      <c r="AB707" s="173"/>
      <c r="AC707" s="173"/>
      <c r="AD707" s="173"/>
      <c r="AE707" s="173"/>
      <c r="AF707" s="173"/>
      <c r="AG707" s="173"/>
    </row>
    <row r="708" hidden="1">
      <c r="A708" s="86"/>
      <c r="B708" s="18" t="s">
        <v>1426</v>
      </c>
      <c r="C708" s="103"/>
      <c r="D708" s="97"/>
      <c r="E708" s="98"/>
      <c r="F708" s="98"/>
      <c r="G708" s="41"/>
      <c r="H708" s="98"/>
      <c r="I708" s="98"/>
      <c r="J708" s="98"/>
      <c r="K708" s="91"/>
      <c r="L708" s="91"/>
      <c r="M708" s="91"/>
      <c r="N708" s="96" t="b">
        <v>0</v>
      </c>
      <c r="O708" s="96" t="b">
        <v>0</v>
      </c>
      <c r="P708" s="173"/>
      <c r="Q708" s="173"/>
      <c r="R708" s="173"/>
      <c r="S708" s="173"/>
      <c r="T708" s="173"/>
      <c r="U708" s="173"/>
      <c r="V708" s="173"/>
      <c r="W708" s="173"/>
      <c r="X708" s="173"/>
      <c r="Y708" s="173"/>
      <c r="Z708" s="173"/>
      <c r="AA708" s="173"/>
      <c r="AB708" s="173"/>
      <c r="AC708" s="173"/>
      <c r="AD708" s="173"/>
      <c r="AE708" s="173"/>
      <c r="AF708" s="173"/>
      <c r="AG708" s="173"/>
    </row>
    <row r="709" hidden="1">
      <c r="A709" s="86"/>
      <c r="B709" s="25"/>
      <c r="C709" s="170" t="s">
        <v>78</v>
      </c>
      <c r="D709" s="97" t="s">
        <v>79</v>
      </c>
      <c r="E709" s="183" t="s">
        <v>1530</v>
      </c>
      <c r="F709" s="183" t="s">
        <v>1531</v>
      </c>
      <c r="G709" s="99">
        <v>0.4583333333333333</v>
      </c>
      <c r="H709" s="98" t="s">
        <v>1532</v>
      </c>
      <c r="I709" s="98" t="s">
        <v>1533</v>
      </c>
      <c r="J709" s="183" t="s">
        <v>1534</v>
      </c>
      <c r="K709" s="91"/>
      <c r="L709" s="91"/>
      <c r="M709" s="91"/>
      <c r="N709" s="96" t="b">
        <v>0</v>
      </c>
      <c r="O709" s="96" t="b">
        <v>0</v>
      </c>
      <c r="P709" s="173"/>
      <c r="Q709" s="173"/>
      <c r="R709" s="173"/>
      <c r="S709" s="173"/>
      <c r="T709" s="173"/>
      <c r="U709" s="173"/>
      <c r="V709" s="173"/>
      <c r="W709" s="173"/>
      <c r="X709" s="173"/>
      <c r="Y709" s="173"/>
      <c r="Z709" s="173"/>
      <c r="AA709" s="173"/>
      <c r="AB709" s="173"/>
      <c r="AC709" s="173"/>
      <c r="AD709" s="173"/>
      <c r="AE709" s="173"/>
      <c r="AF709" s="173"/>
      <c r="AG709" s="173"/>
    </row>
    <row r="710" hidden="1">
      <c r="A710" s="86"/>
      <c r="B710" s="25"/>
      <c r="C710" s="170" t="s">
        <v>78</v>
      </c>
      <c r="D710" s="97" t="s">
        <v>79</v>
      </c>
      <c r="E710" s="183" t="s">
        <v>1535</v>
      </c>
      <c r="F710" s="183" t="s">
        <v>1536</v>
      </c>
      <c r="G710" s="99">
        <v>0.5833333333333334</v>
      </c>
      <c r="H710" s="98" t="s">
        <v>1537</v>
      </c>
      <c r="I710" s="98" t="s">
        <v>1538</v>
      </c>
      <c r="J710" s="183" t="s">
        <v>1539</v>
      </c>
      <c r="K710" s="91"/>
      <c r="L710" s="91"/>
      <c r="M710" s="91"/>
      <c r="N710" s="96" t="b">
        <v>0</v>
      </c>
      <c r="O710" s="96" t="b">
        <v>0</v>
      </c>
      <c r="P710" s="173"/>
      <c r="Q710" s="173"/>
      <c r="R710" s="173"/>
      <c r="S710" s="173"/>
      <c r="T710" s="173"/>
      <c r="U710" s="173"/>
      <c r="V710" s="173"/>
      <c r="W710" s="173"/>
      <c r="X710" s="173"/>
      <c r="Y710" s="173"/>
      <c r="Z710" s="173"/>
      <c r="AA710" s="173"/>
      <c r="AB710" s="173"/>
      <c r="AC710" s="173"/>
      <c r="AD710" s="173"/>
      <c r="AE710" s="173"/>
      <c r="AF710" s="173"/>
      <c r="AG710" s="173"/>
    </row>
    <row r="711" hidden="1">
      <c r="A711" s="86"/>
      <c r="B711" s="25"/>
      <c r="C711" s="170" t="s">
        <v>78</v>
      </c>
      <c r="D711" s="97" t="s">
        <v>79</v>
      </c>
      <c r="E711" s="183" t="s">
        <v>1540</v>
      </c>
      <c r="F711" s="183" t="s">
        <v>1541</v>
      </c>
      <c r="G711" s="99">
        <v>0.6666666666666666</v>
      </c>
      <c r="H711" s="98" t="s">
        <v>1542</v>
      </c>
      <c r="I711" s="98" t="s">
        <v>1543</v>
      </c>
      <c r="J711" s="183" t="s">
        <v>1544</v>
      </c>
      <c r="K711" s="91"/>
      <c r="L711" s="91"/>
      <c r="M711" s="91"/>
      <c r="N711" s="96" t="b">
        <v>0</v>
      </c>
      <c r="O711" s="96" t="b">
        <v>0</v>
      </c>
      <c r="P711" s="173"/>
      <c r="Q711" s="173"/>
      <c r="R711" s="173"/>
      <c r="S711" s="173"/>
      <c r="T711" s="173"/>
      <c r="U711" s="173"/>
      <c r="V711" s="173"/>
      <c r="W711" s="173"/>
      <c r="X711" s="173"/>
      <c r="Y711" s="173"/>
      <c r="Z711" s="173"/>
      <c r="AA711" s="173"/>
      <c r="AB711" s="173"/>
      <c r="AC711" s="173"/>
      <c r="AD711" s="173"/>
      <c r="AE711" s="173"/>
      <c r="AF711" s="173"/>
      <c r="AG711" s="173"/>
    </row>
    <row r="712" hidden="1">
      <c r="A712" s="86"/>
      <c r="B712" s="25"/>
      <c r="C712" s="170" t="s">
        <v>78</v>
      </c>
      <c r="D712" s="97"/>
      <c r="E712" s="183"/>
      <c r="F712" s="183"/>
      <c r="G712" s="41"/>
      <c r="H712" s="98"/>
      <c r="I712" s="98"/>
      <c r="J712" s="183"/>
      <c r="K712" s="91"/>
      <c r="L712" s="91"/>
      <c r="M712" s="91"/>
      <c r="N712" s="96" t="b">
        <v>0</v>
      </c>
      <c r="O712" s="96" t="b">
        <v>0</v>
      </c>
      <c r="P712" s="173"/>
      <c r="Q712" s="173"/>
      <c r="R712" s="173"/>
      <c r="S712" s="173"/>
      <c r="T712" s="173"/>
      <c r="U712" s="173"/>
      <c r="V712" s="173"/>
      <c r="W712" s="173"/>
      <c r="X712" s="173"/>
      <c r="Y712" s="173"/>
      <c r="Z712" s="173"/>
      <c r="AA712" s="173"/>
      <c r="AB712" s="173"/>
      <c r="AC712" s="173"/>
      <c r="AD712" s="173"/>
      <c r="AE712" s="173"/>
      <c r="AF712" s="173"/>
      <c r="AG712" s="173"/>
    </row>
    <row r="713" hidden="1">
      <c r="A713" s="86"/>
      <c r="B713" s="39"/>
      <c r="C713" s="194" t="s">
        <v>78</v>
      </c>
      <c r="D713" s="97"/>
      <c r="E713" s="98"/>
      <c r="F713" s="98"/>
      <c r="G713" s="41"/>
      <c r="H713" s="98"/>
      <c r="I713" s="98"/>
      <c r="J713" s="98"/>
      <c r="K713" s="91"/>
      <c r="L713" s="91"/>
      <c r="M713" s="91"/>
      <c r="N713" s="96" t="b">
        <v>0</v>
      </c>
      <c r="O713" s="96" t="b">
        <v>0</v>
      </c>
      <c r="P713" s="173"/>
      <c r="Q713" s="173"/>
      <c r="R713" s="173"/>
      <c r="S713" s="173"/>
      <c r="T713" s="173"/>
      <c r="U713" s="173"/>
      <c r="V713" s="173"/>
      <c r="W713" s="173"/>
      <c r="X713" s="173"/>
      <c r="Y713" s="173"/>
      <c r="Z713" s="173"/>
      <c r="AA713" s="173"/>
      <c r="AB713" s="173"/>
      <c r="AC713" s="173"/>
      <c r="AD713" s="173"/>
      <c r="AE713" s="173"/>
      <c r="AF713" s="173"/>
      <c r="AG713" s="173"/>
    </row>
    <row r="714" hidden="1">
      <c r="A714" s="86"/>
      <c r="B714" s="166"/>
      <c r="C714" s="88">
        <v>44404.0</v>
      </c>
      <c r="D714" s="97"/>
      <c r="E714" s="98"/>
      <c r="F714" s="31" t="s">
        <v>1545</v>
      </c>
      <c r="G714" s="112"/>
      <c r="H714" s="109"/>
      <c r="I714" s="98"/>
      <c r="J714" s="98"/>
      <c r="K714" s="91"/>
      <c r="L714" s="91"/>
      <c r="M714" s="91"/>
      <c r="N714" s="96" t="b">
        <v>0</v>
      </c>
      <c r="O714" s="96" t="b">
        <v>0</v>
      </c>
      <c r="P714" s="173"/>
      <c r="Q714" s="173"/>
      <c r="R714" s="173"/>
      <c r="S714" s="173"/>
      <c r="T714" s="173"/>
      <c r="U714" s="173"/>
      <c r="V714" s="173"/>
      <c r="W714" s="173"/>
      <c r="X714" s="173"/>
      <c r="Y714" s="173"/>
      <c r="Z714" s="173"/>
      <c r="AA714" s="173"/>
      <c r="AB714" s="173"/>
      <c r="AC714" s="173"/>
      <c r="AD714" s="173"/>
      <c r="AE714" s="173"/>
      <c r="AF714" s="173"/>
      <c r="AG714" s="173"/>
    </row>
    <row r="715" hidden="1">
      <c r="A715" s="86"/>
      <c r="B715" s="18" t="s">
        <v>286</v>
      </c>
      <c r="C715" s="78" t="s">
        <v>78</v>
      </c>
      <c r="D715" s="97"/>
      <c r="E715" s="98"/>
      <c r="F715" s="98"/>
      <c r="G715" s="41"/>
      <c r="H715" s="98"/>
      <c r="I715" s="98"/>
      <c r="J715" s="98"/>
      <c r="K715" s="91"/>
      <c r="L715" s="91"/>
      <c r="M715" s="91"/>
      <c r="N715" s="96" t="b">
        <v>0</v>
      </c>
      <c r="O715" s="96" t="b">
        <v>0</v>
      </c>
      <c r="P715" s="173"/>
      <c r="Q715" s="173"/>
      <c r="R715" s="173"/>
      <c r="S715" s="173"/>
      <c r="T715" s="173"/>
      <c r="U715" s="173"/>
      <c r="V715" s="173"/>
      <c r="W715" s="173"/>
      <c r="X715" s="173"/>
      <c r="Y715" s="173"/>
      <c r="Z715" s="173"/>
      <c r="AA715" s="173"/>
      <c r="AB715" s="173"/>
      <c r="AC715" s="173"/>
      <c r="AD715" s="173"/>
      <c r="AE715" s="173"/>
      <c r="AF715" s="173"/>
      <c r="AG715" s="173"/>
    </row>
    <row r="716" hidden="1">
      <c r="A716" s="86"/>
      <c r="B716" s="25"/>
      <c r="C716" s="80" t="s">
        <v>78</v>
      </c>
      <c r="D716" s="97"/>
      <c r="E716" s="98"/>
      <c r="F716" s="98"/>
      <c r="G716" s="41"/>
      <c r="H716" s="98"/>
      <c r="I716" s="98"/>
      <c r="J716" s="98"/>
      <c r="K716" s="91"/>
      <c r="L716" s="91"/>
      <c r="M716" s="91"/>
      <c r="N716" s="96" t="b">
        <v>0</v>
      </c>
      <c r="O716" s="96" t="b">
        <v>0</v>
      </c>
      <c r="P716" s="173"/>
      <c r="Q716" s="173"/>
      <c r="R716" s="173"/>
      <c r="S716" s="173"/>
      <c r="T716" s="173"/>
      <c r="U716" s="173"/>
      <c r="V716" s="173"/>
      <c r="W716" s="173"/>
      <c r="X716" s="173"/>
      <c r="Y716" s="173"/>
      <c r="Z716" s="173"/>
      <c r="AA716" s="173"/>
      <c r="AB716" s="173"/>
      <c r="AC716" s="173"/>
      <c r="AD716" s="173"/>
      <c r="AE716" s="173"/>
      <c r="AF716" s="173"/>
      <c r="AG716" s="173"/>
    </row>
    <row r="717" hidden="1">
      <c r="A717" s="86"/>
      <c r="B717" s="25"/>
      <c r="C717" s="80" t="s">
        <v>78</v>
      </c>
      <c r="D717" s="97" t="s">
        <v>79</v>
      </c>
      <c r="E717" s="183" t="s">
        <v>1546</v>
      </c>
      <c r="F717" s="183" t="s">
        <v>1547</v>
      </c>
      <c r="G717" s="188">
        <v>0.5</v>
      </c>
      <c r="H717" s="183" t="s">
        <v>744</v>
      </c>
      <c r="I717" s="183" t="s">
        <v>1548</v>
      </c>
      <c r="J717" s="183" t="s">
        <v>1549</v>
      </c>
      <c r="K717" s="91"/>
      <c r="L717" s="91"/>
      <c r="M717" s="91"/>
      <c r="N717" s="96" t="b">
        <v>0</v>
      </c>
      <c r="O717" s="96" t="b">
        <v>0</v>
      </c>
      <c r="P717" s="173"/>
      <c r="Q717" s="173"/>
      <c r="R717" s="173"/>
      <c r="S717" s="173"/>
      <c r="T717" s="173"/>
      <c r="U717" s="173"/>
      <c r="V717" s="173"/>
      <c r="W717" s="173"/>
      <c r="X717" s="173"/>
      <c r="Y717" s="173"/>
      <c r="Z717" s="173"/>
      <c r="AA717" s="173"/>
      <c r="AB717" s="173"/>
      <c r="AC717" s="173"/>
      <c r="AD717" s="173"/>
      <c r="AE717" s="173"/>
      <c r="AF717" s="173"/>
      <c r="AG717" s="173"/>
    </row>
    <row r="718" hidden="1">
      <c r="A718" s="86"/>
      <c r="B718" s="25"/>
      <c r="C718" s="80" t="s">
        <v>78</v>
      </c>
      <c r="D718" s="97" t="s">
        <v>79</v>
      </c>
      <c r="E718" s="183" t="s">
        <v>1550</v>
      </c>
      <c r="F718" s="183" t="s">
        <v>1551</v>
      </c>
      <c r="G718" s="99">
        <v>0.5833333333333334</v>
      </c>
      <c r="H718" s="98" t="s">
        <v>1552</v>
      </c>
      <c r="I718" s="98" t="s">
        <v>1553</v>
      </c>
      <c r="J718" s="183" t="s">
        <v>1554</v>
      </c>
      <c r="K718" s="91"/>
      <c r="L718" s="91"/>
      <c r="M718" s="91"/>
      <c r="N718" s="96" t="b">
        <v>0</v>
      </c>
      <c r="O718" s="96" t="b">
        <v>0</v>
      </c>
      <c r="P718" s="173"/>
      <c r="Q718" s="173"/>
      <c r="R718" s="173"/>
      <c r="S718" s="173"/>
      <c r="T718" s="173"/>
      <c r="U718" s="173"/>
      <c r="V718" s="173"/>
      <c r="W718" s="173"/>
      <c r="X718" s="173"/>
      <c r="Y718" s="173"/>
      <c r="Z718" s="173"/>
      <c r="AA718" s="173"/>
      <c r="AB718" s="173"/>
      <c r="AC718" s="173"/>
      <c r="AD718" s="173"/>
      <c r="AE718" s="173"/>
      <c r="AF718" s="173"/>
      <c r="AG718" s="173"/>
    </row>
    <row r="719" hidden="1">
      <c r="A719" s="86"/>
      <c r="B719" s="25"/>
      <c r="C719" s="80" t="s">
        <v>78</v>
      </c>
      <c r="D719" s="97" t="s">
        <v>79</v>
      </c>
      <c r="E719" s="183" t="s">
        <v>1555</v>
      </c>
      <c r="F719" s="183" t="s">
        <v>1556</v>
      </c>
      <c r="G719" s="99">
        <v>0.6875</v>
      </c>
      <c r="H719" s="98" t="s">
        <v>1419</v>
      </c>
      <c r="I719" s="183" t="s">
        <v>1557</v>
      </c>
      <c r="J719" s="183" t="s">
        <v>1558</v>
      </c>
      <c r="K719" s="91"/>
      <c r="L719" s="91"/>
      <c r="M719" s="91"/>
      <c r="N719" s="96" t="b">
        <v>0</v>
      </c>
      <c r="O719" s="96" t="b">
        <v>0</v>
      </c>
      <c r="P719" s="173"/>
      <c r="Q719" s="173"/>
      <c r="R719" s="173"/>
      <c r="S719" s="173"/>
      <c r="T719" s="173"/>
      <c r="U719" s="173"/>
      <c r="V719" s="173"/>
      <c r="W719" s="173"/>
      <c r="X719" s="173"/>
      <c r="Y719" s="173"/>
      <c r="Z719" s="173"/>
      <c r="AA719" s="173"/>
      <c r="AB719" s="173"/>
      <c r="AC719" s="173"/>
      <c r="AD719" s="173"/>
      <c r="AE719" s="173"/>
      <c r="AF719" s="173"/>
      <c r="AG719" s="173"/>
    </row>
    <row r="720" hidden="1">
      <c r="A720" s="86"/>
      <c r="B720" s="39"/>
      <c r="C720" s="80" t="s">
        <v>78</v>
      </c>
      <c r="D720" s="97" t="s">
        <v>79</v>
      </c>
      <c r="E720" s="183" t="s">
        <v>565</v>
      </c>
      <c r="F720" s="183" t="s">
        <v>566</v>
      </c>
      <c r="G720" s="99">
        <v>0.7708333333333334</v>
      </c>
      <c r="H720" s="98" t="s">
        <v>407</v>
      </c>
      <c r="I720" s="183" t="s">
        <v>1559</v>
      </c>
      <c r="J720" s="183" t="s">
        <v>570</v>
      </c>
      <c r="K720" s="91"/>
      <c r="L720" s="91"/>
      <c r="M720" s="91"/>
      <c r="N720" s="96" t="b">
        <v>0</v>
      </c>
      <c r="O720" s="96" t="b">
        <v>0</v>
      </c>
      <c r="P720" s="173"/>
      <c r="Q720" s="173"/>
      <c r="R720" s="173"/>
      <c r="S720" s="173"/>
      <c r="T720" s="173"/>
      <c r="U720" s="173"/>
      <c r="V720" s="173"/>
      <c r="W720" s="173"/>
      <c r="X720" s="173"/>
      <c r="Y720" s="173"/>
      <c r="Z720" s="173"/>
      <c r="AA720" s="173"/>
      <c r="AB720" s="173"/>
      <c r="AC720" s="173"/>
      <c r="AD720" s="173"/>
      <c r="AE720" s="173"/>
      <c r="AF720" s="173"/>
      <c r="AG720" s="173"/>
    </row>
    <row r="721" hidden="1">
      <c r="A721" s="86"/>
      <c r="B721" s="18" t="s">
        <v>1426</v>
      </c>
      <c r="C721" s="103"/>
      <c r="D721" s="97"/>
      <c r="E721" s="98"/>
      <c r="F721" s="98"/>
      <c r="G721" s="41"/>
      <c r="H721" s="98"/>
      <c r="I721" s="98"/>
      <c r="J721" s="98"/>
      <c r="K721" s="91"/>
      <c r="L721" s="91"/>
      <c r="M721" s="91"/>
      <c r="N721" s="96" t="b">
        <v>0</v>
      </c>
      <c r="O721" s="96" t="b">
        <v>0</v>
      </c>
      <c r="P721" s="173"/>
      <c r="Q721" s="173"/>
      <c r="R721" s="173"/>
      <c r="S721" s="173"/>
      <c r="T721" s="173"/>
      <c r="U721" s="173"/>
      <c r="V721" s="173"/>
      <c r="W721" s="173"/>
      <c r="X721" s="173"/>
      <c r="Y721" s="173"/>
      <c r="Z721" s="173"/>
      <c r="AA721" s="173"/>
      <c r="AB721" s="173"/>
      <c r="AC721" s="173"/>
      <c r="AD721" s="173"/>
      <c r="AE721" s="173"/>
      <c r="AF721" s="173"/>
      <c r="AG721" s="173"/>
    </row>
    <row r="722" hidden="1">
      <c r="A722" s="86"/>
      <c r="B722" s="25"/>
      <c r="C722" s="80" t="s">
        <v>78</v>
      </c>
      <c r="D722" s="97"/>
      <c r="E722" s="98"/>
      <c r="F722" s="109" t="s">
        <v>1560</v>
      </c>
      <c r="G722" s="41"/>
      <c r="H722" s="98"/>
      <c r="I722" s="98"/>
      <c r="J722" s="98"/>
      <c r="K722" s="91"/>
      <c r="L722" s="91"/>
      <c r="M722" s="91"/>
      <c r="N722" s="96" t="b">
        <v>0</v>
      </c>
      <c r="O722" s="96" t="b">
        <v>0</v>
      </c>
      <c r="P722" s="173"/>
      <c r="Q722" s="173"/>
      <c r="R722" s="173"/>
      <c r="S722" s="173"/>
      <c r="T722" s="173"/>
      <c r="U722" s="173"/>
      <c r="V722" s="173"/>
      <c r="W722" s="173"/>
      <c r="X722" s="173"/>
      <c r="Y722" s="173"/>
      <c r="Z722" s="173"/>
      <c r="AA722" s="173"/>
      <c r="AB722" s="173"/>
      <c r="AC722" s="173"/>
      <c r="AD722" s="173"/>
      <c r="AE722" s="173"/>
      <c r="AF722" s="173"/>
      <c r="AG722" s="173"/>
    </row>
    <row r="723" hidden="1">
      <c r="A723" s="86"/>
      <c r="B723" s="25"/>
      <c r="C723" s="80" t="s">
        <v>78</v>
      </c>
      <c r="D723" s="107" t="s">
        <v>79</v>
      </c>
      <c r="E723" s="184" t="s">
        <v>1561</v>
      </c>
      <c r="F723" s="184" t="s">
        <v>1562</v>
      </c>
      <c r="G723" s="108">
        <v>0.4791666666666667</v>
      </c>
      <c r="H723" s="109" t="s">
        <v>14</v>
      </c>
      <c r="I723" s="184" t="s">
        <v>1563</v>
      </c>
      <c r="J723" s="109" t="s">
        <v>1564</v>
      </c>
      <c r="K723" s="91"/>
      <c r="L723" s="91"/>
      <c r="M723" s="91"/>
      <c r="N723" s="96" t="b">
        <v>0</v>
      </c>
      <c r="O723" s="96" t="b">
        <v>0</v>
      </c>
      <c r="P723" s="173"/>
      <c r="Q723" s="173"/>
      <c r="R723" s="173"/>
      <c r="S723" s="173"/>
      <c r="T723" s="173"/>
      <c r="U723" s="173"/>
      <c r="V723" s="173"/>
      <c r="W723" s="173"/>
      <c r="X723" s="173"/>
      <c r="Y723" s="173"/>
      <c r="Z723" s="173"/>
      <c r="AA723" s="173"/>
      <c r="AB723" s="173"/>
      <c r="AC723" s="173"/>
      <c r="AD723" s="173"/>
      <c r="AE723" s="173"/>
      <c r="AF723" s="173"/>
      <c r="AG723" s="173"/>
    </row>
    <row r="724" hidden="1">
      <c r="A724" s="86"/>
      <c r="B724" s="25"/>
      <c r="C724" s="80" t="s">
        <v>78</v>
      </c>
      <c r="D724" s="97" t="s">
        <v>79</v>
      </c>
      <c r="E724" s="183" t="s">
        <v>703</v>
      </c>
      <c r="F724" s="183" t="s">
        <v>704</v>
      </c>
      <c r="G724" s="99">
        <v>0.5833333333333334</v>
      </c>
      <c r="H724" s="98" t="s">
        <v>1345</v>
      </c>
      <c r="I724" s="183" t="s">
        <v>1565</v>
      </c>
      <c r="J724" s="183" t="s">
        <v>706</v>
      </c>
      <c r="K724" s="91"/>
      <c r="L724" s="91"/>
      <c r="M724" s="91"/>
      <c r="N724" s="96" t="b">
        <v>0</v>
      </c>
      <c r="O724" s="96" t="b">
        <v>0</v>
      </c>
      <c r="P724" s="173"/>
      <c r="Q724" s="173"/>
      <c r="R724" s="173"/>
      <c r="S724" s="173"/>
      <c r="T724" s="173"/>
      <c r="U724" s="173"/>
      <c r="V724" s="173"/>
      <c r="W724" s="173"/>
      <c r="X724" s="173"/>
      <c r="Y724" s="173"/>
      <c r="Z724" s="173"/>
      <c r="AA724" s="173"/>
      <c r="AB724" s="173"/>
      <c r="AC724" s="173"/>
      <c r="AD724" s="173"/>
      <c r="AE724" s="173"/>
      <c r="AF724" s="173"/>
      <c r="AG724" s="173"/>
    </row>
    <row r="725" hidden="1">
      <c r="A725" s="86"/>
      <c r="B725" s="25"/>
      <c r="C725" s="80" t="s">
        <v>78</v>
      </c>
      <c r="D725" s="97" t="s">
        <v>79</v>
      </c>
      <c r="E725" s="184" t="s">
        <v>1566</v>
      </c>
      <c r="F725" s="184" t="s">
        <v>1567</v>
      </c>
      <c r="G725" s="108">
        <v>0.6666666666666666</v>
      </c>
      <c r="H725" s="109" t="s">
        <v>1568</v>
      </c>
      <c r="I725" s="184" t="s">
        <v>1569</v>
      </c>
      <c r="J725" s="184" t="s">
        <v>1570</v>
      </c>
      <c r="K725" s="91"/>
      <c r="L725" s="91"/>
      <c r="M725" s="91"/>
      <c r="N725" s="96" t="b">
        <v>0</v>
      </c>
      <c r="O725" s="96" t="b">
        <v>0</v>
      </c>
      <c r="P725" s="173"/>
      <c r="Q725" s="173"/>
      <c r="R725" s="173"/>
      <c r="S725" s="173"/>
      <c r="T725" s="173"/>
      <c r="U725" s="173"/>
      <c r="V725" s="173"/>
      <c r="W725" s="173"/>
      <c r="X725" s="173"/>
      <c r="Y725" s="173"/>
      <c r="Z725" s="173"/>
      <c r="AA725" s="173"/>
      <c r="AB725" s="173"/>
      <c r="AC725" s="173"/>
      <c r="AD725" s="173"/>
      <c r="AE725" s="173"/>
      <c r="AF725" s="173"/>
      <c r="AG725" s="173"/>
    </row>
    <row r="726" hidden="1">
      <c r="A726" s="86"/>
      <c r="B726" s="39"/>
      <c r="C726" s="78" t="s">
        <v>78</v>
      </c>
      <c r="D726" s="97" t="s">
        <v>79</v>
      </c>
      <c r="E726" s="184" t="s">
        <v>1571</v>
      </c>
      <c r="F726" s="184" t="s">
        <v>1572</v>
      </c>
      <c r="G726" s="108">
        <v>0.75</v>
      </c>
      <c r="H726" s="109" t="s">
        <v>1521</v>
      </c>
      <c r="I726" s="184" t="s">
        <v>1573</v>
      </c>
      <c r="J726" s="184" t="s">
        <v>1574</v>
      </c>
      <c r="K726" s="91"/>
      <c r="L726" s="91"/>
      <c r="M726" s="91"/>
      <c r="N726" s="96" t="b">
        <v>0</v>
      </c>
      <c r="O726" s="96" t="b">
        <v>0</v>
      </c>
      <c r="P726" s="173"/>
      <c r="Q726" s="173"/>
      <c r="R726" s="173"/>
      <c r="S726" s="173"/>
      <c r="T726" s="173"/>
      <c r="U726" s="173"/>
      <c r="V726" s="173"/>
      <c r="W726" s="173"/>
      <c r="X726" s="173"/>
      <c r="Y726" s="173"/>
      <c r="Z726" s="173"/>
      <c r="AA726" s="173"/>
      <c r="AB726" s="173"/>
      <c r="AC726" s="173"/>
      <c r="AD726" s="173"/>
      <c r="AE726" s="173"/>
      <c r="AF726" s="173"/>
      <c r="AG726" s="173"/>
    </row>
    <row r="727" hidden="1">
      <c r="A727" s="86"/>
      <c r="B727" s="166"/>
      <c r="C727" s="88">
        <v>44405.0</v>
      </c>
      <c r="D727" s="97"/>
      <c r="E727" s="98"/>
      <c r="F727" s="98"/>
      <c r="G727" s="41"/>
      <c r="H727" s="98"/>
      <c r="I727" s="98"/>
      <c r="J727" s="98"/>
      <c r="K727" s="91"/>
      <c r="L727" s="91"/>
      <c r="M727" s="91"/>
      <c r="N727" s="96" t="b">
        <v>0</v>
      </c>
      <c r="O727" s="96" t="b">
        <v>0</v>
      </c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  <c r="AA727" s="92"/>
      <c r="AB727" s="92"/>
      <c r="AC727" s="92"/>
      <c r="AD727" s="92"/>
      <c r="AE727" s="92"/>
      <c r="AF727" s="92"/>
      <c r="AG727" s="92"/>
    </row>
    <row r="728" hidden="1">
      <c r="A728" s="86"/>
      <c r="B728" s="18" t="s">
        <v>286</v>
      </c>
      <c r="C728" s="78" t="s">
        <v>78</v>
      </c>
      <c r="D728" s="97" t="s">
        <v>79</v>
      </c>
      <c r="E728" s="98"/>
      <c r="F728" s="98"/>
      <c r="G728" s="41"/>
      <c r="H728" s="98"/>
      <c r="I728" s="98"/>
      <c r="J728" s="98"/>
      <c r="K728" s="91"/>
      <c r="L728" s="91"/>
      <c r="M728" s="91"/>
      <c r="N728" s="96" t="b">
        <v>0</v>
      </c>
      <c r="O728" s="96" t="b">
        <v>0</v>
      </c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  <c r="AA728" s="92"/>
      <c r="AB728" s="92"/>
      <c r="AC728" s="92"/>
      <c r="AD728" s="92"/>
      <c r="AE728" s="92"/>
      <c r="AF728" s="92"/>
      <c r="AG728" s="92"/>
    </row>
    <row r="729" hidden="1">
      <c r="A729" s="86"/>
      <c r="B729" s="25"/>
      <c r="C729" s="80" t="s">
        <v>78</v>
      </c>
      <c r="D729" s="97" t="s">
        <v>79</v>
      </c>
      <c r="E729" s="183" t="s">
        <v>1112</v>
      </c>
      <c r="F729" s="183" t="s">
        <v>1113</v>
      </c>
      <c r="G729" s="99">
        <v>0.5</v>
      </c>
      <c r="H729" s="98" t="s">
        <v>1575</v>
      </c>
      <c r="I729" s="183" t="s">
        <v>1576</v>
      </c>
      <c r="J729" s="183" t="s">
        <v>1115</v>
      </c>
      <c r="K729" s="98" t="s">
        <v>1577</v>
      </c>
      <c r="L729" s="91"/>
      <c r="M729" s="91"/>
      <c r="N729" s="96" t="b">
        <v>0</v>
      </c>
      <c r="O729" s="96" t="b">
        <v>0</v>
      </c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  <c r="AA729" s="92"/>
      <c r="AB729" s="92"/>
      <c r="AC729" s="92"/>
      <c r="AD729" s="92"/>
      <c r="AE729" s="92"/>
      <c r="AF729" s="92"/>
      <c r="AG729" s="92"/>
    </row>
    <row r="730" hidden="1">
      <c r="A730" s="86"/>
      <c r="B730" s="25"/>
      <c r="C730" s="80" t="s">
        <v>78</v>
      </c>
      <c r="D730" s="97" t="s">
        <v>79</v>
      </c>
      <c r="E730" s="183" t="s">
        <v>1578</v>
      </c>
      <c r="F730" s="183" t="s">
        <v>1579</v>
      </c>
      <c r="G730" s="99">
        <v>0.5833333333333334</v>
      </c>
      <c r="H730" s="183" t="s">
        <v>233</v>
      </c>
      <c r="I730" s="98" t="s">
        <v>1580</v>
      </c>
      <c r="J730" s="183" t="s">
        <v>1581</v>
      </c>
      <c r="K730" s="91"/>
      <c r="L730" s="91"/>
      <c r="M730" s="91"/>
      <c r="N730" s="96" t="b">
        <v>0</v>
      </c>
      <c r="O730" s="96" t="b">
        <v>0</v>
      </c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  <c r="AA730" s="92"/>
      <c r="AB730" s="92"/>
      <c r="AC730" s="92"/>
      <c r="AD730" s="92"/>
      <c r="AE730" s="92"/>
      <c r="AF730" s="92"/>
      <c r="AG730" s="92"/>
    </row>
    <row r="731" hidden="1">
      <c r="A731" s="86"/>
      <c r="B731" s="25"/>
      <c r="C731" s="80" t="s">
        <v>78</v>
      </c>
      <c r="D731" s="97" t="s">
        <v>79</v>
      </c>
      <c r="E731" s="183" t="s">
        <v>137</v>
      </c>
      <c r="F731" s="183" t="s">
        <v>138</v>
      </c>
      <c r="G731" s="99">
        <v>0.6666666666666666</v>
      </c>
      <c r="H731" s="183" t="s">
        <v>233</v>
      </c>
      <c r="I731" s="183" t="s">
        <v>1582</v>
      </c>
      <c r="J731" s="183" t="s">
        <v>140</v>
      </c>
      <c r="K731" s="98" t="s">
        <v>838</v>
      </c>
      <c r="L731" s="91"/>
      <c r="M731" s="91"/>
      <c r="N731" s="96" t="b">
        <v>0</v>
      </c>
      <c r="O731" s="96" t="b">
        <v>0</v>
      </c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  <c r="AA731" s="92"/>
      <c r="AB731" s="92"/>
      <c r="AC731" s="92"/>
      <c r="AD731" s="92"/>
      <c r="AE731" s="92"/>
      <c r="AF731" s="92"/>
      <c r="AG731" s="92"/>
    </row>
    <row r="732" hidden="1">
      <c r="A732" s="86"/>
      <c r="B732" s="25"/>
      <c r="C732" s="80" t="s">
        <v>78</v>
      </c>
      <c r="D732" s="97" t="s">
        <v>79</v>
      </c>
      <c r="E732" s="184" t="s">
        <v>1583</v>
      </c>
      <c r="F732" s="184" t="s">
        <v>1584</v>
      </c>
      <c r="G732" s="108">
        <v>0.75</v>
      </c>
      <c r="H732" s="184" t="s">
        <v>996</v>
      </c>
      <c r="I732" s="184" t="s">
        <v>1585</v>
      </c>
      <c r="J732" s="184" t="s">
        <v>1586</v>
      </c>
      <c r="K732" s="111"/>
      <c r="L732" s="91"/>
      <c r="M732" s="91"/>
      <c r="N732" s="96" t="b">
        <v>0</v>
      </c>
      <c r="O732" s="96" t="b">
        <v>0</v>
      </c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  <c r="AA732" s="92"/>
      <c r="AB732" s="92"/>
      <c r="AC732" s="92"/>
      <c r="AD732" s="92"/>
      <c r="AE732" s="92"/>
      <c r="AF732" s="92"/>
      <c r="AG732" s="92"/>
    </row>
    <row r="733" hidden="1">
      <c r="A733" s="86"/>
      <c r="B733" s="39"/>
      <c r="C733" s="80" t="s">
        <v>78</v>
      </c>
      <c r="D733" s="97"/>
      <c r="E733" s="98"/>
      <c r="F733" s="98"/>
      <c r="G733" s="41"/>
      <c r="H733" s="98"/>
      <c r="I733" s="98"/>
      <c r="J733" s="98"/>
      <c r="K733" s="91"/>
      <c r="L733" s="91"/>
      <c r="M733" s="91"/>
      <c r="N733" s="96" t="b">
        <v>0</v>
      </c>
      <c r="O733" s="96" t="b">
        <v>0</v>
      </c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  <c r="AA733" s="92"/>
      <c r="AB733" s="92"/>
      <c r="AC733" s="92"/>
      <c r="AD733" s="92"/>
      <c r="AE733" s="92"/>
      <c r="AF733" s="92"/>
      <c r="AG733" s="92"/>
    </row>
    <row r="734" hidden="1">
      <c r="A734" s="86"/>
      <c r="B734" s="18" t="s">
        <v>1426</v>
      </c>
      <c r="C734" s="103"/>
      <c r="D734" s="97"/>
      <c r="E734" s="98"/>
      <c r="F734" s="98"/>
      <c r="G734" s="41"/>
      <c r="H734" s="98"/>
      <c r="I734" s="98"/>
      <c r="J734" s="98"/>
      <c r="K734" s="91"/>
      <c r="L734" s="91"/>
      <c r="M734" s="91"/>
      <c r="N734" s="96" t="b">
        <v>0</v>
      </c>
      <c r="O734" s="96" t="b">
        <v>0</v>
      </c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  <c r="AA734" s="92"/>
      <c r="AB734" s="92"/>
      <c r="AC734" s="92"/>
      <c r="AD734" s="92"/>
      <c r="AE734" s="92"/>
      <c r="AF734" s="92"/>
      <c r="AG734" s="92"/>
    </row>
    <row r="735" hidden="1">
      <c r="A735" s="86"/>
      <c r="B735" s="25"/>
      <c r="C735" s="80" t="s">
        <v>78</v>
      </c>
      <c r="D735" s="97" t="s">
        <v>79</v>
      </c>
      <c r="E735" s="183" t="s">
        <v>1587</v>
      </c>
      <c r="F735" s="183" t="s">
        <v>1588</v>
      </c>
      <c r="G735" s="41" t="s">
        <v>880</v>
      </c>
      <c r="H735" s="98" t="s">
        <v>1589</v>
      </c>
      <c r="I735" s="98" t="s">
        <v>1590</v>
      </c>
      <c r="J735" s="183" t="s">
        <v>1591</v>
      </c>
      <c r="K735" s="91"/>
      <c r="L735" s="91"/>
      <c r="M735" s="91"/>
      <c r="N735" s="96" t="b">
        <v>0</v>
      </c>
      <c r="O735" s="96" t="b">
        <v>0</v>
      </c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  <c r="AA735" s="92"/>
      <c r="AB735" s="92"/>
      <c r="AC735" s="92"/>
      <c r="AD735" s="92"/>
      <c r="AE735" s="92"/>
      <c r="AF735" s="92"/>
      <c r="AG735" s="92"/>
    </row>
    <row r="736" hidden="1">
      <c r="A736" s="86"/>
      <c r="B736" s="25"/>
      <c r="C736" s="80" t="s">
        <v>78</v>
      </c>
      <c r="D736" s="97" t="s">
        <v>79</v>
      </c>
      <c r="E736" s="186" t="s">
        <v>1592</v>
      </c>
      <c r="F736" s="186" t="s">
        <v>1593</v>
      </c>
      <c r="G736" s="99">
        <v>0.5</v>
      </c>
      <c r="H736" s="98" t="s">
        <v>1594</v>
      </c>
      <c r="I736" s="186" t="s">
        <v>1595</v>
      </c>
      <c r="J736" s="186" t="s">
        <v>1596</v>
      </c>
      <c r="K736" s="91"/>
      <c r="L736" s="91"/>
      <c r="M736" s="91"/>
      <c r="N736" s="96" t="b">
        <v>0</v>
      </c>
      <c r="O736" s="96" t="b">
        <v>0</v>
      </c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  <c r="AA736" s="92"/>
      <c r="AB736" s="92"/>
      <c r="AC736" s="92"/>
      <c r="AD736" s="92"/>
      <c r="AE736" s="92"/>
      <c r="AF736" s="92"/>
      <c r="AG736" s="92"/>
    </row>
    <row r="737" hidden="1">
      <c r="A737" s="86"/>
      <c r="B737" s="25"/>
      <c r="C737" s="80" t="s">
        <v>78</v>
      </c>
      <c r="D737" s="97" t="s">
        <v>79</v>
      </c>
      <c r="E737" s="183" t="s">
        <v>1597</v>
      </c>
      <c r="F737" s="183" t="s">
        <v>1598</v>
      </c>
      <c r="G737" s="99">
        <v>0.5833333333333334</v>
      </c>
      <c r="H737" s="98" t="s">
        <v>1599</v>
      </c>
      <c r="I737" s="183" t="s">
        <v>1600</v>
      </c>
      <c r="J737" s="183" t="s">
        <v>1601</v>
      </c>
      <c r="K737" s="91"/>
      <c r="L737" s="91"/>
      <c r="M737" s="91"/>
      <c r="N737" s="96" t="b">
        <v>0</v>
      </c>
      <c r="O737" s="96" t="b">
        <v>0</v>
      </c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  <c r="AA737" s="92"/>
      <c r="AB737" s="92"/>
      <c r="AC737" s="92"/>
      <c r="AD737" s="92"/>
      <c r="AE737" s="92"/>
      <c r="AF737" s="92"/>
      <c r="AG737" s="92"/>
    </row>
    <row r="738" hidden="1">
      <c r="A738" s="86"/>
      <c r="B738" s="25"/>
      <c r="C738" s="80" t="s">
        <v>78</v>
      </c>
      <c r="D738" s="97" t="s">
        <v>79</v>
      </c>
      <c r="E738" s="186" t="s">
        <v>1602</v>
      </c>
      <c r="F738" s="186" t="s">
        <v>1603</v>
      </c>
      <c r="G738" s="99">
        <v>0.6666666666666666</v>
      </c>
      <c r="H738" s="98" t="s">
        <v>1604</v>
      </c>
      <c r="I738" s="186" t="s">
        <v>1605</v>
      </c>
      <c r="J738" s="186" t="s">
        <v>1606</v>
      </c>
      <c r="K738" s="91"/>
      <c r="L738" s="91"/>
      <c r="M738" s="91"/>
      <c r="N738" s="96" t="b">
        <v>0</v>
      </c>
      <c r="O738" s="96" t="b">
        <v>0</v>
      </c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  <c r="AA738" s="92"/>
      <c r="AB738" s="92"/>
      <c r="AC738" s="92"/>
      <c r="AD738" s="92"/>
      <c r="AE738" s="92"/>
      <c r="AF738" s="92"/>
      <c r="AG738" s="92"/>
    </row>
    <row r="739" hidden="1">
      <c r="A739" s="86"/>
      <c r="B739" s="39"/>
      <c r="C739" s="78" t="s">
        <v>78</v>
      </c>
      <c r="D739" s="97" t="s">
        <v>79</v>
      </c>
      <c r="E739" s="98"/>
      <c r="F739" s="98"/>
      <c r="G739" s="41"/>
      <c r="H739" s="98"/>
      <c r="I739" s="98"/>
      <c r="J739" s="98"/>
      <c r="K739" s="91"/>
      <c r="L739" s="91"/>
      <c r="M739" s="91"/>
      <c r="N739" s="96" t="b">
        <v>0</v>
      </c>
      <c r="O739" s="96" t="b">
        <v>0</v>
      </c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  <c r="AA739" s="92"/>
      <c r="AB739" s="92"/>
      <c r="AC739" s="92"/>
      <c r="AD739" s="92"/>
      <c r="AE739" s="92"/>
      <c r="AF739" s="92"/>
      <c r="AG739" s="92"/>
    </row>
    <row r="740" hidden="1">
      <c r="A740" s="86"/>
      <c r="B740" s="166"/>
      <c r="C740" s="88">
        <v>44406.0</v>
      </c>
      <c r="D740" s="97"/>
      <c r="E740" s="98"/>
      <c r="F740" s="98"/>
      <c r="G740" s="41"/>
      <c r="H740" s="98"/>
      <c r="I740" s="98"/>
      <c r="J740" s="98"/>
      <c r="K740" s="91"/>
      <c r="L740" s="91"/>
      <c r="M740" s="91"/>
      <c r="N740" s="96" t="b">
        <v>0</v>
      </c>
      <c r="O740" s="96" t="b">
        <v>0</v>
      </c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  <c r="AA740" s="92"/>
      <c r="AB740" s="92"/>
      <c r="AC740" s="92"/>
      <c r="AD740" s="92"/>
      <c r="AE740" s="92"/>
      <c r="AF740" s="92"/>
      <c r="AG740" s="92"/>
    </row>
    <row r="741" hidden="1">
      <c r="A741" s="86"/>
      <c r="B741" s="18" t="s">
        <v>286</v>
      </c>
      <c r="C741" s="78" t="s">
        <v>78</v>
      </c>
      <c r="D741" s="97" t="s">
        <v>79</v>
      </c>
      <c r="E741" s="183" t="s">
        <v>1607</v>
      </c>
      <c r="F741" s="183" t="s">
        <v>1608</v>
      </c>
      <c r="G741" s="99">
        <v>0.4166666666666667</v>
      </c>
      <c r="H741" s="98" t="s">
        <v>744</v>
      </c>
      <c r="I741" s="183" t="s">
        <v>1609</v>
      </c>
      <c r="J741" s="183" t="s">
        <v>1610</v>
      </c>
      <c r="K741" s="91"/>
      <c r="L741" s="91"/>
      <c r="M741" s="91"/>
      <c r="N741" s="96" t="b">
        <v>0</v>
      </c>
      <c r="O741" s="96" t="b">
        <v>0</v>
      </c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  <c r="AA741" s="92"/>
      <c r="AB741" s="92"/>
      <c r="AC741" s="92"/>
      <c r="AD741" s="92"/>
      <c r="AE741" s="92"/>
      <c r="AF741" s="92"/>
      <c r="AG741" s="92"/>
    </row>
    <row r="742" hidden="1">
      <c r="A742" s="86"/>
      <c r="B742" s="25"/>
      <c r="C742" s="80" t="s">
        <v>78</v>
      </c>
      <c r="D742" s="97" t="s">
        <v>79</v>
      </c>
      <c r="E742" s="184" t="s">
        <v>1611</v>
      </c>
      <c r="F742" s="184" t="s">
        <v>1612</v>
      </c>
      <c r="G742" s="108">
        <v>0.5</v>
      </c>
      <c r="H742" s="109" t="s">
        <v>739</v>
      </c>
      <c r="I742" s="184" t="s">
        <v>1613</v>
      </c>
      <c r="J742" s="184" t="s">
        <v>1614</v>
      </c>
      <c r="K742" s="91"/>
      <c r="L742" s="91"/>
      <c r="M742" s="91"/>
      <c r="N742" s="96" t="b">
        <v>0</v>
      </c>
      <c r="O742" s="96" t="b">
        <v>0</v>
      </c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  <c r="AA742" s="92"/>
      <c r="AB742" s="92"/>
      <c r="AC742" s="92"/>
      <c r="AD742" s="92"/>
      <c r="AE742" s="92"/>
      <c r="AF742" s="92"/>
      <c r="AG742" s="92"/>
    </row>
    <row r="743" hidden="1">
      <c r="A743" s="86"/>
      <c r="B743" s="25"/>
      <c r="C743" s="80" t="s">
        <v>78</v>
      </c>
      <c r="D743" s="97" t="s">
        <v>79</v>
      </c>
      <c r="E743" s="183" t="s">
        <v>34</v>
      </c>
      <c r="F743" s="183" t="s">
        <v>35</v>
      </c>
      <c r="G743" s="99">
        <v>0.5833333333333334</v>
      </c>
      <c r="H743" s="98" t="s">
        <v>739</v>
      </c>
      <c r="I743" s="183" t="s">
        <v>1615</v>
      </c>
      <c r="J743" s="183" t="s">
        <v>39</v>
      </c>
      <c r="K743" s="91"/>
      <c r="L743" s="91"/>
      <c r="M743" s="91"/>
      <c r="N743" s="96" t="b">
        <v>0</v>
      </c>
      <c r="O743" s="96" t="b">
        <v>0</v>
      </c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  <c r="AA743" s="92"/>
      <c r="AB743" s="92"/>
      <c r="AC743" s="92"/>
      <c r="AD743" s="92"/>
      <c r="AE743" s="92"/>
      <c r="AF743" s="92"/>
      <c r="AG743" s="92"/>
    </row>
    <row r="744" hidden="1">
      <c r="A744" s="86"/>
      <c r="B744" s="25"/>
      <c r="C744" s="80" t="s">
        <v>78</v>
      </c>
      <c r="D744" s="97" t="s">
        <v>79</v>
      </c>
      <c r="E744" s="184" t="s">
        <v>1616</v>
      </c>
      <c r="F744" s="184" t="s">
        <v>1617</v>
      </c>
      <c r="G744" s="108">
        <v>0.6666666666666666</v>
      </c>
      <c r="H744" s="109" t="s">
        <v>233</v>
      </c>
      <c r="I744" s="109" t="s">
        <v>1618</v>
      </c>
      <c r="J744" s="184" t="s">
        <v>1619</v>
      </c>
      <c r="K744" s="91"/>
      <c r="L744" s="91"/>
      <c r="M744" s="91"/>
      <c r="N744" s="96" t="b">
        <v>0</v>
      </c>
      <c r="O744" s="96" t="b">
        <v>0</v>
      </c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  <c r="AA744" s="92"/>
      <c r="AB744" s="92"/>
      <c r="AC744" s="92"/>
      <c r="AD744" s="92"/>
      <c r="AE744" s="92"/>
      <c r="AF744" s="92"/>
      <c r="AG744" s="92"/>
    </row>
    <row r="745" hidden="1">
      <c r="A745" s="86"/>
      <c r="B745" s="25"/>
      <c r="C745" s="80" t="s">
        <v>78</v>
      </c>
      <c r="D745" s="97"/>
      <c r="E745" s="98"/>
      <c r="F745" s="98"/>
      <c r="G745" s="41"/>
      <c r="H745" s="98"/>
      <c r="I745" s="98"/>
      <c r="J745" s="98"/>
      <c r="K745" s="91"/>
      <c r="L745" s="91"/>
      <c r="M745" s="91"/>
      <c r="N745" s="96" t="b">
        <v>0</v>
      </c>
      <c r="O745" s="96" t="b">
        <v>0</v>
      </c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  <c r="AA745" s="92"/>
      <c r="AB745" s="92"/>
      <c r="AC745" s="92"/>
      <c r="AD745" s="92"/>
      <c r="AE745" s="92"/>
      <c r="AF745" s="92"/>
      <c r="AG745" s="92"/>
    </row>
    <row r="746" hidden="1">
      <c r="A746" s="86"/>
      <c r="B746" s="39"/>
      <c r="C746" s="80" t="s">
        <v>78</v>
      </c>
      <c r="D746" s="97"/>
      <c r="E746" s="98"/>
      <c r="F746" s="98"/>
      <c r="G746" s="41"/>
      <c r="H746" s="98"/>
      <c r="I746" s="98"/>
      <c r="J746" s="98"/>
      <c r="K746" s="91"/>
      <c r="L746" s="91"/>
      <c r="M746" s="91"/>
      <c r="N746" s="96" t="b">
        <v>0</v>
      </c>
      <c r="O746" s="96" t="b">
        <v>0</v>
      </c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  <c r="AA746" s="92"/>
      <c r="AB746" s="92"/>
      <c r="AC746" s="92"/>
      <c r="AD746" s="92"/>
      <c r="AE746" s="92"/>
      <c r="AF746" s="92"/>
      <c r="AG746" s="92"/>
    </row>
    <row r="747" hidden="1">
      <c r="A747" s="86"/>
      <c r="B747" s="18" t="s">
        <v>1426</v>
      </c>
      <c r="C747" s="103"/>
      <c r="D747" s="97"/>
      <c r="E747" s="98"/>
      <c r="F747" s="98"/>
      <c r="G747" s="41"/>
      <c r="H747" s="98"/>
      <c r="I747" s="98"/>
      <c r="J747" s="98"/>
      <c r="K747" s="91"/>
      <c r="L747" s="91"/>
      <c r="M747" s="91"/>
      <c r="N747" s="96" t="b">
        <v>0</v>
      </c>
      <c r="O747" s="96" t="b">
        <v>0</v>
      </c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  <c r="AA747" s="92"/>
      <c r="AB747" s="92"/>
      <c r="AC747" s="92"/>
      <c r="AD747" s="92"/>
      <c r="AE747" s="92"/>
      <c r="AF747" s="92"/>
      <c r="AG747" s="92"/>
    </row>
    <row r="748" hidden="1">
      <c r="A748" s="86"/>
      <c r="B748" s="25"/>
      <c r="C748" s="80" t="s">
        <v>78</v>
      </c>
      <c r="D748" s="97"/>
      <c r="E748" s="98"/>
      <c r="F748" s="98"/>
      <c r="G748" s="99"/>
      <c r="H748" s="98"/>
      <c r="I748" s="98"/>
      <c r="J748" s="98"/>
      <c r="K748" s="91"/>
      <c r="L748" s="91"/>
      <c r="M748" s="91"/>
      <c r="N748" s="96" t="b">
        <v>0</v>
      </c>
      <c r="O748" s="96" t="b">
        <v>0</v>
      </c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  <c r="AA748" s="92"/>
      <c r="AB748" s="92"/>
      <c r="AC748" s="92"/>
      <c r="AD748" s="92"/>
      <c r="AE748" s="92"/>
      <c r="AF748" s="92"/>
      <c r="AG748" s="92"/>
    </row>
    <row r="749" hidden="1">
      <c r="A749" s="86"/>
      <c r="B749" s="25"/>
      <c r="C749" s="80" t="s">
        <v>78</v>
      </c>
      <c r="D749" s="97" t="s">
        <v>79</v>
      </c>
      <c r="E749" s="183" t="s">
        <v>611</v>
      </c>
      <c r="F749" s="183" t="s">
        <v>612</v>
      </c>
      <c r="G749" s="99">
        <v>0.5</v>
      </c>
      <c r="H749" s="98" t="s">
        <v>233</v>
      </c>
      <c r="I749" s="98" t="s">
        <v>1620</v>
      </c>
      <c r="J749" s="183" t="s">
        <v>614</v>
      </c>
      <c r="K749" s="91"/>
      <c r="L749" s="91"/>
      <c r="M749" s="91"/>
      <c r="N749" s="96" t="b">
        <v>0</v>
      </c>
      <c r="O749" s="96" t="b">
        <v>0</v>
      </c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  <c r="AA749" s="92"/>
      <c r="AB749" s="92"/>
      <c r="AC749" s="92"/>
      <c r="AD749" s="92"/>
      <c r="AE749" s="92"/>
      <c r="AF749" s="92"/>
      <c r="AG749" s="92"/>
    </row>
    <row r="750" hidden="1">
      <c r="A750" s="86"/>
      <c r="B750" s="25"/>
      <c r="C750" s="80" t="s">
        <v>78</v>
      </c>
      <c r="D750" s="97" t="s">
        <v>79</v>
      </c>
      <c r="E750" s="186" t="s">
        <v>1621</v>
      </c>
      <c r="F750" s="186" t="s">
        <v>1622</v>
      </c>
      <c r="G750" s="99">
        <v>0.5833333333333334</v>
      </c>
      <c r="H750" s="98" t="s">
        <v>233</v>
      </c>
      <c r="I750" s="186" t="s">
        <v>1623</v>
      </c>
      <c r="J750" s="186" t="s">
        <v>1624</v>
      </c>
      <c r="K750" s="91"/>
      <c r="L750" s="91"/>
      <c r="M750" s="91"/>
      <c r="N750" s="96" t="b">
        <v>0</v>
      </c>
      <c r="O750" s="96" t="b">
        <v>0</v>
      </c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  <c r="AA750" s="92"/>
      <c r="AB750" s="92"/>
      <c r="AC750" s="92"/>
      <c r="AD750" s="92"/>
      <c r="AE750" s="92"/>
      <c r="AF750" s="92"/>
      <c r="AG750" s="92"/>
    </row>
    <row r="751" hidden="1">
      <c r="A751" s="86"/>
      <c r="B751" s="25"/>
      <c r="C751" s="80" t="s">
        <v>78</v>
      </c>
      <c r="D751" s="97" t="s">
        <v>79</v>
      </c>
      <c r="E751" s="183" t="s">
        <v>1625</v>
      </c>
      <c r="F751" s="183" t="s">
        <v>1626</v>
      </c>
      <c r="G751" s="99">
        <v>0.6666666666666666</v>
      </c>
      <c r="H751" s="183" t="s">
        <v>996</v>
      </c>
      <c r="I751" s="183" t="s">
        <v>1627</v>
      </c>
      <c r="J751" s="183" t="s">
        <v>1628</v>
      </c>
      <c r="K751" s="91"/>
      <c r="L751" s="91"/>
      <c r="M751" s="91"/>
      <c r="N751" s="96" t="b">
        <v>0</v>
      </c>
      <c r="O751" s="96" t="b">
        <v>0</v>
      </c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  <c r="AA751" s="92"/>
      <c r="AB751" s="92"/>
      <c r="AC751" s="92"/>
      <c r="AD751" s="92"/>
      <c r="AE751" s="92"/>
      <c r="AF751" s="92"/>
      <c r="AG751" s="92"/>
    </row>
    <row r="752" hidden="1">
      <c r="A752" s="86"/>
      <c r="B752" s="39"/>
      <c r="C752" s="78" t="s">
        <v>78</v>
      </c>
      <c r="D752" s="97" t="s">
        <v>79</v>
      </c>
      <c r="E752" s="183" t="s">
        <v>1629</v>
      </c>
      <c r="F752" s="183" t="s">
        <v>1630</v>
      </c>
      <c r="G752" s="99">
        <v>0.75</v>
      </c>
      <c r="H752" s="183" t="s">
        <v>996</v>
      </c>
      <c r="I752" s="183" t="s">
        <v>1631</v>
      </c>
      <c r="J752" s="183" t="s">
        <v>1632</v>
      </c>
      <c r="K752" s="91"/>
      <c r="L752" s="91"/>
      <c r="M752" s="91"/>
      <c r="N752" s="96" t="b">
        <v>0</v>
      </c>
      <c r="O752" s="96" t="b">
        <v>0</v>
      </c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  <c r="AA752" s="92"/>
      <c r="AB752" s="92"/>
      <c r="AC752" s="92"/>
      <c r="AD752" s="92"/>
      <c r="AE752" s="92"/>
      <c r="AF752" s="92"/>
      <c r="AG752" s="92"/>
    </row>
    <row r="753" hidden="1">
      <c r="A753" s="86"/>
      <c r="B753" s="166"/>
      <c r="C753" s="88">
        <v>44407.0</v>
      </c>
      <c r="D753" s="97"/>
      <c r="E753" s="98"/>
      <c r="F753" s="149" t="s">
        <v>1633</v>
      </c>
      <c r="G753" s="41"/>
      <c r="H753" s="98"/>
      <c r="I753" s="98"/>
      <c r="J753" s="98"/>
      <c r="K753" s="91"/>
      <c r="L753" s="91"/>
      <c r="M753" s="91"/>
      <c r="N753" s="96" t="b">
        <v>0</v>
      </c>
      <c r="O753" s="96" t="b">
        <v>0</v>
      </c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  <c r="AA753" s="92"/>
      <c r="AB753" s="92"/>
      <c r="AC753" s="92"/>
      <c r="AD753" s="92"/>
      <c r="AE753" s="92"/>
      <c r="AF753" s="92"/>
      <c r="AG753" s="92"/>
    </row>
    <row r="754" hidden="1">
      <c r="A754" s="86"/>
      <c r="B754" s="18" t="s">
        <v>1634</v>
      </c>
      <c r="C754" s="78" t="s">
        <v>78</v>
      </c>
      <c r="D754" s="204"/>
      <c r="E754" s="205"/>
      <c r="F754" s="205"/>
      <c r="G754" s="206"/>
      <c r="H754" s="100"/>
      <c r="I754" s="205" t="s">
        <v>1635</v>
      </c>
      <c r="J754" s="205"/>
      <c r="K754" s="101"/>
      <c r="L754" s="101"/>
      <c r="M754" s="91"/>
      <c r="N754" s="96" t="b">
        <v>0</v>
      </c>
      <c r="O754" s="96" t="b">
        <v>0</v>
      </c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  <c r="AA754" s="92"/>
      <c r="AB754" s="92"/>
      <c r="AC754" s="92"/>
      <c r="AD754" s="92"/>
      <c r="AE754" s="92"/>
      <c r="AF754" s="92"/>
      <c r="AG754" s="92"/>
    </row>
    <row r="755" hidden="1">
      <c r="A755" s="86"/>
      <c r="B755" s="25"/>
      <c r="C755" s="80" t="s">
        <v>78</v>
      </c>
      <c r="D755" s="204"/>
      <c r="E755" s="205"/>
      <c r="F755" s="205"/>
      <c r="G755" s="206"/>
      <c r="H755" s="100"/>
      <c r="I755" s="205"/>
      <c r="J755" s="205"/>
      <c r="K755" s="101"/>
      <c r="L755" s="207"/>
      <c r="M755" s="91"/>
      <c r="N755" s="96" t="b">
        <v>0</v>
      </c>
      <c r="O755" s="96" t="b">
        <v>0</v>
      </c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  <c r="AA755" s="92"/>
      <c r="AB755" s="92"/>
      <c r="AC755" s="92"/>
      <c r="AD755" s="92"/>
      <c r="AE755" s="92"/>
      <c r="AF755" s="92"/>
      <c r="AG755" s="92"/>
    </row>
    <row r="756" hidden="1">
      <c r="A756" s="86"/>
      <c r="B756" s="25"/>
      <c r="C756" s="80" t="s">
        <v>78</v>
      </c>
      <c r="D756" s="204" t="s">
        <v>79</v>
      </c>
      <c r="E756" s="205" t="s">
        <v>1636</v>
      </c>
      <c r="F756" s="205" t="s">
        <v>1637</v>
      </c>
      <c r="G756" s="206">
        <v>0.6666666666666666</v>
      </c>
      <c r="H756" s="100" t="s">
        <v>1638</v>
      </c>
      <c r="I756" s="205" t="s">
        <v>1639</v>
      </c>
      <c r="J756" s="205" t="s">
        <v>1640</v>
      </c>
      <c r="K756" s="101"/>
      <c r="L756" s="100" t="s">
        <v>1641</v>
      </c>
      <c r="M756" s="91"/>
      <c r="N756" s="96" t="b">
        <v>0</v>
      </c>
      <c r="O756" s="96" t="b">
        <v>0</v>
      </c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  <c r="AA756" s="92"/>
      <c r="AB756" s="92"/>
      <c r="AC756" s="92"/>
      <c r="AD756" s="92"/>
      <c r="AE756" s="92"/>
      <c r="AF756" s="92"/>
      <c r="AG756" s="92"/>
    </row>
    <row r="757" hidden="1">
      <c r="A757" s="86"/>
      <c r="B757" s="25"/>
      <c r="C757" s="80" t="s">
        <v>78</v>
      </c>
      <c r="D757" s="204"/>
      <c r="E757" s="205"/>
      <c r="F757" s="205"/>
      <c r="G757" s="206"/>
      <c r="H757" s="100"/>
      <c r="I757" s="205"/>
      <c r="J757" s="205"/>
      <c r="K757" s="101"/>
      <c r="L757" s="101"/>
      <c r="M757" s="91"/>
      <c r="N757" s="96" t="b">
        <v>0</v>
      </c>
      <c r="O757" s="96" t="b">
        <v>0</v>
      </c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  <c r="AA757" s="92"/>
      <c r="AB757" s="92"/>
      <c r="AC757" s="92"/>
      <c r="AD757" s="92"/>
      <c r="AE757" s="92"/>
      <c r="AF757" s="92"/>
      <c r="AG757" s="92"/>
    </row>
    <row r="758" hidden="1">
      <c r="A758" s="86"/>
      <c r="B758" s="25"/>
      <c r="C758" s="80" t="s">
        <v>78</v>
      </c>
      <c r="D758" s="204"/>
      <c r="E758" s="100"/>
      <c r="F758" s="100"/>
      <c r="G758" s="208"/>
      <c r="H758" s="100"/>
      <c r="I758" s="100"/>
      <c r="J758" s="100"/>
      <c r="K758" s="101"/>
      <c r="L758" s="101"/>
      <c r="M758" s="91"/>
      <c r="N758" s="96" t="b">
        <v>0</v>
      </c>
      <c r="O758" s="96" t="b">
        <v>0</v>
      </c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  <c r="AA758" s="92"/>
      <c r="AB758" s="92"/>
      <c r="AC758" s="92"/>
      <c r="AD758" s="92"/>
      <c r="AE758" s="92"/>
      <c r="AF758" s="92"/>
      <c r="AG758" s="92"/>
    </row>
    <row r="759" hidden="1">
      <c r="A759" s="86"/>
      <c r="B759" s="39"/>
      <c r="C759" s="80" t="s">
        <v>78</v>
      </c>
      <c r="D759" s="204"/>
      <c r="E759" s="100"/>
      <c r="F759" s="100"/>
      <c r="G759" s="208"/>
      <c r="H759" s="100"/>
      <c r="I759" s="100"/>
      <c r="J759" s="100"/>
      <c r="K759" s="101"/>
      <c r="L759" s="101"/>
      <c r="M759" s="91"/>
      <c r="N759" s="96" t="b">
        <v>0</v>
      </c>
      <c r="O759" s="96" t="b">
        <v>0</v>
      </c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  <c r="AA759" s="92"/>
      <c r="AB759" s="92"/>
      <c r="AC759" s="92"/>
      <c r="AD759" s="92"/>
      <c r="AE759" s="92"/>
      <c r="AF759" s="92"/>
      <c r="AG759" s="92"/>
    </row>
    <row r="760" hidden="1">
      <c r="A760" s="86"/>
      <c r="B760" s="18" t="s">
        <v>1634</v>
      </c>
      <c r="C760" s="103"/>
      <c r="D760" s="204"/>
      <c r="E760" s="209"/>
      <c r="F760" s="209"/>
      <c r="G760" s="210"/>
      <c r="H760" s="209"/>
      <c r="I760" s="209"/>
      <c r="J760" s="209"/>
      <c r="K760" s="209"/>
      <c r="L760" s="101"/>
      <c r="M760" s="91"/>
      <c r="N760" s="96" t="b">
        <v>0</v>
      </c>
      <c r="O760" s="96" t="b">
        <v>0</v>
      </c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  <c r="AA760" s="92"/>
      <c r="AB760" s="92"/>
      <c r="AC760" s="92"/>
      <c r="AD760" s="92"/>
      <c r="AE760" s="92"/>
      <c r="AF760" s="92"/>
      <c r="AG760" s="92"/>
    </row>
    <row r="761" hidden="1">
      <c r="A761" s="86"/>
      <c r="B761" s="25"/>
      <c r="C761" s="80" t="s">
        <v>78</v>
      </c>
      <c r="D761" s="204" t="s">
        <v>79</v>
      </c>
      <c r="E761" s="205" t="s">
        <v>1642</v>
      </c>
      <c r="F761" s="205" t="s">
        <v>1643</v>
      </c>
      <c r="G761" s="206">
        <v>0.4166666666666667</v>
      </c>
      <c r="H761" s="100" t="s">
        <v>1638</v>
      </c>
      <c r="I761" s="205" t="s">
        <v>1644</v>
      </c>
      <c r="J761" s="205" t="s">
        <v>1645</v>
      </c>
      <c r="K761" s="101"/>
      <c r="L761" s="100" t="s">
        <v>1646</v>
      </c>
      <c r="M761" s="91"/>
      <c r="N761" s="96" t="b">
        <v>0</v>
      </c>
      <c r="O761" s="96" t="b">
        <v>0</v>
      </c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  <c r="AA761" s="92"/>
      <c r="AB761" s="92"/>
      <c r="AC761" s="92"/>
      <c r="AD761" s="92"/>
      <c r="AE761" s="92"/>
      <c r="AF761" s="92"/>
      <c r="AG761" s="92"/>
    </row>
    <row r="762" hidden="1">
      <c r="A762" s="86"/>
      <c r="B762" s="25"/>
      <c r="C762" s="80" t="s">
        <v>78</v>
      </c>
      <c r="D762" s="204"/>
      <c r="E762" s="205"/>
      <c r="F762" s="205"/>
      <c r="G762" s="206"/>
      <c r="H762" s="100"/>
      <c r="I762" s="100"/>
      <c r="J762" s="205"/>
      <c r="K762" s="101"/>
      <c r="L762" s="101"/>
      <c r="M762" s="91"/>
      <c r="N762" s="96" t="b">
        <v>0</v>
      </c>
      <c r="O762" s="96" t="b">
        <v>0</v>
      </c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  <c r="AA762" s="92"/>
      <c r="AB762" s="92"/>
      <c r="AC762" s="92"/>
      <c r="AD762" s="92"/>
      <c r="AE762" s="92"/>
      <c r="AF762" s="92"/>
      <c r="AG762" s="92"/>
    </row>
    <row r="763" hidden="1">
      <c r="A763" s="86"/>
      <c r="B763" s="25"/>
      <c r="C763" s="80" t="s">
        <v>78</v>
      </c>
      <c r="D763" s="204" t="s">
        <v>79</v>
      </c>
      <c r="E763" s="205" t="s">
        <v>1647</v>
      </c>
      <c r="F763" s="205" t="s">
        <v>1648</v>
      </c>
      <c r="G763" s="206">
        <v>0.5833333333333334</v>
      </c>
      <c r="H763" s="100" t="s">
        <v>1638</v>
      </c>
      <c r="I763" s="205" t="s">
        <v>1649</v>
      </c>
      <c r="J763" s="205" t="s">
        <v>1650</v>
      </c>
      <c r="K763" s="101"/>
      <c r="L763" s="100" t="s">
        <v>1651</v>
      </c>
      <c r="M763" s="91"/>
      <c r="N763" s="96" t="b">
        <v>0</v>
      </c>
      <c r="O763" s="96" t="b">
        <v>0</v>
      </c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  <c r="AA763" s="92"/>
      <c r="AB763" s="92"/>
      <c r="AC763" s="92"/>
      <c r="AD763" s="92"/>
      <c r="AE763" s="92"/>
      <c r="AF763" s="92"/>
      <c r="AG763" s="92"/>
    </row>
    <row r="764" hidden="1">
      <c r="A764" s="86"/>
      <c r="B764" s="25"/>
      <c r="C764" s="80" t="s">
        <v>78</v>
      </c>
      <c r="D764" s="204" t="s">
        <v>79</v>
      </c>
      <c r="E764" s="205" t="s">
        <v>1652</v>
      </c>
      <c r="F764" s="205" t="s">
        <v>1653</v>
      </c>
      <c r="G764" s="206">
        <v>0.6666666666666666</v>
      </c>
      <c r="H764" s="100" t="s">
        <v>1638</v>
      </c>
      <c r="I764" s="205" t="s">
        <v>1654</v>
      </c>
      <c r="J764" s="205" t="s">
        <v>1655</v>
      </c>
      <c r="K764" s="101"/>
      <c r="L764" s="100" t="s">
        <v>1641</v>
      </c>
      <c r="M764" s="91"/>
      <c r="N764" s="96" t="b">
        <v>0</v>
      </c>
      <c r="O764" s="96" t="b">
        <v>0</v>
      </c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  <c r="AA764" s="92"/>
      <c r="AB764" s="92"/>
      <c r="AC764" s="92"/>
      <c r="AD764" s="92"/>
      <c r="AE764" s="92"/>
      <c r="AF764" s="92"/>
      <c r="AG764" s="92"/>
    </row>
    <row r="765" hidden="1">
      <c r="A765" s="86"/>
      <c r="B765" s="39"/>
      <c r="C765" s="78" t="s">
        <v>78</v>
      </c>
      <c r="D765" s="97" t="s">
        <v>79</v>
      </c>
      <c r="E765" s="98"/>
      <c r="F765" s="98"/>
      <c r="G765" s="41"/>
      <c r="H765" s="98" t="s">
        <v>1426</v>
      </c>
      <c r="I765" s="98"/>
      <c r="J765" s="98"/>
      <c r="K765" s="91"/>
      <c r="L765" s="91"/>
      <c r="M765" s="91"/>
      <c r="N765" s="96" t="b">
        <v>0</v>
      </c>
      <c r="O765" s="96" t="b">
        <v>0</v>
      </c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  <c r="AA765" s="92"/>
      <c r="AB765" s="92"/>
      <c r="AC765" s="92"/>
      <c r="AD765" s="92"/>
      <c r="AE765" s="92"/>
      <c r="AF765" s="92"/>
      <c r="AG765" s="92"/>
    </row>
    <row r="766" hidden="1">
      <c r="A766" s="86"/>
      <c r="B766" s="166"/>
      <c r="C766" s="88">
        <v>44410.0</v>
      </c>
      <c r="D766" s="97"/>
      <c r="E766" s="98"/>
      <c r="F766" s="98"/>
      <c r="G766" s="41"/>
      <c r="H766" s="98"/>
      <c r="I766" s="98"/>
      <c r="J766" s="98"/>
      <c r="K766" s="91"/>
      <c r="L766" s="91"/>
      <c r="M766" s="91"/>
      <c r="N766" s="96" t="b">
        <v>0</v>
      </c>
      <c r="O766" s="96" t="b">
        <v>0</v>
      </c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  <c r="AA766" s="92"/>
      <c r="AB766" s="92"/>
      <c r="AC766" s="92"/>
      <c r="AD766" s="92"/>
      <c r="AE766" s="92"/>
      <c r="AF766" s="92"/>
      <c r="AG766" s="92"/>
    </row>
    <row r="767" hidden="1">
      <c r="A767" s="86"/>
      <c r="B767" s="18" t="s">
        <v>1656</v>
      </c>
      <c r="C767" s="78" t="s">
        <v>78</v>
      </c>
      <c r="D767" s="107" t="s">
        <v>79</v>
      </c>
      <c r="E767" s="109" t="s">
        <v>1162</v>
      </c>
      <c r="F767" s="109" t="s">
        <v>1163</v>
      </c>
      <c r="G767" s="112" t="s">
        <v>1657</v>
      </c>
      <c r="H767" s="109" t="s">
        <v>1658</v>
      </c>
      <c r="I767" s="109" t="s">
        <v>1659</v>
      </c>
      <c r="J767" s="109" t="s">
        <v>1165</v>
      </c>
      <c r="K767" s="111"/>
      <c r="L767" s="111"/>
      <c r="M767" s="91"/>
      <c r="N767" s="96" t="b">
        <v>0</v>
      </c>
      <c r="O767" s="96" t="b">
        <v>0</v>
      </c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  <c r="AA767" s="92"/>
      <c r="AB767" s="92"/>
      <c r="AC767" s="92"/>
      <c r="AD767" s="92"/>
      <c r="AE767" s="92"/>
      <c r="AF767" s="92"/>
      <c r="AG767" s="92"/>
    </row>
    <row r="768" hidden="1">
      <c r="A768" s="86"/>
      <c r="B768" s="25"/>
      <c r="C768" s="80" t="s">
        <v>78</v>
      </c>
      <c r="D768" s="97" t="s">
        <v>79</v>
      </c>
      <c r="E768" s="98" t="s">
        <v>947</v>
      </c>
      <c r="F768" s="98" t="s">
        <v>948</v>
      </c>
      <c r="G768" s="41" t="s">
        <v>417</v>
      </c>
      <c r="H768" s="98" t="s">
        <v>1660</v>
      </c>
      <c r="I768" s="98" t="s">
        <v>1661</v>
      </c>
      <c r="J768" s="98" t="s">
        <v>951</v>
      </c>
      <c r="K768" s="91"/>
      <c r="L768" s="91"/>
      <c r="M768" s="91"/>
      <c r="N768" s="96" t="b">
        <v>0</v>
      </c>
      <c r="O768" s="96" t="b">
        <v>0</v>
      </c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  <c r="AA768" s="92"/>
      <c r="AB768" s="92"/>
      <c r="AC768" s="92"/>
      <c r="AD768" s="92"/>
      <c r="AE768" s="92"/>
      <c r="AF768" s="92"/>
      <c r="AG768" s="92"/>
    </row>
    <row r="769" hidden="1">
      <c r="A769" s="86"/>
      <c r="B769" s="25"/>
      <c r="C769" s="80" t="s">
        <v>78</v>
      </c>
      <c r="D769" s="107" t="s">
        <v>79</v>
      </c>
      <c r="E769" s="109" t="s">
        <v>513</v>
      </c>
      <c r="F769" s="109" t="s">
        <v>514</v>
      </c>
      <c r="G769" s="112" t="s">
        <v>180</v>
      </c>
      <c r="H769" s="109" t="s">
        <v>1662</v>
      </c>
      <c r="I769" s="109" t="s">
        <v>1663</v>
      </c>
      <c r="J769" s="109" t="s">
        <v>516</v>
      </c>
      <c r="K769" s="91"/>
      <c r="L769" s="91"/>
      <c r="M769" s="91"/>
      <c r="N769" s="96" t="b">
        <v>0</v>
      </c>
      <c r="O769" s="96" t="b">
        <v>0</v>
      </c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  <c r="AA769" s="92"/>
      <c r="AB769" s="92"/>
      <c r="AC769" s="92"/>
      <c r="AD769" s="92"/>
      <c r="AE769" s="92"/>
      <c r="AF769" s="92"/>
      <c r="AG769" s="92"/>
    </row>
    <row r="770" hidden="1">
      <c r="A770" s="86"/>
      <c r="B770" s="25"/>
      <c r="C770" s="80" t="s">
        <v>78</v>
      </c>
      <c r="D770" s="97" t="s">
        <v>79</v>
      </c>
      <c r="E770" s="98" t="s">
        <v>1664</v>
      </c>
      <c r="F770" s="98" t="s">
        <v>1665</v>
      </c>
      <c r="G770" s="41" t="s">
        <v>248</v>
      </c>
      <c r="H770" s="98" t="s">
        <v>478</v>
      </c>
      <c r="I770" s="98" t="s">
        <v>1666</v>
      </c>
      <c r="J770" s="98" t="s">
        <v>1667</v>
      </c>
      <c r="K770" s="91"/>
      <c r="L770" s="91"/>
      <c r="M770" s="91"/>
      <c r="N770" s="96" t="b">
        <v>0</v>
      </c>
      <c r="O770" s="96" t="b">
        <v>0</v>
      </c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  <c r="AA770" s="92"/>
      <c r="AB770" s="92"/>
      <c r="AC770" s="92"/>
      <c r="AD770" s="92"/>
      <c r="AE770" s="92"/>
      <c r="AF770" s="92"/>
      <c r="AG770" s="92"/>
    </row>
    <row r="771" hidden="1">
      <c r="A771" s="86"/>
      <c r="B771" s="39"/>
      <c r="C771" s="80" t="s">
        <v>78</v>
      </c>
      <c r="D771" s="97"/>
      <c r="E771" s="98"/>
      <c r="F771" s="98"/>
      <c r="G771" s="41"/>
      <c r="H771" s="98"/>
      <c r="I771" s="98"/>
      <c r="J771" s="98"/>
      <c r="K771" s="91"/>
      <c r="L771" s="91"/>
      <c r="M771" s="91"/>
      <c r="N771" s="96" t="b">
        <v>0</v>
      </c>
      <c r="O771" s="96" t="b">
        <v>0</v>
      </c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  <c r="AA771" s="92"/>
      <c r="AB771" s="92"/>
      <c r="AC771" s="92"/>
      <c r="AD771" s="92"/>
      <c r="AE771" s="92"/>
      <c r="AF771" s="92"/>
      <c r="AG771" s="92"/>
    </row>
    <row r="772" hidden="1">
      <c r="A772" s="86"/>
      <c r="B772" s="18" t="s">
        <v>1668</v>
      </c>
      <c r="C772" s="103"/>
      <c r="D772" s="97"/>
      <c r="E772" s="98"/>
      <c r="F772" s="149" t="s">
        <v>1669</v>
      </c>
      <c r="G772" s="41"/>
      <c r="H772" s="98"/>
      <c r="I772" s="98"/>
      <c r="J772" s="98"/>
      <c r="K772" s="91"/>
      <c r="L772" s="91"/>
      <c r="M772" s="91"/>
      <c r="N772" s="96" t="b">
        <v>0</v>
      </c>
      <c r="O772" s="96" t="b">
        <v>0</v>
      </c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  <c r="AA772" s="92"/>
      <c r="AB772" s="92"/>
      <c r="AC772" s="92"/>
      <c r="AD772" s="92"/>
      <c r="AE772" s="92"/>
      <c r="AF772" s="92"/>
      <c r="AG772" s="92"/>
    </row>
    <row r="773" hidden="1">
      <c r="A773" s="86"/>
      <c r="B773" s="25"/>
      <c r="C773" s="80" t="s">
        <v>78</v>
      </c>
      <c r="D773" s="107" t="s">
        <v>79</v>
      </c>
      <c r="E773" s="184" t="s">
        <v>73</v>
      </c>
      <c r="F773" s="109" t="s">
        <v>1670</v>
      </c>
      <c r="G773" s="108">
        <v>0.4791666666666667</v>
      </c>
      <c r="H773" s="109" t="s">
        <v>1671</v>
      </c>
      <c r="I773" s="184" t="s">
        <v>1122</v>
      </c>
      <c r="J773" s="211" t="s">
        <v>1123</v>
      </c>
      <c r="K773" s="98" t="s">
        <v>1672</v>
      </c>
      <c r="L773" s="91"/>
      <c r="M773" s="91"/>
      <c r="N773" s="96" t="b">
        <v>0</v>
      </c>
      <c r="O773" s="96" t="b">
        <v>0</v>
      </c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  <c r="AA773" s="92"/>
      <c r="AB773" s="92"/>
      <c r="AC773" s="92"/>
      <c r="AD773" s="92"/>
      <c r="AE773" s="92"/>
      <c r="AF773" s="92"/>
      <c r="AG773" s="92"/>
    </row>
    <row r="774" hidden="1">
      <c r="A774" s="86"/>
      <c r="B774" s="25"/>
      <c r="C774" s="80" t="s">
        <v>78</v>
      </c>
      <c r="D774" s="97" t="s">
        <v>79</v>
      </c>
      <c r="E774" s="183" t="s">
        <v>1107</v>
      </c>
      <c r="F774" s="183" t="s">
        <v>1108</v>
      </c>
      <c r="G774" s="99">
        <v>0.5833333333333334</v>
      </c>
      <c r="H774" s="98" t="s">
        <v>258</v>
      </c>
      <c r="I774" s="98" t="s">
        <v>1673</v>
      </c>
      <c r="J774" s="183" t="s">
        <v>1110</v>
      </c>
      <c r="K774" s="91"/>
      <c r="L774" s="91"/>
      <c r="M774" s="98"/>
      <c r="N774" s="96" t="b">
        <v>0</v>
      </c>
      <c r="O774" s="96" t="b">
        <v>0</v>
      </c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  <c r="AA774" s="92"/>
      <c r="AB774" s="92"/>
      <c r="AC774" s="92"/>
      <c r="AD774" s="92"/>
      <c r="AE774" s="92"/>
      <c r="AF774" s="92"/>
      <c r="AG774" s="92"/>
    </row>
    <row r="775" hidden="1">
      <c r="A775" s="86"/>
      <c r="B775" s="25"/>
      <c r="C775" s="80" t="s">
        <v>78</v>
      </c>
      <c r="D775" s="107" t="s">
        <v>79</v>
      </c>
      <c r="E775" s="184" t="s">
        <v>1674</v>
      </c>
      <c r="F775" s="184" t="s">
        <v>1675</v>
      </c>
      <c r="G775" s="108">
        <v>0.6666666666666666</v>
      </c>
      <c r="H775" s="109" t="s">
        <v>205</v>
      </c>
      <c r="I775" s="109" t="s">
        <v>1676</v>
      </c>
      <c r="J775" s="183" t="s">
        <v>1677</v>
      </c>
      <c r="K775" s="91"/>
      <c r="L775" s="91"/>
      <c r="M775" s="91"/>
      <c r="N775" s="96" t="b">
        <v>0</v>
      </c>
      <c r="O775" s="96" t="b">
        <v>0</v>
      </c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  <c r="AA775" s="92"/>
      <c r="AB775" s="92"/>
      <c r="AC775" s="92"/>
      <c r="AD775" s="92"/>
      <c r="AE775" s="92"/>
      <c r="AF775" s="92"/>
      <c r="AG775" s="92"/>
    </row>
    <row r="776" hidden="1">
      <c r="A776" s="86"/>
      <c r="B776" s="25"/>
      <c r="C776" s="80" t="s">
        <v>78</v>
      </c>
      <c r="D776" s="97" t="s">
        <v>79</v>
      </c>
      <c r="E776" s="183" t="s">
        <v>807</v>
      </c>
      <c r="F776" s="183" t="s">
        <v>808</v>
      </c>
      <c r="G776" s="99">
        <v>0.75</v>
      </c>
      <c r="H776" s="98" t="s">
        <v>424</v>
      </c>
      <c r="I776" s="98" t="s">
        <v>1678</v>
      </c>
      <c r="J776" s="183" t="s">
        <v>810</v>
      </c>
      <c r="K776" s="98" t="s">
        <v>1679</v>
      </c>
      <c r="L776" s="91"/>
      <c r="M776" s="91"/>
      <c r="N776" s="96" t="b">
        <v>0</v>
      </c>
      <c r="O776" s="96" t="b">
        <v>0</v>
      </c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  <c r="AA776" s="92"/>
      <c r="AB776" s="92"/>
      <c r="AC776" s="92"/>
      <c r="AD776" s="92"/>
      <c r="AE776" s="92"/>
      <c r="AF776" s="92"/>
      <c r="AG776" s="92"/>
    </row>
    <row r="777" hidden="1">
      <c r="A777" s="86"/>
      <c r="B777" s="39"/>
      <c r="C777" s="78" t="s">
        <v>78</v>
      </c>
      <c r="D777" s="97"/>
      <c r="E777" s="98"/>
      <c r="F777" s="98"/>
      <c r="G777" s="41"/>
      <c r="H777" s="98"/>
      <c r="I777" s="98"/>
      <c r="J777" s="98"/>
      <c r="K777" s="91"/>
      <c r="L777" s="91"/>
      <c r="M777" s="91"/>
      <c r="N777" s="96" t="b">
        <v>0</v>
      </c>
      <c r="O777" s="96" t="b">
        <v>0</v>
      </c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  <c r="AA777" s="92"/>
      <c r="AB777" s="92"/>
      <c r="AC777" s="92"/>
      <c r="AD777" s="92"/>
      <c r="AE777" s="92"/>
      <c r="AF777" s="92"/>
      <c r="AG777" s="92"/>
    </row>
    <row r="778" hidden="1">
      <c r="A778" s="86"/>
      <c r="B778" s="166"/>
      <c r="C778" s="88">
        <v>44411.0</v>
      </c>
      <c r="D778" s="97"/>
      <c r="E778" s="98"/>
      <c r="F778" s="98"/>
      <c r="G778" s="99"/>
      <c r="H778" s="98"/>
      <c r="I778" s="98"/>
      <c r="J778" s="98"/>
      <c r="K778" s="91"/>
      <c r="L778" s="91"/>
      <c r="M778" s="91"/>
      <c r="N778" s="96" t="b">
        <v>0</v>
      </c>
      <c r="O778" s="96" t="b">
        <v>0</v>
      </c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  <c r="AA778" s="92"/>
      <c r="AB778" s="92"/>
      <c r="AC778" s="92"/>
      <c r="AD778" s="92"/>
      <c r="AE778" s="92"/>
      <c r="AF778" s="92"/>
      <c r="AG778" s="92"/>
    </row>
    <row r="779" hidden="1">
      <c r="A779" s="86"/>
      <c r="B779" s="212" t="s">
        <v>1656</v>
      </c>
      <c r="C779" s="78" t="s">
        <v>78</v>
      </c>
      <c r="D779" s="183"/>
      <c r="E779" s="183"/>
      <c r="F779" s="183"/>
      <c r="G779" s="99"/>
      <c r="H779" s="213"/>
      <c r="I779" s="183"/>
      <c r="J779" s="214"/>
      <c r="K779" s="173"/>
      <c r="L779" s="91"/>
      <c r="M779" s="91"/>
      <c r="N779" s="96" t="b">
        <v>0</v>
      </c>
      <c r="O779" s="96" t="b">
        <v>0</v>
      </c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  <c r="AA779" s="92"/>
      <c r="AB779" s="92"/>
      <c r="AC779" s="92"/>
      <c r="AD779" s="92"/>
      <c r="AE779" s="92"/>
      <c r="AF779" s="92"/>
      <c r="AG779" s="92"/>
    </row>
    <row r="780" hidden="1">
      <c r="A780" s="86"/>
      <c r="B780" s="25"/>
      <c r="C780" s="80" t="s">
        <v>78</v>
      </c>
      <c r="D780" s="107" t="s">
        <v>79</v>
      </c>
      <c r="E780" s="184" t="s">
        <v>1680</v>
      </c>
      <c r="F780" s="184" t="s">
        <v>1681</v>
      </c>
      <c r="G780" s="108">
        <v>0.5</v>
      </c>
      <c r="H780" s="215" t="s">
        <v>1682</v>
      </c>
      <c r="I780" s="184" t="s">
        <v>1683</v>
      </c>
      <c r="J780" s="216" t="s">
        <v>1684</v>
      </c>
      <c r="K780" s="173"/>
      <c r="L780" s="91"/>
      <c r="M780" s="91"/>
      <c r="N780" s="96" t="b">
        <v>0</v>
      </c>
      <c r="O780" s="96" t="b">
        <v>0</v>
      </c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  <c r="AA780" s="92"/>
      <c r="AB780" s="92"/>
      <c r="AC780" s="92"/>
      <c r="AD780" s="92"/>
      <c r="AE780" s="92"/>
      <c r="AF780" s="92"/>
      <c r="AG780" s="92"/>
    </row>
    <row r="781" hidden="1">
      <c r="A781" s="86"/>
      <c r="B781" s="25"/>
      <c r="C781" s="80" t="s">
        <v>78</v>
      </c>
      <c r="D781" s="107" t="s">
        <v>79</v>
      </c>
      <c r="E781" s="184" t="s">
        <v>1685</v>
      </c>
      <c r="F781" s="184" t="s">
        <v>1686</v>
      </c>
      <c r="G781" s="108">
        <v>0.5833333333333334</v>
      </c>
      <c r="H781" s="109" t="s">
        <v>1687</v>
      </c>
      <c r="I781" s="184" t="s">
        <v>1688</v>
      </c>
      <c r="J781" s="184" t="s">
        <v>1689</v>
      </c>
      <c r="K781" s="91"/>
      <c r="L781" s="91"/>
      <c r="M781" s="91"/>
      <c r="N781" s="96" t="b">
        <v>0</v>
      </c>
      <c r="O781" s="96" t="b">
        <v>0</v>
      </c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  <c r="AA781" s="92"/>
      <c r="AB781" s="92"/>
      <c r="AC781" s="92"/>
      <c r="AD781" s="92"/>
      <c r="AE781" s="92"/>
      <c r="AF781" s="92"/>
      <c r="AG781" s="92"/>
    </row>
    <row r="782" hidden="1">
      <c r="A782" s="86"/>
      <c r="B782" s="25"/>
      <c r="C782" s="80" t="s">
        <v>78</v>
      </c>
      <c r="D782" s="107" t="s">
        <v>79</v>
      </c>
      <c r="E782" s="184" t="s">
        <v>1690</v>
      </c>
      <c r="F782" s="184" t="s">
        <v>1691</v>
      </c>
      <c r="G782" s="108">
        <v>0.6666666666666666</v>
      </c>
      <c r="H782" s="109" t="s">
        <v>1692</v>
      </c>
      <c r="I782" s="184" t="s">
        <v>1693</v>
      </c>
      <c r="J782" s="184" t="s">
        <v>1694</v>
      </c>
      <c r="K782" s="91"/>
      <c r="L782" s="91"/>
      <c r="M782" s="91"/>
      <c r="N782" s="96" t="b">
        <v>0</v>
      </c>
      <c r="O782" s="96" t="b">
        <v>0</v>
      </c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  <c r="AA782" s="92"/>
      <c r="AB782" s="92"/>
      <c r="AC782" s="92"/>
      <c r="AD782" s="92"/>
      <c r="AE782" s="92"/>
      <c r="AF782" s="92"/>
      <c r="AG782" s="92"/>
    </row>
    <row r="783" hidden="1">
      <c r="A783" s="86"/>
      <c r="B783" s="39"/>
      <c r="C783" s="80" t="s">
        <v>78</v>
      </c>
      <c r="D783" s="107" t="s">
        <v>79</v>
      </c>
      <c r="E783" s="184" t="s">
        <v>1695</v>
      </c>
      <c r="F783" s="184" t="s">
        <v>1696</v>
      </c>
      <c r="G783" s="108">
        <v>0.75</v>
      </c>
      <c r="H783" s="109" t="s">
        <v>1638</v>
      </c>
      <c r="I783" s="184" t="s">
        <v>1697</v>
      </c>
      <c r="J783" s="184" t="s">
        <v>1698</v>
      </c>
      <c r="K783" s="91"/>
      <c r="L783" s="91"/>
      <c r="M783" s="91"/>
      <c r="N783" s="96" t="b">
        <v>0</v>
      </c>
      <c r="O783" s="96" t="b">
        <v>0</v>
      </c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  <c r="AA783" s="92"/>
      <c r="AB783" s="92"/>
      <c r="AC783" s="92"/>
      <c r="AD783" s="92"/>
      <c r="AE783" s="92"/>
      <c r="AF783" s="92"/>
      <c r="AG783" s="92"/>
    </row>
    <row r="784" hidden="1">
      <c r="A784" s="86"/>
      <c r="B784" s="18" t="s">
        <v>1668</v>
      </c>
      <c r="C784" s="103"/>
      <c r="D784" s="97"/>
      <c r="E784" s="183"/>
      <c r="F784" s="183"/>
      <c r="G784" s="99"/>
      <c r="H784" s="165"/>
      <c r="I784" s="183"/>
      <c r="J784" s="183"/>
      <c r="K784" s="91"/>
      <c r="L784" s="91"/>
      <c r="M784" s="91"/>
      <c r="N784" s="96" t="b">
        <v>0</v>
      </c>
      <c r="O784" s="96" t="b">
        <v>0</v>
      </c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  <c r="AA784" s="92"/>
      <c r="AB784" s="92"/>
      <c r="AC784" s="92"/>
      <c r="AD784" s="92"/>
      <c r="AE784" s="92"/>
      <c r="AF784" s="92"/>
      <c r="AG784" s="92"/>
    </row>
    <row r="785" hidden="1">
      <c r="A785" s="86"/>
      <c r="B785" s="25"/>
      <c r="C785" s="80" t="s">
        <v>78</v>
      </c>
      <c r="D785" s="97" t="s">
        <v>79</v>
      </c>
      <c r="E785" s="183" t="s">
        <v>1699</v>
      </c>
      <c r="F785" s="183" t="s">
        <v>1700</v>
      </c>
      <c r="G785" s="99">
        <v>0.5</v>
      </c>
      <c r="H785" s="98" t="s">
        <v>1638</v>
      </c>
      <c r="I785" s="98" t="s">
        <v>1701</v>
      </c>
      <c r="J785" s="183" t="s">
        <v>1702</v>
      </c>
      <c r="K785" s="91"/>
      <c r="L785" s="91"/>
      <c r="M785" s="91"/>
      <c r="N785" s="96" t="b">
        <v>0</v>
      </c>
      <c r="O785" s="96" t="b">
        <v>0</v>
      </c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  <c r="AA785" s="92"/>
      <c r="AB785" s="92"/>
      <c r="AC785" s="92"/>
      <c r="AD785" s="92"/>
      <c r="AE785" s="92"/>
      <c r="AF785" s="92"/>
      <c r="AG785" s="92"/>
    </row>
    <row r="786" hidden="1">
      <c r="A786" s="86"/>
      <c r="B786" s="25"/>
      <c r="C786" s="80" t="s">
        <v>78</v>
      </c>
      <c r="D786" s="107" t="s">
        <v>79</v>
      </c>
      <c r="E786" s="184" t="s">
        <v>1703</v>
      </c>
      <c r="F786" s="184" t="s">
        <v>1704</v>
      </c>
      <c r="G786" s="108">
        <v>0.5833333333333334</v>
      </c>
      <c r="H786" s="184" t="s">
        <v>1705</v>
      </c>
      <c r="I786" s="184" t="s">
        <v>1706</v>
      </c>
      <c r="J786" s="184" t="s">
        <v>1707</v>
      </c>
      <c r="K786" s="91"/>
      <c r="L786" s="91"/>
      <c r="M786" s="91"/>
      <c r="N786" s="96" t="b">
        <v>0</v>
      </c>
      <c r="O786" s="96" t="b">
        <v>0</v>
      </c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  <c r="AA786" s="92"/>
      <c r="AB786" s="92"/>
      <c r="AC786" s="92"/>
      <c r="AD786" s="92"/>
      <c r="AE786" s="92"/>
      <c r="AF786" s="92"/>
      <c r="AG786" s="92"/>
    </row>
    <row r="787" hidden="1">
      <c r="A787" s="86"/>
      <c r="B787" s="25"/>
      <c r="C787" s="80" t="s">
        <v>78</v>
      </c>
      <c r="D787" s="107" t="s">
        <v>79</v>
      </c>
      <c r="E787" s="109" t="s">
        <v>1642</v>
      </c>
      <c r="F787" s="109" t="s">
        <v>1643</v>
      </c>
      <c r="G787" s="108">
        <v>0.6666666666666666</v>
      </c>
      <c r="H787" s="109" t="s">
        <v>1708</v>
      </c>
      <c r="I787" s="109" t="s">
        <v>1709</v>
      </c>
      <c r="J787" s="109" t="s">
        <v>1645</v>
      </c>
      <c r="K787" s="91"/>
      <c r="L787" s="91"/>
      <c r="M787" s="91"/>
      <c r="N787" s="96" t="b">
        <v>0</v>
      </c>
      <c r="O787" s="96" t="b">
        <v>0</v>
      </c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  <c r="AA787" s="92"/>
      <c r="AB787" s="92"/>
      <c r="AC787" s="92"/>
      <c r="AD787" s="92"/>
      <c r="AE787" s="92"/>
      <c r="AF787" s="92"/>
      <c r="AG787" s="92"/>
    </row>
    <row r="788" hidden="1">
      <c r="A788" s="86"/>
      <c r="B788" s="25"/>
      <c r="C788" s="80" t="s">
        <v>78</v>
      </c>
      <c r="D788" s="107" t="s">
        <v>79</v>
      </c>
      <c r="E788" s="109" t="s">
        <v>1710</v>
      </c>
      <c r="F788" s="109" t="s">
        <v>1711</v>
      </c>
      <c r="G788" s="108">
        <v>0.75</v>
      </c>
      <c r="H788" s="184" t="s">
        <v>1712</v>
      </c>
      <c r="I788" s="184" t="s">
        <v>1713</v>
      </c>
      <c r="J788" s="109" t="s">
        <v>1714</v>
      </c>
      <c r="K788" s="91"/>
      <c r="L788" s="91"/>
      <c r="M788" s="91"/>
      <c r="N788" s="96" t="b">
        <v>0</v>
      </c>
      <c r="O788" s="96" t="b">
        <v>0</v>
      </c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  <c r="AA788" s="92"/>
      <c r="AB788" s="92"/>
      <c r="AC788" s="92"/>
      <c r="AD788" s="92"/>
      <c r="AE788" s="92"/>
      <c r="AF788" s="92"/>
      <c r="AG788" s="92"/>
    </row>
    <row r="789" hidden="1">
      <c r="A789" s="86"/>
      <c r="B789" s="39"/>
      <c r="C789" s="78" t="s">
        <v>78</v>
      </c>
      <c r="D789" s="97"/>
      <c r="E789" s="183"/>
      <c r="F789" s="183"/>
      <c r="G789" s="41"/>
      <c r="H789" s="98"/>
      <c r="I789" s="98"/>
      <c r="J789" s="98"/>
      <c r="K789" s="91"/>
      <c r="L789" s="91"/>
      <c r="M789" s="91"/>
      <c r="N789" s="96" t="b">
        <v>0</v>
      </c>
      <c r="O789" s="96" t="b">
        <v>0</v>
      </c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  <c r="AA789" s="92"/>
      <c r="AB789" s="92"/>
      <c r="AC789" s="92"/>
      <c r="AD789" s="92"/>
      <c r="AE789" s="92"/>
      <c r="AF789" s="92"/>
      <c r="AG789" s="92"/>
    </row>
    <row r="790" hidden="1">
      <c r="A790" s="86"/>
      <c r="B790" s="166"/>
      <c r="C790" s="88">
        <v>44412.0</v>
      </c>
      <c r="D790" s="181"/>
      <c r="E790" s="43"/>
      <c r="F790" s="43"/>
      <c r="G790" s="81"/>
      <c r="H790" s="43"/>
      <c r="I790" s="43"/>
      <c r="J790" s="43"/>
      <c r="K790" s="43"/>
      <c r="L790" s="43"/>
      <c r="M790" s="43"/>
      <c r="N790" s="96" t="b">
        <v>0</v>
      </c>
      <c r="O790" s="96" t="b">
        <v>0</v>
      </c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  <c r="AA790" s="92"/>
      <c r="AB790" s="92"/>
      <c r="AC790" s="92"/>
      <c r="AD790" s="92"/>
      <c r="AE790" s="92"/>
      <c r="AF790" s="92"/>
      <c r="AG790" s="92"/>
    </row>
    <row r="791" hidden="1">
      <c r="A791" s="86"/>
      <c r="B791" s="18" t="s">
        <v>1656</v>
      </c>
      <c r="C791" s="78" t="s">
        <v>78</v>
      </c>
      <c r="D791" s="97" t="s">
        <v>79</v>
      </c>
      <c r="E791" s="183" t="s">
        <v>1715</v>
      </c>
      <c r="F791" s="183" t="s">
        <v>1716</v>
      </c>
      <c r="G791" s="99">
        <v>0.4375</v>
      </c>
      <c r="H791" s="98" t="s">
        <v>672</v>
      </c>
      <c r="I791" s="183" t="s">
        <v>1717</v>
      </c>
      <c r="J791" s="183" t="s">
        <v>1718</v>
      </c>
      <c r="K791" s="91"/>
      <c r="L791" s="98" t="s">
        <v>1719</v>
      </c>
      <c r="M791" s="91"/>
      <c r="N791" s="96" t="b">
        <v>0</v>
      </c>
      <c r="O791" s="96" t="b">
        <v>0</v>
      </c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  <c r="AA791" s="92"/>
      <c r="AB791" s="92"/>
      <c r="AC791" s="92"/>
      <c r="AD791" s="92"/>
      <c r="AE791" s="92"/>
      <c r="AF791" s="92"/>
      <c r="AG791" s="92"/>
    </row>
    <row r="792" hidden="1">
      <c r="A792" s="86"/>
      <c r="B792" s="25"/>
      <c r="C792" s="80" t="s">
        <v>78</v>
      </c>
      <c r="D792" s="97" t="s">
        <v>79</v>
      </c>
      <c r="E792" s="183" t="s">
        <v>1720</v>
      </c>
      <c r="F792" s="183" t="s">
        <v>1721</v>
      </c>
      <c r="G792" s="99">
        <v>0.5</v>
      </c>
      <c r="H792" s="98" t="s">
        <v>1722</v>
      </c>
      <c r="I792" s="183" t="s">
        <v>1723</v>
      </c>
      <c r="J792" s="183" t="s">
        <v>1724</v>
      </c>
      <c r="K792" s="91"/>
      <c r="L792" s="91"/>
      <c r="M792" s="91"/>
      <c r="N792" s="96" t="b">
        <v>0</v>
      </c>
      <c r="O792" s="96" t="b">
        <v>0</v>
      </c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  <c r="AA792" s="92"/>
      <c r="AB792" s="92"/>
      <c r="AC792" s="92"/>
      <c r="AD792" s="92"/>
      <c r="AE792" s="92"/>
      <c r="AF792" s="92"/>
      <c r="AG792" s="92"/>
    </row>
    <row r="793" hidden="1">
      <c r="A793" s="86"/>
      <c r="B793" s="25"/>
      <c r="C793" s="80" t="s">
        <v>78</v>
      </c>
      <c r="D793" s="107" t="s">
        <v>79</v>
      </c>
      <c r="E793" s="184" t="s">
        <v>1725</v>
      </c>
      <c r="F793" s="184" t="s">
        <v>1726</v>
      </c>
      <c r="G793" s="112" t="s">
        <v>449</v>
      </c>
      <c r="H793" s="184" t="s">
        <v>1727</v>
      </c>
      <c r="I793" s="184" t="s">
        <v>1728</v>
      </c>
      <c r="J793" s="184" t="s">
        <v>1729</v>
      </c>
      <c r="K793" s="91"/>
      <c r="L793" s="91"/>
      <c r="M793" s="91"/>
      <c r="N793" s="96" t="b">
        <v>0</v>
      </c>
      <c r="O793" s="96" t="b">
        <v>0</v>
      </c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  <c r="AA793" s="92"/>
      <c r="AB793" s="92"/>
      <c r="AC793" s="92"/>
      <c r="AD793" s="92"/>
      <c r="AE793" s="92"/>
      <c r="AF793" s="92"/>
      <c r="AG793" s="92"/>
    </row>
    <row r="794" hidden="1">
      <c r="A794" s="86"/>
      <c r="B794" s="25"/>
      <c r="C794" s="80" t="s">
        <v>78</v>
      </c>
      <c r="D794" s="97" t="s">
        <v>79</v>
      </c>
      <c r="E794" s="98" t="s">
        <v>1730</v>
      </c>
      <c r="F794" s="98"/>
      <c r="G794" s="99">
        <v>0.6666666666666666</v>
      </c>
      <c r="H794" s="98" t="s">
        <v>1731</v>
      </c>
      <c r="I794" s="98" t="s">
        <v>1732</v>
      </c>
      <c r="J794" s="98" t="s">
        <v>1733</v>
      </c>
      <c r="K794" s="91"/>
      <c r="L794" s="91"/>
      <c r="M794" s="91"/>
      <c r="N794" s="96" t="b">
        <v>0</v>
      </c>
      <c r="O794" s="96" t="b">
        <v>0</v>
      </c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  <c r="AA794" s="92"/>
      <c r="AB794" s="92"/>
      <c r="AC794" s="92"/>
      <c r="AD794" s="92"/>
      <c r="AE794" s="92"/>
      <c r="AF794" s="92"/>
      <c r="AG794" s="92"/>
    </row>
    <row r="795" hidden="1">
      <c r="A795" s="86"/>
      <c r="B795" s="39"/>
      <c r="C795" s="80" t="s">
        <v>78</v>
      </c>
      <c r="D795" s="97"/>
      <c r="E795" s="98"/>
      <c r="F795" s="98"/>
      <c r="G795" s="41"/>
      <c r="H795" s="98"/>
      <c r="I795" s="98"/>
      <c r="J795" s="98"/>
      <c r="K795" s="91"/>
      <c r="L795" s="91"/>
      <c r="M795" s="91"/>
      <c r="N795" s="96" t="b">
        <v>0</v>
      </c>
      <c r="O795" s="96" t="b">
        <v>0</v>
      </c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  <c r="AA795" s="92"/>
      <c r="AB795" s="92"/>
      <c r="AC795" s="92"/>
      <c r="AD795" s="92"/>
      <c r="AE795" s="92"/>
      <c r="AF795" s="92"/>
      <c r="AG795" s="92"/>
    </row>
    <row r="796" hidden="1">
      <c r="A796" s="86"/>
      <c r="B796" s="18" t="s">
        <v>1668</v>
      </c>
      <c r="C796" s="103"/>
      <c r="D796" s="97"/>
      <c r="E796" s="98"/>
      <c r="F796" s="98"/>
      <c r="G796" s="41"/>
      <c r="H796" s="98"/>
      <c r="I796" s="98"/>
      <c r="J796" s="98"/>
      <c r="K796" s="91"/>
      <c r="L796" s="91"/>
      <c r="M796" s="91"/>
      <c r="N796" s="96" t="b">
        <v>0</v>
      </c>
      <c r="O796" s="96" t="b">
        <v>0</v>
      </c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  <c r="AA796" s="92"/>
      <c r="AB796" s="92"/>
      <c r="AC796" s="92"/>
      <c r="AD796" s="92"/>
      <c r="AE796" s="92"/>
      <c r="AF796" s="92"/>
      <c r="AG796" s="92"/>
    </row>
    <row r="797" hidden="1">
      <c r="A797" s="86"/>
      <c r="B797" s="25"/>
      <c r="C797" s="80" t="s">
        <v>78</v>
      </c>
      <c r="D797" s="97"/>
      <c r="E797" s="54" t="s">
        <v>77</v>
      </c>
      <c r="F797" s="55"/>
      <c r="G797" s="99"/>
      <c r="H797" s="98"/>
      <c r="I797" s="98"/>
      <c r="J797" s="98"/>
      <c r="K797" s="91"/>
      <c r="L797" s="91"/>
      <c r="M797" s="91"/>
      <c r="N797" s="217"/>
      <c r="O797" s="96" t="b">
        <v>0</v>
      </c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  <c r="AA797" s="92"/>
      <c r="AB797" s="92"/>
      <c r="AC797" s="92"/>
      <c r="AD797" s="92"/>
      <c r="AE797" s="92"/>
      <c r="AF797" s="92"/>
      <c r="AG797" s="92"/>
    </row>
    <row r="798" hidden="1">
      <c r="A798" s="86"/>
      <c r="B798" s="25"/>
      <c r="C798" s="80" t="s">
        <v>78</v>
      </c>
      <c r="D798" s="97"/>
      <c r="E798" s="56"/>
      <c r="F798" s="57"/>
      <c r="G798" s="99"/>
      <c r="H798" s="98"/>
      <c r="I798" s="98"/>
      <c r="J798" s="98"/>
      <c r="K798" s="91"/>
      <c r="L798" s="91"/>
      <c r="M798" s="91"/>
      <c r="N798" s="96" t="b">
        <v>0</v>
      </c>
      <c r="O798" s="96" t="b">
        <v>0</v>
      </c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  <c r="AA798" s="92"/>
      <c r="AB798" s="92"/>
      <c r="AC798" s="92"/>
      <c r="AD798" s="92"/>
      <c r="AE798" s="92"/>
      <c r="AF798" s="92"/>
      <c r="AG798" s="92"/>
    </row>
    <row r="799" hidden="1">
      <c r="A799" s="86"/>
      <c r="B799" s="25"/>
      <c r="C799" s="80" t="s">
        <v>78</v>
      </c>
      <c r="D799" s="97"/>
      <c r="E799" s="56"/>
      <c r="F799" s="57"/>
      <c r="G799" s="99"/>
      <c r="H799" s="98"/>
      <c r="I799" s="98"/>
      <c r="J799" s="98"/>
      <c r="K799" s="91"/>
      <c r="L799" s="98"/>
      <c r="M799" s="91"/>
      <c r="N799" s="96" t="b">
        <v>0</v>
      </c>
      <c r="O799" s="96" t="b">
        <v>0</v>
      </c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  <c r="AA799" s="92"/>
      <c r="AB799" s="92"/>
      <c r="AC799" s="92"/>
      <c r="AD799" s="92"/>
      <c r="AE799" s="92"/>
      <c r="AF799" s="92"/>
      <c r="AG799" s="92"/>
    </row>
    <row r="800" hidden="1">
      <c r="A800" s="86"/>
      <c r="B800" s="25"/>
      <c r="C800" s="80" t="s">
        <v>78</v>
      </c>
      <c r="D800" s="97"/>
      <c r="E800" s="56"/>
      <c r="F800" s="57"/>
      <c r="G800" s="99"/>
      <c r="H800" s="98"/>
      <c r="I800" s="98"/>
      <c r="J800" s="98"/>
      <c r="K800" s="91"/>
      <c r="L800" s="91"/>
      <c r="M800" s="91"/>
      <c r="N800" s="96" t="b">
        <v>0</v>
      </c>
      <c r="O800" s="96" t="b">
        <v>0</v>
      </c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  <c r="AA800" s="92"/>
      <c r="AB800" s="92"/>
      <c r="AC800" s="92"/>
      <c r="AD800" s="92"/>
      <c r="AE800" s="92"/>
      <c r="AF800" s="92"/>
      <c r="AG800" s="92"/>
    </row>
    <row r="801" hidden="1">
      <c r="A801" s="86"/>
      <c r="B801" s="39"/>
      <c r="C801" s="78" t="s">
        <v>78</v>
      </c>
      <c r="D801" s="97"/>
      <c r="E801" s="59"/>
      <c r="F801" s="60"/>
      <c r="G801" s="41"/>
      <c r="H801" s="98"/>
      <c r="I801" s="98"/>
      <c r="J801" s="98"/>
      <c r="K801" s="91"/>
      <c r="L801" s="91"/>
      <c r="M801" s="91"/>
      <c r="N801" s="96" t="b">
        <v>0</v>
      </c>
      <c r="O801" s="96" t="b">
        <v>0</v>
      </c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  <c r="AA801" s="92"/>
      <c r="AB801" s="92"/>
      <c r="AC801" s="92"/>
      <c r="AD801" s="92"/>
      <c r="AE801" s="92"/>
      <c r="AF801" s="92"/>
      <c r="AG801" s="92"/>
    </row>
    <row r="802" hidden="1">
      <c r="A802" s="86"/>
      <c r="B802" s="166"/>
      <c r="C802" s="88">
        <v>44413.0</v>
      </c>
      <c r="D802" s="97"/>
      <c r="E802" s="98"/>
      <c r="F802" s="98"/>
      <c r="G802" s="41"/>
      <c r="H802" s="98"/>
      <c r="I802" s="98"/>
      <c r="J802" s="98"/>
      <c r="K802" s="91"/>
      <c r="L802" s="91"/>
      <c r="M802" s="91"/>
      <c r="N802" s="96" t="b">
        <v>0</v>
      </c>
      <c r="O802" s="96" t="b">
        <v>0</v>
      </c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  <c r="AA802" s="92"/>
      <c r="AB802" s="92"/>
      <c r="AC802" s="92"/>
      <c r="AD802" s="92"/>
      <c r="AE802" s="92"/>
      <c r="AF802" s="92"/>
      <c r="AG802" s="92"/>
    </row>
    <row r="803" hidden="1">
      <c r="A803" s="86"/>
      <c r="B803" s="18" t="s">
        <v>1656</v>
      </c>
      <c r="C803" s="78" t="s">
        <v>78</v>
      </c>
      <c r="D803" s="97"/>
      <c r="E803" s="54" t="s">
        <v>77</v>
      </c>
      <c r="F803" s="55"/>
      <c r="G803" s="41"/>
      <c r="H803" s="98"/>
      <c r="I803" s="98"/>
      <c r="J803" s="98"/>
      <c r="K803" s="91"/>
      <c r="L803" s="91"/>
      <c r="M803" s="91"/>
      <c r="N803" s="96" t="b">
        <v>0</v>
      </c>
      <c r="O803" s="96" t="b">
        <v>0</v>
      </c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  <c r="AA803" s="92"/>
      <c r="AB803" s="92"/>
      <c r="AC803" s="92"/>
      <c r="AD803" s="92"/>
      <c r="AE803" s="92"/>
      <c r="AF803" s="92"/>
      <c r="AG803" s="92"/>
    </row>
    <row r="804" hidden="1">
      <c r="A804" s="86"/>
      <c r="B804" s="25"/>
      <c r="C804" s="80" t="s">
        <v>78</v>
      </c>
      <c r="D804" s="97"/>
      <c r="E804" s="56"/>
      <c r="F804" s="57"/>
      <c r="G804" s="99"/>
      <c r="H804" s="98"/>
      <c r="I804" s="98"/>
      <c r="J804" s="98"/>
      <c r="K804" s="91"/>
      <c r="L804" s="91"/>
      <c r="M804" s="91"/>
      <c r="N804" s="96" t="b">
        <v>0</v>
      </c>
      <c r="O804" s="96" t="b">
        <v>0</v>
      </c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  <c r="AA804" s="92"/>
      <c r="AB804" s="92"/>
      <c r="AC804" s="92"/>
      <c r="AD804" s="92"/>
      <c r="AE804" s="92"/>
      <c r="AF804" s="92"/>
      <c r="AG804" s="92"/>
    </row>
    <row r="805" hidden="1">
      <c r="A805" s="86"/>
      <c r="B805" s="25"/>
      <c r="C805" s="80" t="s">
        <v>78</v>
      </c>
      <c r="D805" s="97"/>
      <c r="E805" s="56"/>
      <c r="F805" s="57"/>
      <c r="G805" s="99"/>
      <c r="H805" s="98"/>
      <c r="I805" s="98"/>
      <c r="J805" s="98"/>
      <c r="K805" s="91"/>
      <c r="L805" s="91"/>
      <c r="M805" s="91"/>
      <c r="N805" s="96" t="b">
        <v>0</v>
      </c>
      <c r="O805" s="96" t="b">
        <v>0</v>
      </c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  <c r="AA805" s="92"/>
      <c r="AB805" s="92"/>
      <c r="AC805" s="92"/>
      <c r="AD805" s="92"/>
      <c r="AE805" s="92"/>
      <c r="AF805" s="92"/>
      <c r="AG805" s="92"/>
    </row>
    <row r="806" hidden="1">
      <c r="A806" s="86"/>
      <c r="B806" s="25"/>
      <c r="C806" s="80" t="s">
        <v>78</v>
      </c>
      <c r="D806" s="97"/>
      <c r="E806" s="56"/>
      <c r="F806" s="57"/>
      <c r="G806" s="99"/>
      <c r="H806" s="98"/>
      <c r="I806" s="98"/>
      <c r="J806" s="98"/>
      <c r="K806" s="91"/>
      <c r="L806" s="91"/>
      <c r="M806" s="91"/>
      <c r="N806" s="96" t="b">
        <v>0</v>
      </c>
      <c r="O806" s="96" t="b">
        <v>0</v>
      </c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  <c r="AA806" s="92"/>
      <c r="AB806" s="92"/>
      <c r="AC806" s="92"/>
      <c r="AD806" s="92"/>
      <c r="AE806" s="92"/>
      <c r="AF806" s="92"/>
      <c r="AG806" s="92"/>
    </row>
    <row r="807" hidden="1">
      <c r="A807" s="86"/>
      <c r="B807" s="39"/>
      <c r="C807" s="80" t="s">
        <v>78</v>
      </c>
      <c r="D807" s="97"/>
      <c r="E807" s="59"/>
      <c r="F807" s="60"/>
      <c r="G807" s="41"/>
      <c r="H807" s="98"/>
      <c r="I807" s="98"/>
      <c r="J807" s="98"/>
      <c r="K807" s="91"/>
      <c r="L807" s="91"/>
      <c r="M807" s="91"/>
      <c r="N807" s="96" t="b">
        <v>0</v>
      </c>
      <c r="O807" s="96" t="b">
        <v>0</v>
      </c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  <c r="AA807" s="92"/>
      <c r="AB807" s="92"/>
      <c r="AC807" s="92"/>
      <c r="AD807" s="92"/>
      <c r="AE807" s="92"/>
      <c r="AF807" s="92"/>
      <c r="AG807" s="92"/>
    </row>
    <row r="808" hidden="1">
      <c r="A808" s="86"/>
      <c r="B808" s="18" t="s">
        <v>1668</v>
      </c>
      <c r="C808" s="103"/>
      <c r="D808" s="97"/>
      <c r="E808" s="98"/>
      <c r="F808" s="98"/>
      <c r="G808" s="41"/>
      <c r="H808" s="98"/>
      <c r="I808" s="98"/>
      <c r="J808" s="98"/>
      <c r="K808" s="98"/>
      <c r="L808" s="99"/>
      <c r="M808" s="98"/>
      <c r="N808" s="98"/>
      <c r="O808" s="98"/>
      <c r="P808" s="91"/>
      <c r="Q808" s="91"/>
      <c r="R808" s="91"/>
      <c r="S808" s="217"/>
      <c r="T808" s="92"/>
      <c r="U808" s="92"/>
      <c r="V808" s="92"/>
      <c r="W808" s="92"/>
      <c r="X808" s="92"/>
      <c r="Y808" s="92"/>
      <c r="Z808" s="92"/>
      <c r="AA808" s="92"/>
      <c r="AB808" s="92"/>
      <c r="AC808" s="92"/>
      <c r="AD808" s="92"/>
      <c r="AE808" s="92"/>
      <c r="AF808" s="92"/>
      <c r="AG808" s="92"/>
    </row>
    <row r="809" hidden="1">
      <c r="A809" s="86"/>
      <c r="B809" s="25"/>
      <c r="C809" s="80" t="s">
        <v>78</v>
      </c>
      <c r="D809" s="97" t="s">
        <v>79</v>
      </c>
      <c r="E809" s="98" t="s">
        <v>1176</v>
      </c>
      <c r="F809" s="98" t="s">
        <v>1177</v>
      </c>
      <c r="G809" s="99">
        <v>0.5</v>
      </c>
      <c r="H809" s="98" t="s">
        <v>82</v>
      </c>
      <c r="I809" s="98" t="s">
        <v>1734</v>
      </c>
      <c r="J809" s="98" t="s">
        <v>1179</v>
      </c>
      <c r="K809" s="91"/>
      <c r="L809" s="91"/>
      <c r="M809" s="91"/>
      <c r="N809" s="217" t="s">
        <v>1145</v>
      </c>
      <c r="O809" s="217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  <c r="AA809" s="92"/>
      <c r="AB809" s="92"/>
      <c r="AC809" s="92"/>
      <c r="AD809" s="92"/>
      <c r="AE809" s="92"/>
      <c r="AF809" s="92"/>
      <c r="AG809" s="92"/>
    </row>
    <row r="810" hidden="1">
      <c r="A810" s="86"/>
      <c r="B810" s="25"/>
      <c r="C810" s="80" t="s">
        <v>78</v>
      </c>
      <c r="D810" s="107" t="s">
        <v>79</v>
      </c>
      <c r="E810" s="109" t="s">
        <v>1735</v>
      </c>
      <c r="F810" s="109" t="s">
        <v>1736</v>
      </c>
      <c r="G810" s="108">
        <v>0.5833333333333334</v>
      </c>
      <c r="H810" s="109" t="s">
        <v>349</v>
      </c>
      <c r="I810" s="109" t="s">
        <v>1737</v>
      </c>
      <c r="J810" s="109" t="s">
        <v>136</v>
      </c>
      <c r="K810" s="91"/>
      <c r="L810" s="91"/>
      <c r="M810" s="91"/>
      <c r="N810" s="96" t="b">
        <v>0</v>
      </c>
      <c r="O810" s="96" t="b">
        <v>0</v>
      </c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  <c r="AA810" s="92"/>
      <c r="AB810" s="92"/>
      <c r="AC810" s="92"/>
      <c r="AD810" s="92"/>
      <c r="AE810" s="92"/>
      <c r="AF810" s="92"/>
      <c r="AG810" s="92"/>
    </row>
    <row r="811" hidden="1">
      <c r="A811" s="86"/>
      <c r="B811" s="25"/>
      <c r="C811" s="80" t="s">
        <v>78</v>
      </c>
      <c r="D811" s="97" t="s">
        <v>79</v>
      </c>
      <c r="E811" s="98" t="s">
        <v>1099</v>
      </c>
      <c r="F811" s="98" t="s">
        <v>1100</v>
      </c>
      <c r="G811" s="99">
        <v>0.6666666666666666</v>
      </c>
      <c r="H811" s="98" t="s">
        <v>205</v>
      </c>
      <c r="I811" s="98" t="s">
        <v>1738</v>
      </c>
      <c r="J811" s="98" t="s">
        <v>1102</v>
      </c>
      <c r="K811" s="91"/>
      <c r="L811" s="98" t="s">
        <v>1739</v>
      </c>
      <c r="M811" s="91"/>
      <c r="N811" s="96" t="b">
        <v>0</v>
      </c>
      <c r="O811" s="96" t="b">
        <v>0</v>
      </c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  <c r="AA811" s="92"/>
      <c r="AB811" s="92"/>
      <c r="AC811" s="92"/>
      <c r="AD811" s="92"/>
      <c r="AE811" s="92"/>
      <c r="AF811" s="92"/>
      <c r="AG811" s="92"/>
    </row>
    <row r="812" hidden="1">
      <c r="A812" s="86"/>
      <c r="B812" s="25"/>
      <c r="C812" s="146" t="s">
        <v>78</v>
      </c>
      <c r="D812" s="107" t="s">
        <v>79</v>
      </c>
      <c r="E812" s="109" t="s">
        <v>422</v>
      </c>
      <c r="F812" s="109" t="s">
        <v>423</v>
      </c>
      <c r="G812" s="108">
        <v>0.75</v>
      </c>
      <c r="H812" s="109" t="s">
        <v>424</v>
      </c>
      <c r="I812" s="109" t="s">
        <v>1740</v>
      </c>
      <c r="J812" s="109" t="s">
        <v>426</v>
      </c>
      <c r="K812" s="111"/>
      <c r="L812" s="91"/>
      <c r="M812" s="91"/>
      <c r="N812" s="96" t="b">
        <v>0</v>
      </c>
      <c r="O812" s="96" t="b">
        <v>0</v>
      </c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  <c r="AA812" s="92"/>
      <c r="AB812" s="92"/>
      <c r="AC812" s="92"/>
      <c r="AD812" s="92"/>
      <c r="AE812" s="92"/>
      <c r="AF812" s="92"/>
      <c r="AG812" s="92"/>
    </row>
    <row r="813" hidden="1">
      <c r="A813" s="86"/>
      <c r="B813" s="39"/>
      <c r="C813" s="78" t="s">
        <v>78</v>
      </c>
      <c r="D813" s="97" t="s">
        <v>79</v>
      </c>
      <c r="E813" s="183" t="s">
        <v>237</v>
      </c>
      <c r="F813" s="183" t="s">
        <v>238</v>
      </c>
      <c r="G813" s="99">
        <v>0.75</v>
      </c>
      <c r="H813" s="98" t="s">
        <v>1741</v>
      </c>
      <c r="I813" s="183" t="s">
        <v>1742</v>
      </c>
      <c r="J813" s="183" t="s">
        <v>240</v>
      </c>
      <c r="K813" s="91"/>
      <c r="L813" s="91"/>
      <c r="M813" s="98" t="s">
        <v>838</v>
      </c>
      <c r="N813" s="96" t="b">
        <v>0</v>
      </c>
      <c r="O813" s="96" t="b">
        <v>0</v>
      </c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  <c r="AA813" s="92"/>
      <c r="AB813" s="92"/>
      <c r="AC813" s="92"/>
      <c r="AD813" s="92"/>
      <c r="AE813" s="92"/>
      <c r="AF813" s="92"/>
      <c r="AG813" s="92"/>
    </row>
    <row r="814" hidden="1">
      <c r="A814" s="86"/>
      <c r="B814" s="166"/>
      <c r="C814" s="88">
        <v>44414.0</v>
      </c>
      <c r="D814" s="97"/>
      <c r="E814" s="98"/>
      <c r="F814" s="98"/>
      <c r="G814" s="41"/>
      <c r="H814" s="98"/>
      <c r="I814" s="98"/>
      <c r="J814" s="98"/>
      <c r="K814" s="91"/>
      <c r="L814" s="91"/>
      <c r="M814" s="91"/>
      <c r="N814" s="96" t="b">
        <v>0</v>
      </c>
      <c r="O814" s="96" t="b">
        <v>0</v>
      </c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  <c r="AA814" s="92"/>
      <c r="AB814" s="92"/>
      <c r="AC814" s="92"/>
      <c r="AD814" s="92"/>
      <c r="AE814" s="92"/>
      <c r="AF814" s="92"/>
      <c r="AG814" s="92"/>
    </row>
    <row r="815" hidden="1">
      <c r="A815" s="86"/>
      <c r="B815" s="18" t="s">
        <v>1656</v>
      </c>
      <c r="C815" s="78" t="s">
        <v>78</v>
      </c>
      <c r="D815" s="97"/>
      <c r="E815" s="98"/>
      <c r="F815" s="98"/>
      <c r="G815" s="41"/>
      <c r="H815" s="98"/>
      <c r="I815" s="98"/>
      <c r="J815" s="98"/>
      <c r="K815" s="91"/>
      <c r="L815" s="91"/>
      <c r="M815" s="91"/>
      <c r="N815" s="96" t="b">
        <v>0</v>
      </c>
      <c r="O815" s="96" t="b">
        <v>0</v>
      </c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  <c r="AA815" s="92"/>
      <c r="AB815" s="92"/>
      <c r="AC815" s="92"/>
      <c r="AD815" s="92"/>
      <c r="AE815" s="92"/>
      <c r="AF815" s="92"/>
      <c r="AG815" s="92"/>
    </row>
    <row r="816" hidden="1">
      <c r="A816" s="86"/>
      <c r="B816" s="25"/>
      <c r="C816" s="80" t="s">
        <v>78</v>
      </c>
      <c r="D816" s="97"/>
      <c r="E816" s="54" t="s">
        <v>77</v>
      </c>
      <c r="F816" s="55"/>
      <c r="G816" s="41"/>
      <c r="H816" s="98"/>
      <c r="I816" s="98"/>
      <c r="J816" s="98"/>
      <c r="K816" s="91"/>
      <c r="L816" s="91"/>
      <c r="M816" s="91"/>
      <c r="N816" s="96" t="b">
        <v>0</v>
      </c>
      <c r="O816" s="96" t="b">
        <v>0</v>
      </c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  <c r="AA816" s="92"/>
      <c r="AB816" s="92"/>
      <c r="AC816" s="92"/>
      <c r="AD816" s="92"/>
      <c r="AE816" s="92"/>
      <c r="AF816" s="92"/>
      <c r="AG816" s="92"/>
    </row>
    <row r="817" hidden="1">
      <c r="A817" s="86"/>
      <c r="B817" s="25"/>
      <c r="C817" s="80" t="s">
        <v>78</v>
      </c>
      <c r="D817" s="97"/>
      <c r="E817" s="56"/>
      <c r="F817" s="57"/>
      <c r="G817" s="41"/>
      <c r="H817" s="98"/>
      <c r="I817" s="98"/>
      <c r="J817" s="98"/>
      <c r="K817" s="91"/>
      <c r="L817" s="91"/>
      <c r="M817" s="91"/>
      <c r="N817" s="96" t="b">
        <v>0</v>
      </c>
      <c r="O817" s="96" t="b">
        <v>0</v>
      </c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  <c r="AA817" s="92"/>
      <c r="AB817" s="92"/>
      <c r="AC817" s="92"/>
      <c r="AD817" s="92"/>
      <c r="AE817" s="92"/>
      <c r="AF817" s="92"/>
      <c r="AG817" s="92"/>
    </row>
    <row r="818" hidden="1">
      <c r="A818" s="86"/>
      <c r="B818" s="25"/>
      <c r="C818" s="80" t="s">
        <v>78</v>
      </c>
      <c r="D818" s="97"/>
      <c r="E818" s="56"/>
      <c r="F818" s="57"/>
      <c r="G818" s="41"/>
      <c r="H818" s="98"/>
      <c r="I818" s="98"/>
      <c r="J818" s="98"/>
      <c r="K818" s="91"/>
      <c r="L818" s="91"/>
      <c r="M818" s="91"/>
      <c r="N818" s="96" t="b">
        <v>0</v>
      </c>
      <c r="O818" s="96" t="b">
        <v>0</v>
      </c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  <c r="AA818" s="92"/>
      <c r="AB818" s="92"/>
      <c r="AC818" s="92"/>
      <c r="AD818" s="92"/>
      <c r="AE818" s="92"/>
      <c r="AF818" s="92"/>
      <c r="AG818" s="92"/>
    </row>
    <row r="819" hidden="1">
      <c r="A819" s="86"/>
      <c r="B819" s="39"/>
      <c r="C819" s="80" t="s">
        <v>78</v>
      </c>
      <c r="D819" s="97"/>
      <c r="E819" s="56"/>
      <c r="F819" s="57"/>
      <c r="G819" s="41"/>
      <c r="H819" s="98"/>
      <c r="I819" s="98"/>
      <c r="J819" s="98"/>
      <c r="K819" s="91"/>
      <c r="L819" s="91"/>
      <c r="M819" s="91"/>
      <c r="N819" s="96" t="b">
        <v>0</v>
      </c>
      <c r="O819" s="96" t="b">
        <v>0</v>
      </c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  <c r="AA819" s="92"/>
      <c r="AB819" s="92"/>
      <c r="AC819" s="92"/>
      <c r="AD819" s="92"/>
      <c r="AE819" s="92"/>
      <c r="AF819" s="92"/>
      <c r="AG819" s="92"/>
    </row>
    <row r="820" hidden="1">
      <c r="A820" s="86"/>
      <c r="B820" s="18" t="s">
        <v>1668</v>
      </c>
      <c r="C820" s="103"/>
      <c r="D820" s="97"/>
      <c r="E820" s="59"/>
      <c r="F820" s="60"/>
      <c r="G820" s="41"/>
      <c r="H820" s="98"/>
      <c r="I820" s="98"/>
      <c r="J820" s="98"/>
      <c r="K820" s="91"/>
      <c r="L820" s="91"/>
      <c r="M820" s="91"/>
      <c r="N820" s="96" t="b">
        <v>0</v>
      </c>
      <c r="O820" s="96" t="b">
        <v>0</v>
      </c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  <c r="AA820" s="92"/>
      <c r="AB820" s="92"/>
      <c r="AC820" s="92"/>
      <c r="AD820" s="92"/>
      <c r="AE820" s="92"/>
      <c r="AF820" s="92"/>
      <c r="AG820" s="92"/>
    </row>
    <row r="821" hidden="1">
      <c r="A821" s="86"/>
      <c r="B821" s="25"/>
      <c r="C821" s="80" t="s">
        <v>78</v>
      </c>
      <c r="D821" s="97"/>
      <c r="E821" s="98"/>
      <c r="F821" s="98"/>
      <c r="G821" s="41"/>
      <c r="H821" s="98"/>
      <c r="I821" s="98"/>
      <c r="J821" s="98"/>
      <c r="K821" s="91"/>
      <c r="L821" s="91"/>
      <c r="M821" s="91"/>
      <c r="N821" s="96" t="b">
        <v>0</v>
      </c>
      <c r="O821" s="96" t="b">
        <v>0</v>
      </c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  <c r="AA821" s="92"/>
      <c r="AB821" s="92"/>
      <c r="AC821" s="92"/>
      <c r="AD821" s="92"/>
      <c r="AE821" s="92"/>
      <c r="AF821" s="92"/>
      <c r="AG821" s="92"/>
    </row>
    <row r="822" hidden="1">
      <c r="A822" s="86"/>
      <c r="B822" s="25"/>
      <c r="C822" s="80" t="s">
        <v>78</v>
      </c>
      <c r="D822" s="97"/>
      <c r="E822" s="54" t="s">
        <v>77</v>
      </c>
      <c r="F822" s="55"/>
      <c r="G822" s="41"/>
      <c r="H822" s="98"/>
      <c r="I822" s="98"/>
      <c r="J822" s="98"/>
      <c r="K822" s="91"/>
      <c r="L822" s="91"/>
      <c r="M822" s="91"/>
      <c r="N822" s="96" t="b">
        <v>0</v>
      </c>
      <c r="O822" s="96" t="b">
        <v>0</v>
      </c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  <c r="AA822" s="92"/>
      <c r="AB822" s="92"/>
      <c r="AC822" s="92"/>
      <c r="AD822" s="92"/>
      <c r="AE822" s="92"/>
      <c r="AF822" s="92"/>
      <c r="AG822" s="92"/>
    </row>
    <row r="823" hidden="1">
      <c r="A823" s="86"/>
      <c r="B823" s="25"/>
      <c r="C823" s="80" t="s">
        <v>78</v>
      </c>
      <c r="D823" s="97"/>
      <c r="E823" s="56"/>
      <c r="F823" s="57"/>
      <c r="G823" s="41"/>
      <c r="H823" s="98"/>
      <c r="I823" s="98"/>
      <c r="J823" s="98"/>
      <c r="K823" s="91"/>
      <c r="L823" s="91"/>
      <c r="M823" s="91"/>
      <c r="N823" s="96" t="b">
        <v>0</v>
      </c>
      <c r="O823" s="96" t="b">
        <v>0</v>
      </c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  <c r="AA823" s="92"/>
      <c r="AB823" s="92"/>
      <c r="AC823" s="92"/>
      <c r="AD823" s="92"/>
      <c r="AE823" s="92"/>
      <c r="AF823" s="92"/>
      <c r="AG823" s="92"/>
    </row>
    <row r="824" hidden="1">
      <c r="A824" s="86"/>
      <c r="B824" s="25"/>
      <c r="C824" s="80" t="s">
        <v>78</v>
      </c>
      <c r="D824" s="97"/>
      <c r="E824" s="56"/>
      <c r="F824" s="57"/>
      <c r="G824" s="41"/>
      <c r="H824" s="98"/>
      <c r="I824" s="98"/>
      <c r="J824" s="98"/>
      <c r="K824" s="91"/>
      <c r="L824" s="91"/>
      <c r="M824" s="91"/>
      <c r="N824" s="96" t="b">
        <v>0</v>
      </c>
      <c r="O824" s="96" t="b">
        <v>0</v>
      </c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  <c r="AA824" s="92"/>
      <c r="AB824" s="92"/>
      <c r="AC824" s="92"/>
      <c r="AD824" s="92"/>
      <c r="AE824" s="92"/>
      <c r="AF824" s="92"/>
      <c r="AG824" s="92"/>
    </row>
    <row r="825" hidden="1">
      <c r="A825" s="86"/>
      <c r="B825" s="39"/>
      <c r="C825" s="78" t="s">
        <v>78</v>
      </c>
      <c r="D825" s="97"/>
      <c r="E825" s="56"/>
      <c r="F825" s="57"/>
      <c r="G825" s="41"/>
      <c r="H825" s="98"/>
      <c r="I825" s="98"/>
      <c r="J825" s="98"/>
      <c r="K825" s="91"/>
      <c r="L825" s="91"/>
      <c r="M825" s="91"/>
      <c r="N825" s="96" t="b">
        <v>0</v>
      </c>
      <c r="O825" s="96" t="b">
        <v>0</v>
      </c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  <c r="AA825" s="92"/>
      <c r="AB825" s="92"/>
      <c r="AC825" s="92"/>
      <c r="AD825" s="92"/>
      <c r="AE825" s="92"/>
      <c r="AF825" s="92"/>
      <c r="AG825" s="92"/>
    </row>
    <row r="826" hidden="1">
      <c r="A826" s="86"/>
      <c r="B826" s="166"/>
      <c r="C826" s="88">
        <v>44417.0</v>
      </c>
      <c r="D826" s="97"/>
      <c r="E826" s="59"/>
      <c r="F826" s="60"/>
      <c r="G826" s="41"/>
      <c r="H826" s="98"/>
      <c r="I826" s="98"/>
      <c r="J826" s="98"/>
      <c r="K826" s="91"/>
      <c r="L826" s="91"/>
      <c r="M826" s="91"/>
      <c r="N826" s="96" t="b">
        <v>0</v>
      </c>
      <c r="O826" s="96" t="b">
        <v>0</v>
      </c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  <c r="AA826" s="92"/>
      <c r="AB826" s="92"/>
      <c r="AC826" s="92"/>
      <c r="AD826" s="92"/>
      <c r="AE826" s="92"/>
      <c r="AF826" s="92"/>
      <c r="AG826" s="92"/>
    </row>
    <row r="827" hidden="1">
      <c r="A827" s="86"/>
      <c r="B827" s="18" t="s">
        <v>1656</v>
      </c>
      <c r="C827" s="78" t="s">
        <v>78</v>
      </c>
      <c r="D827" s="97"/>
      <c r="E827" s="98"/>
      <c r="F827" s="98"/>
      <c r="G827" s="41"/>
      <c r="H827" s="98"/>
      <c r="I827" s="98"/>
      <c r="J827" s="98"/>
      <c r="K827" s="91"/>
      <c r="L827" s="91"/>
      <c r="M827" s="91"/>
      <c r="N827" s="96" t="b">
        <v>0</v>
      </c>
      <c r="O827" s="96" t="b">
        <v>0</v>
      </c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  <c r="AA827" s="92"/>
      <c r="AB827" s="92"/>
      <c r="AC827" s="92"/>
      <c r="AD827" s="92"/>
      <c r="AE827" s="92"/>
      <c r="AF827" s="92"/>
      <c r="AG827" s="92"/>
    </row>
    <row r="828" hidden="1">
      <c r="A828" s="86"/>
      <c r="B828" s="25"/>
      <c r="C828" s="80" t="s">
        <v>78</v>
      </c>
      <c r="D828" s="107" t="s">
        <v>79</v>
      </c>
      <c r="E828" s="184" t="s">
        <v>1743</v>
      </c>
      <c r="F828" s="184" t="s">
        <v>1744</v>
      </c>
      <c r="G828" s="108">
        <v>0.5</v>
      </c>
      <c r="H828" s="109" t="s">
        <v>37</v>
      </c>
      <c r="I828" s="109" t="s">
        <v>1745</v>
      </c>
      <c r="J828" s="211" t="s">
        <v>1746</v>
      </c>
      <c r="K828" s="91"/>
      <c r="L828" s="91"/>
      <c r="M828" s="91"/>
      <c r="N828" s="96" t="b">
        <v>0</v>
      </c>
      <c r="O828" s="96" t="b">
        <v>0</v>
      </c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  <c r="AA828" s="92"/>
      <c r="AB828" s="92"/>
      <c r="AC828" s="92"/>
      <c r="AD828" s="92"/>
      <c r="AE828" s="92"/>
      <c r="AF828" s="92"/>
      <c r="AG828" s="92"/>
    </row>
    <row r="829" hidden="1">
      <c r="A829" s="86"/>
      <c r="B829" s="25"/>
      <c r="C829" s="80" t="s">
        <v>78</v>
      </c>
      <c r="D829" s="107" t="s">
        <v>79</v>
      </c>
      <c r="E829" s="184" t="s">
        <v>1747</v>
      </c>
      <c r="F829" s="184" t="s">
        <v>1748</v>
      </c>
      <c r="G829" s="108">
        <v>0.5833333333333334</v>
      </c>
      <c r="H829" s="109" t="s">
        <v>25</v>
      </c>
      <c r="I829" s="109" t="s">
        <v>1749</v>
      </c>
      <c r="J829" s="211" t="s">
        <v>1750</v>
      </c>
      <c r="K829" s="91"/>
      <c r="L829" s="91"/>
      <c r="M829" s="91"/>
      <c r="N829" s="96" t="b">
        <v>0</v>
      </c>
      <c r="O829" s="96" t="b">
        <v>0</v>
      </c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  <c r="AA829" s="92"/>
      <c r="AB829" s="92"/>
      <c r="AC829" s="92"/>
      <c r="AD829" s="92"/>
      <c r="AE829" s="92"/>
      <c r="AF829" s="92"/>
      <c r="AG829" s="92"/>
    </row>
    <row r="830" hidden="1">
      <c r="A830" s="86"/>
      <c r="B830" s="25"/>
      <c r="C830" s="80" t="s">
        <v>78</v>
      </c>
      <c r="D830" s="97" t="s">
        <v>79</v>
      </c>
      <c r="E830" s="183" t="s">
        <v>986</v>
      </c>
      <c r="F830" s="183" t="s">
        <v>987</v>
      </c>
      <c r="G830" s="99">
        <v>0.6666666666666666</v>
      </c>
      <c r="H830" s="98" t="s">
        <v>82</v>
      </c>
      <c r="I830" s="98" t="s">
        <v>1751</v>
      </c>
      <c r="J830" s="98" t="s">
        <v>989</v>
      </c>
      <c r="K830" s="91"/>
      <c r="L830" s="91"/>
      <c r="M830" s="91"/>
      <c r="N830" s="96" t="b">
        <v>0</v>
      </c>
      <c r="O830" s="96" t="b">
        <v>0</v>
      </c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  <c r="AA830" s="92"/>
      <c r="AB830" s="92"/>
      <c r="AC830" s="92"/>
      <c r="AD830" s="92"/>
      <c r="AE830" s="92"/>
      <c r="AF830" s="92"/>
      <c r="AG830" s="92"/>
    </row>
    <row r="831" hidden="1">
      <c r="A831" s="86"/>
      <c r="B831" s="39"/>
      <c r="C831" s="80" t="s">
        <v>78</v>
      </c>
      <c r="D831" s="107" t="s">
        <v>79</v>
      </c>
      <c r="E831" s="184" t="s">
        <v>1752</v>
      </c>
      <c r="F831" s="184" t="s">
        <v>1753</v>
      </c>
      <c r="G831" s="108">
        <v>0.75</v>
      </c>
      <c r="H831" s="109" t="s">
        <v>424</v>
      </c>
      <c r="I831" s="109" t="s">
        <v>1754</v>
      </c>
      <c r="J831" s="184" t="s">
        <v>1755</v>
      </c>
      <c r="K831" s="91"/>
      <c r="L831" s="91"/>
      <c r="M831" s="91"/>
      <c r="N831" s="96" t="b">
        <v>0</v>
      </c>
      <c r="O831" s="96" t="b">
        <v>0</v>
      </c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  <c r="AA831" s="92"/>
      <c r="AB831" s="92"/>
      <c r="AC831" s="92"/>
      <c r="AD831" s="92"/>
      <c r="AE831" s="92"/>
      <c r="AF831" s="92"/>
      <c r="AG831" s="92"/>
    </row>
    <row r="832" hidden="1">
      <c r="A832" s="86"/>
      <c r="B832" s="18" t="s">
        <v>1668</v>
      </c>
      <c r="C832" s="103"/>
      <c r="D832" s="181"/>
      <c r="E832" s="43"/>
      <c r="F832" s="43"/>
      <c r="G832" s="81"/>
      <c r="H832" s="43"/>
      <c r="I832" s="43"/>
      <c r="J832" s="43"/>
      <c r="K832" s="43"/>
      <c r="L832" s="43"/>
      <c r="M832" s="91"/>
      <c r="N832" s="96" t="b">
        <v>0</v>
      </c>
      <c r="O832" s="96" t="b">
        <v>0</v>
      </c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  <c r="AA832" s="92"/>
      <c r="AB832" s="92"/>
      <c r="AC832" s="92"/>
      <c r="AD832" s="92"/>
      <c r="AE832" s="92"/>
      <c r="AF832" s="92"/>
      <c r="AG832" s="92"/>
    </row>
    <row r="833" hidden="1">
      <c r="A833" s="86"/>
      <c r="B833" s="25"/>
      <c r="C833" s="80" t="s">
        <v>78</v>
      </c>
      <c r="D833" s="181"/>
      <c r="E833" s="43"/>
      <c r="F833" s="43"/>
      <c r="G833" s="81"/>
      <c r="H833" s="43"/>
      <c r="I833" s="43"/>
      <c r="J833" s="43"/>
      <c r="K833" s="43"/>
      <c r="L833" s="43"/>
      <c r="M833" s="91"/>
      <c r="N833" s="96" t="b">
        <v>0</v>
      </c>
      <c r="O833" s="96" t="b">
        <v>0</v>
      </c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  <c r="AA833" s="92"/>
      <c r="AB833" s="92"/>
      <c r="AC833" s="92"/>
      <c r="AD833" s="92"/>
      <c r="AE833" s="92"/>
      <c r="AF833" s="92"/>
      <c r="AG833" s="92"/>
    </row>
    <row r="834" hidden="1">
      <c r="A834" s="86"/>
      <c r="B834" s="25"/>
      <c r="C834" s="80" t="s">
        <v>78</v>
      </c>
      <c r="D834" s="97"/>
      <c r="E834" s="183"/>
      <c r="F834" s="183"/>
      <c r="G834" s="41"/>
      <c r="H834" s="98"/>
      <c r="I834" s="98"/>
      <c r="J834" s="98"/>
      <c r="K834" s="91"/>
      <c r="L834" s="91"/>
      <c r="M834" s="91"/>
      <c r="N834" s="96" t="b">
        <v>0</v>
      </c>
      <c r="O834" s="96" t="b">
        <v>0</v>
      </c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  <c r="AA834" s="92"/>
      <c r="AB834" s="92"/>
      <c r="AC834" s="92"/>
      <c r="AD834" s="92"/>
      <c r="AE834" s="92"/>
      <c r="AF834" s="92"/>
      <c r="AG834" s="92"/>
    </row>
    <row r="835" hidden="1">
      <c r="A835" s="86"/>
      <c r="B835" s="25"/>
      <c r="C835" s="80" t="s">
        <v>78</v>
      </c>
      <c r="D835" s="97" t="s">
        <v>79</v>
      </c>
      <c r="E835" s="186" t="s">
        <v>1162</v>
      </c>
      <c r="F835" s="186" t="s">
        <v>1163</v>
      </c>
      <c r="G835" s="41" t="s">
        <v>417</v>
      </c>
      <c r="H835" s="98" t="s">
        <v>1658</v>
      </c>
      <c r="I835" s="186" t="s">
        <v>1756</v>
      </c>
      <c r="J835" s="186" t="s">
        <v>1165</v>
      </c>
      <c r="K835" s="91"/>
      <c r="L835" s="91"/>
      <c r="M835" s="91"/>
      <c r="N835" s="96" t="b">
        <v>0</v>
      </c>
      <c r="O835" s="96" t="b">
        <v>0</v>
      </c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  <c r="AA835" s="92"/>
      <c r="AB835" s="92"/>
      <c r="AC835" s="92"/>
      <c r="AD835" s="92"/>
      <c r="AE835" s="92"/>
      <c r="AF835" s="92"/>
      <c r="AG835" s="92"/>
    </row>
    <row r="836" hidden="1">
      <c r="A836" s="86"/>
      <c r="B836" s="25"/>
      <c r="C836" s="80" t="s">
        <v>78</v>
      </c>
      <c r="D836" s="97" t="s">
        <v>79</v>
      </c>
      <c r="E836" s="184" t="s">
        <v>1757</v>
      </c>
      <c r="F836" s="184" t="s">
        <v>1758</v>
      </c>
      <c r="G836" s="108">
        <v>0.5833333333333334</v>
      </c>
      <c r="H836" s="109" t="s">
        <v>1759</v>
      </c>
      <c r="I836" s="109" t="s">
        <v>1760</v>
      </c>
      <c r="J836" s="184" t="s">
        <v>1761</v>
      </c>
      <c r="K836" s="91"/>
      <c r="L836" s="91"/>
      <c r="M836" s="91"/>
      <c r="N836" s="96" t="b">
        <v>0</v>
      </c>
      <c r="O836" s="96" t="b">
        <v>0</v>
      </c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  <c r="AA836" s="92"/>
      <c r="AB836" s="92"/>
      <c r="AC836" s="92"/>
      <c r="AD836" s="92"/>
      <c r="AE836" s="92"/>
      <c r="AF836" s="92"/>
      <c r="AG836" s="92"/>
    </row>
    <row r="837" hidden="1">
      <c r="A837" s="86"/>
      <c r="B837" s="39"/>
      <c r="C837" s="78" t="s">
        <v>78</v>
      </c>
      <c r="D837" s="97" t="s">
        <v>79</v>
      </c>
      <c r="E837" s="183" t="s">
        <v>1762</v>
      </c>
      <c r="F837" s="183" t="s">
        <v>1763</v>
      </c>
      <c r="G837" s="218" t="s">
        <v>180</v>
      </c>
      <c r="H837" s="189" t="s">
        <v>1764</v>
      </c>
      <c r="I837" s="189" t="s">
        <v>1765</v>
      </c>
      <c r="J837" s="183" t="s">
        <v>1766</v>
      </c>
      <c r="K837" s="43"/>
      <c r="L837" s="91"/>
      <c r="M837" s="91"/>
      <c r="N837" s="96" t="b">
        <v>0</v>
      </c>
      <c r="O837" s="96" t="b">
        <v>0</v>
      </c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  <c r="AA837" s="92"/>
      <c r="AB837" s="92"/>
      <c r="AC837" s="92"/>
      <c r="AD837" s="92"/>
      <c r="AE837" s="92"/>
      <c r="AF837" s="92"/>
      <c r="AG837" s="92"/>
    </row>
    <row r="838" hidden="1">
      <c r="A838" s="86"/>
      <c r="B838" s="166"/>
      <c r="C838" s="88">
        <v>44418.0</v>
      </c>
      <c r="D838" s="97" t="s">
        <v>79</v>
      </c>
      <c r="E838" s="184" t="s">
        <v>595</v>
      </c>
      <c r="F838" s="184" t="s">
        <v>596</v>
      </c>
      <c r="G838" s="112" t="s">
        <v>248</v>
      </c>
      <c r="H838" s="184" t="s">
        <v>1767</v>
      </c>
      <c r="I838" s="184" t="s">
        <v>1768</v>
      </c>
      <c r="J838" s="184" t="s">
        <v>598</v>
      </c>
      <c r="K838" s="91"/>
      <c r="L838" s="91"/>
      <c r="M838" s="91"/>
      <c r="N838" s="96" t="b">
        <v>0</v>
      </c>
      <c r="O838" s="96" t="b">
        <v>0</v>
      </c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  <c r="AA838" s="92"/>
      <c r="AB838" s="92"/>
      <c r="AC838" s="92"/>
      <c r="AD838" s="92"/>
      <c r="AE838" s="92"/>
      <c r="AF838" s="92"/>
      <c r="AG838" s="92"/>
    </row>
    <row r="839" hidden="1">
      <c r="A839" s="86"/>
      <c r="B839" s="18" t="s">
        <v>1656</v>
      </c>
      <c r="C839" s="78" t="s">
        <v>78</v>
      </c>
      <c r="D839" s="97"/>
      <c r="E839" s="98"/>
      <c r="F839" s="98"/>
      <c r="G839" s="99"/>
      <c r="H839" s="203"/>
      <c r="I839" s="98"/>
      <c r="J839" s="98"/>
      <c r="K839" s="91"/>
      <c r="L839" s="91"/>
      <c r="M839" s="91"/>
      <c r="N839" s="96" t="b">
        <v>0</v>
      </c>
      <c r="O839" s="96" t="b">
        <v>0</v>
      </c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  <c r="AA839" s="92"/>
      <c r="AB839" s="92"/>
      <c r="AC839" s="92"/>
      <c r="AD839" s="92"/>
      <c r="AE839" s="92"/>
      <c r="AF839" s="92"/>
      <c r="AG839" s="92"/>
    </row>
    <row r="840" hidden="1">
      <c r="A840" s="86"/>
      <c r="B840" s="25"/>
      <c r="C840" s="80" t="s">
        <v>78</v>
      </c>
      <c r="D840" s="181"/>
      <c r="E840" s="43"/>
      <c r="F840" s="43"/>
      <c r="G840" s="81"/>
      <c r="H840" s="43"/>
      <c r="I840" s="43"/>
      <c r="J840" s="43"/>
      <c r="K840" s="43"/>
      <c r="L840" s="91"/>
      <c r="M840" s="91"/>
      <c r="N840" s="96" t="b">
        <v>0</v>
      </c>
      <c r="O840" s="96" t="b">
        <v>0</v>
      </c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  <c r="AA840" s="92"/>
      <c r="AB840" s="92"/>
      <c r="AC840" s="92"/>
      <c r="AD840" s="92"/>
      <c r="AE840" s="92"/>
      <c r="AF840" s="92"/>
      <c r="AG840" s="92"/>
    </row>
    <row r="841" hidden="1">
      <c r="A841" s="86"/>
      <c r="B841" s="25"/>
      <c r="C841" s="80" t="s">
        <v>78</v>
      </c>
      <c r="D841" s="97" t="s">
        <v>79</v>
      </c>
      <c r="E841" s="183" t="s">
        <v>1769</v>
      </c>
      <c r="F841" s="183" t="s">
        <v>1770</v>
      </c>
      <c r="G841" s="99">
        <v>0.5</v>
      </c>
      <c r="H841" s="98" t="s">
        <v>1771</v>
      </c>
      <c r="I841" s="98" t="s">
        <v>1772</v>
      </c>
      <c r="J841" s="98" t="s">
        <v>1773</v>
      </c>
      <c r="K841" s="91"/>
      <c r="L841" s="91"/>
      <c r="M841" s="91"/>
      <c r="N841" s="96" t="b">
        <v>0</v>
      </c>
      <c r="O841" s="96" t="b">
        <v>0</v>
      </c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  <c r="AA841" s="92"/>
      <c r="AB841" s="92"/>
      <c r="AC841" s="92"/>
      <c r="AD841" s="92"/>
      <c r="AE841" s="92"/>
      <c r="AF841" s="92"/>
      <c r="AG841" s="92"/>
    </row>
    <row r="842" hidden="1">
      <c r="A842" s="86"/>
      <c r="B842" s="25"/>
      <c r="C842" s="80" t="s">
        <v>78</v>
      </c>
      <c r="D842" s="97" t="s">
        <v>131</v>
      </c>
      <c r="E842" s="184" t="s">
        <v>1774</v>
      </c>
      <c r="F842" s="109" t="s">
        <v>1775</v>
      </c>
      <c r="G842" s="108">
        <v>0.6666666666666666</v>
      </c>
      <c r="H842" s="109" t="s">
        <v>1771</v>
      </c>
      <c r="I842" s="109" t="s">
        <v>1776</v>
      </c>
      <c r="J842" s="109" t="s">
        <v>1416</v>
      </c>
      <c r="K842" s="91"/>
      <c r="L842" s="91"/>
      <c r="M842" s="91"/>
      <c r="N842" s="96" t="b">
        <v>0</v>
      </c>
      <c r="O842" s="96" t="b">
        <v>0</v>
      </c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  <c r="AA842" s="92"/>
      <c r="AB842" s="92"/>
      <c r="AC842" s="92"/>
      <c r="AD842" s="92"/>
      <c r="AE842" s="92"/>
      <c r="AF842" s="92"/>
      <c r="AG842" s="92"/>
    </row>
    <row r="843" hidden="1">
      <c r="A843" s="86"/>
      <c r="B843" s="39"/>
      <c r="C843" s="80" t="s">
        <v>78</v>
      </c>
      <c r="D843" s="97" t="s">
        <v>131</v>
      </c>
      <c r="E843" s="109" t="s">
        <v>405</v>
      </c>
      <c r="F843" s="109" t="s">
        <v>406</v>
      </c>
      <c r="G843" s="108">
        <v>0.5833333333333334</v>
      </c>
      <c r="H843" s="109" t="s">
        <v>568</v>
      </c>
      <c r="I843" s="109" t="s">
        <v>1777</v>
      </c>
      <c r="J843" s="109" t="s">
        <v>409</v>
      </c>
      <c r="K843" s="91"/>
      <c r="L843" s="91"/>
      <c r="M843" s="91"/>
      <c r="N843" s="96" t="b">
        <v>0</v>
      </c>
      <c r="O843" s="96" t="b">
        <v>0</v>
      </c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  <c r="AA843" s="92"/>
      <c r="AB843" s="92"/>
      <c r="AC843" s="92"/>
      <c r="AD843" s="92"/>
      <c r="AE843" s="92"/>
      <c r="AF843" s="92"/>
      <c r="AG843" s="92"/>
    </row>
    <row r="844" hidden="1">
      <c r="A844" s="86"/>
      <c r="B844" s="17"/>
      <c r="C844" s="103"/>
      <c r="D844" s="97" t="s">
        <v>131</v>
      </c>
      <c r="E844" s="98" t="s">
        <v>1778</v>
      </c>
      <c r="F844" s="98" t="s">
        <v>1779</v>
      </c>
      <c r="G844" s="99">
        <v>0.75</v>
      </c>
      <c r="H844" s="98" t="s">
        <v>1205</v>
      </c>
      <c r="I844" s="98" t="s">
        <v>1780</v>
      </c>
      <c r="J844" s="98" t="s">
        <v>1781</v>
      </c>
      <c r="K844" s="91"/>
      <c r="L844" s="91"/>
      <c r="M844" s="91"/>
      <c r="N844" s="96" t="b">
        <v>0</v>
      </c>
      <c r="O844" s="96" t="b">
        <v>0</v>
      </c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  <c r="AA844" s="92"/>
      <c r="AB844" s="92"/>
      <c r="AC844" s="92"/>
      <c r="AD844" s="92"/>
      <c r="AE844" s="92"/>
      <c r="AF844" s="92"/>
      <c r="AG844" s="92"/>
    </row>
    <row r="845" hidden="1">
      <c r="A845" s="86"/>
      <c r="B845" s="18" t="s">
        <v>1668</v>
      </c>
      <c r="C845" s="103"/>
      <c r="D845" s="97"/>
      <c r="E845" s="98"/>
      <c r="F845" s="98"/>
      <c r="G845" s="99"/>
      <c r="H845" s="98"/>
      <c r="I845" s="98"/>
      <c r="J845" s="98"/>
      <c r="K845" s="91"/>
      <c r="L845" s="91"/>
      <c r="M845" s="91"/>
      <c r="N845" s="96" t="b">
        <v>0</v>
      </c>
      <c r="O845" s="96" t="b">
        <v>0</v>
      </c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  <c r="AA845" s="92"/>
      <c r="AB845" s="92"/>
      <c r="AC845" s="92"/>
      <c r="AD845" s="92"/>
      <c r="AE845" s="92"/>
      <c r="AF845" s="92"/>
      <c r="AG845" s="92"/>
    </row>
    <row r="846" hidden="1">
      <c r="A846" s="86"/>
      <c r="B846" s="25"/>
      <c r="C846" s="80" t="s">
        <v>78</v>
      </c>
      <c r="D846" s="97" t="s">
        <v>79</v>
      </c>
      <c r="E846" s="98" t="s">
        <v>1782</v>
      </c>
      <c r="F846" s="98" t="s">
        <v>1783</v>
      </c>
      <c r="G846" s="99">
        <v>0.5</v>
      </c>
      <c r="H846" s="98" t="s">
        <v>1784</v>
      </c>
      <c r="I846" s="98" t="s">
        <v>1785</v>
      </c>
      <c r="J846" s="98" t="s">
        <v>1786</v>
      </c>
      <c r="K846" s="91"/>
      <c r="L846" s="91"/>
      <c r="M846" s="91"/>
      <c r="N846" s="96" t="b">
        <v>0</v>
      </c>
      <c r="O846" s="96" t="b">
        <v>0</v>
      </c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  <c r="AA846" s="92"/>
      <c r="AB846" s="92"/>
      <c r="AC846" s="92"/>
      <c r="AD846" s="92"/>
      <c r="AE846" s="92"/>
      <c r="AF846" s="92"/>
      <c r="AG846" s="92"/>
    </row>
    <row r="847" hidden="1">
      <c r="A847" s="86"/>
      <c r="B847" s="25"/>
      <c r="C847" s="80" t="s">
        <v>78</v>
      </c>
      <c r="D847" s="97" t="s">
        <v>79</v>
      </c>
      <c r="E847" s="183" t="s">
        <v>1787</v>
      </c>
      <c r="F847" s="183" t="s">
        <v>1788</v>
      </c>
      <c r="G847" s="99">
        <v>0.5833333333333334</v>
      </c>
      <c r="H847" s="98" t="s">
        <v>1789</v>
      </c>
      <c r="I847" s="98" t="s">
        <v>1790</v>
      </c>
      <c r="J847" s="98" t="s">
        <v>1791</v>
      </c>
      <c r="K847" s="91"/>
      <c r="L847" s="91"/>
      <c r="M847" s="91"/>
      <c r="N847" s="96" t="b">
        <v>0</v>
      </c>
      <c r="O847" s="96" t="b">
        <v>0</v>
      </c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  <c r="AA847" s="92"/>
      <c r="AB847" s="92"/>
      <c r="AC847" s="92"/>
      <c r="AD847" s="92"/>
      <c r="AE847" s="92"/>
      <c r="AF847" s="92"/>
      <c r="AG847" s="92"/>
    </row>
    <row r="848" hidden="1">
      <c r="A848" s="86"/>
      <c r="B848" s="25"/>
      <c r="C848" s="80" t="s">
        <v>78</v>
      </c>
      <c r="D848" s="97" t="s">
        <v>79</v>
      </c>
      <c r="E848" s="109" t="s">
        <v>1792</v>
      </c>
      <c r="F848" s="109" t="s">
        <v>1793</v>
      </c>
      <c r="G848" s="108">
        <v>0.6666666666666666</v>
      </c>
      <c r="H848" s="109" t="s">
        <v>1794</v>
      </c>
      <c r="I848" s="109" t="s">
        <v>1795</v>
      </c>
      <c r="J848" s="98" t="s">
        <v>1796</v>
      </c>
      <c r="K848" s="91"/>
      <c r="L848" s="91"/>
      <c r="M848" s="91"/>
      <c r="N848" s="96" t="b">
        <v>0</v>
      </c>
      <c r="O848" s="96" t="b">
        <v>0</v>
      </c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  <c r="AA848" s="92"/>
      <c r="AB848" s="92"/>
      <c r="AC848" s="92"/>
      <c r="AD848" s="92"/>
      <c r="AE848" s="92"/>
      <c r="AF848" s="92"/>
      <c r="AG848" s="92"/>
    </row>
    <row r="849" hidden="1">
      <c r="A849" s="86"/>
      <c r="B849" s="25"/>
      <c r="C849" s="80" t="s">
        <v>78</v>
      </c>
      <c r="D849" s="97" t="s">
        <v>79</v>
      </c>
      <c r="E849" s="109" t="s">
        <v>1797</v>
      </c>
      <c r="F849" s="109" t="s">
        <v>1653</v>
      </c>
      <c r="G849" s="108">
        <v>0.75</v>
      </c>
      <c r="H849" s="109" t="s">
        <v>1784</v>
      </c>
      <c r="I849" s="109" t="s">
        <v>1798</v>
      </c>
      <c r="J849" s="98" t="s">
        <v>1655</v>
      </c>
      <c r="K849" s="91"/>
      <c r="L849" s="91"/>
      <c r="M849" s="91"/>
      <c r="N849" s="96" t="b">
        <v>0</v>
      </c>
      <c r="O849" s="96" t="b">
        <v>0</v>
      </c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  <c r="AA849" s="92"/>
      <c r="AB849" s="92"/>
      <c r="AC849" s="92"/>
      <c r="AD849" s="92"/>
      <c r="AE849" s="92"/>
      <c r="AF849" s="92"/>
      <c r="AG849" s="92"/>
    </row>
    <row r="850" hidden="1">
      <c r="A850" s="86"/>
      <c r="B850" s="39"/>
      <c r="C850" s="78" t="s">
        <v>78</v>
      </c>
      <c r="D850" s="97"/>
      <c r="E850" s="98"/>
      <c r="F850" s="98"/>
      <c r="G850" s="41"/>
      <c r="H850" s="98"/>
      <c r="I850" s="98"/>
      <c r="J850" s="98"/>
      <c r="K850" s="91"/>
      <c r="L850" s="91"/>
      <c r="M850" s="91"/>
      <c r="N850" s="96" t="b">
        <v>0</v>
      </c>
      <c r="O850" s="96" t="b">
        <v>0</v>
      </c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  <c r="AA850" s="92"/>
      <c r="AB850" s="92"/>
      <c r="AC850" s="92"/>
      <c r="AD850" s="92"/>
      <c r="AE850" s="92"/>
      <c r="AF850" s="92"/>
      <c r="AG850" s="92"/>
    </row>
    <row r="851" hidden="1">
      <c r="A851" s="86"/>
      <c r="B851" s="166"/>
      <c r="C851" s="88">
        <v>44419.0</v>
      </c>
      <c r="D851" s="97"/>
      <c r="E851" s="98"/>
      <c r="F851" s="98"/>
      <c r="G851" s="41"/>
      <c r="H851" s="98"/>
      <c r="I851" s="98"/>
      <c r="J851" s="98"/>
      <c r="K851" s="91"/>
      <c r="L851" s="91"/>
      <c r="M851" s="91"/>
      <c r="N851" s="96" t="b">
        <v>0</v>
      </c>
      <c r="O851" s="96" t="b">
        <v>0</v>
      </c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  <c r="AA851" s="92"/>
      <c r="AB851" s="92"/>
      <c r="AC851" s="92"/>
      <c r="AD851" s="92"/>
      <c r="AE851" s="92"/>
      <c r="AF851" s="92"/>
      <c r="AG851" s="92"/>
    </row>
    <row r="852" hidden="1">
      <c r="A852" s="86"/>
      <c r="B852" s="18" t="s">
        <v>1656</v>
      </c>
      <c r="C852" s="78" t="s">
        <v>78</v>
      </c>
      <c r="D852" s="97" t="s">
        <v>79</v>
      </c>
      <c r="E852" s="183" t="s">
        <v>817</v>
      </c>
      <c r="F852" s="183" t="s">
        <v>818</v>
      </c>
      <c r="G852" s="99">
        <v>0.75</v>
      </c>
      <c r="H852" s="98" t="s">
        <v>290</v>
      </c>
      <c r="I852" s="98" t="s">
        <v>819</v>
      </c>
      <c r="J852" s="98" t="s">
        <v>820</v>
      </c>
      <c r="K852" s="91"/>
      <c r="L852" s="91"/>
      <c r="M852" s="91"/>
      <c r="N852" s="96" t="b">
        <v>0</v>
      </c>
      <c r="O852" s="96" t="b">
        <v>0</v>
      </c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  <c r="AA852" s="92"/>
      <c r="AB852" s="92"/>
      <c r="AC852" s="92"/>
      <c r="AD852" s="92"/>
      <c r="AE852" s="92"/>
      <c r="AF852" s="92"/>
      <c r="AG852" s="92"/>
    </row>
    <row r="853" hidden="1">
      <c r="A853" s="86"/>
      <c r="B853" s="25"/>
      <c r="C853" s="80" t="s">
        <v>78</v>
      </c>
      <c r="D853" s="97" t="s">
        <v>79</v>
      </c>
      <c r="E853" s="183" t="s">
        <v>1799</v>
      </c>
      <c r="F853" s="183" t="s">
        <v>1800</v>
      </c>
      <c r="G853" s="99">
        <v>0.5</v>
      </c>
      <c r="H853" s="98" t="s">
        <v>1801</v>
      </c>
      <c r="I853" s="98" t="s">
        <v>1802</v>
      </c>
      <c r="J853" s="183" t="s">
        <v>1803</v>
      </c>
      <c r="K853" s="91"/>
      <c r="L853" s="91"/>
      <c r="M853" s="91"/>
      <c r="N853" s="96" t="b">
        <v>0</v>
      </c>
      <c r="O853" s="96" t="b">
        <v>0</v>
      </c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  <c r="AA853" s="92"/>
      <c r="AB853" s="92"/>
      <c r="AC853" s="92"/>
      <c r="AD853" s="92"/>
      <c r="AE853" s="92"/>
      <c r="AF853" s="92"/>
      <c r="AG853" s="92"/>
    </row>
    <row r="854" hidden="1">
      <c r="A854" s="86"/>
      <c r="B854" s="25"/>
      <c r="C854" s="80" t="s">
        <v>78</v>
      </c>
      <c r="D854" s="187" t="s">
        <v>79</v>
      </c>
      <c r="E854" s="183" t="s">
        <v>1804</v>
      </c>
      <c r="F854" s="183" t="s">
        <v>1805</v>
      </c>
      <c r="G854" s="218" t="s">
        <v>449</v>
      </c>
      <c r="H854" s="189" t="s">
        <v>1806</v>
      </c>
      <c r="I854" s="189" t="s">
        <v>1807</v>
      </c>
      <c r="J854" s="203" t="s">
        <v>1808</v>
      </c>
      <c r="K854" s="43"/>
      <c r="L854" s="43"/>
      <c r="M854" s="91"/>
      <c r="N854" s="96" t="b">
        <v>0</v>
      </c>
      <c r="O854" s="96" t="b">
        <v>0</v>
      </c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  <c r="AA854" s="92"/>
      <c r="AB854" s="92"/>
      <c r="AC854" s="92"/>
      <c r="AD854" s="92"/>
      <c r="AE854" s="92"/>
      <c r="AF854" s="92"/>
      <c r="AG854" s="92"/>
    </row>
    <row r="855" hidden="1">
      <c r="A855" s="86"/>
      <c r="B855" s="25"/>
      <c r="C855" s="80" t="s">
        <v>78</v>
      </c>
      <c r="D855" s="97" t="s">
        <v>79</v>
      </c>
      <c r="E855" s="183" t="s">
        <v>1809</v>
      </c>
      <c r="F855" s="183" t="s">
        <v>1810</v>
      </c>
      <c r="G855" s="99">
        <v>0.6666666666666666</v>
      </c>
      <c r="H855" s="98" t="s">
        <v>1731</v>
      </c>
      <c r="I855" s="98" t="s">
        <v>1811</v>
      </c>
      <c r="J855" s="183" t="s">
        <v>1812</v>
      </c>
      <c r="K855" s="91"/>
      <c r="L855" s="91"/>
      <c r="M855" s="91"/>
      <c r="N855" s="96" t="b">
        <v>0</v>
      </c>
      <c r="O855" s="96" t="b">
        <v>0</v>
      </c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  <c r="AA855" s="92"/>
      <c r="AB855" s="92"/>
      <c r="AC855" s="92"/>
      <c r="AD855" s="92"/>
      <c r="AE855" s="92"/>
      <c r="AF855" s="92"/>
      <c r="AG855" s="92"/>
    </row>
    <row r="856" hidden="1">
      <c r="A856" s="86"/>
      <c r="B856" s="39"/>
      <c r="C856" s="80" t="s">
        <v>78</v>
      </c>
      <c r="D856" s="97" t="s">
        <v>79</v>
      </c>
      <c r="E856" s="184" t="s">
        <v>821</v>
      </c>
      <c r="F856" s="184" t="s">
        <v>822</v>
      </c>
      <c r="G856" s="112" t="s">
        <v>248</v>
      </c>
      <c r="H856" s="109" t="s">
        <v>1662</v>
      </c>
      <c r="I856" s="109" t="s">
        <v>1813</v>
      </c>
      <c r="J856" s="184" t="s">
        <v>824</v>
      </c>
      <c r="K856" s="91"/>
      <c r="L856" s="91"/>
      <c r="M856" s="91"/>
      <c r="N856" s="96" t="b">
        <v>0</v>
      </c>
      <c r="O856" s="96" t="b">
        <v>0</v>
      </c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  <c r="AA856" s="92"/>
      <c r="AB856" s="92"/>
      <c r="AC856" s="92"/>
      <c r="AD856" s="92"/>
      <c r="AE856" s="92"/>
      <c r="AF856" s="92"/>
      <c r="AG856" s="92"/>
    </row>
    <row r="857" hidden="1">
      <c r="A857" s="86"/>
      <c r="B857" s="18" t="s">
        <v>1668</v>
      </c>
      <c r="C857" s="103"/>
      <c r="D857" s="97"/>
      <c r="E857" s="98"/>
      <c r="F857" s="98"/>
      <c r="G857" s="41"/>
      <c r="H857" s="98"/>
      <c r="I857" s="98"/>
      <c r="J857" s="98"/>
      <c r="K857" s="91"/>
      <c r="L857" s="91"/>
      <c r="M857" s="91"/>
      <c r="N857" s="96" t="b">
        <v>0</v>
      </c>
      <c r="O857" s="96" t="b">
        <v>0</v>
      </c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  <c r="AA857" s="92"/>
      <c r="AB857" s="92"/>
      <c r="AC857" s="92"/>
      <c r="AD857" s="92"/>
      <c r="AE857" s="92"/>
      <c r="AF857" s="92"/>
      <c r="AG857" s="92"/>
    </row>
    <row r="858" hidden="1">
      <c r="A858" s="86"/>
      <c r="B858" s="25"/>
      <c r="C858" s="80" t="s">
        <v>78</v>
      </c>
      <c r="D858" s="97" t="s">
        <v>79</v>
      </c>
      <c r="E858" s="183" t="s">
        <v>1814</v>
      </c>
      <c r="F858" s="183" t="s">
        <v>1815</v>
      </c>
      <c r="G858" s="41" t="s">
        <v>880</v>
      </c>
      <c r="H858" s="98" t="s">
        <v>1816</v>
      </c>
      <c r="I858" s="98" t="s">
        <v>1817</v>
      </c>
      <c r="J858" s="183" t="s">
        <v>1818</v>
      </c>
      <c r="K858" s="91"/>
      <c r="L858" s="91"/>
      <c r="M858" s="91"/>
      <c r="N858" s="96" t="b">
        <v>0</v>
      </c>
      <c r="O858" s="96" t="b">
        <v>0</v>
      </c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  <c r="AA858" s="92"/>
      <c r="AB858" s="92"/>
      <c r="AC858" s="92"/>
      <c r="AD858" s="92"/>
      <c r="AE858" s="92"/>
      <c r="AF858" s="92"/>
      <c r="AG858" s="92"/>
    </row>
    <row r="859" hidden="1">
      <c r="A859" s="86"/>
      <c r="B859" s="25"/>
      <c r="C859" s="80" t="s">
        <v>78</v>
      </c>
      <c r="D859" s="97" t="s">
        <v>79</v>
      </c>
      <c r="E859" s="183" t="s">
        <v>1819</v>
      </c>
      <c r="F859" s="183" t="s">
        <v>1820</v>
      </c>
      <c r="G859" s="99">
        <v>0.5833333333333334</v>
      </c>
      <c r="H859" s="98" t="s">
        <v>1821</v>
      </c>
      <c r="I859" s="98" t="s">
        <v>1822</v>
      </c>
      <c r="J859" s="203" t="s">
        <v>1823</v>
      </c>
      <c r="K859" s="91"/>
      <c r="L859" s="91"/>
      <c r="M859" s="91"/>
      <c r="N859" s="96" t="b">
        <v>0</v>
      </c>
      <c r="O859" s="96" t="b">
        <v>0</v>
      </c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  <c r="AA859" s="92"/>
      <c r="AB859" s="92"/>
      <c r="AC859" s="92"/>
      <c r="AD859" s="92"/>
      <c r="AE859" s="92"/>
      <c r="AF859" s="92"/>
      <c r="AG859" s="92"/>
    </row>
    <row r="860" hidden="1">
      <c r="A860" s="86"/>
      <c r="B860" s="25"/>
      <c r="C860" s="80" t="s">
        <v>78</v>
      </c>
      <c r="D860" s="97" t="s">
        <v>79</v>
      </c>
      <c r="E860" s="183" t="s">
        <v>1824</v>
      </c>
      <c r="F860" s="183" t="s">
        <v>1825</v>
      </c>
      <c r="G860" s="41" t="s">
        <v>180</v>
      </c>
      <c r="H860" s="98" t="s">
        <v>478</v>
      </c>
      <c r="I860" s="98" t="s">
        <v>1826</v>
      </c>
      <c r="J860" s="183" t="s">
        <v>1827</v>
      </c>
      <c r="K860" s="91"/>
      <c r="L860" s="98" t="s">
        <v>1828</v>
      </c>
      <c r="M860" s="91"/>
      <c r="N860" s="96" t="b">
        <v>0</v>
      </c>
      <c r="O860" s="96" t="b">
        <v>0</v>
      </c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  <c r="AA860" s="92"/>
      <c r="AB860" s="92"/>
      <c r="AC860" s="92"/>
      <c r="AD860" s="92"/>
      <c r="AE860" s="92"/>
      <c r="AF860" s="92"/>
      <c r="AG860" s="92"/>
    </row>
    <row r="861" hidden="1">
      <c r="A861" s="86"/>
      <c r="B861" s="25"/>
      <c r="C861" s="80" t="s">
        <v>78</v>
      </c>
      <c r="D861" s="97" t="s">
        <v>79</v>
      </c>
      <c r="E861" s="183" t="s">
        <v>1829</v>
      </c>
      <c r="F861" s="183" t="s">
        <v>1830</v>
      </c>
      <c r="G861" s="99">
        <v>0.5</v>
      </c>
      <c r="H861" s="98" t="s">
        <v>1831</v>
      </c>
      <c r="I861" s="98" t="s">
        <v>1832</v>
      </c>
      <c r="J861" s="183" t="s">
        <v>1833</v>
      </c>
      <c r="K861" s="91"/>
      <c r="L861" s="91"/>
      <c r="M861" s="91"/>
      <c r="N861" s="96" t="b">
        <v>0</v>
      </c>
      <c r="O861" s="96" t="b">
        <v>0</v>
      </c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  <c r="AA861" s="92"/>
      <c r="AB861" s="92"/>
      <c r="AC861" s="92"/>
      <c r="AD861" s="92"/>
      <c r="AE861" s="92"/>
      <c r="AF861" s="92"/>
      <c r="AG861" s="92"/>
    </row>
    <row r="862" hidden="1">
      <c r="A862" s="86"/>
      <c r="B862" s="39"/>
      <c r="C862" s="78" t="s">
        <v>78</v>
      </c>
      <c r="D862" s="97"/>
      <c r="E862" s="98"/>
      <c r="F862" s="98"/>
      <c r="G862" s="41"/>
      <c r="H862" s="98"/>
      <c r="I862" s="98"/>
      <c r="J862" s="98"/>
      <c r="K862" s="91"/>
      <c r="L862" s="91"/>
      <c r="M862" s="91"/>
      <c r="N862" s="96" t="b">
        <v>0</v>
      </c>
      <c r="O862" s="96" t="b">
        <v>0</v>
      </c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  <c r="AA862" s="92"/>
      <c r="AB862" s="92"/>
      <c r="AC862" s="92"/>
      <c r="AD862" s="92"/>
      <c r="AE862" s="92"/>
      <c r="AF862" s="92"/>
      <c r="AG862" s="92"/>
    </row>
    <row r="863" hidden="1">
      <c r="A863" s="86"/>
      <c r="B863" s="166"/>
      <c r="C863" s="88">
        <v>44420.0</v>
      </c>
      <c r="D863" s="97"/>
      <c r="E863" s="98"/>
      <c r="F863" s="98"/>
      <c r="G863" s="41"/>
      <c r="H863" s="98"/>
      <c r="I863" s="98"/>
      <c r="J863" s="98"/>
      <c r="K863" s="91"/>
      <c r="L863" s="91"/>
      <c r="M863" s="91"/>
      <c r="N863" s="96" t="b">
        <v>0</v>
      </c>
      <c r="O863" s="96" t="b">
        <v>0</v>
      </c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  <c r="AA863" s="92"/>
      <c r="AB863" s="92"/>
      <c r="AC863" s="92"/>
      <c r="AD863" s="92"/>
      <c r="AE863" s="92"/>
      <c r="AF863" s="92"/>
      <c r="AG863" s="92"/>
    </row>
    <row r="864" hidden="1">
      <c r="A864" s="86"/>
      <c r="B864" s="18" t="s">
        <v>1656</v>
      </c>
      <c r="C864" s="78" t="s">
        <v>78</v>
      </c>
      <c r="D864" s="97" t="s">
        <v>79</v>
      </c>
      <c r="E864" s="183" t="s">
        <v>1834</v>
      </c>
      <c r="F864" s="183" t="s">
        <v>1835</v>
      </c>
      <c r="G864" s="99">
        <v>0.4375</v>
      </c>
      <c r="H864" s="98" t="s">
        <v>1836</v>
      </c>
      <c r="I864" s="98" t="s">
        <v>1837</v>
      </c>
      <c r="J864" s="183" t="s">
        <v>1838</v>
      </c>
      <c r="K864" s="91"/>
      <c r="L864" s="91"/>
      <c r="M864" s="91"/>
      <c r="N864" s="96" t="b">
        <v>0</v>
      </c>
      <c r="O864" s="96" t="b">
        <v>0</v>
      </c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  <c r="AA864" s="92"/>
      <c r="AB864" s="92"/>
      <c r="AC864" s="92"/>
      <c r="AD864" s="92"/>
      <c r="AE864" s="92"/>
      <c r="AF864" s="92"/>
      <c r="AG864" s="92"/>
    </row>
    <row r="865" hidden="1">
      <c r="A865" s="86"/>
      <c r="B865" s="25"/>
      <c r="C865" s="80" t="s">
        <v>78</v>
      </c>
      <c r="D865" s="97" t="s">
        <v>79</v>
      </c>
      <c r="E865" s="183" t="s">
        <v>1839</v>
      </c>
      <c r="F865" s="183" t="s">
        <v>1840</v>
      </c>
      <c r="G865" s="99">
        <v>0.5208333333333334</v>
      </c>
      <c r="H865" s="98" t="s">
        <v>1662</v>
      </c>
      <c r="I865" s="98" t="s">
        <v>1841</v>
      </c>
      <c r="J865" s="183" t="s">
        <v>1842</v>
      </c>
      <c r="K865" s="91"/>
      <c r="L865" s="91"/>
      <c r="M865" s="91"/>
      <c r="N865" s="96" t="b">
        <v>0</v>
      </c>
      <c r="O865" s="96" t="b">
        <v>0</v>
      </c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  <c r="AA865" s="92"/>
      <c r="AB865" s="92"/>
      <c r="AC865" s="92"/>
      <c r="AD865" s="92"/>
      <c r="AE865" s="92"/>
      <c r="AF865" s="92"/>
      <c r="AG865" s="92"/>
    </row>
    <row r="866" hidden="1">
      <c r="A866" s="86"/>
      <c r="B866" s="25"/>
      <c r="C866" s="80" t="s">
        <v>78</v>
      </c>
      <c r="D866" s="97" t="s">
        <v>79</v>
      </c>
      <c r="E866" s="184" t="s">
        <v>1843</v>
      </c>
      <c r="F866" s="184" t="s">
        <v>1844</v>
      </c>
      <c r="G866" s="108">
        <v>0.6041666666666666</v>
      </c>
      <c r="H866" s="109" t="s">
        <v>1456</v>
      </c>
      <c r="I866" s="109" t="s">
        <v>1845</v>
      </c>
      <c r="J866" s="109" t="s">
        <v>1846</v>
      </c>
      <c r="K866" s="109" t="s">
        <v>1847</v>
      </c>
      <c r="L866" s="91"/>
      <c r="M866" s="91"/>
      <c r="N866" s="96" t="b">
        <v>0</v>
      </c>
      <c r="O866" s="96" t="b">
        <v>0</v>
      </c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  <c r="AA866" s="92"/>
      <c r="AB866" s="92"/>
      <c r="AC866" s="92"/>
      <c r="AD866" s="92"/>
      <c r="AE866" s="92"/>
      <c r="AF866" s="92"/>
      <c r="AG866" s="92"/>
    </row>
    <row r="867" hidden="1">
      <c r="A867" s="86"/>
      <c r="B867" s="25"/>
      <c r="C867" s="80" t="s">
        <v>78</v>
      </c>
      <c r="D867" s="97" t="s">
        <v>79</v>
      </c>
      <c r="E867" s="183" t="s">
        <v>1848</v>
      </c>
      <c r="F867" s="183" t="s">
        <v>1849</v>
      </c>
      <c r="G867" s="99">
        <v>0.6875</v>
      </c>
      <c r="H867" s="98" t="s">
        <v>1850</v>
      </c>
      <c r="I867" s="98" t="s">
        <v>1851</v>
      </c>
      <c r="J867" s="183" t="s">
        <v>1852</v>
      </c>
      <c r="K867" s="91"/>
      <c r="L867" s="91"/>
      <c r="M867" s="91"/>
      <c r="N867" s="96" t="b">
        <v>0</v>
      </c>
      <c r="O867" s="96" t="b">
        <v>0</v>
      </c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  <c r="AA867" s="92"/>
      <c r="AB867" s="92"/>
      <c r="AC867" s="92"/>
      <c r="AD867" s="92"/>
      <c r="AE867" s="92"/>
      <c r="AF867" s="92"/>
      <c r="AG867" s="92"/>
    </row>
    <row r="868" hidden="1">
      <c r="A868" s="86"/>
      <c r="B868" s="39"/>
      <c r="C868" s="80" t="s">
        <v>78</v>
      </c>
      <c r="D868" s="97"/>
      <c r="E868" s="98"/>
      <c r="F868" s="98"/>
      <c r="G868" s="41"/>
      <c r="H868" s="98"/>
      <c r="I868" s="98"/>
      <c r="J868" s="98"/>
      <c r="K868" s="91"/>
      <c r="L868" s="91"/>
      <c r="M868" s="91"/>
      <c r="N868" s="96" t="b">
        <v>0</v>
      </c>
      <c r="O868" s="96" t="b">
        <v>0</v>
      </c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  <c r="AA868" s="92"/>
      <c r="AB868" s="92"/>
      <c r="AC868" s="92"/>
      <c r="AD868" s="92"/>
      <c r="AE868" s="92"/>
      <c r="AF868" s="92"/>
      <c r="AG868" s="92"/>
    </row>
    <row r="869" hidden="1">
      <c r="A869" s="86"/>
      <c r="B869" s="18" t="s">
        <v>1668</v>
      </c>
      <c r="C869" s="103"/>
      <c r="D869" s="97" t="s">
        <v>79</v>
      </c>
      <c r="E869" s="183" t="s">
        <v>1853</v>
      </c>
      <c r="F869" s="183" t="s">
        <v>1854</v>
      </c>
      <c r="G869" s="99">
        <v>0.4583333333333333</v>
      </c>
      <c r="H869" s="98" t="s">
        <v>1855</v>
      </c>
      <c r="I869" s="98" t="s">
        <v>1856</v>
      </c>
      <c r="J869" s="98" t="s">
        <v>1857</v>
      </c>
      <c r="K869" s="91"/>
      <c r="L869" s="91"/>
      <c r="M869" s="91"/>
      <c r="N869" s="96" t="b">
        <v>0</v>
      </c>
      <c r="O869" s="96" t="b">
        <v>0</v>
      </c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  <c r="AA869" s="92"/>
      <c r="AB869" s="92"/>
      <c r="AC869" s="92"/>
      <c r="AD869" s="92"/>
      <c r="AE869" s="92"/>
      <c r="AF869" s="92"/>
      <c r="AG869" s="92"/>
    </row>
    <row r="870" hidden="1">
      <c r="A870" s="86"/>
      <c r="B870" s="25"/>
      <c r="C870" s="80" t="s">
        <v>78</v>
      </c>
      <c r="D870" s="97" t="s">
        <v>79</v>
      </c>
      <c r="E870" s="183" t="s">
        <v>1858</v>
      </c>
      <c r="F870" s="183" t="s">
        <v>1859</v>
      </c>
      <c r="G870" s="99">
        <v>0.5416666666666666</v>
      </c>
      <c r="H870" s="98" t="s">
        <v>1767</v>
      </c>
      <c r="I870" s="189" t="s">
        <v>1860</v>
      </c>
      <c r="J870" s="183" t="s">
        <v>1861</v>
      </c>
      <c r="K870" s="91"/>
      <c r="L870" s="91"/>
      <c r="M870" s="91"/>
      <c r="N870" s="96" t="b">
        <v>0</v>
      </c>
      <c r="O870" s="217" t="b">
        <v>1</v>
      </c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  <c r="AA870" s="92"/>
      <c r="AB870" s="92"/>
      <c r="AC870" s="92"/>
      <c r="AD870" s="92"/>
      <c r="AE870" s="92"/>
      <c r="AF870" s="92"/>
      <c r="AG870" s="92"/>
    </row>
    <row r="871" hidden="1">
      <c r="A871" s="86"/>
      <c r="B871" s="25"/>
      <c r="C871" s="80" t="s">
        <v>78</v>
      </c>
      <c r="D871" s="97" t="s">
        <v>79</v>
      </c>
      <c r="E871" s="183" t="s">
        <v>1862</v>
      </c>
      <c r="F871" s="183" t="s">
        <v>1863</v>
      </c>
      <c r="G871" s="41" t="s">
        <v>567</v>
      </c>
      <c r="H871" s="98" t="s">
        <v>1864</v>
      </c>
      <c r="I871" s="98" t="s">
        <v>1865</v>
      </c>
      <c r="J871" s="183" t="s">
        <v>1866</v>
      </c>
      <c r="K871" s="91"/>
      <c r="L871" s="98" t="s">
        <v>1867</v>
      </c>
      <c r="M871" s="91"/>
      <c r="N871" s="96" t="b">
        <v>0</v>
      </c>
      <c r="O871" s="96" t="b">
        <v>0</v>
      </c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  <c r="AA871" s="92"/>
      <c r="AB871" s="92"/>
      <c r="AC871" s="92"/>
      <c r="AD871" s="92"/>
      <c r="AE871" s="92"/>
      <c r="AF871" s="92"/>
      <c r="AG871" s="92"/>
    </row>
    <row r="872" hidden="1">
      <c r="A872" s="86"/>
      <c r="B872" s="25"/>
      <c r="C872" s="80" t="s">
        <v>78</v>
      </c>
      <c r="D872" s="97" t="s">
        <v>79</v>
      </c>
      <c r="E872" s="183" t="s">
        <v>1868</v>
      </c>
      <c r="F872" s="183" t="s">
        <v>1869</v>
      </c>
      <c r="G872" s="99">
        <v>0.7083333333333334</v>
      </c>
      <c r="H872" s="98" t="s">
        <v>1870</v>
      </c>
      <c r="I872" s="98" t="s">
        <v>1871</v>
      </c>
      <c r="J872" s="183" t="s">
        <v>1872</v>
      </c>
      <c r="K872" s="91"/>
      <c r="L872" s="91"/>
      <c r="M872" s="91"/>
      <c r="N872" s="96" t="b">
        <v>0</v>
      </c>
      <c r="O872" s="96" t="b">
        <v>0</v>
      </c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  <c r="AA872" s="92"/>
      <c r="AB872" s="92"/>
      <c r="AC872" s="92"/>
      <c r="AD872" s="92"/>
      <c r="AE872" s="92"/>
      <c r="AF872" s="92"/>
      <c r="AG872" s="92"/>
    </row>
    <row r="873" hidden="1">
      <c r="A873" s="86"/>
      <c r="B873" s="25"/>
      <c r="C873" s="80" t="s">
        <v>78</v>
      </c>
      <c r="D873" s="97"/>
      <c r="E873" s="98"/>
      <c r="F873" s="98"/>
      <c r="G873" s="41"/>
      <c r="H873" s="98"/>
      <c r="I873" s="98"/>
      <c r="J873" s="98"/>
      <c r="K873" s="91"/>
      <c r="L873" s="91"/>
      <c r="M873" s="91"/>
      <c r="N873" s="96" t="b">
        <v>0</v>
      </c>
      <c r="O873" s="96" t="b">
        <v>0</v>
      </c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  <c r="AA873" s="92"/>
      <c r="AB873" s="92"/>
      <c r="AC873" s="92"/>
      <c r="AD873" s="92"/>
      <c r="AE873" s="92"/>
      <c r="AF873" s="92"/>
      <c r="AG873" s="92"/>
    </row>
    <row r="874" hidden="1">
      <c r="A874" s="86"/>
      <c r="B874" s="39"/>
      <c r="C874" s="78" t="s">
        <v>78</v>
      </c>
      <c r="D874" s="97"/>
      <c r="E874" s="98"/>
      <c r="F874" s="98"/>
      <c r="G874" s="41"/>
      <c r="H874" s="98"/>
      <c r="I874" s="98"/>
      <c r="J874" s="98"/>
      <c r="K874" s="91"/>
      <c r="L874" s="91"/>
      <c r="M874" s="91"/>
      <c r="N874" s="96" t="b">
        <v>0</v>
      </c>
      <c r="O874" s="96" t="b">
        <v>0</v>
      </c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  <c r="AA874" s="92"/>
      <c r="AB874" s="92"/>
      <c r="AC874" s="92"/>
      <c r="AD874" s="92"/>
      <c r="AE874" s="92"/>
      <c r="AF874" s="92"/>
      <c r="AG874" s="92"/>
    </row>
    <row r="875" hidden="1">
      <c r="A875" s="86"/>
      <c r="B875" s="166"/>
      <c r="C875" s="88">
        <v>44421.0</v>
      </c>
      <c r="D875" s="97"/>
      <c r="E875" s="98"/>
      <c r="F875" s="98"/>
      <c r="G875" s="41"/>
      <c r="H875" s="98"/>
      <c r="I875" s="98"/>
      <c r="J875" s="183"/>
      <c r="K875" s="98"/>
      <c r="L875" s="91"/>
      <c r="M875" s="91"/>
      <c r="N875" s="96" t="b">
        <v>0</v>
      </c>
      <c r="O875" s="96" t="b">
        <v>0</v>
      </c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  <c r="AA875" s="92"/>
      <c r="AB875" s="92"/>
      <c r="AC875" s="92"/>
      <c r="AD875" s="92"/>
      <c r="AE875" s="92"/>
      <c r="AF875" s="92"/>
      <c r="AG875" s="92"/>
    </row>
    <row r="876" hidden="1">
      <c r="A876" s="86"/>
      <c r="B876" s="18" t="s">
        <v>1656</v>
      </c>
      <c r="C876" s="78" t="s">
        <v>78</v>
      </c>
      <c r="D876" s="181"/>
      <c r="E876" s="43"/>
      <c r="F876" s="43"/>
      <c r="G876" s="188"/>
      <c r="H876" s="43"/>
      <c r="I876" s="43"/>
      <c r="J876" s="43"/>
      <c r="K876" s="43"/>
      <c r="L876" s="91"/>
      <c r="M876" s="91"/>
      <c r="N876" s="96" t="b">
        <v>0</v>
      </c>
      <c r="O876" s="96" t="b">
        <v>0</v>
      </c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  <c r="AA876" s="92"/>
      <c r="AB876" s="92"/>
      <c r="AC876" s="92"/>
      <c r="AD876" s="92"/>
      <c r="AE876" s="92"/>
      <c r="AF876" s="92"/>
      <c r="AG876" s="92"/>
    </row>
    <row r="877" hidden="1">
      <c r="A877" s="86"/>
      <c r="B877" s="25"/>
      <c r="C877" s="80" t="s">
        <v>78</v>
      </c>
      <c r="D877" s="187" t="s">
        <v>1873</v>
      </c>
      <c r="E877" s="183" t="s">
        <v>846</v>
      </c>
      <c r="F877" s="183" t="s">
        <v>847</v>
      </c>
      <c r="G877" s="188">
        <v>0.5</v>
      </c>
      <c r="H877" s="189" t="s">
        <v>1874</v>
      </c>
      <c r="I877" s="189" t="s">
        <v>1875</v>
      </c>
      <c r="J877" s="183" t="s">
        <v>849</v>
      </c>
      <c r="K877" s="43"/>
      <c r="L877" s="91"/>
      <c r="M877" s="91"/>
      <c r="N877" s="96" t="b">
        <v>0</v>
      </c>
      <c r="O877" s="96" t="b">
        <v>0</v>
      </c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  <c r="AA877" s="92"/>
      <c r="AB877" s="92"/>
      <c r="AC877" s="92"/>
      <c r="AD877" s="92"/>
      <c r="AE877" s="92"/>
      <c r="AF877" s="92"/>
      <c r="AG877" s="92"/>
    </row>
    <row r="878" hidden="1">
      <c r="A878" s="86"/>
      <c r="B878" s="25"/>
      <c r="C878" s="80" t="s">
        <v>78</v>
      </c>
      <c r="D878" s="187" t="s">
        <v>131</v>
      </c>
      <c r="E878" s="191" t="s">
        <v>1876</v>
      </c>
      <c r="F878" s="191" t="s">
        <v>1877</v>
      </c>
      <c r="G878" s="192">
        <v>0.5833333333333334</v>
      </c>
      <c r="H878" s="191" t="s">
        <v>1878</v>
      </c>
      <c r="I878" s="191" t="s">
        <v>1879</v>
      </c>
      <c r="J878" s="191" t="s">
        <v>1880</v>
      </c>
      <c r="K878" s="219"/>
      <c r="L878" s="91"/>
      <c r="M878" s="91"/>
      <c r="N878" s="96" t="b">
        <v>0</v>
      </c>
      <c r="O878" s="96" t="b">
        <v>0</v>
      </c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  <c r="AA878" s="92"/>
      <c r="AB878" s="92"/>
      <c r="AC878" s="92"/>
      <c r="AD878" s="92"/>
      <c r="AE878" s="92"/>
      <c r="AF878" s="92"/>
      <c r="AG878" s="92"/>
    </row>
    <row r="879" hidden="1">
      <c r="A879" s="86"/>
      <c r="B879" s="25"/>
      <c r="C879" s="80" t="s">
        <v>78</v>
      </c>
      <c r="D879" s="187" t="s">
        <v>131</v>
      </c>
      <c r="E879" s="191" t="s">
        <v>1881</v>
      </c>
      <c r="F879" s="191" t="s">
        <v>1882</v>
      </c>
      <c r="G879" s="192">
        <v>0.6666666666666666</v>
      </c>
      <c r="H879" s="184" t="s">
        <v>458</v>
      </c>
      <c r="I879" s="184" t="s">
        <v>1883</v>
      </c>
      <c r="J879" s="191" t="s">
        <v>1884</v>
      </c>
      <c r="K879" s="219"/>
      <c r="L879" s="91"/>
      <c r="M879" s="91"/>
      <c r="N879" s="96" t="b">
        <v>0</v>
      </c>
      <c r="O879" s="96" t="b">
        <v>0</v>
      </c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  <c r="AA879" s="92"/>
      <c r="AB879" s="92"/>
      <c r="AC879" s="92"/>
      <c r="AD879" s="92"/>
      <c r="AE879" s="92"/>
      <c r="AF879" s="92"/>
      <c r="AG879" s="92"/>
    </row>
    <row r="880" hidden="1">
      <c r="A880" s="86"/>
      <c r="B880" s="39"/>
      <c r="C880" s="80" t="s">
        <v>78</v>
      </c>
      <c r="D880" s="97" t="s">
        <v>131</v>
      </c>
      <c r="E880" s="109" t="s">
        <v>1885</v>
      </c>
      <c r="F880" s="109" t="s">
        <v>1886</v>
      </c>
      <c r="G880" s="108">
        <v>0.75</v>
      </c>
      <c r="H880" s="109" t="s">
        <v>439</v>
      </c>
      <c r="I880" s="109" t="s">
        <v>1887</v>
      </c>
      <c r="J880" s="211" t="s">
        <v>1888</v>
      </c>
      <c r="K880" s="111"/>
      <c r="L880" s="91"/>
      <c r="M880" s="91"/>
      <c r="N880" s="96" t="b">
        <v>0</v>
      </c>
      <c r="O880" s="96" t="b">
        <v>0</v>
      </c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  <c r="AA880" s="92"/>
      <c r="AB880" s="92"/>
      <c r="AC880" s="92"/>
      <c r="AD880" s="92"/>
      <c r="AE880" s="92"/>
      <c r="AF880" s="92"/>
      <c r="AG880" s="92"/>
    </row>
    <row r="881" hidden="1">
      <c r="A881" s="86"/>
      <c r="B881" s="18" t="s">
        <v>1668</v>
      </c>
      <c r="C881" s="103"/>
      <c r="D881" s="97"/>
      <c r="E881" s="98"/>
      <c r="F881" s="98"/>
      <c r="G881" s="41"/>
      <c r="H881" s="98"/>
      <c r="I881" s="98"/>
      <c r="J881" s="98"/>
      <c r="K881" s="91"/>
      <c r="L881" s="91"/>
      <c r="M881" s="91"/>
      <c r="N881" s="96" t="b">
        <v>0</v>
      </c>
      <c r="O881" s="96" t="b">
        <v>0</v>
      </c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  <c r="AA881" s="92"/>
      <c r="AB881" s="92"/>
      <c r="AC881" s="92"/>
      <c r="AD881" s="92"/>
      <c r="AE881" s="92"/>
      <c r="AF881" s="92"/>
      <c r="AG881" s="92"/>
    </row>
    <row r="882" hidden="1">
      <c r="A882" s="86"/>
      <c r="B882" s="25"/>
      <c r="C882" s="80" t="s">
        <v>78</v>
      </c>
      <c r="D882" s="97" t="s">
        <v>79</v>
      </c>
      <c r="E882" s="183" t="s">
        <v>1255</v>
      </c>
      <c r="F882" s="183" t="s">
        <v>1256</v>
      </c>
      <c r="G882" s="99">
        <v>0.4166666666666667</v>
      </c>
      <c r="H882" s="98" t="s">
        <v>1889</v>
      </c>
      <c r="I882" s="183" t="s">
        <v>1890</v>
      </c>
      <c r="J882" s="183" t="s">
        <v>1258</v>
      </c>
      <c r="K882" s="98" t="s">
        <v>838</v>
      </c>
      <c r="L882" s="91"/>
      <c r="M882" s="91"/>
      <c r="N882" s="96" t="b">
        <v>0</v>
      </c>
      <c r="O882" s="96" t="b">
        <v>0</v>
      </c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  <c r="AA882" s="92"/>
      <c r="AB882" s="92"/>
      <c r="AC882" s="92"/>
      <c r="AD882" s="92"/>
      <c r="AE882" s="92"/>
      <c r="AF882" s="92"/>
      <c r="AG882" s="92"/>
    </row>
    <row r="883" hidden="1">
      <c r="A883" s="86"/>
      <c r="B883" s="25"/>
      <c r="C883" s="80" t="s">
        <v>78</v>
      </c>
      <c r="D883" s="97" t="s">
        <v>79</v>
      </c>
      <c r="E883" s="183" t="s">
        <v>611</v>
      </c>
      <c r="F883" s="183" t="s">
        <v>612</v>
      </c>
      <c r="G883" s="99">
        <v>0.5</v>
      </c>
      <c r="H883" s="98" t="s">
        <v>1889</v>
      </c>
      <c r="I883" s="98" t="s">
        <v>1891</v>
      </c>
      <c r="J883" s="183" t="s">
        <v>614</v>
      </c>
      <c r="K883" s="91"/>
      <c r="L883" s="91"/>
      <c r="M883" s="91"/>
      <c r="N883" s="96" t="b">
        <v>0</v>
      </c>
      <c r="O883" s="96" t="b">
        <v>0</v>
      </c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  <c r="AA883" s="92"/>
      <c r="AB883" s="92"/>
      <c r="AC883" s="92"/>
      <c r="AD883" s="92"/>
      <c r="AE883" s="92"/>
      <c r="AF883" s="92"/>
      <c r="AG883" s="92"/>
    </row>
    <row r="884" hidden="1">
      <c r="A884" s="86"/>
      <c r="B884" s="25"/>
      <c r="C884" s="80" t="s">
        <v>78</v>
      </c>
      <c r="D884" s="97" t="s">
        <v>79</v>
      </c>
      <c r="E884" s="183" t="s">
        <v>166</v>
      </c>
      <c r="F884" s="183" t="s">
        <v>167</v>
      </c>
      <c r="G884" s="99">
        <v>0.5833333333333334</v>
      </c>
      <c r="H884" s="183" t="s">
        <v>243</v>
      </c>
      <c r="I884" s="183" t="s">
        <v>1892</v>
      </c>
      <c r="J884" s="183" t="s">
        <v>170</v>
      </c>
      <c r="K884" s="98" t="s">
        <v>838</v>
      </c>
      <c r="L884" s="98" t="s">
        <v>1893</v>
      </c>
      <c r="M884" s="91"/>
      <c r="N884" s="96" t="b">
        <v>0</v>
      </c>
      <c r="O884" s="96" t="b">
        <v>0</v>
      </c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  <c r="AA884" s="92"/>
      <c r="AB884" s="92"/>
      <c r="AC884" s="92"/>
      <c r="AD884" s="92"/>
      <c r="AE884" s="92"/>
      <c r="AF884" s="92"/>
      <c r="AG884" s="92"/>
    </row>
    <row r="885" hidden="1">
      <c r="A885" s="86"/>
      <c r="B885" s="25"/>
      <c r="C885" s="80" t="s">
        <v>78</v>
      </c>
      <c r="D885" s="97" t="s">
        <v>79</v>
      </c>
      <c r="E885" s="183" t="s">
        <v>968</v>
      </c>
      <c r="F885" s="183" t="s">
        <v>969</v>
      </c>
      <c r="G885" s="99">
        <v>0.6666666666666666</v>
      </c>
      <c r="H885" s="183" t="s">
        <v>1894</v>
      </c>
      <c r="I885" s="183" t="s">
        <v>1895</v>
      </c>
      <c r="J885" s="183" t="s">
        <v>971</v>
      </c>
      <c r="K885" s="98" t="s">
        <v>838</v>
      </c>
      <c r="L885" s="91"/>
      <c r="M885" s="91"/>
      <c r="N885" s="96" t="b">
        <v>0</v>
      </c>
      <c r="O885" s="96" t="b">
        <v>0</v>
      </c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  <c r="AA885" s="92"/>
      <c r="AB885" s="92"/>
      <c r="AC885" s="92"/>
      <c r="AD885" s="92"/>
      <c r="AE885" s="92"/>
      <c r="AF885" s="92"/>
      <c r="AG885" s="92"/>
    </row>
    <row r="886" hidden="1">
      <c r="A886" s="86"/>
      <c r="B886" s="39"/>
      <c r="C886" s="78" t="s">
        <v>78</v>
      </c>
      <c r="D886" s="97"/>
      <c r="E886" s="98"/>
      <c r="F886" s="98"/>
      <c r="G886" s="41"/>
      <c r="H886" s="98"/>
      <c r="I886" s="98"/>
      <c r="J886" s="98"/>
      <c r="K886" s="91"/>
      <c r="L886" s="91"/>
      <c r="M886" s="91"/>
      <c r="N886" s="96" t="b">
        <v>0</v>
      </c>
      <c r="O886" s="96" t="b">
        <v>0</v>
      </c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  <c r="AA886" s="92"/>
      <c r="AB886" s="92"/>
      <c r="AC886" s="92"/>
      <c r="AD886" s="92"/>
      <c r="AE886" s="92"/>
      <c r="AF886" s="92"/>
      <c r="AG886" s="92"/>
    </row>
    <row r="887" hidden="1">
      <c r="A887" s="86"/>
      <c r="B887" s="166"/>
      <c r="C887" s="88">
        <v>44424.0</v>
      </c>
      <c r="D887" s="97"/>
      <c r="E887" s="98"/>
      <c r="F887" s="98"/>
      <c r="G887" s="41"/>
      <c r="H887" s="98"/>
      <c r="I887" s="98"/>
      <c r="J887" s="98"/>
      <c r="K887" s="91"/>
      <c r="L887" s="91"/>
      <c r="M887" s="91"/>
      <c r="N887" s="96" t="b">
        <v>0</v>
      </c>
      <c r="O887" s="96" t="b">
        <v>0</v>
      </c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  <c r="AA887" s="92"/>
      <c r="AB887" s="92"/>
      <c r="AC887" s="92"/>
      <c r="AD887" s="92"/>
      <c r="AE887" s="92"/>
      <c r="AF887" s="92"/>
      <c r="AG887" s="92"/>
    </row>
    <row r="888" hidden="1">
      <c r="A888" s="86"/>
      <c r="B888" s="18" t="s">
        <v>1656</v>
      </c>
      <c r="C888" s="78" t="s">
        <v>78</v>
      </c>
      <c r="D888" s="97"/>
      <c r="E888" s="98"/>
      <c r="F888" s="142" t="s">
        <v>1896</v>
      </c>
      <c r="G888" s="41"/>
      <c r="H888" s="98"/>
      <c r="I888" s="98"/>
      <c r="J888" s="98"/>
      <c r="K888" s="91"/>
      <c r="L888" s="91"/>
      <c r="M888" s="91"/>
      <c r="N888" s="96" t="b">
        <v>0</v>
      </c>
      <c r="O888" s="96" t="b">
        <v>0</v>
      </c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  <c r="AA888" s="92"/>
      <c r="AB888" s="92"/>
      <c r="AC888" s="92"/>
      <c r="AD888" s="92"/>
      <c r="AE888" s="92"/>
      <c r="AF888" s="92"/>
      <c r="AG888" s="92"/>
    </row>
    <row r="889" hidden="1">
      <c r="A889" s="86"/>
      <c r="B889" s="25"/>
      <c r="C889" s="80" t="s">
        <v>78</v>
      </c>
      <c r="D889" s="97"/>
      <c r="E889" s="98"/>
      <c r="F889" s="98"/>
      <c r="G889" s="41"/>
      <c r="H889" s="98"/>
      <c r="I889" s="98"/>
      <c r="J889" s="98"/>
      <c r="K889" s="91"/>
      <c r="L889" s="91"/>
      <c r="M889" s="91"/>
      <c r="N889" s="96" t="b">
        <v>0</v>
      </c>
      <c r="O889" s="96" t="b">
        <v>0</v>
      </c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  <c r="AA889" s="92"/>
      <c r="AB889" s="92"/>
      <c r="AC889" s="92"/>
      <c r="AD889" s="92"/>
      <c r="AE889" s="92"/>
      <c r="AF889" s="92"/>
      <c r="AG889" s="92"/>
    </row>
    <row r="890" hidden="1">
      <c r="A890" s="86"/>
      <c r="B890" s="25"/>
      <c r="C890" s="80" t="s">
        <v>78</v>
      </c>
      <c r="D890" s="97" t="s">
        <v>79</v>
      </c>
      <c r="E890" s="183" t="s">
        <v>1897</v>
      </c>
      <c r="F890" s="183" t="s">
        <v>1898</v>
      </c>
      <c r="G890" s="41" t="s">
        <v>567</v>
      </c>
      <c r="H890" s="98" t="s">
        <v>1767</v>
      </c>
      <c r="I890" s="183" t="s">
        <v>1899</v>
      </c>
      <c r="J890" s="183" t="s">
        <v>1900</v>
      </c>
      <c r="K890" s="91"/>
      <c r="L890" s="91"/>
      <c r="M890" s="91"/>
      <c r="N890" s="96" t="b">
        <v>0</v>
      </c>
      <c r="O890" s="96" t="b">
        <v>0</v>
      </c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  <c r="AA890" s="92"/>
      <c r="AB890" s="92"/>
      <c r="AC890" s="92"/>
      <c r="AD890" s="92"/>
      <c r="AE890" s="92"/>
      <c r="AF890" s="92"/>
      <c r="AG890" s="92"/>
    </row>
    <row r="891" hidden="1">
      <c r="A891" s="86"/>
      <c r="B891" s="25"/>
      <c r="C891" s="80" t="s">
        <v>78</v>
      </c>
      <c r="D891" s="97" t="s">
        <v>79</v>
      </c>
      <c r="E891" s="183" t="s">
        <v>1901</v>
      </c>
      <c r="F891" s="183" t="s">
        <v>1902</v>
      </c>
      <c r="G891" s="99">
        <v>0.7083333333333334</v>
      </c>
      <c r="H891" s="98" t="s">
        <v>1767</v>
      </c>
      <c r="I891" s="183" t="s">
        <v>1903</v>
      </c>
      <c r="J891" s="183" t="s">
        <v>1904</v>
      </c>
      <c r="K891" s="91"/>
      <c r="L891" s="91"/>
      <c r="M891" s="91"/>
      <c r="N891" s="96" t="b">
        <v>0</v>
      </c>
      <c r="O891" s="96" t="b">
        <v>0</v>
      </c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  <c r="AA891" s="92"/>
      <c r="AB891" s="92"/>
      <c r="AC891" s="92"/>
      <c r="AD891" s="92"/>
      <c r="AE891" s="92"/>
      <c r="AF891" s="92"/>
      <c r="AG891" s="92"/>
    </row>
    <row r="892" hidden="1">
      <c r="A892" s="86"/>
      <c r="B892" s="39"/>
      <c r="C892" s="80" t="s">
        <v>78</v>
      </c>
      <c r="D892" s="97"/>
      <c r="E892" s="98"/>
      <c r="F892" s="98"/>
      <c r="G892" s="41" t="s">
        <v>43</v>
      </c>
      <c r="H892" s="98"/>
      <c r="I892" s="98"/>
      <c r="J892" s="98"/>
      <c r="K892" s="91"/>
      <c r="L892" s="91"/>
      <c r="M892" s="91"/>
      <c r="N892" s="96" t="b">
        <v>0</v>
      </c>
      <c r="O892" s="96" t="b">
        <v>0</v>
      </c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  <c r="AA892" s="92"/>
      <c r="AB892" s="92"/>
      <c r="AC892" s="92"/>
      <c r="AD892" s="92"/>
      <c r="AE892" s="92"/>
      <c r="AF892" s="92"/>
      <c r="AG892" s="92"/>
    </row>
    <row r="893" hidden="1">
      <c r="A893" s="86"/>
      <c r="B893" s="18" t="s">
        <v>1668</v>
      </c>
      <c r="C893" s="103"/>
      <c r="D893" s="97"/>
      <c r="E893" s="98"/>
      <c r="F893" s="98"/>
      <c r="G893" s="41"/>
      <c r="H893" s="98"/>
      <c r="I893" s="98"/>
      <c r="J893" s="98"/>
      <c r="K893" s="91"/>
      <c r="L893" s="91"/>
      <c r="M893" s="91"/>
      <c r="N893" s="96" t="b">
        <v>0</v>
      </c>
      <c r="O893" s="96" t="b">
        <v>0</v>
      </c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  <c r="AA893" s="92"/>
      <c r="AB893" s="92"/>
      <c r="AC893" s="92"/>
      <c r="AD893" s="92"/>
      <c r="AE893" s="92"/>
      <c r="AF893" s="92"/>
      <c r="AG893" s="92"/>
    </row>
    <row r="894" ht="17.25" hidden="1" customHeight="1">
      <c r="A894" s="86"/>
      <c r="B894" s="25"/>
      <c r="C894" s="80" t="s">
        <v>78</v>
      </c>
      <c r="D894" s="97"/>
      <c r="E894" s="98"/>
      <c r="F894" s="98"/>
      <c r="G894" s="41"/>
      <c r="H894" s="98"/>
      <c r="I894" s="98"/>
      <c r="J894" s="98"/>
      <c r="K894" s="91"/>
      <c r="L894" s="91"/>
      <c r="M894" s="91"/>
      <c r="N894" s="96" t="b">
        <v>0</v>
      </c>
      <c r="O894" s="96" t="b">
        <v>0</v>
      </c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  <c r="AA894" s="92"/>
      <c r="AB894" s="92"/>
      <c r="AC894" s="92"/>
      <c r="AD894" s="92"/>
      <c r="AE894" s="92"/>
      <c r="AF894" s="92"/>
      <c r="AG894" s="92"/>
    </row>
    <row r="895" hidden="1">
      <c r="A895" s="86"/>
      <c r="B895" s="25"/>
      <c r="C895" s="80" t="s">
        <v>78</v>
      </c>
      <c r="D895" s="97"/>
      <c r="E895" s="98"/>
      <c r="F895" s="98"/>
      <c r="G895" s="41"/>
      <c r="H895" s="98"/>
      <c r="I895" s="98"/>
      <c r="J895" s="98"/>
      <c r="K895" s="91"/>
      <c r="L895" s="91"/>
      <c r="M895" s="91"/>
      <c r="N895" s="96" t="b">
        <v>0</v>
      </c>
      <c r="O895" s="96" t="b">
        <v>0</v>
      </c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  <c r="AA895" s="92"/>
      <c r="AB895" s="92"/>
      <c r="AC895" s="92"/>
      <c r="AD895" s="92"/>
      <c r="AE895" s="92"/>
      <c r="AF895" s="92"/>
      <c r="AG895" s="92"/>
    </row>
    <row r="896" hidden="1">
      <c r="A896" s="86"/>
      <c r="B896" s="25"/>
      <c r="C896" s="80" t="s">
        <v>78</v>
      </c>
      <c r="D896" s="97"/>
      <c r="E896" s="98"/>
      <c r="F896" s="98"/>
      <c r="G896" s="41"/>
      <c r="H896" s="98"/>
      <c r="I896" s="98"/>
      <c r="J896" s="98"/>
      <c r="K896" s="91"/>
      <c r="L896" s="91"/>
      <c r="M896" s="91"/>
      <c r="N896" s="96" t="b">
        <v>0</v>
      </c>
      <c r="O896" s="96" t="b">
        <v>0</v>
      </c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  <c r="AA896" s="92"/>
      <c r="AB896" s="92"/>
      <c r="AC896" s="92"/>
      <c r="AD896" s="92"/>
      <c r="AE896" s="92"/>
      <c r="AF896" s="92"/>
      <c r="AG896" s="92"/>
    </row>
    <row r="897" hidden="1">
      <c r="A897" s="86"/>
      <c r="B897" s="25"/>
      <c r="C897" s="80" t="s">
        <v>78</v>
      </c>
      <c r="D897" s="97"/>
      <c r="E897" s="98"/>
      <c r="F897" s="98"/>
      <c r="G897" s="41"/>
      <c r="H897" s="98"/>
      <c r="I897" s="98"/>
      <c r="J897" s="98"/>
      <c r="K897" s="91"/>
      <c r="L897" s="91"/>
      <c r="M897" s="91"/>
      <c r="N897" s="96" t="b">
        <v>0</v>
      </c>
      <c r="O897" s="96" t="b">
        <v>0</v>
      </c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  <c r="AA897" s="92"/>
      <c r="AB897" s="92"/>
      <c r="AC897" s="92"/>
      <c r="AD897" s="92"/>
      <c r="AE897" s="92"/>
      <c r="AF897" s="92"/>
      <c r="AG897" s="92"/>
    </row>
    <row r="898" hidden="1">
      <c r="A898" s="86"/>
      <c r="B898" s="39"/>
      <c r="C898" s="78" t="s">
        <v>78</v>
      </c>
      <c r="D898" s="97"/>
      <c r="E898" s="98"/>
      <c r="F898" s="98"/>
      <c r="G898" s="41"/>
      <c r="H898" s="98"/>
      <c r="I898" s="98"/>
      <c r="J898" s="98"/>
      <c r="K898" s="91"/>
      <c r="L898" s="91"/>
      <c r="M898" s="91"/>
      <c r="N898" s="96" t="b">
        <v>0</v>
      </c>
      <c r="O898" s="96" t="b">
        <v>0</v>
      </c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  <c r="AA898" s="92"/>
      <c r="AB898" s="92"/>
      <c r="AC898" s="92"/>
      <c r="AD898" s="92"/>
      <c r="AE898" s="92"/>
      <c r="AF898" s="92"/>
      <c r="AG898" s="92"/>
    </row>
    <row r="899" hidden="1">
      <c r="A899" s="86"/>
      <c r="B899" s="166"/>
      <c r="C899" s="88">
        <v>44425.0</v>
      </c>
      <c r="D899" s="97"/>
      <c r="E899" s="98"/>
      <c r="F899" s="98"/>
      <c r="G899" s="41"/>
      <c r="H899" s="98"/>
      <c r="I899" s="98"/>
      <c r="J899" s="98"/>
      <c r="K899" s="91"/>
      <c r="L899" s="91"/>
      <c r="M899" s="91"/>
      <c r="N899" s="96" t="b">
        <v>0</v>
      </c>
      <c r="O899" s="96" t="b">
        <v>0</v>
      </c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  <c r="AA899" s="92"/>
      <c r="AB899" s="92"/>
      <c r="AC899" s="92"/>
      <c r="AD899" s="92"/>
      <c r="AE899" s="92"/>
      <c r="AF899" s="92"/>
      <c r="AG899" s="92"/>
    </row>
    <row r="900" hidden="1">
      <c r="A900" s="86"/>
      <c r="B900" s="18" t="s">
        <v>1656</v>
      </c>
      <c r="C900" s="78" t="s">
        <v>78</v>
      </c>
      <c r="D900" s="97"/>
      <c r="E900" s="98"/>
      <c r="F900" s="142" t="s">
        <v>1896</v>
      </c>
      <c r="G900" s="41"/>
      <c r="H900" s="98"/>
      <c r="I900" s="98"/>
      <c r="J900" s="98"/>
      <c r="K900" s="91"/>
      <c r="L900" s="91"/>
      <c r="M900" s="91"/>
      <c r="N900" s="96" t="b">
        <v>0</v>
      </c>
      <c r="O900" s="96" t="b">
        <v>0</v>
      </c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  <c r="AA900" s="92"/>
      <c r="AB900" s="92"/>
      <c r="AC900" s="92"/>
      <c r="AD900" s="92"/>
      <c r="AE900" s="92"/>
      <c r="AF900" s="92"/>
      <c r="AG900" s="92"/>
    </row>
    <row r="901" hidden="1">
      <c r="A901" s="86"/>
      <c r="B901" s="25"/>
      <c r="C901" s="80" t="s">
        <v>78</v>
      </c>
      <c r="D901" s="97"/>
      <c r="E901" s="98"/>
      <c r="F901" s="98"/>
      <c r="G901" s="41"/>
      <c r="H901" s="98"/>
      <c r="I901" s="98"/>
      <c r="J901" s="98"/>
      <c r="K901" s="91"/>
      <c r="L901" s="91"/>
      <c r="M901" s="91"/>
      <c r="N901" s="96" t="b">
        <v>0</v>
      </c>
      <c r="O901" s="96" t="b">
        <v>0</v>
      </c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  <c r="AA901" s="92"/>
      <c r="AB901" s="92"/>
      <c r="AC901" s="92"/>
      <c r="AD901" s="92"/>
      <c r="AE901" s="92"/>
      <c r="AF901" s="92"/>
      <c r="AG901" s="92"/>
    </row>
    <row r="902" hidden="1">
      <c r="A902" s="86"/>
      <c r="B902" s="25"/>
      <c r="C902" s="80" t="s">
        <v>78</v>
      </c>
      <c r="D902" s="107" t="s">
        <v>79</v>
      </c>
      <c r="E902" s="184" t="s">
        <v>1905</v>
      </c>
      <c r="F902" s="184" t="s">
        <v>1906</v>
      </c>
      <c r="G902" s="112" t="s">
        <v>567</v>
      </c>
      <c r="H902" s="109" t="s">
        <v>1907</v>
      </c>
      <c r="I902" s="109" t="s">
        <v>1908</v>
      </c>
      <c r="J902" s="184" t="s">
        <v>1909</v>
      </c>
      <c r="K902" s="98" t="s">
        <v>1910</v>
      </c>
      <c r="L902" s="91"/>
      <c r="M902" s="91"/>
      <c r="N902" s="96" t="b">
        <v>0</v>
      </c>
      <c r="O902" s="96" t="b">
        <v>0</v>
      </c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  <c r="AA902" s="92"/>
      <c r="AB902" s="92"/>
      <c r="AC902" s="92"/>
      <c r="AD902" s="92"/>
      <c r="AE902" s="92"/>
      <c r="AF902" s="92"/>
      <c r="AG902" s="92"/>
    </row>
    <row r="903" hidden="1">
      <c r="A903" s="86"/>
      <c r="B903" s="25"/>
      <c r="C903" s="80" t="s">
        <v>78</v>
      </c>
      <c r="D903" s="97" t="s">
        <v>79</v>
      </c>
      <c r="E903" s="183" t="s">
        <v>28</v>
      </c>
      <c r="F903" s="183" t="s">
        <v>29</v>
      </c>
      <c r="G903" s="99">
        <v>0.7083333333333334</v>
      </c>
      <c r="H903" s="98" t="s">
        <v>1907</v>
      </c>
      <c r="I903" s="183" t="s">
        <v>1911</v>
      </c>
      <c r="J903" s="183" t="s">
        <v>33</v>
      </c>
      <c r="K903" s="98" t="s">
        <v>838</v>
      </c>
      <c r="L903" s="91"/>
      <c r="M903" s="91"/>
      <c r="N903" s="96" t="b">
        <v>0</v>
      </c>
      <c r="O903" s="96" t="b">
        <v>0</v>
      </c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  <c r="AA903" s="92"/>
      <c r="AB903" s="92"/>
      <c r="AC903" s="92"/>
      <c r="AD903" s="92"/>
      <c r="AE903" s="92"/>
      <c r="AF903" s="92"/>
      <c r="AG903" s="92"/>
    </row>
    <row r="904" hidden="1">
      <c r="A904" s="86"/>
      <c r="B904" s="39"/>
      <c r="C904" s="80" t="s">
        <v>78</v>
      </c>
      <c r="D904" s="97"/>
      <c r="E904" s="98"/>
      <c r="F904" s="98"/>
      <c r="G904" s="41"/>
      <c r="H904" s="98"/>
      <c r="I904" s="98"/>
      <c r="J904" s="98"/>
      <c r="K904" s="91"/>
      <c r="L904" s="91"/>
      <c r="M904" s="91"/>
      <c r="N904" s="96" t="b">
        <v>0</v>
      </c>
      <c r="O904" s="96" t="b">
        <v>0</v>
      </c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  <c r="AA904" s="92"/>
      <c r="AB904" s="92"/>
      <c r="AC904" s="92"/>
      <c r="AD904" s="92"/>
      <c r="AE904" s="92"/>
      <c r="AF904" s="92"/>
      <c r="AG904" s="92"/>
    </row>
    <row r="905" hidden="1">
      <c r="A905" s="86"/>
      <c r="B905" s="18" t="s">
        <v>1668</v>
      </c>
      <c r="C905" s="103"/>
      <c r="D905" s="97"/>
      <c r="E905" s="98"/>
      <c r="F905" s="98"/>
      <c r="G905" s="41"/>
      <c r="H905" s="98"/>
      <c r="I905" s="98"/>
      <c r="J905" s="98"/>
      <c r="K905" s="91"/>
      <c r="L905" s="91"/>
      <c r="M905" s="91"/>
      <c r="N905" s="96" t="b">
        <v>0</v>
      </c>
      <c r="O905" s="96" t="b">
        <v>0</v>
      </c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  <c r="AA905" s="92"/>
      <c r="AB905" s="92"/>
      <c r="AC905" s="92"/>
      <c r="AD905" s="92"/>
      <c r="AE905" s="92"/>
      <c r="AF905" s="92"/>
      <c r="AG905" s="92"/>
    </row>
    <row r="906" hidden="1">
      <c r="A906" s="86"/>
      <c r="B906" s="25"/>
      <c r="C906" s="80" t="s">
        <v>78</v>
      </c>
      <c r="D906" s="97"/>
      <c r="E906" s="98"/>
      <c r="F906" s="98"/>
      <c r="G906" s="41"/>
      <c r="H906" s="98"/>
      <c r="I906" s="98"/>
      <c r="J906" s="98"/>
      <c r="K906" s="91"/>
      <c r="L906" s="91"/>
      <c r="M906" s="91"/>
      <c r="N906" s="96" t="b">
        <v>0</v>
      </c>
      <c r="O906" s="96" t="b">
        <v>0</v>
      </c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  <c r="AA906" s="92"/>
      <c r="AB906" s="92"/>
      <c r="AC906" s="92"/>
      <c r="AD906" s="92"/>
      <c r="AE906" s="92"/>
      <c r="AF906" s="92"/>
      <c r="AG906" s="92"/>
    </row>
    <row r="907" hidden="1">
      <c r="A907" s="86"/>
      <c r="B907" s="25"/>
      <c r="C907" s="80" t="s">
        <v>78</v>
      </c>
      <c r="D907" s="97"/>
      <c r="E907" s="98"/>
      <c r="F907" s="98"/>
      <c r="G907" s="41"/>
      <c r="H907" s="98"/>
      <c r="I907" s="98"/>
      <c r="J907" s="98"/>
      <c r="K907" s="91"/>
      <c r="L907" s="91"/>
      <c r="M907" s="91"/>
      <c r="N907" s="96" t="b">
        <v>0</v>
      </c>
      <c r="O907" s="96" t="b">
        <v>0</v>
      </c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  <c r="AA907" s="92"/>
      <c r="AB907" s="92"/>
      <c r="AC907" s="92"/>
      <c r="AD907" s="92"/>
      <c r="AE907" s="92"/>
      <c r="AF907" s="92"/>
      <c r="AG907" s="92"/>
    </row>
    <row r="908" hidden="1">
      <c r="A908" s="86"/>
      <c r="B908" s="25"/>
      <c r="C908" s="80" t="s">
        <v>78</v>
      </c>
      <c r="D908" s="97"/>
      <c r="E908" s="98"/>
      <c r="F908" s="98"/>
      <c r="G908" s="41"/>
      <c r="H908" s="98"/>
      <c r="I908" s="98"/>
      <c r="J908" s="98"/>
      <c r="K908" s="91"/>
      <c r="L908" s="91"/>
      <c r="M908" s="91"/>
      <c r="N908" s="96" t="b">
        <v>0</v>
      </c>
      <c r="O908" s="96" t="b">
        <v>0</v>
      </c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  <c r="AA908" s="92"/>
      <c r="AB908" s="92"/>
      <c r="AC908" s="92"/>
      <c r="AD908" s="92"/>
      <c r="AE908" s="92"/>
      <c r="AF908" s="92"/>
      <c r="AG908" s="92"/>
    </row>
    <row r="909" hidden="1">
      <c r="A909" s="86"/>
      <c r="B909" s="25"/>
      <c r="C909" s="80" t="s">
        <v>78</v>
      </c>
      <c r="D909" s="97"/>
      <c r="E909" s="98"/>
      <c r="F909" s="98"/>
      <c r="G909" s="41"/>
      <c r="H909" s="98"/>
      <c r="I909" s="98"/>
      <c r="J909" s="98"/>
      <c r="K909" s="91"/>
      <c r="L909" s="91"/>
      <c r="M909" s="91"/>
      <c r="N909" s="96" t="b">
        <v>0</v>
      </c>
      <c r="O909" s="96" t="b">
        <v>0</v>
      </c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  <c r="AA909" s="92"/>
      <c r="AB909" s="92"/>
      <c r="AC909" s="92"/>
      <c r="AD909" s="92"/>
      <c r="AE909" s="92"/>
      <c r="AF909" s="92"/>
      <c r="AG909" s="92"/>
    </row>
    <row r="910" hidden="1">
      <c r="A910" s="86"/>
      <c r="B910" s="39"/>
      <c r="C910" s="78" t="s">
        <v>78</v>
      </c>
      <c r="D910" s="97"/>
      <c r="E910" s="98"/>
      <c r="F910" s="98"/>
      <c r="G910" s="41"/>
      <c r="H910" s="98"/>
      <c r="I910" s="98"/>
      <c r="J910" s="98"/>
      <c r="K910" s="91"/>
      <c r="L910" s="91"/>
      <c r="M910" s="91"/>
      <c r="N910" s="96" t="b">
        <v>0</v>
      </c>
      <c r="O910" s="96" t="b">
        <v>0</v>
      </c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  <c r="AA910" s="92"/>
      <c r="AB910" s="92"/>
      <c r="AC910" s="92"/>
      <c r="AD910" s="92"/>
      <c r="AE910" s="92"/>
      <c r="AF910" s="92"/>
      <c r="AG910" s="92"/>
    </row>
    <row r="911" hidden="1">
      <c r="A911" s="86"/>
      <c r="B911" s="166"/>
      <c r="C911" s="88">
        <v>44426.0</v>
      </c>
      <c r="D911" s="97"/>
      <c r="E911" s="98"/>
      <c r="F911" s="98"/>
      <c r="G911" s="41"/>
      <c r="H911" s="98"/>
      <c r="I911" s="98"/>
      <c r="J911" s="98"/>
      <c r="K911" s="91"/>
      <c r="L911" s="91"/>
      <c r="M911" s="91"/>
      <c r="N911" s="96" t="b">
        <v>0</v>
      </c>
      <c r="O911" s="96" t="b">
        <v>0</v>
      </c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  <c r="AA911" s="92"/>
      <c r="AB911" s="92"/>
      <c r="AC911" s="92"/>
      <c r="AD911" s="92"/>
      <c r="AE911" s="92"/>
      <c r="AF911" s="92"/>
      <c r="AG911" s="92"/>
    </row>
    <row r="912" hidden="1">
      <c r="A912" s="86"/>
      <c r="B912" s="18" t="s">
        <v>1656</v>
      </c>
      <c r="C912" s="78" t="s">
        <v>78</v>
      </c>
      <c r="D912" s="97" t="s">
        <v>79</v>
      </c>
      <c r="E912" s="186" t="s">
        <v>293</v>
      </c>
      <c r="F912" s="186" t="s">
        <v>294</v>
      </c>
      <c r="G912" s="99">
        <v>0.5</v>
      </c>
      <c r="H912" s="98" t="s">
        <v>299</v>
      </c>
      <c r="I912" s="186" t="s">
        <v>1912</v>
      </c>
      <c r="J912" s="186" t="s">
        <v>297</v>
      </c>
      <c r="K912" s="98" t="s">
        <v>838</v>
      </c>
      <c r="L912" s="91"/>
      <c r="M912" s="91"/>
      <c r="N912" s="96" t="b">
        <v>0</v>
      </c>
      <c r="O912" s="96" t="b">
        <v>0</v>
      </c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  <c r="AA912" s="92"/>
      <c r="AB912" s="92"/>
      <c r="AC912" s="92"/>
      <c r="AD912" s="92"/>
      <c r="AE912" s="92"/>
      <c r="AF912" s="92"/>
      <c r="AG912" s="92"/>
    </row>
    <row r="913" hidden="1">
      <c r="A913" s="86"/>
      <c r="B913" s="25"/>
      <c r="C913" s="80" t="s">
        <v>78</v>
      </c>
      <c r="D913" s="97" t="s">
        <v>79</v>
      </c>
      <c r="E913" s="183" t="s">
        <v>329</v>
      </c>
      <c r="F913" s="183" t="s">
        <v>330</v>
      </c>
      <c r="G913" s="99">
        <v>0.5833333333333334</v>
      </c>
      <c r="H913" s="183" t="s">
        <v>1913</v>
      </c>
      <c r="I913" s="183" t="s">
        <v>1914</v>
      </c>
      <c r="J913" s="183" t="s">
        <v>332</v>
      </c>
      <c r="K913" s="91"/>
      <c r="L913" s="91"/>
      <c r="M913" s="91"/>
      <c r="N913" s="96" t="b">
        <v>0</v>
      </c>
      <c r="O913" s="96" t="b">
        <v>0</v>
      </c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  <c r="AA913" s="92"/>
      <c r="AB913" s="92"/>
      <c r="AC913" s="92"/>
      <c r="AD913" s="92"/>
      <c r="AE913" s="92"/>
      <c r="AF913" s="92"/>
      <c r="AG913" s="92"/>
    </row>
    <row r="914" hidden="1">
      <c r="A914" s="86"/>
      <c r="B914" s="25"/>
      <c r="C914" s="80" t="s">
        <v>78</v>
      </c>
      <c r="D914" s="97" t="s">
        <v>79</v>
      </c>
      <c r="E914" s="183" t="s">
        <v>1915</v>
      </c>
      <c r="F914" s="183" t="s">
        <v>1916</v>
      </c>
      <c r="G914" s="99">
        <v>0.6666666666666666</v>
      </c>
      <c r="H914" s="98" t="s">
        <v>1917</v>
      </c>
      <c r="I914" s="220" t="s">
        <v>1918</v>
      </c>
      <c r="J914" s="183" t="s">
        <v>1919</v>
      </c>
      <c r="K914" s="98" t="s">
        <v>1920</v>
      </c>
      <c r="L914" s="91"/>
      <c r="M914" s="91"/>
      <c r="N914" s="96" t="b">
        <v>0</v>
      </c>
      <c r="O914" s="96" t="b">
        <v>0</v>
      </c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  <c r="AA914" s="92"/>
      <c r="AB914" s="92"/>
      <c r="AC914" s="92"/>
      <c r="AD914" s="92"/>
      <c r="AE914" s="92"/>
      <c r="AF914" s="92"/>
      <c r="AG914" s="92"/>
    </row>
    <row r="915" hidden="1">
      <c r="A915" s="86"/>
      <c r="B915" s="25"/>
      <c r="C915" s="80" t="s">
        <v>78</v>
      </c>
      <c r="D915" s="97" t="s">
        <v>79</v>
      </c>
      <c r="E915" s="183" t="s">
        <v>337</v>
      </c>
      <c r="F915" s="183" t="s">
        <v>338</v>
      </c>
      <c r="G915" s="99">
        <v>0.75</v>
      </c>
      <c r="H915" s="98" t="s">
        <v>1921</v>
      </c>
      <c r="I915" s="183" t="s">
        <v>1922</v>
      </c>
      <c r="J915" s="183" t="s">
        <v>341</v>
      </c>
      <c r="K915" s="98" t="s">
        <v>838</v>
      </c>
      <c r="L915" s="91"/>
      <c r="M915" s="91"/>
      <c r="N915" s="96" t="b">
        <v>0</v>
      </c>
      <c r="O915" s="96" t="b">
        <v>0</v>
      </c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  <c r="AA915" s="92"/>
      <c r="AB915" s="92"/>
      <c r="AC915" s="92"/>
      <c r="AD915" s="92"/>
      <c r="AE915" s="92"/>
      <c r="AF915" s="92"/>
      <c r="AG915" s="92"/>
    </row>
    <row r="916" hidden="1">
      <c r="A916" s="86"/>
      <c r="B916" s="39"/>
      <c r="C916" s="80" t="s">
        <v>78</v>
      </c>
      <c r="D916" s="97"/>
      <c r="E916" s="98"/>
      <c r="F916" s="98"/>
      <c r="G916" s="41"/>
      <c r="H916" s="98"/>
      <c r="I916" s="98"/>
      <c r="J916" s="98"/>
      <c r="K916" s="91"/>
      <c r="L916" s="91"/>
      <c r="M916" s="91"/>
      <c r="N916" s="96" t="b">
        <v>0</v>
      </c>
      <c r="O916" s="96" t="b">
        <v>0</v>
      </c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  <c r="AA916" s="92"/>
      <c r="AB916" s="92"/>
      <c r="AC916" s="92"/>
      <c r="AD916" s="92"/>
      <c r="AE916" s="92"/>
      <c r="AF916" s="92"/>
      <c r="AG916" s="92"/>
    </row>
    <row r="917" hidden="1">
      <c r="A917" s="86"/>
      <c r="B917" s="18" t="s">
        <v>1668</v>
      </c>
      <c r="C917" s="103"/>
      <c r="D917" s="97"/>
      <c r="E917" s="98"/>
      <c r="F917" s="98"/>
      <c r="G917" s="41"/>
      <c r="H917" s="98"/>
      <c r="I917" s="98"/>
      <c r="J917" s="98"/>
      <c r="K917" s="91"/>
      <c r="L917" s="91"/>
      <c r="M917" s="91"/>
      <c r="N917" s="96" t="b">
        <v>0</v>
      </c>
      <c r="O917" s="96" t="b">
        <v>0</v>
      </c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  <c r="AA917" s="92"/>
      <c r="AB917" s="92"/>
      <c r="AC917" s="92"/>
      <c r="AD917" s="92"/>
      <c r="AE917" s="92"/>
      <c r="AF917" s="92"/>
      <c r="AG917" s="92"/>
    </row>
    <row r="918" hidden="1">
      <c r="A918" s="86"/>
      <c r="B918" s="25"/>
      <c r="C918" s="80" t="s">
        <v>78</v>
      </c>
      <c r="D918" s="97" t="s">
        <v>79</v>
      </c>
      <c r="E918" s="183" t="s">
        <v>1923</v>
      </c>
      <c r="F918" s="183" t="s">
        <v>157</v>
      </c>
      <c r="G918" s="99">
        <v>0.5</v>
      </c>
      <c r="H918" s="183" t="s">
        <v>1924</v>
      </c>
      <c r="I918" s="183" t="s">
        <v>1925</v>
      </c>
      <c r="J918" s="183" t="s">
        <v>160</v>
      </c>
      <c r="K918" s="91"/>
      <c r="L918" s="91"/>
      <c r="M918" s="91"/>
      <c r="N918" s="96" t="b">
        <v>0</v>
      </c>
      <c r="O918" s="96" t="b">
        <v>0</v>
      </c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  <c r="AA918" s="92"/>
      <c r="AB918" s="92"/>
      <c r="AC918" s="92"/>
      <c r="AD918" s="92"/>
      <c r="AE918" s="92"/>
      <c r="AF918" s="92"/>
      <c r="AG918" s="92"/>
    </row>
    <row r="919" hidden="1">
      <c r="A919" s="86"/>
      <c r="B919" s="25"/>
      <c r="C919" s="80" t="s">
        <v>78</v>
      </c>
      <c r="D919" s="97" t="s">
        <v>79</v>
      </c>
      <c r="E919" s="183" t="s">
        <v>176</v>
      </c>
      <c r="F919" s="183" t="s">
        <v>172</v>
      </c>
      <c r="G919" s="99">
        <v>0.5833333333333334</v>
      </c>
      <c r="H919" s="98" t="s">
        <v>134</v>
      </c>
      <c r="I919" s="183" t="s">
        <v>1926</v>
      </c>
      <c r="J919" s="183" t="s">
        <v>1927</v>
      </c>
      <c r="K919" s="91"/>
      <c r="L919" s="91"/>
      <c r="M919" s="91"/>
      <c r="N919" s="96" t="b">
        <v>0</v>
      </c>
      <c r="O919" s="96" t="b">
        <v>0</v>
      </c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  <c r="AA919" s="92"/>
      <c r="AB919" s="92"/>
      <c r="AC919" s="92"/>
      <c r="AD919" s="92"/>
      <c r="AE919" s="92"/>
      <c r="AF919" s="92"/>
      <c r="AG919" s="92"/>
    </row>
    <row r="920" hidden="1">
      <c r="A920" s="86"/>
      <c r="B920" s="25"/>
      <c r="C920" s="78" t="s">
        <v>78</v>
      </c>
      <c r="D920" s="97" t="s">
        <v>79</v>
      </c>
      <c r="E920" s="98" t="s">
        <v>1928</v>
      </c>
      <c r="F920" s="183" t="s">
        <v>1929</v>
      </c>
      <c r="G920" s="99">
        <v>0.6666666666666666</v>
      </c>
      <c r="H920" s="183" t="s">
        <v>1930</v>
      </c>
      <c r="I920" s="183" t="s">
        <v>1931</v>
      </c>
      <c r="J920" s="183" t="s">
        <v>1932</v>
      </c>
      <c r="K920" s="91"/>
      <c r="L920" s="91"/>
      <c r="M920" s="91"/>
      <c r="N920" s="96" t="b">
        <v>0</v>
      </c>
      <c r="O920" s="96" t="b">
        <v>0</v>
      </c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  <c r="AA920" s="92"/>
      <c r="AB920" s="92"/>
      <c r="AC920" s="92"/>
      <c r="AD920" s="92"/>
      <c r="AE920" s="92"/>
      <c r="AF920" s="92"/>
      <c r="AG920" s="92"/>
    </row>
    <row r="921" hidden="1">
      <c r="A921" s="86"/>
      <c r="B921" s="25"/>
      <c r="C921" s="80" t="s">
        <v>78</v>
      </c>
      <c r="D921" s="97" t="s">
        <v>79</v>
      </c>
      <c r="E921" s="183" t="s">
        <v>1176</v>
      </c>
      <c r="F921" s="183" t="s">
        <v>1177</v>
      </c>
      <c r="G921" s="99">
        <v>0.75</v>
      </c>
      <c r="H921" s="183" t="s">
        <v>1933</v>
      </c>
      <c r="I921" s="98" t="s">
        <v>1934</v>
      </c>
      <c r="J921" s="183" t="s">
        <v>1179</v>
      </c>
      <c r="K921" s="98" t="s">
        <v>838</v>
      </c>
      <c r="L921" s="91"/>
      <c r="M921" s="91"/>
      <c r="N921" s="96" t="b">
        <v>0</v>
      </c>
      <c r="O921" s="96" t="b">
        <v>0</v>
      </c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  <c r="AA921" s="92"/>
      <c r="AB921" s="92"/>
      <c r="AC921" s="92"/>
      <c r="AD921" s="92"/>
      <c r="AE921" s="92"/>
      <c r="AF921" s="92"/>
      <c r="AG921" s="92"/>
    </row>
    <row r="922" hidden="1">
      <c r="A922" s="86"/>
      <c r="B922" s="39"/>
      <c r="C922" s="78" t="s">
        <v>78</v>
      </c>
      <c r="D922" s="97"/>
      <c r="E922" s="98"/>
      <c r="F922" s="98"/>
      <c r="G922" s="41"/>
      <c r="H922" s="98"/>
      <c r="I922" s="98"/>
      <c r="J922" s="98"/>
      <c r="K922" s="91"/>
      <c r="L922" s="91"/>
      <c r="M922" s="91"/>
      <c r="N922" s="96" t="b">
        <v>0</v>
      </c>
      <c r="O922" s="96" t="b">
        <v>0</v>
      </c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  <c r="AA922" s="92"/>
      <c r="AB922" s="92"/>
      <c r="AC922" s="92"/>
      <c r="AD922" s="92"/>
      <c r="AE922" s="92"/>
      <c r="AF922" s="92"/>
      <c r="AG922" s="92"/>
    </row>
    <row r="923" hidden="1">
      <c r="A923" s="86"/>
      <c r="B923" s="166"/>
      <c r="C923" s="88">
        <v>44427.0</v>
      </c>
      <c r="D923" s="97"/>
      <c r="E923" s="98"/>
      <c r="F923" s="98"/>
      <c r="G923" s="41"/>
      <c r="H923" s="98"/>
      <c r="I923" s="98"/>
      <c r="J923" s="98"/>
      <c r="K923" s="91"/>
      <c r="L923" s="91"/>
      <c r="M923" s="91"/>
      <c r="N923" s="96" t="b">
        <v>0</v>
      </c>
      <c r="O923" s="96" t="b">
        <v>0</v>
      </c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  <c r="AA923" s="92"/>
      <c r="AB923" s="92"/>
      <c r="AC923" s="92"/>
      <c r="AD923" s="92"/>
      <c r="AE923" s="92"/>
      <c r="AF923" s="92"/>
      <c r="AG923" s="92"/>
    </row>
    <row r="924" hidden="1">
      <c r="A924" s="86"/>
      <c r="B924" s="18" t="s">
        <v>1656</v>
      </c>
      <c r="C924" s="78" t="s">
        <v>78</v>
      </c>
      <c r="D924" s="97"/>
      <c r="E924" s="98"/>
      <c r="F924" s="98"/>
      <c r="G924" s="41"/>
      <c r="H924" s="98"/>
      <c r="I924" s="98"/>
      <c r="J924" s="98"/>
      <c r="K924" s="91"/>
      <c r="L924" s="91"/>
      <c r="M924" s="91"/>
      <c r="N924" s="96" t="b">
        <v>0</v>
      </c>
      <c r="O924" s="96" t="b">
        <v>0</v>
      </c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  <c r="AA924" s="92"/>
      <c r="AB924" s="92"/>
      <c r="AC924" s="92"/>
      <c r="AD924" s="92"/>
      <c r="AE924" s="92"/>
      <c r="AF924" s="92"/>
      <c r="AG924" s="92"/>
    </row>
    <row r="925" hidden="1">
      <c r="A925" s="86"/>
      <c r="B925" s="25"/>
      <c r="C925" s="80" t="s">
        <v>78</v>
      </c>
      <c r="D925" s="97" t="s">
        <v>79</v>
      </c>
      <c r="E925" s="186" t="s">
        <v>1935</v>
      </c>
      <c r="F925" s="186" t="s">
        <v>1936</v>
      </c>
      <c r="G925" s="41" t="s">
        <v>417</v>
      </c>
      <c r="H925" s="98" t="s">
        <v>478</v>
      </c>
      <c r="I925" s="98" t="s">
        <v>1937</v>
      </c>
      <c r="J925" s="186" t="s">
        <v>1938</v>
      </c>
      <c r="K925" s="98" t="s">
        <v>1939</v>
      </c>
      <c r="L925" s="91"/>
      <c r="M925" s="91"/>
      <c r="N925" s="96" t="b">
        <v>0</v>
      </c>
      <c r="O925" s="96" t="b">
        <v>0</v>
      </c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  <c r="AA925" s="92"/>
      <c r="AB925" s="92"/>
      <c r="AC925" s="92"/>
      <c r="AD925" s="92"/>
      <c r="AE925" s="92"/>
      <c r="AF925" s="92"/>
      <c r="AG925" s="92"/>
    </row>
    <row r="926" hidden="1">
      <c r="A926" s="86"/>
      <c r="B926" s="25"/>
      <c r="C926" s="80" t="s">
        <v>78</v>
      </c>
      <c r="D926" s="97" t="s">
        <v>79</v>
      </c>
      <c r="E926" s="183" t="s">
        <v>628</v>
      </c>
      <c r="F926" s="183" t="s">
        <v>629</v>
      </c>
      <c r="G926" s="99">
        <v>0.5833333333333334</v>
      </c>
      <c r="H926" s="98" t="s">
        <v>1940</v>
      </c>
      <c r="I926" s="98" t="s">
        <v>1941</v>
      </c>
      <c r="J926" s="183" t="s">
        <v>632</v>
      </c>
      <c r="K926" s="91"/>
      <c r="L926" s="91"/>
      <c r="M926" s="91"/>
      <c r="N926" s="96" t="b">
        <v>0</v>
      </c>
      <c r="O926" s="96" t="b">
        <v>0</v>
      </c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  <c r="AA926" s="92"/>
      <c r="AB926" s="92"/>
      <c r="AC926" s="92"/>
      <c r="AD926" s="92"/>
      <c r="AE926" s="92"/>
      <c r="AF926" s="92"/>
      <c r="AG926" s="92"/>
    </row>
    <row r="927" hidden="1">
      <c r="A927" s="86"/>
      <c r="B927" s="25"/>
      <c r="C927" s="80" t="s">
        <v>78</v>
      </c>
      <c r="D927" s="97" t="s">
        <v>79</v>
      </c>
      <c r="E927" s="183" t="s">
        <v>1942</v>
      </c>
      <c r="F927" s="183" t="s">
        <v>1943</v>
      </c>
      <c r="G927" s="99">
        <v>0.6666666666666666</v>
      </c>
      <c r="H927" s="98" t="s">
        <v>1944</v>
      </c>
      <c r="I927" s="183" t="s">
        <v>1945</v>
      </c>
      <c r="J927" s="183" t="s">
        <v>1946</v>
      </c>
      <c r="K927" s="91"/>
      <c r="L927" s="91"/>
      <c r="M927" s="91"/>
      <c r="N927" s="96" t="b">
        <v>0</v>
      </c>
      <c r="O927" s="96" t="b">
        <v>0</v>
      </c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  <c r="AA927" s="92"/>
      <c r="AB927" s="92"/>
      <c r="AC927" s="92"/>
      <c r="AD927" s="92"/>
      <c r="AE927" s="92"/>
      <c r="AF927" s="92"/>
      <c r="AG927" s="92"/>
    </row>
    <row r="928" hidden="1">
      <c r="A928" s="86"/>
      <c r="B928" s="39"/>
      <c r="C928" s="80" t="s">
        <v>78</v>
      </c>
      <c r="D928" s="157" t="s">
        <v>1947</v>
      </c>
      <c r="E928" s="183" t="s">
        <v>1948</v>
      </c>
      <c r="F928" s="183" t="s">
        <v>1949</v>
      </c>
      <c r="G928" s="99">
        <v>0.75</v>
      </c>
      <c r="H928" s="98" t="s">
        <v>1950</v>
      </c>
      <c r="I928" s="98" t="s">
        <v>1951</v>
      </c>
      <c r="J928" s="183" t="s">
        <v>1952</v>
      </c>
      <c r="K928" s="91"/>
      <c r="L928" s="91"/>
      <c r="M928" s="91"/>
      <c r="N928" s="96" t="b">
        <v>0</v>
      </c>
      <c r="O928" s="96" t="b">
        <v>0</v>
      </c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  <c r="AA928" s="92"/>
      <c r="AB928" s="92"/>
      <c r="AC928" s="92"/>
      <c r="AD928" s="92"/>
      <c r="AE928" s="92"/>
      <c r="AF928" s="92"/>
      <c r="AG928" s="92"/>
    </row>
    <row r="929" hidden="1">
      <c r="A929" s="86"/>
      <c r="B929" s="18" t="s">
        <v>1668</v>
      </c>
      <c r="C929" s="103"/>
      <c r="D929" s="97"/>
      <c r="E929" s="98"/>
      <c r="F929" s="98"/>
      <c r="G929" s="41"/>
      <c r="H929" s="98"/>
      <c r="I929" s="98"/>
      <c r="J929" s="98"/>
      <c r="K929" s="91"/>
      <c r="L929" s="91"/>
      <c r="M929" s="91"/>
      <c r="N929" s="96" t="b">
        <v>0</v>
      </c>
      <c r="O929" s="96" t="b">
        <v>0</v>
      </c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  <c r="AA929" s="92"/>
      <c r="AB929" s="92"/>
      <c r="AC929" s="92"/>
      <c r="AD929" s="92"/>
      <c r="AE929" s="92"/>
      <c r="AF929" s="92"/>
      <c r="AG929" s="92"/>
    </row>
    <row r="930" hidden="1">
      <c r="A930" s="86"/>
      <c r="B930" s="25"/>
      <c r="C930" s="80" t="s">
        <v>78</v>
      </c>
      <c r="D930" s="97"/>
      <c r="E930" s="98"/>
      <c r="F930" s="98"/>
      <c r="G930" s="41"/>
      <c r="H930" s="98"/>
      <c r="I930" s="98"/>
      <c r="J930" s="98"/>
      <c r="K930" s="91"/>
      <c r="L930" s="91"/>
      <c r="M930" s="91"/>
      <c r="N930" s="96" t="b">
        <v>0</v>
      </c>
      <c r="O930" s="96" t="b">
        <v>0</v>
      </c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  <c r="AA930" s="92"/>
      <c r="AB930" s="92"/>
      <c r="AC930" s="92"/>
      <c r="AD930" s="92"/>
      <c r="AE930" s="92"/>
      <c r="AF930" s="92"/>
      <c r="AG930" s="92"/>
    </row>
    <row r="931" hidden="1">
      <c r="A931" s="86"/>
      <c r="B931" s="25"/>
      <c r="C931" s="80" t="s">
        <v>78</v>
      </c>
      <c r="D931" s="157" t="s">
        <v>1953</v>
      </c>
      <c r="E931" s="98" t="s">
        <v>571</v>
      </c>
      <c r="F931" s="98" t="s">
        <v>572</v>
      </c>
      <c r="G931" s="99">
        <v>0.5</v>
      </c>
      <c r="H931" s="98" t="s">
        <v>349</v>
      </c>
      <c r="I931" s="98" t="s">
        <v>573</v>
      </c>
      <c r="J931" s="98" t="s">
        <v>574</v>
      </c>
      <c r="K931" s="91"/>
      <c r="L931" s="91"/>
      <c r="M931" s="91"/>
      <c r="N931" s="96" t="b">
        <v>0</v>
      </c>
      <c r="O931" s="96" t="b">
        <v>0</v>
      </c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  <c r="AA931" s="92"/>
      <c r="AB931" s="92"/>
      <c r="AC931" s="92"/>
      <c r="AD931" s="92"/>
      <c r="AE931" s="92"/>
      <c r="AF931" s="92"/>
      <c r="AG931" s="92"/>
    </row>
    <row r="932" hidden="1">
      <c r="A932" s="86"/>
      <c r="B932" s="25"/>
      <c r="C932" s="78" t="s">
        <v>78</v>
      </c>
      <c r="D932" s="157" t="s">
        <v>1953</v>
      </c>
      <c r="E932" s="98" t="s">
        <v>1326</v>
      </c>
      <c r="F932" s="98" t="s">
        <v>1327</v>
      </c>
      <c r="G932" s="99">
        <v>0.5833333333333334</v>
      </c>
      <c r="H932" s="98" t="s">
        <v>211</v>
      </c>
      <c r="I932" s="98" t="s">
        <v>1954</v>
      </c>
      <c r="J932" s="98" t="s">
        <v>1329</v>
      </c>
      <c r="K932" s="91"/>
      <c r="L932" s="91"/>
      <c r="M932" s="91"/>
      <c r="N932" s="96" t="b">
        <v>0</v>
      </c>
      <c r="O932" s="96" t="b">
        <v>0</v>
      </c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  <c r="AA932" s="92"/>
      <c r="AB932" s="92"/>
      <c r="AC932" s="92"/>
      <c r="AD932" s="92"/>
      <c r="AE932" s="92"/>
      <c r="AF932" s="92"/>
      <c r="AG932" s="92"/>
    </row>
    <row r="933" hidden="1">
      <c r="A933" s="86"/>
      <c r="B933" s="25"/>
      <c r="C933" s="80" t="s">
        <v>78</v>
      </c>
      <c r="D933" s="97" t="s">
        <v>79</v>
      </c>
      <c r="E933" s="183" t="s">
        <v>51</v>
      </c>
      <c r="F933" s="183" t="s">
        <v>52</v>
      </c>
      <c r="G933" s="99">
        <v>0.6666666666666666</v>
      </c>
      <c r="H933" s="98" t="s">
        <v>1741</v>
      </c>
      <c r="I933" s="183" t="s">
        <v>1955</v>
      </c>
      <c r="J933" s="183" t="s">
        <v>53</v>
      </c>
      <c r="K933" s="98" t="s">
        <v>838</v>
      </c>
      <c r="L933" s="91"/>
      <c r="M933" s="91"/>
      <c r="N933" s="96" t="b">
        <v>0</v>
      </c>
      <c r="O933" s="96" t="b">
        <v>0</v>
      </c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  <c r="AA933" s="92"/>
      <c r="AB933" s="92"/>
      <c r="AC933" s="92"/>
      <c r="AD933" s="92"/>
      <c r="AE933" s="92"/>
      <c r="AF933" s="92"/>
      <c r="AG933" s="92"/>
    </row>
    <row r="934" hidden="1">
      <c r="A934" s="86"/>
      <c r="B934" s="39"/>
      <c r="C934" s="78" t="s">
        <v>78</v>
      </c>
      <c r="D934" s="157" t="s">
        <v>1947</v>
      </c>
      <c r="E934" s="183" t="s">
        <v>137</v>
      </c>
      <c r="F934" s="183" t="s">
        <v>138</v>
      </c>
      <c r="G934" s="99">
        <v>0.75</v>
      </c>
      <c r="H934" s="98" t="s">
        <v>134</v>
      </c>
      <c r="I934" s="183" t="s">
        <v>1956</v>
      </c>
      <c r="J934" s="183" t="s">
        <v>140</v>
      </c>
      <c r="K934" s="98" t="s">
        <v>838</v>
      </c>
      <c r="L934" s="98" t="s">
        <v>1957</v>
      </c>
      <c r="M934" s="91"/>
      <c r="N934" s="96" t="b">
        <v>0</v>
      </c>
      <c r="O934" s="96" t="b">
        <v>0</v>
      </c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  <c r="AA934" s="92"/>
      <c r="AB934" s="92"/>
      <c r="AC934" s="92"/>
      <c r="AD934" s="92"/>
      <c r="AE934" s="92"/>
      <c r="AF934" s="92"/>
      <c r="AG934" s="92"/>
    </row>
    <row r="935" hidden="1">
      <c r="A935" s="86"/>
      <c r="B935" s="166"/>
      <c r="C935" s="88">
        <v>44428.0</v>
      </c>
      <c r="D935" s="97"/>
      <c r="E935" s="98"/>
      <c r="F935" s="98"/>
      <c r="G935" s="41"/>
      <c r="H935" s="98"/>
      <c r="I935" s="98"/>
      <c r="J935" s="98"/>
      <c r="K935" s="91"/>
      <c r="L935" s="91"/>
      <c r="M935" s="91"/>
      <c r="N935" s="96" t="b">
        <v>0</v>
      </c>
      <c r="O935" s="96" t="b">
        <v>0</v>
      </c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  <c r="AA935" s="92"/>
      <c r="AB935" s="92"/>
      <c r="AC935" s="92"/>
      <c r="AD935" s="92"/>
      <c r="AE935" s="92"/>
      <c r="AF935" s="92"/>
      <c r="AG935" s="92"/>
    </row>
    <row r="936" hidden="1">
      <c r="A936" s="86"/>
      <c r="B936" s="18" t="s">
        <v>1668</v>
      </c>
      <c r="C936" s="78" t="s">
        <v>78</v>
      </c>
      <c r="D936" s="107" t="s">
        <v>79</v>
      </c>
      <c r="E936" s="184" t="s">
        <v>1958</v>
      </c>
      <c r="F936" s="184" t="s">
        <v>1959</v>
      </c>
      <c r="G936" s="112" t="s">
        <v>417</v>
      </c>
      <c r="H936" s="109" t="s">
        <v>1960</v>
      </c>
      <c r="I936" s="109" t="s">
        <v>1961</v>
      </c>
      <c r="J936" s="184" t="s">
        <v>1962</v>
      </c>
      <c r="K936" s="109"/>
      <c r="L936" s="98" t="s">
        <v>1963</v>
      </c>
      <c r="M936" s="91"/>
      <c r="N936" s="96" t="b">
        <v>0</v>
      </c>
      <c r="O936" s="96" t="b">
        <v>0</v>
      </c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  <c r="AA936" s="92"/>
      <c r="AB936" s="92"/>
      <c r="AC936" s="92"/>
      <c r="AD936" s="92"/>
      <c r="AE936" s="92"/>
      <c r="AF936" s="92"/>
      <c r="AG936" s="92"/>
    </row>
    <row r="937" hidden="1">
      <c r="A937" s="86"/>
      <c r="B937" s="25"/>
      <c r="C937" s="80" t="s">
        <v>78</v>
      </c>
      <c r="D937" s="97" t="s">
        <v>79</v>
      </c>
      <c r="E937" s="183" t="s">
        <v>132</v>
      </c>
      <c r="F937" s="183" t="s">
        <v>133</v>
      </c>
      <c r="G937" s="41" t="s">
        <v>449</v>
      </c>
      <c r="H937" s="98" t="s">
        <v>1960</v>
      </c>
      <c r="I937" s="98" t="s">
        <v>1737</v>
      </c>
      <c r="J937" s="183" t="s">
        <v>136</v>
      </c>
      <c r="K937" s="91"/>
      <c r="L937" s="91"/>
      <c r="M937" s="91"/>
      <c r="N937" s="96" t="b">
        <v>0</v>
      </c>
      <c r="O937" s="96" t="b">
        <v>0</v>
      </c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  <c r="AA937" s="92"/>
      <c r="AB937" s="92"/>
      <c r="AC937" s="92"/>
      <c r="AD937" s="92"/>
      <c r="AE937" s="92"/>
      <c r="AF937" s="92"/>
      <c r="AG937" s="92"/>
    </row>
    <row r="938" hidden="1">
      <c r="A938" s="86"/>
      <c r="B938" s="25"/>
      <c r="C938" s="80" t="s">
        <v>78</v>
      </c>
      <c r="D938" s="97" t="s">
        <v>131</v>
      </c>
      <c r="E938" s="98" t="s">
        <v>1629</v>
      </c>
      <c r="F938" s="98" t="s">
        <v>1630</v>
      </c>
      <c r="G938" s="41" t="s">
        <v>180</v>
      </c>
      <c r="H938" s="98" t="s">
        <v>211</v>
      </c>
      <c r="I938" s="98" t="s">
        <v>1964</v>
      </c>
      <c r="J938" s="98" t="s">
        <v>1632</v>
      </c>
      <c r="K938" s="98" t="s">
        <v>838</v>
      </c>
      <c r="L938" s="91"/>
      <c r="M938" s="91"/>
      <c r="N938" s="96" t="b">
        <v>0</v>
      </c>
      <c r="O938" s="96" t="b">
        <v>0</v>
      </c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  <c r="AA938" s="92"/>
      <c r="AB938" s="92"/>
      <c r="AC938" s="92"/>
      <c r="AD938" s="92"/>
      <c r="AE938" s="92"/>
      <c r="AF938" s="92"/>
      <c r="AG938" s="92"/>
    </row>
    <row r="939" hidden="1">
      <c r="A939" s="86"/>
      <c r="B939" s="25"/>
      <c r="C939" s="80" t="s">
        <v>78</v>
      </c>
      <c r="D939" s="97"/>
      <c r="E939" s="98" t="s">
        <v>611</v>
      </c>
      <c r="F939" s="98" t="s">
        <v>612</v>
      </c>
      <c r="G939" s="41" t="s">
        <v>248</v>
      </c>
      <c r="H939" s="98" t="s">
        <v>82</v>
      </c>
      <c r="I939" s="98" t="s">
        <v>1965</v>
      </c>
      <c r="J939" s="98" t="s">
        <v>614</v>
      </c>
      <c r="K939" s="98" t="s">
        <v>838</v>
      </c>
      <c r="L939" s="91"/>
      <c r="M939" s="91"/>
      <c r="N939" s="96" t="b">
        <v>0</v>
      </c>
      <c r="O939" s="96" t="b">
        <v>0</v>
      </c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  <c r="AA939" s="92"/>
      <c r="AB939" s="92"/>
      <c r="AC939" s="92"/>
      <c r="AD939" s="92"/>
      <c r="AE939" s="92"/>
      <c r="AF939" s="92"/>
      <c r="AG939" s="92"/>
    </row>
    <row r="940" hidden="1">
      <c r="A940" s="86"/>
      <c r="B940" s="25"/>
      <c r="C940" s="80" t="s">
        <v>78</v>
      </c>
      <c r="D940" s="97"/>
      <c r="E940" s="98"/>
      <c r="F940" s="98"/>
      <c r="G940" s="41"/>
      <c r="H940" s="98"/>
      <c r="I940" s="98"/>
      <c r="J940" s="98"/>
      <c r="K940" s="91"/>
      <c r="L940" s="91"/>
      <c r="M940" s="91"/>
      <c r="N940" s="96" t="b">
        <v>0</v>
      </c>
      <c r="O940" s="96" t="b">
        <v>0</v>
      </c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  <c r="AA940" s="92"/>
      <c r="AB940" s="92"/>
      <c r="AC940" s="92"/>
      <c r="AD940" s="92"/>
      <c r="AE940" s="92"/>
      <c r="AF940" s="92"/>
      <c r="AG940" s="92"/>
    </row>
    <row r="941" hidden="1">
      <c r="A941" s="86"/>
      <c r="B941" s="39"/>
      <c r="C941" s="103"/>
      <c r="D941" s="107" t="s">
        <v>79</v>
      </c>
      <c r="E941" s="184" t="s">
        <v>1966</v>
      </c>
      <c r="F941" s="184" t="s">
        <v>1967</v>
      </c>
      <c r="G941" s="112" t="s">
        <v>880</v>
      </c>
      <c r="H941" s="109" t="s">
        <v>1968</v>
      </c>
      <c r="I941" s="109" t="s">
        <v>1969</v>
      </c>
      <c r="J941" s="184" t="s">
        <v>1970</v>
      </c>
      <c r="K941" s="91"/>
      <c r="L941" s="91"/>
      <c r="M941" s="91"/>
      <c r="N941" s="96" t="b">
        <v>0</v>
      </c>
      <c r="O941" s="96" t="b">
        <v>0</v>
      </c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  <c r="AA941" s="92"/>
      <c r="AB941" s="92"/>
      <c r="AC941" s="92"/>
      <c r="AD941" s="92"/>
      <c r="AE941" s="92"/>
      <c r="AF941" s="92"/>
      <c r="AG941" s="92"/>
    </row>
    <row r="942" hidden="1">
      <c r="A942" s="86"/>
      <c r="B942" s="221" t="s">
        <v>1971</v>
      </c>
      <c r="C942" s="80" t="s">
        <v>78</v>
      </c>
      <c r="D942" s="97" t="s">
        <v>131</v>
      </c>
      <c r="E942" s="98" t="s">
        <v>1972</v>
      </c>
      <c r="F942" s="98" t="s">
        <v>1973</v>
      </c>
      <c r="G942" s="41" t="s">
        <v>417</v>
      </c>
      <c r="H942" s="98" t="s">
        <v>1275</v>
      </c>
      <c r="I942" s="98" t="s">
        <v>1974</v>
      </c>
      <c r="J942" s="98" t="s">
        <v>1975</v>
      </c>
      <c r="K942" s="91"/>
      <c r="L942" s="98"/>
      <c r="M942" s="91"/>
      <c r="N942" s="96" t="b">
        <v>0</v>
      </c>
      <c r="O942" s="96" t="b">
        <v>0</v>
      </c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  <c r="AA942" s="92"/>
      <c r="AB942" s="92"/>
      <c r="AC942" s="92"/>
      <c r="AD942" s="92"/>
      <c r="AE942" s="92"/>
      <c r="AF942" s="92"/>
      <c r="AG942" s="92"/>
    </row>
    <row r="943" hidden="1">
      <c r="A943" s="86"/>
      <c r="B943" s="221"/>
      <c r="C943" s="80" t="s">
        <v>78</v>
      </c>
      <c r="D943" s="97" t="s">
        <v>79</v>
      </c>
      <c r="E943" s="183" t="s">
        <v>1976</v>
      </c>
      <c r="F943" s="183" t="s">
        <v>1977</v>
      </c>
      <c r="G943" s="41" t="s">
        <v>449</v>
      </c>
      <c r="H943" s="98" t="s">
        <v>1978</v>
      </c>
      <c r="I943" s="183" t="s">
        <v>1979</v>
      </c>
      <c r="J943" s="183" t="s">
        <v>1980</v>
      </c>
      <c r="K943" s="91"/>
      <c r="L943" s="91"/>
      <c r="M943" s="91"/>
      <c r="N943" s="96" t="b">
        <v>0</v>
      </c>
      <c r="O943" s="96" t="b">
        <v>0</v>
      </c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  <c r="AA943" s="92"/>
      <c r="AB943" s="92"/>
      <c r="AC943" s="92"/>
      <c r="AD943" s="92"/>
      <c r="AE943" s="92"/>
      <c r="AF943" s="92"/>
      <c r="AG943" s="92"/>
    </row>
    <row r="944" hidden="1">
      <c r="A944" s="86"/>
      <c r="B944" s="221"/>
      <c r="C944" s="78" t="s">
        <v>78</v>
      </c>
      <c r="D944" s="97" t="s">
        <v>79</v>
      </c>
      <c r="E944" s="183" t="s">
        <v>1981</v>
      </c>
      <c r="F944" s="183" t="s">
        <v>1982</v>
      </c>
      <c r="G944" s="41" t="s">
        <v>180</v>
      </c>
      <c r="H944" s="98" t="s">
        <v>1983</v>
      </c>
      <c r="I944" s="98" t="s">
        <v>1984</v>
      </c>
      <c r="J944" s="98" t="s">
        <v>1985</v>
      </c>
      <c r="K944" s="91"/>
      <c r="L944" s="91"/>
      <c r="M944" s="91"/>
      <c r="N944" s="96" t="b">
        <v>0</v>
      </c>
      <c r="O944" s="96" t="b">
        <v>0</v>
      </c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  <c r="AA944" s="92"/>
      <c r="AB944" s="92"/>
      <c r="AC944" s="92"/>
      <c r="AD944" s="92"/>
      <c r="AE944" s="92"/>
      <c r="AF944" s="92"/>
      <c r="AG944" s="92"/>
    </row>
    <row r="945" hidden="1">
      <c r="A945" s="86"/>
      <c r="B945" s="222"/>
      <c r="C945" s="80" t="s">
        <v>78</v>
      </c>
      <c r="D945" s="97"/>
      <c r="E945" s="98" t="s">
        <v>1986</v>
      </c>
      <c r="F945" s="203" t="s">
        <v>1987</v>
      </c>
      <c r="G945" s="41" t="s">
        <v>248</v>
      </c>
      <c r="H945" s="98" t="s">
        <v>1988</v>
      </c>
      <c r="I945" s="98" t="s">
        <v>1989</v>
      </c>
      <c r="J945" s="183" t="s">
        <v>1990</v>
      </c>
      <c r="K945" s="91"/>
      <c r="L945" s="98" t="s">
        <v>1991</v>
      </c>
      <c r="M945" s="91"/>
      <c r="N945" s="96" t="b">
        <v>0</v>
      </c>
      <c r="O945" s="96" t="b">
        <v>0</v>
      </c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  <c r="AA945" s="92"/>
      <c r="AB945" s="92"/>
      <c r="AC945" s="92"/>
      <c r="AD945" s="92"/>
      <c r="AE945" s="92"/>
      <c r="AF945" s="92"/>
      <c r="AG945" s="92"/>
    </row>
    <row r="946" hidden="1">
      <c r="A946" s="86"/>
      <c r="B946" s="166"/>
      <c r="C946" s="88">
        <v>44431.0</v>
      </c>
      <c r="D946" s="97"/>
      <c r="E946" s="98"/>
      <c r="F946" s="98"/>
      <c r="G946" s="41"/>
      <c r="H946" s="98"/>
      <c r="I946" s="98"/>
      <c r="J946" s="98"/>
      <c r="K946" s="91"/>
      <c r="L946" s="91"/>
      <c r="M946" s="91"/>
      <c r="N946" s="96" t="b">
        <v>0</v>
      </c>
      <c r="O946" s="96" t="b">
        <v>0</v>
      </c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  <c r="AA946" s="92"/>
      <c r="AB946" s="92"/>
      <c r="AC946" s="92"/>
      <c r="AD946" s="92"/>
      <c r="AE946" s="92"/>
      <c r="AF946" s="92"/>
      <c r="AG946" s="92"/>
    </row>
    <row r="947" hidden="1">
      <c r="A947" s="86"/>
      <c r="B947" s="18" t="s">
        <v>1668</v>
      </c>
      <c r="C947" s="78" t="s">
        <v>78</v>
      </c>
      <c r="D947" s="181"/>
      <c r="E947" s="43"/>
      <c r="F947" s="43"/>
      <c r="G947" s="81"/>
      <c r="H947" s="43"/>
      <c r="I947" s="43"/>
      <c r="J947" s="43"/>
      <c r="K947" s="91"/>
      <c r="L947" s="91"/>
      <c r="M947" s="91"/>
      <c r="N947" s="96" t="b">
        <v>0</v>
      </c>
      <c r="O947" s="96" t="b">
        <v>0</v>
      </c>
      <c r="P947" s="92"/>
      <c r="Q947" s="92"/>
      <c r="R947" s="92"/>
      <c r="S947" s="92"/>
      <c r="T947" s="92"/>
      <c r="U947" s="92"/>
      <c r="V947" s="92"/>
      <c r="W947" s="92"/>
      <c r="X947" s="92"/>
      <c r="Y947" s="92"/>
      <c r="Z947" s="92"/>
      <c r="AA947" s="92"/>
      <c r="AB947" s="92"/>
      <c r="AC947" s="92"/>
      <c r="AD947" s="92"/>
      <c r="AE947" s="92"/>
      <c r="AF947" s="92"/>
      <c r="AG947" s="92"/>
    </row>
    <row r="948" hidden="1">
      <c r="A948" s="86"/>
      <c r="B948" s="25"/>
      <c r="C948" s="80" t="s">
        <v>78</v>
      </c>
      <c r="D948" s="97" t="s">
        <v>131</v>
      </c>
      <c r="E948" s="109" t="s">
        <v>1992</v>
      </c>
      <c r="F948" s="109" t="s">
        <v>1993</v>
      </c>
      <c r="G948" s="223" t="s">
        <v>880</v>
      </c>
      <c r="H948" s="191" t="s">
        <v>1118</v>
      </c>
      <c r="I948" s="109" t="s">
        <v>1994</v>
      </c>
      <c r="J948" s="109" t="s">
        <v>1995</v>
      </c>
      <c r="K948" s="111"/>
      <c r="L948" s="91"/>
      <c r="M948" s="91"/>
      <c r="N948" s="96" t="b">
        <v>0</v>
      </c>
      <c r="O948" s="96" t="b">
        <v>0</v>
      </c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  <c r="AA948" s="92"/>
      <c r="AB948" s="92"/>
      <c r="AC948" s="92"/>
      <c r="AD948" s="92"/>
      <c r="AE948" s="92"/>
      <c r="AF948" s="92"/>
      <c r="AG948" s="92"/>
    </row>
    <row r="949" hidden="1">
      <c r="A949" s="86"/>
      <c r="B949" s="25"/>
      <c r="C949" s="80" t="s">
        <v>78</v>
      </c>
      <c r="D949" s="97" t="s">
        <v>79</v>
      </c>
      <c r="E949" s="183" t="s">
        <v>1996</v>
      </c>
      <c r="F949" s="183" t="s">
        <v>1997</v>
      </c>
      <c r="G949" s="218" t="s">
        <v>449</v>
      </c>
      <c r="H949" s="183" t="s">
        <v>1998</v>
      </c>
      <c r="I949" s="183" t="s">
        <v>1999</v>
      </c>
      <c r="J949" s="183" t="s">
        <v>2000</v>
      </c>
      <c r="K949" s="91"/>
      <c r="L949" s="91"/>
      <c r="M949" s="91"/>
      <c r="N949" s="96" t="b">
        <v>0</v>
      </c>
      <c r="O949" s="96" t="b">
        <v>0</v>
      </c>
      <c r="P949" s="92"/>
      <c r="Q949" s="92"/>
      <c r="R949" s="92"/>
      <c r="S949" s="92"/>
      <c r="T949" s="92"/>
      <c r="U949" s="92"/>
      <c r="V949" s="92"/>
      <c r="W949" s="92"/>
      <c r="X949" s="92"/>
      <c r="Y949" s="92"/>
      <c r="Z949" s="92"/>
      <c r="AA949" s="92"/>
      <c r="AB949" s="92"/>
      <c r="AC949" s="92"/>
      <c r="AD949" s="92"/>
      <c r="AE949" s="92"/>
      <c r="AF949" s="92"/>
      <c r="AG949" s="92"/>
    </row>
    <row r="950" hidden="1">
      <c r="A950" s="86"/>
      <c r="B950" s="25"/>
      <c r="C950" s="80" t="s">
        <v>78</v>
      </c>
      <c r="D950" s="97" t="s">
        <v>79</v>
      </c>
      <c r="E950" s="224" t="s">
        <v>2001</v>
      </c>
      <c r="F950" s="224" t="s">
        <v>2002</v>
      </c>
      <c r="G950" s="218" t="s">
        <v>180</v>
      </c>
      <c r="H950" s="189" t="s">
        <v>224</v>
      </c>
      <c r="I950" s="98" t="s">
        <v>2003</v>
      </c>
      <c r="J950" s="183" t="s">
        <v>679</v>
      </c>
      <c r="K950" s="91"/>
      <c r="L950" s="91"/>
      <c r="M950" s="91"/>
      <c r="N950" s="96" t="b">
        <v>0</v>
      </c>
      <c r="O950" s="96" t="b">
        <v>0</v>
      </c>
      <c r="P950" s="92"/>
      <c r="Q950" s="92"/>
      <c r="R950" s="92"/>
      <c r="S950" s="92"/>
      <c r="T950" s="92"/>
      <c r="U950" s="92"/>
      <c r="V950" s="92"/>
      <c r="W950" s="92"/>
      <c r="X950" s="92"/>
      <c r="Y950" s="92"/>
      <c r="Z950" s="92"/>
      <c r="AA950" s="92"/>
      <c r="AB950" s="92"/>
      <c r="AC950" s="92"/>
      <c r="AD950" s="92"/>
      <c r="AE950" s="92"/>
      <c r="AF950" s="92"/>
      <c r="AG950" s="92"/>
    </row>
    <row r="951" hidden="1">
      <c r="A951" s="86"/>
      <c r="B951" s="25"/>
      <c r="C951" s="80" t="s">
        <v>78</v>
      </c>
      <c r="D951" s="97" t="s">
        <v>79</v>
      </c>
      <c r="E951" s="224" t="s">
        <v>676</v>
      </c>
      <c r="F951" s="224" t="s">
        <v>677</v>
      </c>
      <c r="G951" s="218" t="s">
        <v>283</v>
      </c>
      <c r="H951" s="189" t="s">
        <v>224</v>
      </c>
      <c r="I951" s="98" t="s">
        <v>2003</v>
      </c>
      <c r="J951" s="183" t="s">
        <v>679</v>
      </c>
      <c r="K951" s="98" t="s">
        <v>838</v>
      </c>
      <c r="L951" s="91"/>
      <c r="M951" s="91"/>
      <c r="N951" s="96" t="b">
        <v>0</v>
      </c>
      <c r="O951" s="96" t="b">
        <v>0</v>
      </c>
      <c r="P951" s="92"/>
      <c r="Q951" s="92"/>
      <c r="R951" s="92"/>
      <c r="S951" s="92"/>
      <c r="T951" s="92"/>
      <c r="U951" s="92"/>
      <c r="V951" s="92"/>
      <c r="W951" s="92"/>
      <c r="X951" s="92"/>
      <c r="Y951" s="92"/>
      <c r="Z951" s="92"/>
      <c r="AA951" s="92"/>
      <c r="AB951" s="92"/>
      <c r="AC951" s="92"/>
      <c r="AD951" s="92"/>
      <c r="AE951" s="92"/>
      <c r="AF951" s="92"/>
      <c r="AG951" s="92"/>
    </row>
    <row r="952" hidden="1">
      <c r="A952" s="86"/>
      <c r="B952" s="39"/>
      <c r="C952" s="103"/>
      <c r="D952" s="97"/>
      <c r="E952" s="98"/>
      <c r="F952" s="98"/>
      <c r="G952" s="81"/>
      <c r="H952" s="43"/>
      <c r="I952" s="98"/>
      <c r="J952" s="98"/>
      <c r="K952" s="91"/>
      <c r="L952" s="91"/>
      <c r="M952" s="91"/>
      <c r="N952" s="96" t="b">
        <v>0</v>
      </c>
      <c r="O952" s="96" t="b">
        <v>0</v>
      </c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  <c r="AA952" s="92"/>
      <c r="AB952" s="92"/>
      <c r="AC952" s="92"/>
      <c r="AD952" s="92"/>
      <c r="AE952" s="92"/>
      <c r="AF952" s="92"/>
      <c r="AG952" s="92"/>
    </row>
    <row r="953" hidden="1">
      <c r="A953" s="86"/>
      <c r="B953" s="221"/>
      <c r="C953" s="80"/>
      <c r="D953" s="97" t="s">
        <v>131</v>
      </c>
      <c r="E953" s="183" t="s">
        <v>2004</v>
      </c>
      <c r="F953" s="183" t="s">
        <v>2005</v>
      </c>
      <c r="G953" s="99">
        <v>0.625</v>
      </c>
      <c r="H953" s="98" t="s">
        <v>2006</v>
      </c>
      <c r="I953" s="183" t="s">
        <v>2007</v>
      </c>
      <c r="J953" s="98" t="s">
        <v>2008</v>
      </c>
      <c r="K953" s="91"/>
      <c r="L953" s="91"/>
      <c r="M953" s="91"/>
      <c r="N953" s="96" t="b">
        <v>0</v>
      </c>
      <c r="O953" s="96" t="b">
        <v>0</v>
      </c>
      <c r="P953" s="92"/>
      <c r="Q953" s="92"/>
      <c r="R953" s="92"/>
      <c r="S953" s="92"/>
      <c r="T953" s="92"/>
      <c r="U953" s="92"/>
      <c r="V953" s="92"/>
      <c r="W953" s="92"/>
      <c r="X953" s="92"/>
      <c r="Y953" s="92"/>
      <c r="Z953" s="92"/>
      <c r="AA953" s="92"/>
      <c r="AB953" s="92"/>
      <c r="AC953" s="92"/>
      <c r="AD953" s="92"/>
      <c r="AE953" s="92"/>
      <c r="AF953" s="92"/>
      <c r="AG953" s="92"/>
    </row>
    <row r="954" hidden="1">
      <c r="A954" s="86"/>
      <c r="B954" s="221" t="s">
        <v>1971</v>
      </c>
      <c r="C954" s="80" t="s">
        <v>78</v>
      </c>
      <c r="D954" s="97" t="s">
        <v>131</v>
      </c>
      <c r="E954" s="98" t="s">
        <v>2009</v>
      </c>
      <c r="F954" s="98" t="s">
        <v>2010</v>
      </c>
      <c r="G954" s="99">
        <v>0.5416666666666666</v>
      </c>
      <c r="H954" s="98" t="s">
        <v>367</v>
      </c>
      <c r="I954" s="98" t="s">
        <v>2011</v>
      </c>
      <c r="J954" s="98" t="s">
        <v>2012</v>
      </c>
      <c r="K954" s="91"/>
      <c r="L954" s="91"/>
      <c r="M954" s="91"/>
      <c r="N954" s="96" t="b">
        <v>0</v>
      </c>
      <c r="O954" s="96" t="b">
        <v>0</v>
      </c>
      <c r="P954" s="92"/>
      <c r="Q954" s="92"/>
      <c r="R954" s="92"/>
      <c r="S954" s="92"/>
      <c r="T954" s="92"/>
      <c r="U954" s="92"/>
      <c r="V954" s="92"/>
      <c r="W954" s="92"/>
      <c r="X954" s="92"/>
      <c r="Y954" s="92"/>
      <c r="Z954" s="92"/>
      <c r="AA954" s="92"/>
      <c r="AB954" s="92"/>
      <c r="AC954" s="92"/>
      <c r="AD954" s="92"/>
      <c r="AE954" s="92"/>
      <c r="AF954" s="92"/>
      <c r="AG954" s="92"/>
    </row>
    <row r="955" hidden="1">
      <c r="A955" s="86"/>
      <c r="B955" s="221"/>
      <c r="C955" s="80" t="s">
        <v>78</v>
      </c>
      <c r="D955" s="225" t="s">
        <v>131</v>
      </c>
      <c r="E955" s="109" t="s">
        <v>2013</v>
      </c>
      <c r="F955" s="109" t="s">
        <v>2014</v>
      </c>
      <c r="G955" s="108">
        <v>0.625</v>
      </c>
      <c r="H955" s="109" t="s">
        <v>1312</v>
      </c>
      <c r="I955" s="109" t="s">
        <v>2015</v>
      </c>
      <c r="J955" s="109" t="s">
        <v>2016</v>
      </c>
      <c r="K955" s="111"/>
      <c r="L955" s="91"/>
      <c r="M955" s="91"/>
      <c r="N955" s="96" t="b">
        <v>0</v>
      </c>
      <c r="O955" s="96" t="b">
        <v>0</v>
      </c>
      <c r="P955" s="92"/>
      <c r="Q955" s="92"/>
      <c r="R955" s="92"/>
      <c r="S955" s="92"/>
      <c r="T955" s="92"/>
      <c r="U955" s="92"/>
      <c r="V955" s="92"/>
      <c r="W955" s="92"/>
      <c r="X955" s="92"/>
      <c r="Y955" s="92"/>
      <c r="Z955" s="92"/>
      <c r="AA955" s="92"/>
      <c r="AB955" s="92"/>
      <c r="AC955" s="92"/>
      <c r="AD955" s="92"/>
      <c r="AE955" s="92"/>
      <c r="AF955" s="92"/>
      <c r="AG955" s="92"/>
    </row>
    <row r="956" hidden="1">
      <c r="A956" s="86"/>
      <c r="B956" s="221"/>
      <c r="C956" s="78" t="s">
        <v>78</v>
      </c>
      <c r="D956" s="97" t="s">
        <v>131</v>
      </c>
      <c r="E956" s="109" t="s">
        <v>2017</v>
      </c>
      <c r="F956" s="109" t="s">
        <v>2018</v>
      </c>
      <c r="G956" s="108">
        <v>0.7083333333333334</v>
      </c>
      <c r="H956" s="109" t="s">
        <v>367</v>
      </c>
      <c r="I956" s="109" t="s">
        <v>2019</v>
      </c>
      <c r="J956" s="109" t="s">
        <v>2020</v>
      </c>
      <c r="K956" s="111"/>
      <c r="L956" s="91"/>
      <c r="M956" s="91"/>
      <c r="N956" s="96" t="b">
        <v>0</v>
      </c>
      <c r="O956" s="96" t="b">
        <v>0</v>
      </c>
      <c r="P956" s="92"/>
      <c r="Q956" s="92"/>
      <c r="R956" s="92"/>
      <c r="S956" s="92"/>
      <c r="T956" s="92"/>
      <c r="U956" s="92"/>
      <c r="V956" s="92"/>
      <c r="W956" s="92"/>
      <c r="X956" s="92"/>
      <c r="Y956" s="92"/>
      <c r="Z956" s="92"/>
      <c r="AA956" s="92"/>
      <c r="AB956" s="92"/>
      <c r="AC956" s="92"/>
      <c r="AD956" s="92"/>
      <c r="AE956" s="92"/>
      <c r="AF956" s="92"/>
      <c r="AG956" s="92"/>
    </row>
    <row r="957" hidden="1">
      <c r="A957" s="86"/>
      <c r="B957" s="222"/>
      <c r="C957" s="80" t="s">
        <v>78</v>
      </c>
      <c r="D957" s="187" t="s">
        <v>2021</v>
      </c>
      <c r="E957" s="183" t="s">
        <v>2022</v>
      </c>
      <c r="F957" s="183" t="s">
        <v>2023</v>
      </c>
      <c r="G957" s="188">
        <v>0.7708333333333334</v>
      </c>
      <c r="H957" s="189" t="s">
        <v>2024</v>
      </c>
      <c r="I957" s="189" t="s">
        <v>2025</v>
      </c>
      <c r="J957" s="183" t="s">
        <v>2026</v>
      </c>
      <c r="K957" s="91"/>
      <c r="L957" s="91"/>
      <c r="M957" s="91"/>
      <c r="N957" s="96" t="b">
        <v>0</v>
      </c>
      <c r="O957" s="96" t="b">
        <v>0</v>
      </c>
      <c r="P957" s="92"/>
      <c r="Q957" s="92"/>
      <c r="R957" s="92"/>
      <c r="S957" s="92"/>
      <c r="T957" s="92"/>
      <c r="U957" s="92"/>
      <c r="V957" s="92"/>
      <c r="W957" s="92"/>
      <c r="X957" s="92"/>
      <c r="Y957" s="92"/>
      <c r="Z957" s="92"/>
      <c r="AA957" s="92"/>
      <c r="AB957" s="92"/>
      <c r="AC957" s="92"/>
      <c r="AD957" s="92"/>
      <c r="AE957" s="92"/>
      <c r="AF957" s="92"/>
      <c r="AG957" s="92"/>
    </row>
    <row r="958" hidden="1">
      <c r="A958" s="86"/>
      <c r="B958" s="166"/>
      <c r="C958" s="88">
        <v>44432.0</v>
      </c>
      <c r="D958" s="226" t="s">
        <v>1947</v>
      </c>
      <c r="E958" s="184" t="s">
        <v>73</v>
      </c>
      <c r="F958" s="184" t="s">
        <v>74</v>
      </c>
      <c r="G958" s="108">
        <v>0.4583333333333333</v>
      </c>
      <c r="H958" s="109" t="s">
        <v>2027</v>
      </c>
      <c r="I958" s="184" t="s">
        <v>2028</v>
      </c>
      <c r="J958" s="184" t="s">
        <v>2029</v>
      </c>
      <c r="K958" s="91"/>
      <c r="L958" s="91"/>
      <c r="M958" s="91"/>
      <c r="N958" s="96" t="b">
        <v>0</v>
      </c>
      <c r="O958" s="96" t="b">
        <v>0</v>
      </c>
      <c r="P958" s="92"/>
      <c r="Q958" s="92"/>
      <c r="R958" s="92"/>
      <c r="S958" s="92"/>
      <c r="T958" s="92"/>
      <c r="U958" s="92"/>
      <c r="V958" s="92"/>
      <c r="W958" s="92"/>
      <c r="X958" s="92"/>
      <c r="Y958" s="92"/>
      <c r="Z958" s="92"/>
      <c r="AA958" s="92"/>
      <c r="AB958" s="92"/>
      <c r="AC958" s="92"/>
      <c r="AD958" s="92"/>
      <c r="AE958" s="92"/>
      <c r="AF958" s="92"/>
      <c r="AG958" s="92"/>
    </row>
    <row r="959" hidden="1">
      <c r="A959" s="86"/>
      <c r="B959" s="18" t="s">
        <v>1668</v>
      </c>
      <c r="C959" s="78" t="s">
        <v>78</v>
      </c>
      <c r="D959" s="226" t="s">
        <v>1947</v>
      </c>
      <c r="E959" s="227" t="s">
        <v>482</v>
      </c>
      <c r="F959" s="227" t="s">
        <v>483</v>
      </c>
      <c r="G959" s="108">
        <v>0.5416666666666666</v>
      </c>
      <c r="H959" s="109" t="s">
        <v>2027</v>
      </c>
      <c r="I959" s="227" t="s">
        <v>2030</v>
      </c>
      <c r="J959" s="227" t="s">
        <v>485</v>
      </c>
      <c r="K959" s="109" t="s">
        <v>838</v>
      </c>
      <c r="L959" s="91"/>
      <c r="M959" s="91"/>
      <c r="N959" s="96" t="b">
        <v>0</v>
      </c>
      <c r="O959" s="96" t="b">
        <v>0</v>
      </c>
      <c r="P959" s="92"/>
      <c r="Q959" s="92"/>
      <c r="R959" s="92"/>
      <c r="S959" s="92"/>
      <c r="T959" s="92"/>
      <c r="U959" s="92"/>
      <c r="V959" s="92"/>
      <c r="W959" s="92"/>
      <c r="X959" s="92"/>
      <c r="Y959" s="92"/>
      <c r="Z959" s="92"/>
      <c r="AA959" s="92"/>
      <c r="AB959" s="92"/>
      <c r="AC959" s="92"/>
      <c r="AD959" s="92"/>
      <c r="AE959" s="92"/>
      <c r="AF959" s="92"/>
      <c r="AG959" s="92"/>
    </row>
    <row r="960" hidden="1">
      <c r="A960" s="86"/>
      <c r="B960" s="25"/>
      <c r="C960" s="80" t="s">
        <v>78</v>
      </c>
      <c r="D960" s="187" t="s">
        <v>1371</v>
      </c>
      <c r="E960" s="189" t="s">
        <v>2031</v>
      </c>
      <c r="F960" s="203" t="s">
        <v>748</v>
      </c>
      <c r="G960" s="218" t="s">
        <v>384</v>
      </c>
      <c r="H960" s="189" t="s">
        <v>2032</v>
      </c>
      <c r="I960" s="189" t="s">
        <v>2033</v>
      </c>
      <c r="J960" s="189" t="s">
        <v>750</v>
      </c>
      <c r="K960" s="43"/>
      <c r="L960" s="91"/>
      <c r="M960" s="91"/>
      <c r="N960" s="96" t="b">
        <v>0</v>
      </c>
      <c r="O960" s="96" t="b">
        <v>0</v>
      </c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  <c r="AA960" s="92"/>
      <c r="AB960" s="92"/>
      <c r="AC960" s="92"/>
      <c r="AD960" s="92"/>
      <c r="AE960" s="92"/>
      <c r="AF960" s="92"/>
      <c r="AG960" s="92"/>
    </row>
    <row r="961" hidden="1">
      <c r="A961" s="86"/>
      <c r="B961" s="25"/>
      <c r="C961" s="80" t="s">
        <v>78</v>
      </c>
      <c r="D961" s="157" t="s">
        <v>1947</v>
      </c>
      <c r="E961" s="183" t="s">
        <v>60</v>
      </c>
      <c r="F961" s="183" t="s">
        <v>61</v>
      </c>
      <c r="G961" s="99">
        <v>0.625</v>
      </c>
      <c r="H961" s="98" t="s">
        <v>1741</v>
      </c>
      <c r="I961" s="183" t="s">
        <v>2034</v>
      </c>
      <c r="J961" s="183" t="s">
        <v>63</v>
      </c>
      <c r="K961" s="98" t="s">
        <v>838</v>
      </c>
      <c r="L961" s="91"/>
      <c r="M961" s="91"/>
      <c r="N961" s="96" t="b">
        <v>0</v>
      </c>
      <c r="O961" s="96" t="b">
        <v>0</v>
      </c>
      <c r="P961" s="92"/>
      <c r="Q961" s="92"/>
      <c r="R961" s="92"/>
      <c r="S961" s="92"/>
      <c r="T961" s="92"/>
      <c r="U961" s="92"/>
      <c r="V961" s="92"/>
      <c r="W961" s="92"/>
      <c r="X961" s="92"/>
      <c r="Y961" s="92"/>
      <c r="Z961" s="92"/>
      <c r="AA961" s="92"/>
      <c r="AB961" s="92"/>
      <c r="AC961" s="92"/>
      <c r="AD961" s="92"/>
      <c r="AE961" s="92"/>
      <c r="AF961" s="92"/>
      <c r="AG961" s="92"/>
    </row>
    <row r="962" hidden="1">
      <c r="A962" s="86"/>
      <c r="B962" s="25"/>
      <c r="C962" s="80" t="s">
        <v>78</v>
      </c>
      <c r="D962" s="157" t="s">
        <v>1947</v>
      </c>
      <c r="E962" s="183" t="s">
        <v>312</v>
      </c>
      <c r="F962" s="183" t="s">
        <v>313</v>
      </c>
      <c r="G962" s="99">
        <v>0.7083333333333334</v>
      </c>
      <c r="H962" s="98" t="s">
        <v>1741</v>
      </c>
      <c r="I962" s="183" t="s">
        <v>2035</v>
      </c>
      <c r="J962" s="183" t="s">
        <v>315</v>
      </c>
      <c r="K962" s="98" t="s">
        <v>838</v>
      </c>
      <c r="L962" s="91"/>
      <c r="M962" s="91"/>
      <c r="N962" s="96" t="b">
        <v>0</v>
      </c>
      <c r="O962" s="96" t="b">
        <v>0</v>
      </c>
      <c r="P962" s="92"/>
      <c r="Q962" s="92"/>
      <c r="R962" s="92"/>
      <c r="S962" s="92"/>
      <c r="T962" s="92"/>
      <c r="U962" s="92"/>
      <c r="V962" s="92"/>
      <c r="W962" s="92"/>
      <c r="X962" s="92"/>
      <c r="Y962" s="92"/>
      <c r="Z962" s="92"/>
      <c r="AA962" s="92"/>
      <c r="AB962" s="92"/>
      <c r="AC962" s="92"/>
      <c r="AD962" s="92"/>
      <c r="AE962" s="92"/>
      <c r="AF962" s="92"/>
      <c r="AG962" s="92"/>
    </row>
    <row r="963" hidden="1">
      <c r="A963" s="86"/>
      <c r="B963" s="25"/>
      <c r="C963" s="80" t="s">
        <v>78</v>
      </c>
      <c r="D963" s="97"/>
      <c r="E963" s="98"/>
      <c r="F963" s="98"/>
      <c r="G963" s="41"/>
      <c r="H963" s="98"/>
      <c r="I963" s="98"/>
      <c r="J963" s="98"/>
      <c r="K963" s="91"/>
      <c r="L963" s="91"/>
      <c r="M963" s="91"/>
      <c r="N963" s="96" t="b">
        <v>0</v>
      </c>
      <c r="O963" s="96" t="b">
        <v>0</v>
      </c>
      <c r="P963" s="92"/>
      <c r="Q963" s="92"/>
      <c r="R963" s="92"/>
      <c r="S963" s="92"/>
      <c r="T963" s="92"/>
      <c r="U963" s="92"/>
      <c r="V963" s="92"/>
      <c r="W963" s="92"/>
      <c r="X963" s="92"/>
      <c r="Y963" s="92"/>
      <c r="Z963" s="92"/>
      <c r="AA963" s="92"/>
      <c r="AB963" s="92"/>
      <c r="AC963" s="92"/>
      <c r="AD963" s="92"/>
      <c r="AE963" s="92"/>
      <c r="AF963" s="92"/>
      <c r="AG963" s="92"/>
    </row>
    <row r="964" hidden="1">
      <c r="A964" s="86"/>
      <c r="B964" s="39"/>
      <c r="C964" s="103"/>
      <c r="D964" s="157" t="s">
        <v>1947</v>
      </c>
      <c r="E964" s="183" t="s">
        <v>452</v>
      </c>
      <c r="F964" s="183" t="s">
        <v>453</v>
      </c>
      <c r="G964" s="99">
        <v>0.5</v>
      </c>
      <c r="H964" s="98" t="s">
        <v>2036</v>
      </c>
      <c r="I964" s="183" t="s">
        <v>2037</v>
      </c>
      <c r="J964" s="183" t="s">
        <v>2038</v>
      </c>
      <c r="K964" s="98" t="s">
        <v>838</v>
      </c>
      <c r="L964" s="91"/>
      <c r="M964" s="91"/>
      <c r="N964" s="96" t="b">
        <v>0</v>
      </c>
      <c r="O964" s="96" t="b">
        <v>0</v>
      </c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  <c r="AA964" s="92"/>
      <c r="AB964" s="92"/>
      <c r="AC964" s="92"/>
      <c r="AD964" s="92"/>
      <c r="AE964" s="92"/>
      <c r="AF964" s="92"/>
      <c r="AG964" s="92"/>
    </row>
    <row r="965" hidden="1">
      <c r="A965" s="86"/>
      <c r="B965" s="221" t="s">
        <v>1971</v>
      </c>
      <c r="C965" s="80" t="s">
        <v>78</v>
      </c>
      <c r="D965" s="226" t="s">
        <v>1947</v>
      </c>
      <c r="E965" s="184" t="s">
        <v>1353</v>
      </c>
      <c r="F965" s="184" t="s">
        <v>1354</v>
      </c>
      <c r="G965" s="108">
        <v>0.6041666666666666</v>
      </c>
      <c r="H965" s="109" t="s">
        <v>2036</v>
      </c>
      <c r="I965" s="184" t="s">
        <v>2039</v>
      </c>
      <c r="J965" s="184" t="s">
        <v>1356</v>
      </c>
      <c r="K965" s="91"/>
      <c r="L965" s="91"/>
      <c r="M965" s="91"/>
      <c r="N965" s="96" t="b">
        <v>0</v>
      </c>
      <c r="O965" s="96" t="b">
        <v>0</v>
      </c>
      <c r="P965" s="92"/>
      <c r="Q965" s="92"/>
      <c r="R965" s="92"/>
      <c r="S965" s="92"/>
      <c r="T965" s="92"/>
      <c r="U965" s="92"/>
      <c r="V965" s="92"/>
      <c r="W965" s="92"/>
      <c r="X965" s="92"/>
      <c r="Y965" s="92"/>
      <c r="Z965" s="92"/>
      <c r="AA965" s="92"/>
      <c r="AB965" s="92"/>
      <c r="AC965" s="92"/>
      <c r="AD965" s="92"/>
      <c r="AE965" s="92"/>
      <c r="AF965" s="92"/>
      <c r="AG965" s="92"/>
    </row>
    <row r="966" hidden="1">
      <c r="A966" s="86"/>
      <c r="B966" s="221"/>
      <c r="C966" s="80" t="s">
        <v>78</v>
      </c>
      <c r="D966" s="187" t="s">
        <v>2040</v>
      </c>
      <c r="E966" s="98" t="s">
        <v>1725</v>
      </c>
      <c r="F966" s="98" t="s">
        <v>1726</v>
      </c>
      <c r="G966" s="41" t="s">
        <v>2041</v>
      </c>
      <c r="H966" s="98" t="s">
        <v>755</v>
      </c>
      <c r="I966" s="98" t="s">
        <v>1728</v>
      </c>
      <c r="J966" s="98" t="s">
        <v>1729</v>
      </c>
      <c r="K966" s="43"/>
      <c r="L966" s="91"/>
      <c r="M966" s="91"/>
      <c r="N966" s="96" t="b">
        <v>0</v>
      </c>
      <c r="O966" s="96" t="b">
        <v>0</v>
      </c>
      <c r="P966" s="92"/>
      <c r="Q966" s="92"/>
      <c r="R966" s="92"/>
      <c r="S966" s="92"/>
      <c r="T966" s="92"/>
      <c r="U966" s="92"/>
      <c r="V966" s="92"/>
      <c r="W966" s="92"/>
      <c r="X966" s="92"/>
      <c r="Y966" s="92"/>
      <c r="Z966" s="92"/>
      <c r="AA966" s="92"/>
      <c r="AB966" s="92"/>
      <c r="AC966" s="92"/>
      <c r="AD966" s="92"/>
      <c r="AE966" s="92"/>
      <c r="AF966" s="92"/>
      <c r="AG966" s="92"/>
    </row>
    <row r="967" hidden="1">
      <c r="A967" s="86"/>
      <c r="B967" s="221"/>
      <c r="C967" s="78" t="s">
        <v>78</v>
      </c>
      <c r="D967" s="97" t="s">
        <v>79</v>
      </c>
      <c r="E967" s="228" t="s">
        <v>1966</v>
      </c>
      <c r="F967" s="228" t="s">
        <v>1967</v>
      </c>
      <c r="G967" s="229" t="s">
        <v>2042</v>
      </c>
      <c r="H967" s="165" t="s">
        <v>1968</v>
      </c>
      <c r="I967" s="165" t="s">
        <v>1969</v>
      </c>
      <c r="J967" s="228" t="s">
        <v>1970</v>
      </c>
      <c r="K967" s="91"/>
      <c r="L967" s="91"/>
      <c r="M967" s="91"/>
      <c r="N967" s="96" t="b">
        <v>0</v>
      </c>
      <c r="O967" s="96" t="b">
        <v>0</v>
      </c>
      <c r="P967" s="92"/>
      <c r="Q967" s="92"/>
      <c r="R967" s="92"/>
      <c r="S967" s="92"/>
      <c r="T967" s="92"/>
      <c r="U967" s="92"/>
      <c r="V967" s="92"/>
      <c r="W967" s="92"/>
      <c r="X967" s="92"/>
      <c r="Y967" s="92"/>
      <c r="Z967" s="92"/>
      <c r="AA967" s="92"/>
      <c r="AB967" s="92"/>
      <c r="AC967" s="92"/>
      <c r="AD967" s="92"/>
      <c r="AE967" s="92"/>
      <c r="AF967" s="92"/>
      <c r="AG967" s="92"/>
    </row>
    <row r="968" hidden="1">
      <c r="A968" s="86"/>
      <c r="B968" s="222"/>
      <c r="C968" s="80" t="s">
        <v>78</v>
      </c>
      <c r="D968" s="97" t="s">
        <v>79</v>
      </c>
      <c r="E968" s="183" t="s">
        <v>2043</v>
      </c>
      <c r="F968" s="183" t="s">
        <v>2044</v>
      </c>
      <c r="G968" s="99">
        <v>0.7708333333333334</v>
      </c>
      <c r="H968" s="98" t="s">
        <v>1456</v>
      </c>
      <c r="I968" s="98" t="s">
        <v>2045</v>
      </c>
      <c r="J968" s="183" t="s">
        <v>2046</v>
      </c>
      <c r="K968" s="91"/>
      <c r="L968" s="91"/>
      <c r="M968" s="91"/>
      <c r="N968" s="96" t="b">
        <v>0</v>
      </c>
      <c r="O968" s="96" t="b">
        <v>0</v>
      </c>
      <c r="P968" s="92"/>
      <c r="Q968" s="92"/>
      <c r="R968" s="92"/>
      <c r="S968" s="92"/>
      <c r="T968" s="92"/>
      <c r="U968" s="92"/>
      <c r="V968" s="92"/>
      <c r="W968" s="92"/>
      <c r="X968" s="92"/>
      <c r="Y968" s="92"/>
      <c r="Z968" s="92"/>
      <c r="AA968" s="92"/>
      <c r="AB968" s="92"/>
      <c r="AC968" s="92"/>
      <c r="AD968" s="92"/>
      <c r="AE968" s="92"/>
      <c r="AF968" s="92"/>
      <c r="AG968" s="92"/>
    </row>
    <row r="969" hidden="1">
      <c r="A969" s="86"/>
      <c r="B969" s="166"/>
      <c r="C969" s="88">
        <v>44433.0</v>
      </c>
      <c r="D969" s="97"/>
      <c r="E969" s="98"/>
      <c r="F969" s="98"/>
      <c r="G969" s="41"/>
      <c r="H969" s="98"/>
      <c r="I969" s="98"/>
      <c r="J969" s="98"/>
      <c r="K969" s="91"/>
      <c r="L969" s="91"/>
      <c r="M969" s="91"/>
      <c r="N969" s="96" t="b">
        <v>0</v>
      </c>
      <c r="O969" s="96" t="b">
        <v>0</v>
      </c>
      <c r="P969" s="92"/>
      <c r="Q969" s="92"/>
      <c r="R969" s="92"/>
      <c r="S969" s="92"/>
      <c r="T969" s="92"/>
      <c r="U969" s="92"/>
      <c r="V969" s="92"/>
      <c r="W969" s="92"/>
      <c r="X969" s="92"/>
      <c r="Y969" s="92"/>
      <c r="Z969" s="92"/>
      <c r="AA969" s="92"/>
      <c r="AB969" s="92"/>
      <c r="AC969" s="92"/>
      <c r="AD969" s="92"/>
      <c r="AE969" s="92"/>
      <c r="AF969" s="92"/>
      <c r="AG969" s="92"/>
    </row>
    <row r="970" hidden="1">
      <c r="A970" s="86"/>
      <c r="B970" s="18" t="s">
        <v>1668</v>
      </c>
      <c r="C970" s="78" t="s">
        <v>78</v>
      </c>
      <c r="D970" s="97" t="s">
        <v>131</v>
      </c>
      <c r="E970" s="98" t="s">
        <v>1054</v>
      </c>
      <c r="F970" s="98" t="s">
        <v>1055</v>
      </c>
      <c r="G970" s="99">
        <v>0.4166666666666667</v>
      </c>
      <c r="H970" s="98" t="s">
        <v>755</v>
      </c>
      <c r="I970" s="98" t="s">
        <v>2047</v>
      </c>
      <c r="J970" s="98" t="s">
        <v>1053</v>
      </c>
      <c r="K970" s="91"/>
      <c r="L970" s="91"/>
      <c r="M970" s="91"/>
      <c r="N970" s="96" t="b">
        <v>0</v>
      </c>
      <c r="O970" s="96" t="b">
        <v>0</v>
      </c>
      <c r="P970" s="92"/>
      <c r="Q970" s="92"/>
      <c r="R970" s="92"/>
      <c r="S970" s="92"/>
      <c r="T970" s="92"/>
      <c r="U970" s="92"/>
      <c r="V970" s="92"/>
      <c r="W970" s="92"/>
      <c r="X970" s="92"/>
      <c r="Y970" s="92"/>
      <c r="Z970" s="92"/>
      <c r="AA970" s="92"/>
      <c r="AB970" s="92"/>
      <c r="AC970" s="92"/>
      <c r="AD970" s="92"/>
      <c r="AE970" s="92"/>
      <c r="AF970" s="92"/>
      <c r="AG970" s="92"/>
    </row>
    <row r="971" hidden="1">
      <c r="A971" s="86"/>
      <c r="B971" s="25"/>
      <c r="C971" s="80" t="s">
        <v>78</v>
      </c>
      <c r="D971" s="97" t="s">
        <v>79</v>
      </c>
      <c r="E971" s="184" t="s">
        <v>2048</v>
      </c>
      <c r="F971" s="184" t="s">
        <v>2049</v>
      </c>
      <c r="G971" s="108">
        <v>0.5833333333333334</v>
      </c>
      <c r="H971" s="109" t="s">
        <v>1988</v>
      </c>
      <c r="I971" s="109" t="s">
        <v>2050</v>
      </c>
      <c r="J971" s="184" t="s">
        <v>2051</v>
      </c>
      <c r="K971" s="91"/>
      <c r="L971" s="91"/>
      <c r="M971" s="91"/>
      <c r="N971" s="96" t="b">
        <v>0</v>
      </c>
      <c r="O971" s="96" t="b">
        <v>0</v>
      </c>
      <c r="P971" s="92"/>
      <c r="Q971" s="92"/>
      <c r="R971" s="92"/>
      <c r="S971" s="92"/>
      <c r="T971" s="92"/>
      <c r="U971" s="92"/>
      <c r="V971" s="92"/>
      <c r="W971" s="92"/>
      <c r="X971" s="92"/>
      <c r="Y971" s="92"/>
      <c r="Z971" s="92"/>
      <c r="AA971" s="92"/>
      <c r="AB971" s="92"/>
      <c r="AC971" s="92"/>
      <c r="AD971" s="92"/>
      <c r="AE971" s="92"/>
      <c r="AF971" s="92"/>
      <c r="AG971" s="92"/>
    </row>
    <row r="972" hidden="1">
      <c r="A972" s="86"/>
      <c r="B972" s="25"/>
      <c r="C972" s="80" t="s">
        <v>78</v>
      </c>
      <c r="D972" s="97" t="s">
        <v>79</v>
      </c>
      <c r="E972" s="186" t="s">
        <v>1664</v>
      </c>
      <c r="F972" s="186" t="s">
        <v>1665</v>
      </c>
      <c r="G972" s="99">
        <v>0.625</v>
      </c>
      <c r="H972" s="98" t="s">
        <v>478</v>
      </c>
      <c r="I972" s="98" t="s">
        <v>1666</v>
      </c>
      <c r="J972" s="186" t="s">
        <v>1667</v>
      </c>
      <c r="K972" s="91"/>
      <c r="L972" s="91"/>
      <c r="M972" s="91"/>
      <c r="N972" s="96" t="b">
        <v>0</v>
      </c>
      <c r="O972" s="96" t="b">
        <v>0</v>
      </c>
      <c r="P972" s="92"/>
      <c r="Q972" s="92"/>
      <c r="R972" s="92"/>
      <c r="S972" s="92"/>
      <c r="T972" s="92"/>
      <c r="U972" s="92"/>
      <c r="V972" s="92"/>
      <c r="W972" s="92"/>
      <c r="X972" s="92"/>
      <c r="Y972" s="92"/>
      <c r="Z972" s="92"/>
      <c r="AA972" s="92"/>
      <c r="AB972" s="92"/>
      <c r="AC972" s="92"/>
      <c r="AD972" s="92"/>
      <c r="AE972" s="92"/>
      <c r="AF972" s="92"/>
      <c r="AG972" s="92"/>
    </row>
    <row r="973" hidden="1">
      <c r="A973" s="86"/>
      <c r="B973" s="25"/>
      <c r="C973" s="80" t="s">
        <v>78</v>
      </c>
      <c r="D973" s="97" t="s">
        <v>131</v>
      </c>
      <c r="E973" s="109" t="s">
        <v>2052</v>
      </c>
      <c r="F973" s="109" t="s">
        <v>2053</v>
      </c>
      <c r="G973" s="108">
        <v>0.7083333333333334</v>
      </c>
      <c r="H973" s="109" t="s">
        <v>635</v>
      </c>
      <c r="I973" s="109" t="s">
        <v>2054</v>
      </c>
      <c r="J973" s="109" t="s">
        <v>2055</v>
      </c>
      <c r="K973" s="91"/>
      <c r="L973" s="91"/>
      <c r="M973" s="91"/>
      <c r="N973" s="96" t="b">
        <v>0</v>
      </c>
      <c r="O973" s="96" t="b">
        <v>0</v>
      </c>
      <c r="P973" s="92"/>
      <c r="Q973" s="92"/>
      <c r="R973" s="92"/>
      <c r="S973" s="92"/>
      <c r="T973" s="92"/>
      <c r="U973" s="92"/>
      <c r="V973" s="92"/>
      <c r="W973" s="92"/>
      <c r="X973" s="92"/>
      <c r="Y973" s="92"/>
      <c r="Z973" s="92"/>
      <c r="AA973" s="92"/>
      <c r="AB973" s="92"/>
      <c r="AC973" s="92"/>
      <c r="AD973" s="92"/>
      <c r="AE973" s="92"/>
      <c r="AF973" s="92"/>
      <c r="AG973" s="92"/>
    </row>
    <row r="974" hidden="1">
      <c r="A974" s="86"/>
      <c r="B974" s="25"/>
      <c r="C974" s="80" t="s">
        <v>78</v>
      </c>
      <c r="D974" s="181"/>
      <c r="E974" s="109" t="s">
        <v>1725</v>
      </c>
      <c r="F974" s="109" t="s">
        <v>1726</v>
      </c>
      <c r="G974" s="108">
        <v>0.5</v>
      </c>
      <c r="H974" s="109" t="s">
        <v>755</v>
      </c>
      <c r="I974" s="109" t="s">
        <v>1728</v>
      </c>
      <c r="J974" s="109" t="s">
        <v>1729</v>
      </c>
      <c r="K974" s="91"/>
      <c r="L974" s="91"/>
      <c r="M974" s="91"/>
      <c r="N974" s="96" t="b">
        <v>0</v>
      </c>
      <c r="O974" s="96" t="b">
        <v>0</v>
      </c>
      <c r="P974" s="92"/>
      <c r="Q974" s="92"/>
      <c r="R974" s="92"/>
      <c r="S974" s="92"/>
      <c r="T974" s="92"/>
      <c r="U974" s="92"/>
      <c r="V974" s="92"/>
      <c r="W974" s="92"/>
      <c r="X974" s="92"/>
      <c r="Y974" s="92"/>
      <c r="Z974" s="92"/>
      <c r="AA974" s="92"/>
      <c r="AB974" s="92"/>
      <c r="AC974" s="92"/>
      <c r="AD974" s="92"/>
      <c r="AE974" s="92"/>
      <c r="AF974" s="92"/>
      <c r="AG974" s="92"/>
    </row>
    <row r="975" hidden="1">
      <c r="A975" s="86"/>
      <c r="B975" s="39"/>
      <c r="C975" s="103"/>
      <c r="D975" s="97"/>
      <c r="E975" s="43"/>
      <c r="F975" s="43"/>
      <c r="G975" s="81"/>
      <c r="H975" s="43"/>
      <c r="I975" s="43"/>
      <c r="J975" s="43"/>
      <c r="K975" s="91"/>
      <c r="L975" s="91"/>
      <c r="M975" s="91"/>
      <c r="N975" s="96" t="b">
        <v>0</v>
      </c>
      <c r="O975" s="96" t="b">
        <v>0</v>
      </c>
      <c r="P975" s="92"/>
      <c r="Q975" s="92"/>
      <c r="R975" s="92"/>
      <c r="S975" s="92"/>
      <c r="T975" s="92"/>
      <c r="U975" s="92"/>
      <c r="V975" s="92"/>
      <c r="W975" s="92"/>
      <c r="X975" s="92"/>
      <c r="Y975" s="92"/>
      <c r="Z975" s="92"/>
      <c r="AA975" s="92"/>
      <c r="AB975" s="92"/>
      <c r="AC975" s="92"/>
      <c r="AD975" s="92"/>
      <c r="AE975" s="92"/>
      <c r="AF975" s="92"/>
      <c r="AG975" s="92"/>
    </row>
    <row r="976" hidden="1">
      <c r="A976" s="86"/>
      <c r="B976" s="221" t="s">
        <v>1971</v>
      </c>
      <c r="C976" s="80" t="s">
        <v>78</v>
      </c>
      <c r="D976" s="97" t="s">
        <v>131</v>
      </c>
      <c r="E976" s="109" t="s">
        <v>2056</v>
      </c>
      <c r="F976" s="109" t="s">
        <v>2057</v>
      </c>
      <c r="G976" s="108">
        <v>0.4583333333333333</v>
      </c>
      <c r="H976" s="109" t="s">
        <v>1784</v>
      </c>
      <c r="I976" s="109" t="s">
        <v>2058</v>
      </c>
      <c r="J976" s="109" t="s">
        <v>2059</v>
      </c>
      <c r="K976" s="98" t="s">
        <v>2060</v>
      </c>
      <c r="L976" s="91"/>
      <c r="M976" s="91"/>
      <c r="N976" s="96" t="b">
        <v>0</v>
      </c>
      <c r="O976" s="96" t="b">
        <v>0</v>
      </c>
      <c r="P976" s="92"/>
      <c r="Q976" s="92"/>
      <c r="R976" s="92"/>
      <c r="S976" s="92"/>
      <c r="T976" s="92"/>
      <c r="U976" s="92"/>
      <c r="V976" s="92"/>
      <c r="W976" s="92"/>
      <c r="X976" s="92"/>
      <c r="Y976" s="92"/>
      <c r="Z976" s="92"/>
      <c r="AA976" s="92"/>
      <c r="AB976" s="92"/>
      <c r="AC976" s="92"/>
      <c r="AD976" s="92"/>
      <c r="AE976" s="92"/>
      <c r="AF976" s="92"/>
      <c r="AG976" s="92"/>
    </row>
    <row r="977" hidden="1">
      <c r="A977" s="86"/>
      <c r="B977" s="221"/>
      <c r="C977" s="80" t="s">
        <v>78</v>
      </c>
      <c r="D977" s="97" t="s">
        <v>131</v>
      </c>
      <c r="E977" s="98" t="s">
        <v>1703</v>
      </c>
      <c r="F977" s="98" t="s">
        <v>1704</v>
      </c>
      <c r="G977" s="99">
        <v>0.5416666666666666</v>
      </c>
      <c r="H977" s="98" t="s">
        <v>2061</v>
      </c>
      <c r="I977" s="98" t="s">
        <v>2062</v>
      </c>
      <c r="J977" s="98" t="s">
        <v>1707</v>
      </c>
      <c r="K977" s="91"/>
      <c r="L977" s="91"/>
      <c r="M977" s="91"/>
      <c r="N977" s="96" t="b">
        <v>0</v>
      </c>
      <c r="O977" s="96" t="b">
        <v>0</v>
      </c>
      <c r="P977" s="92"/>
      <c r="Q977" s="92"/>
      <c r="R977" s="92"/>
      <c r="S977" s="92"/>
      <c r="T977" s="92"/>
      <c r="U977" s="92"/>
      <c r="V977" s="92"/>
      <c r="W977" s="92"/>
      <c r="X977" s="92"/>
      <c r="Y977" s="92"/>
      <c r="Z977" s="92"/>
      <c r="AA977" s="92"/>
      <c r="AB977" s="92"/>
      <c r="AC977" s="92"/>
      <c r="AD977" s="92"/>
      <c r="AE977" s="92"/>
      <c r="AF977" s="92"/>
      <c r="AG977" s="92"/>
    </row>
    <row r="978" hidden="1">
      <c r="A978" s="86"/>
      <c r="B978" s="221"/>
      <c r="C978" s="78" t="s">
        <v>78</v>
      </c>
      <c r="D978" s="97" t="s">
        <v>131</v>
      </c>
      <c r="E978" s="98" t="s">
        <v>1685</v>
      </c>
      <c r="F978" s="98" t="s">
        <v>1686</v>
      </c>
      <c r="G978" s="99">
        <v>0.625</v>
      </c>
      <c r="H978" s="98" t="s">
        <v>2063</v>
      </c>
      <c r="I978" s="98" t="s">
        <v>2064</v>
      </c>
      <c r="J978" s="98" t="s">
        <v>1689</v>
      </c>
      <c r="K978" s="91"/>
      <c r="L978" s="91"/>
      <c r="M978" s="91"/>
      <c r="N978" s="96" t="b">
        <v>0</v>
      </c>
      <c r="O978" s="96" t="b">
        <v>0</v>
      </c>
      <c r="P978" s="92"/>
      <c r="Q978" s="92"/>
      <c r="R978" s="92"/>
      <c r="S978" s="92"/>
      <c r="T978" s="92"/>
      <c r="U978" s="92"/>
      <c r="V978" s="92"/>
      <c r="W978" s="92"/>
      <c r="X978" s="92"/>
      <c r="Y978" s="92"/>
      <c r="Z978" s="92"/>
      <c r="AA978" s="92"/>
      <c r="AB978" s="92"/>
      <c r="AC978" s="92"/>
      <c r="AD978" s="92"/>
      <c r="AE978" s="92"/>
      <c r="AF978" s="92"/>
      <c r="AG978" s="92"/>
    </row>
    <row r="979" hidden="1">
      <c r="A979" s="86"/>
      <c r="B979" s="222"/>
      <c r="C979" s="80" t="s">
        <v>78</v>
      </c>
      <c r="D979" s="97" t="s">
        <v>131</v>
      </c>
      <c r="E979" s="98" t="s">
        <v>2065</v>
      </c>
      <c r="F979" s="98" t="s">
        <v>2066</v>
      </c>
      <c r="G979" s="99">
        <v>0.7083333333333334</v>
      </c>
      <c r="H979" s="98" t="s">
        <v>2067</v>
      </c>
      <c r="I979" s="98" t="s">
        <v>2068</v>
      </c>
      <c r="J979" s="98" t="s">
        <v>2069</v>
      </c>
      <c r="K979" s="91"/>
      <c r="L979" s="91"/>
      <c r="M979" s="91"/>
      <c r="N979" s="96" t="b">
        <v>0</v>
      </c>
      <c r="O979" s="96" t="b">
        <v>0</v>
      </c>
      <c r="P979" s="92"/>
      <c r="Q979" s="92"/>
      <c r="R979" s="92"/>
      <c r="S979" s="92"/>
      <c r="T979" s="92"/>
      <c r="U979" s="92"/>
      <c r="V979" s="92"/>
      <c r="W979" s="92"/>
      <c r="X979" s="92"/>
      <c r="Y979" s="92"/>
      <c r="Z979" s="92"/>
      <c r="AA979" s="92"/>
      <c r="AB979" s="92"/>
      <c r="AC979" s="92"/>
      <c r="AD979" s="92"/>
      <c r="AE979" s="92"/>
      <c r="AF979" s="92"/>
      <c r="AG979" s="92"/>
    </row>
    <row r="980" hidden="1">
      <c r="A980" s="86"/>
      <c r="B980" s="185"/>
      <c r="C980" s="82"/>
      <c r="D980" s="97" t="s">
        <v>131</v>
      </c>
      <c r="E980" s="98" t="s">
        <v>1690</v>
      </c>
      <c r="F980" s="183" t="s">
        <v>1691</v>
      </c>
      <c r="G980" s="99">
        <v>0.7708333333333334</v>
      </c>
      <c r="H980" s="98" t="s">
        <v>2070</v>
      </c>
      <c r="I980" s="98" t="s">
        <v>2071</v>
      </c>
      <c r="J980" s="98" t="s">
        <v>1694</v>
      </c>
      <c r="K980" s="91"/>
      <c r="L980" s="91"/>
      <c r="M980" s="91"/>
      <c r="N980" s="96" t="b">
        <v>0</v>
      </c>
      <c r="O980" s="96" t="b">
        <v>0</v>
      </c>
      <c r="P980" s="92"/>
      <c r="Q980" s="92"/>
      <c r="R980" s="92"/>
      <c r="S980" s="92"/>
      <c r="T980" s="92"/>
      <c r="U980" s="92"/>
      <c r="V980" s="92"/>
      <c r="W980" s="92"/>
      <c r="X980" s="92"/>
      <c r="Y980" s="92"/>
      <c r="Z980" s="92"/>
      <c r="AA980" s="92"/>
      <c r="AB980" s="92"/>
      <c r="AC980" s="92"/>
      <c r="AD980" s="92"/>
      <c r="AE980" s="92"/>
      <c r="AF980" s="92"/>
      <c r="AG980" s="92"/>
    </row>
    <row r="981" hidden="1">
      <c r="A981" s="86"/>
      <c r="B981" s="166"/>
      <c r="C981" s="88">
        <v>44434.0</v>
      </c>
      <c r="D981" s="97"/>
      <c r="E981" s="98"/>
      <c r="F981" s="98"/>
      <c r="G981" s="41"/>
      <c r="H981" s="98"/>
      <c r="I981" s="98"/>
      <c r="J981" s="98"/>
      <c r="K981" s="91"/>
      <c r="L981" s="91"/>
      <c r="M981" s="91"/>
      <c r="N981" s="96" t="b">
        <v>0</v>
      </c>
      <c r="O981" s="96" t="b">
        <v>0</v>
      </c>
      <c r="P981" s="92"/>
      <c r="Q981" s="92"/>
      <c r="R981" s="92"/>
      <c r="S981" s="92"/>
      <c r="T981" s="92"/>
      <c r="U981" s="92"/>
      <c r="V981" s="92"/>
      <c r="W981" s="92"/>
      <c r="X981" s="92"/>
      <c r="Y981" s="92"/>
      <c r="Z981" s="92"/>
      <c r="AA981" s="92"/>
      <c r="AB981" s="92"/>
      <c r="AC981" s="92"/>
      <c r="AD981" s="92"/>
      <c r="AE981" s="92"/>
      <c r="AF981" s="92"/>
      <c r="AG981" s="92"/>
    </row>
    <row r="982" hidden="1">
      <c r="A982" s="86"/>
      <c r="B982" s="18" t="s">
        <v>1668</v>
      </c>
      <c r="C982" s="78" t="s">
        <v>78</v>
      </c>
      <c r="D982" s="97"/>
      <c r="E982" s="98"/>
      <c r="F982" s="98"/>
      <c r="G982" s="41"/>
      <c r="H982" s="98"/>
      <c r="I982" s="98"/>
      <c r="J982" s="98"/>
      <c r="K982" s="91"/>
      <c r="L982" s="91"/>
      <c r="M982" s="91"/>
      <c r="N982" s="96" t="b">
        <v>0</v>
      </c>
      <c r="O982" s="96" t="b">
        <v>0</v>
      </c>
      <c r="P982" s="92"/>
      <c r="Q982" s="92"/>
      <c r="R982" s="92"/>
      <c r="S982" s="92"/>
      <c r="T982" s="92"/>
      <c r="U982" s="92"/>
      <c r="V982" s="92"/>
      <c r="W982" s="92"/>
      <c r="X982" s="92"/>
      <c r="Y982" s="92"/>
      <c r="Z982" s="92"/>
      <c r="AA982" s="92"/>
      <c r="AB982" s="92"/>
      <c r="AC982" s="92"/>
      <c r="AD982" s="92"/>
      <c r="AE982" s="92"/>
      <c r="AF982" s="92"/>
      <c r="AG982" s="92"/>
    </row>
    <row r="983" hidden="1">
      <c r="A983" s="86"/>
      <c r="B983" s="25"/>
      <c r="C983" s="80" t="s">
        <v>78</v>
      </c>
      <c r="D983" s="97" t="s">
        <v>131</v>
      </c>
      <c r="E983" s="98" t="s">
        <v>2072</v>
      </c>
      <c r="F983" s="98" t="s">
        <v>2073</v>
      </c>
      <c r="G983" s="99">
        <v>0.5</v>
      </c>
      <c r="H983" s="98" t="s">
        <v>1784</v>
      </c>
      <c r="I983" s="98" t="s">
        <v>2074</v>
      </c>
      <c r="J983" s="98" t="s">
        <v>2075</v>
      </c>
      <c r="K983" s="91"/>
      <c r="L983" s="91"/>
      <c r="M983" s="91"/>
      <c r="N983" s="96" t="b">
        <v>0</v>
      </c>
      <c r="O983" s="96" t="b">
        <v>0</v>
      </c>
      <c r="P983" s="92"/>
      <c r="Q983" s="92"/>
      <c r="R983" s="92"/>
      <c r="S983" s="92"/>
      <c r="T983" s="92"/>
      <c r="U983" s="92"/>
      <c r="V983" s="92"/>
      <c r="W983" s="92"/>
      <c r="X983" s="92"/>
      <c r="Y983" s="92"/>
      <c r="Z983" s="92"/>
      <c r="AA983" s="92"/>
      <c r="AB983" s="92"/>
      <c r="AC983" s="92"/>
      <c r="AD983" s="92"/>
      <c r="AE983" s="92"/>
      <c r="AF983" s="92"/>
      <c r="AG983" s="92"/>
    </row>
    <row r="984" hidden="1">
      <c r="A984" s="86"/>
      <c r="B984" s="25"/>
      <c r="C984" s="80" t="s">
        <v>78</v>
      </c>
      <c r="D984" s="97" t="s">
        <v>131</v>
      </c>
      <c r="E984" s="98" t="s">
        <v>2076</v>
      </c>
      <c r="F984" s="98" t="s">
        <v>2077</v>
      </c>
      <c r="G984" s="99">
        <v>0.5833333333333334</v>
      </c>
      <c r="H984" s="98" t="s">
        <v>1784</v>
      </c>
      <c r="I984" s="98" t="s">
        <v>2078</v>
      </c>
      <c r="J984" s="98" t="s">
        <v>2079</v>
      </c>
      <c r="K984" s="91"/>
      <c r="L984" s="91"/>
      <c r="M984" s="91"/>
      <c r="N984" s="96" t="b">
        <v>0</v>
      </c>
      <c r="O984" s="96" t="b">
        <v>0</v>
      </c>
      <c r="P984" s="92"/>
      <c r="Q984" s="92"/>
      <c r="R984" s="92"/>
      <c r="S984" s="92"/>
      <c r="T984" s="92"/>
      <c r="U984" s="92"/>
      <c r="V984" s="92"/>
      <c r="W984" s="92"/>
      <c r="X984" s="92"/>
      <c r="Y984" s="92"/>
      <c r="Z984" s="92"/>
      <c r="AA984" s="92"/>
      <c r="AB984" s="92"/>
      <c r="AC984" s="92"/>
      <c r="AD984" s="92"/>
      <c r="AE984" s="92"/>
      <c r="AF984" s="92"/>
      <c r="AG984" s="92"/>
    </row>
    <row r="985" hidden="1">
      <c r="A985" s="86"/>
      <c r="B985" s="25"/>
      <c r="C985" s="80" t="s">
        <v>78</v>
      </c>
      <c r="D985" s="97" t="s">
        <v>131</v>
      </c>
      <c r="E985" s="109" t="s">
        <v>2080</v>
      </c>
      <c r="F985" s="109" t="s">
        <v>2081</v>
      </c>
      <c r="G985" s="108">
        <v>0.6666666666666666</v>
      </c>
      <c r="H985" s="109" t="s">
        <v>2082</v>
      </c>
      <c r="I985" s="109" t="s">
        <v>2083</v>
      </c>
      <c r="J985" s="109" t="s">
        <v>2084</v>
      </c>
      <c r="K985" s="91"/>
      <c r="L985" s="91"/>
      <c r="M985" s="91"/>
      <c r="N985" s="96" t="b">
        <v>0</v>
      </c>
      <c r="O985" s="96" t="b">
        <v>0</v>
      </c>
      <c r="P985" s="92"/>
      <c r="Q985" s="92"/>
      <c r="R985" s="92"/>
      <c r="S985" s="92"/>
      <c r="T985" s="92"/>
      <c r="U985" s="92"/>
      <c r="V985" s="92"/>
      <c r="W985" s="92"/>
      <c r="X985" s="92"/>
      <c r="Y985" s="92"/>
      <c r="Z985" s="92"/>
      <c r="AA985" s="92"/>
      <c r="AB985" s="92"/>
      <c r="AC985" s="92"/>
      <c r="AD985" s="92"/>
      <c r="AE985" s="92"/>
      <c r="AF985" s="92"/>
      <c r="AG985" s="92"/>
    </row>
    <row r="986" hidden="1">
      <c r="A986" s="86"/>
      <c r="B986" s="25"/>
      <c r="C986" s="80" t="s">
        <v>78</v>
      </c>
      <c r="D986" s="97" t="s">
        <v>131</v>
      </c>
      <c r="E986" s="109" t="s">
        <v>1710</v>
      </c>
      <c r="F986" s="109" t="s">
        <v>1711</v>
      </c>
      <c r="G986" s="108">
        <v>0.75</v>
      </c>
      <c r="H986" s="109" t="s">
        <v>2082</v>
      </c>
      <c r="I986" s="109" t="s">
        <v>2085</v>
      </c>
      <c r="J986" s="109" t="s">
        <v>1714</v>
      </c>
      <c r="K986" s="91"/>
      <c r="L986" s="91"/>
      <c r="M986" s="91"/>
      <c r="N986" s="96" t="b">
        <v>0</v>
      </c>
      <c r="O986" s="96" t="b">
        <v>0</v>
      </c>
      <c r="P986" s="92"/>
      <c r="Q986" s="92"/>
      <c r="R986" s="92"/>
      <c r="S986" s="92"/>
      <c r="T986" s="92"/>
      <c r="U986" s="92"/>
      <c r="V986" s="92"/>
      <c r="W986" s="92"/>
      <c r="X986" s="92"/>
      <c r="Y986" s="92"/>
      <c r="Z986" s="92"/>
      <c r="AA986" s="92"/>
      <c r="AB986" s="92"/>
      <c r="AC986" s="92"/>
      <c r="AD986" s="92"/>
      <c r="AE986" s="92"/>
      <c r="AF986" s="92"/>
      <c r="AG986" s="92"/>
    </row>
    <row r="987" hidden="1">
      <c r="A987" s="86"/>
      <c r="B987" s="39"/>
      <c r="C987" s="103"/>
      <c r="D987" s="97"/>
      <c r="E987" s="183" t="s">
        <v>2086</v>
      </c>
      <c r="F987" s="183" t="s">
        <v>2087</v>
      </c>
      <c r="G987" s="99">
        <v>0.6666666666666666</v>
      </c>
      <c r="H987" s="98" t="s">
        <v>2070</v>
      </c>
      <c r="I987" s="183" t="s">
        <v>2088</v>
      </c>
      <c r="J987" s="183" t="s">
        <v>2089</v>
      </c>
      <c r="K987" s="91"/>
      <c r="L987" s="91"/>
      <c r="M987" s="91"/>
      <c r="N987" s="96" t="b">
        <v>0</v>
      </c>
      <c r="O987" s="96" t="b">
        <v>0</v>
      </c>
      <c r="P987" s="92"/>
      <c r="Q987" s="92"/>
      <c r="R987" s="92"/>
      <c r="S987" s="92"/>
      <c r="T987" s="92"/>
      <c r="U987" s="92"/>
      <c r="V987" s="92"/>
      <c r="W987" s="92"/>
      <c r="X987" s="92"/>
      <c r="Y987" s="92"/>
      <c r="Z987" s="92"/>
      <c r="AA987" s="92"/>
      <c r="AB987" s="92"/>
      <c r="AC987" s="92"/>
      <c r="AD987" s="92"/>
      <c r="AE987" s="92"/>
      <c r="AF987" s="92"/>
      <c r="AG987" s="92"/>
    </row>
    <row r="988" hidden="1">
      <c r="A988" s="86"/>
      <c r="B988" s="221" t="s">
        <v>1971</v>
      </c>
      <c r="C988" s="80" t="s">
        <v>78</v>
      </c>
      <c r="D988" s="181"/>
      <c r="E988" s="43"/>
      <c r="F988" s="43"/>
      <c r="G988" s="81"/>
      <c r="H988" s="43"/>
      <c r="I988" s="43"/>
      <c r="J988" s="43"/>
      <c r="K988" s="91"/>
      <c r="L988" s="91"/>
      <c r="M988" s="91"/>
      <c r="N988" s="96" t="b">
        <v>0</v>
      </c>
      <c r="O988" s="96" t="b">
        <v>0</v>
      </c>
      <c r="P988" s="92"/>
      <c r="Q988" s="92"/>
      <c r="R988" s="92"/>
      <c r="S988" s="92"/>
      <c r="T988" s="92"/>
      <c r="U988" s="92"/>
      <c r="V988" s="92"/>
      <c r="W988" s="92"/>
      <c r="X988" s="92"/>
      <c r="Y988" s="92"/>
      <c r="Z988" s="92"/>
      <c r="AA988" s="92"/>
      <c r="AB988" s="92"/>
      <c r="AC988" s="92"/>
      <c r="AD988" s="92"/>
      <c r="AE988" s="92"/>
      <c r="AF988" s="92"/>
      <c r="AG988" s="92"/>
    </row>
    <row r="989" hidden="1">
      <c r="A989" s="86"/>
      <c r="B989" s="221"/>
      <c r="C989" s="80"/>
      <c r="D989" s="187" t="s">
        <v>2021</v>
      </c>
      <c r="E989" s="184" t="s">
        <v>1774</v>
      </c>
      <c r="F989" s="184" t="s">
        <v>1775</v>
      </c>
      <c r="G989" s="108">
        <v>0.5625</v>
      </c>
      <c r="H989" s="184" t="s">
        <v>568</v>
      </c>
      <c r="I989" s="184" t="s">
        <v>1776</v>
      </c>
      <c r="J989" s="184" t="s">
        <v>1416</v>
      </c>
      <c r="K989" s="91"/>
      <c r="L989" s="91"/>
      <c r="M989" s="91"/>
      <c r="N989" s="96" t="b">
        <v>0</v>
      </c>
      <c r="O989" s="96" t="b">
        <v>0</v>
      </c>
      <c r="P989" s="92"/>
      <c r="Q989" s="92"/>
      <c r="R989" s="92"/>
      <c r="S989" s="92"/>
      <c r="T989" s="92"/>
      <c r="U989" s="92"/>
      <c r="V989" s="92"/>
      <c r="W989" s="92"/>
      <c r="X989" s="92"/>
      <c r="Y989" s="92"/>
      <c r="Z989" s="92"/>
      <c r="AA989" s="92"/>
      <c r="AB989" s="92"/>
      <c r="AC989" s="92"/>
      <c r="AD989" s="92"/>
      <c r="AE989" s="92"/>
      <c r="AF989" s="92"/>
      <c r="AG989" s="92"/>
    </row>
    <row r="990" hidden="1">
      <c r="A990" s="86"/>
      <c r="B990" s="221"/>
      <c r="C990" s="80" t="s">
        <v>78</v>
      </c>
      <c r="D990" s="187" t="s">
        <v>2040</v>
      </c>
      <c r="E990" s="98" t="s">
        <v>2090</v>
      </c>
      <c r="F990" s="203" t="s">
        <v>2091</v>
      </c>
      <c r="G990" s="99">
        <v>0.5</v>
      </c>
      <c r="H990" s="98" t="s">
        <v>1767</v>
      </c>
      <c r="I990" s="98" t="s">
        <v>2092</v>
      </c>
      <c r="J990" s="183" t="s">
        <v>2093</v>
      </c>
      <c r="K990" s="91"/>
      <c r="L990" s="91"/>
      <c r="M990" s="91"/>
      <c r="N990" s="96" t="b">
        <v>0</v>
      </c>
      <c r="O990" s="96" t="b">
        <v>0</v>
      </c>
      <c r="P990" s="92"/>
      <c r="Q990" s="92"/>
      <c r="R990" s="92"/>
      <c r="S990" s="92"/>
      <c r="T990" s="92"/>
      <c r="U990" s="92"/>
      <c r="V990" s="92"/>
      <c r="W990" s="92"/>
      <c r="X990" s="92"/>
      <c r="Y990" s="92"/>
      <c r="Z990" s="92"/>
      <c r="AA990" s="92"/>
      <c r="AB990" s="92"/>
      <c r="AC990" s="92"/>
      <c r="AD990" s="92"/>
      <c r="AE990" s="92"/>
      <c r="AF990" s="92"/>
      <c r="AG990" s="92"/>
    </row>
    <row r="991" hidden="1">
      <c r="A991" s="86"/>
      <c r="B991" s="221"/>
      <c r="C991" s="78" t="s">
        <v>78</v>
      </c>
      <c r="D991" s="187" t="s">
        <v>2040</v>
      </c>
      <c r="E991" s="165" t="s">
        <v>2013</v>
      </c>
      <c r="F991" s="165" t="s">
        <v>2014</v>
      </c>
      <c r="G991" s="230">
        <v>0.625</v>
      </c>
      <c r="H991" s="165" t="s">
        <v>1312</v>
      </c>
      <c r="I991" s="165" t="s">
        <v>2015</v>
      </c>
      <c r="J991" s="165" t="s">
        <v>2016</v>
      </c>
      <c r="K991" s="231"/>
      <c r="L991" s="91"/>
      <c r="M991" s="91"/>
      <c r="N991" s="96" t="b">
        <v>0</v>
      </c>
      <c r="O991" s="96" t="b">
        <v>0</v>
      </c>
      <c r="P991" s="92"/>
      <c r="Q991" s="92"/>
      <c r="R991" s="92"/>
      <c r="S991" s="92"/>
      <c r="T991" s="92"/>
      <c r="U991" s="92"/>
      <c r="V991" s="92"/>
      <c r="W991" s="92"/>
      <c r="X991" s="92"/>
      <c r="Y991" s="92"/>
      <c r="Z991" s="92"/>
      <c r="AA991" s="92"/>
      <c r="AB991" s="92"/>
      <c r="AC991" s="92"/>
      <c r="AD991" s="92"/>
      <c r="AE991" s="92"/>
      <c r="AF991" s="92"/>
      <c r="AG991" s="92"/>
    </row>
    <row r="992" hidden="1">
      <c r="A992" s="86"/>
      <c r="B992" s="222"/>
      <c r="C992" s="80" t="s">
        <v>78</v>
      </c>
      <c r="D992" s="187" t="s">
        <v>2040</v>
      </c>
      <c r="E992" s="109" t="s">
        <v>2017</v>
      </c>
      <c r="F992" s="109" t="s">
        <v>2018</v>
      </c>
      <c r="G992" s="108">
        <v>0.7083333333333334</v>
      </c>
      <c r="H992" s="109" t="s">
        <v>367</v>
      </c>
      <c r="I992" s="109" t="s">
        <v>2019</v>
      </c>
      <c r="J992" s="109" t="s">
        <v>2020</v>
      </c>
      <c r="K992" s="231"/>
      <c r="L992" s="91"/>
      <c r="M992" s="91"/>
      <c r="N992" s="96" t="b">
        <v>0</v>
      </c>
      <c r="O992" s="96" t="b">
        <v>0</v>
      </c>
      <c r="P992" s="92"/>
      <c r="Q992" s="92"/>
      <c r="R992" s="92"/>
      <c r="S992" s="92"/>
      <c r="T992" s="92"/>
      <c r="U992" s="92"/>
      <c r="V992" s="92"/>
      <c r="W992" s="92"/>
      <c r="X992" s="92"/>
      <c r="Y992" s="92"/>
      <c r="Z992" s="92"/>
      <c r="AA992" s="92"/>
      <c r="AB992" s="92"/>
      <c r="AC992" s="92"/>
      <c r="AD992" s="92"/>
      <c r="AE992" s="92"/>
      <c r="AF992" s="92"/>
      <c r="AG992" s="92"/>
    </row>
    <row r="993" hidden="1">
      <c r="A993" s="86"/>
      <c r="B993" s="185"/>
      <c r="C993" s="82"/>
      <c r="D993" s="187" t="s">
        <v>2040</v>
      </c>
      <c r="E993" s="183" t="s">
        <v>2094</v>
      </c>
      <c r="F993" s="183" t="s">
        <v>2095</v>
      </c>
      <c r="G993" s="41" t="s">
        <v>43</v>
      </c>
      <c r="H993" s="98" t="s">
        <v>1205</v>
      </c>
      <c r="I993" s="98" t="s">
        <v>2096</v>
      </c>
      <c r="J993" s="183" t="s">
        <v>2097</v>
      </c>
      <c r="K993" s="91"/>
      <c r="L993" s="91"/>
      <c r="M993" s="91"/>
      <c r="N993" s="96" t="b">
        <v>0</v>
      </c>
      <c r="O993" s="96" t="b">
        <v>0</v>
      </c>
      <c r="P993" s="92"/>
      <c r="Q993" s="92"/>
      <c r="R993" s="92"/>
      <c r="S993" s="92"/>
      <c r="T993" s="92"/>
      <c r="U993" s="92"/>
      <c r="V993" s="92"/>
      <c r="W993" s="92"/>
      <c r="X993" s="92"/>
      <c r="Y993" s="92"/>
      <c r="Z993" s="92"/>
      <c r="AA993" s="92"/>
      <c r="AB993" s="92"/>
      <c r="AC993" s="92"/>
      <c r="AD993" s="92"/>
      <c r="AE993" s="92"/>
      <c r="AF993" s="92"/>
      <c r="AG993" s="92"/>
    </row>
    <row r="994" hidden="1">
      <c r="A994" s="86"/>
      <c r="B994" s="166"/>
      <c r="C994" s="88">
        <v>44435.0</v>
      </c>
      <c r="D994" s="97"/>
      <c r="E994" s="98"/>
      <c r="F994" s="98"/>
      <c r="G994" s="41"/>
      <c r="H994" s="98"/>
      <c r="I994" s="98"/>
      <c r="J994" s="98"/>
      <c r="K994" s="91"/>
      <c r="L994" s="91"/>
      <c r="M994" s="91"/>
      <c r="N994" s="96" t="b">
        <v>0</v>
      </c>
      <c r="O994" s="96" t="b">
        <v>0</v>
      </c>
      <c r="P994" s="92"/>
      <c r="Q994" s="92"/>
      <c r="R994" s="92"/>
      <c r="S994" s="92"/>
      <c r="T994" s="92"/>
      <c r="U994" s="92"/>
      <c r="V994" s="92"/>
      <c r="W994" s="92"/>
      <c r="X994" s="92"/>
      <c r="Y994" s="92"/>
      <c r="Z994" s="92"/>
      <c r="AA994" s="92"/>
      <c r="AB994" s="92"/>
      <c r="AC994" s="92"/>
      <c r="AD994" s="92"/>
      <c r="AE994" s="92"/>
      <c r="AF994" s="92"/>
      <c r="AG994" s="92"/>
    </row>
    <row r="995" hidden="1">
      <c r="A995" s="86"/>
      <c r="B995" s="18" t="s">
        <v>1668</v>
      </c>
      <c r="C995" s="78" t="s">
        <v>78</v>
      </c>
      <c r="D995" s="187" t="s">
        <v>79</v>
      </c>
      <c r="E995" s="183" t="s">
        <v>2098</v>
      </c>
      <c r="F995" s="183" t="s">
        <v>2099</v>
      </c>
      <c r="G995" s="41" t="s">
        <v>713</v>
      </c>
      <c r="H995" s="98" t="s">
        <v>2100</v>
      </c>
      <c r="I995" s="183" t="s">
        <v>2101</v>
      </c>
      <c r="J995" s="183" t="s">
        <v>2102</v>
      </c>
      <c r="K995" s="91"/>
      <c r="L995" s="91"/>
      <c r="M995" s="91"/>
      <c r="N995" s="96" t="b">
        <v>0</v>
      </c>
      <c r="O995" s="96" t="b">
        <v>0</v>
      </c>
      <c r="P995" s="92"/>
      <c r="Q995" s="92"/>
      <c r="R995" s="92"/>
      <c r="S995" s="92"/>
      <c r="T995" s="92"/>
      <c r="U995" s="92"/>
      <c r="V995" s="92"/>
      <c r="W995" s="92"/>
      <c r="X995" s="92"/>
      <c r="Y995" s="92"/>
      <c r="Z995" s="92"/>
      <c r="AA995" s="92"/>
      <c r="AB995" s="92"/>
      <c r="AC995" s="92"/>
      <c r="AD995" s="92"/>
      <c r="AE995" s="92"/>
      <c r="AF995" s="92"/>
      <c r="AG995" s="92"/>
    </row>
    <row r="996" hidden="1">
      <c r="A996" s="86"/>
      <c r="B996" s="25"/>
      <c r="C996" s="80" t="s">
        <v>78</v>
      </c>
      <c r="D996" s="97" t="s">
        <v>79</v>
      </c>
      <c r="E996" s="183" t="s">
        <v>2103</v>
      </c>
      <c r="F996" s="98" t="s">
        <v>2104</v>
      </c>
      <c r="G996" s="41" t="s">
        <v>417</v>
      </c>
      <c r="H996" s="98" t="s">
        <v>2105</v>
      </c>
      <c r="I996" s="98" t="s">
        <v>2106</v>
      </c>
      <c r="J996" s="183" t="s">
        <v>2107</v>
      </c>
      <c r="K996" s="98" t="s">
        <v>2108</v>
      </c>
      <c r="L996" s="91"/>
      <c r="M996" s="91"/>
      <c r="N996" s="96" t="b">
        <v>0</v>
      </c>
      <c r="O996" s="96" t="b">
        <v>0</v>
      </c>
      <c r="P996" s="92"/>
      <c r="Q996" s="92"/>
      <c r="R996" s="92"/>
      <c r="S996" s="92"/>
      <c r="T996" s="92"/>
      <c r="U996" s="92"/>
      <c r="V996" s="92"/>
      <c r="W996" s="92"/>
      <c r="X996" s="92"/>
      <c r="Y996" s="92"/>
      <c r="Z996" s="92"/>
      <c r="AA996" s="92"/>
      <c r="AB996" s="92"/>
      <c r="AC996" s="92"/>
      <c r="AD996" s="92"/>
      <c r="AE996" s="92"/>
      <c r="AF996" s="92"/>
      <c r="AG996" s="92"/>
    </row>
    <row r="997" hidden="1">
      <c r="A997" s="86"/>
      <c r="B997" s="25"/>
      <c r="C997" s="80" t="s">
        <v>78</v>
      </c>
      <c r="D997" s="97" t="s">
        <v>79</v>
      </c>
      <c r="E997" s="183" t="s">
        <v>2109</v>
      </c>
      <c r="F997" s="183" t="s">
        <v>2110</v>
      </c>
      <c r="G997" s="41" t="s">
        <v>449</v>
      </c>
      <c r="H997" s="98" t="s">
        <v>2100</v>
      </c>
      <c r="I997" s="183" t="s">
        <v>2111</v>
      </c>
      <c r="J997" s="183" t="s">
        <v>2112</v>
      </c>
      <c r="K997" s="91"/>
      <c r="L997" s="91"/>
      <c r="M997" s="91"/>
      <c r="N997" s="96" t="b">
        <v>0</v>
      </c>
      <c r="O997" s="96" t="b">
        <v>0</v>
      </c>
      <c r="P997" s="92"/>
      <c r="Q997" s="92"/>
      <c r="R997" s="92"/>
      <c r="S997" s="92"/>
      <c r="T997" s="92"/>
      <c r="U997" s="92"/>
      <c r="V997" s="92"/>
      <c r="W997" s="92"/>
      <c r="X997" s="92"/>
      <c r="Y997" s="92"/>
      <c r="Z997" s="92"/>
      <c r="AA997" s="92"/>
      <c r="AB997" s="92"/>
      <c r="AC997" s="92"/>
      <c r="AD997" s="92"/>
      <c r="AE997" s="92"/>
      <c r="AF997" s="92"/>
      <c r="AG997" s="92"/>
    </row>
    <row r="998" hidden="1">
      <c r="A998" s="86"/>
      <c r="B998" s="25"/>
      <c r="C998" s="80" t="s">
        <v>78</v>
      </c>
      <c r="D998" s="97" t="s">
        <v>79</v>
      </c>
      <c r="E998" s="183" t="s">
        <v>2113</v>
      </c>
      <c r="F998" s="183" t="s">
        <v>2114</v>
      </c>
      <c r="G998" s="41" t="s">
        <v>180</v>
      </c>
      <c r="H998" s="183" t="s">
        <v>2115</v>
      </c>
      <c r="I998" s="183" t="s">
        <v>2116</v>
      </c>
      <c r="J998" s="98" t="s">
        <v>2117</v>
      </c>
      <c r="K998" s="91"/>
      <c r="L998" s="91"/>
      <c r="M998" s="91"/>
      <c r="N998" s="96" t="b">
        <v>0</v>
      </c>
      <c r="O998" s="96" t="b">
        <v>0</v>
      </c>
      <c r="P998" s="92"/>
      <c r="Q998" s="92"/>
      <c r="R998" s="92"/>
      <c r="S998" s="92"/>
      <c r="T998" s="92"/>
      <c r="U998" s="92"/>
      <c r="V998" s="92"/>
      <c r="W998" s="92"/>
      <c r="X998" s="92"/>
      <c r="Y998" s="92"/>
      <c r="Z998" s="92"/>
      <c r="AA998" s="92"/>
      <c r="AB998" s="92"/>
      <c r="AC998" s="92"/>
      <c r="AD998" s="92"/>
      <c r="AE998" s="92"/>
      <c r="AF998" s="92"/>
      <c r="AG998" s="92"/>
    </row>
    <row r="999" hidden="1">
      <c r="A999" s="86"/>
      <c r="B999" s="25"/>
      <c r="C999" s="80" t="s">
        <v>78</v>
      </c>
      <c r="D999" s="97"/>
      <c r="E999" s="98"/>
      <c r="F999" s="98"/>
      <c r="G999" s="41"/>
      <c r="H999" s="98"/>
      <c r="I999" s="98"/>
      <c r="J999" s="98"/>
      <c r="K999" s="91"/>
      <c r="L999" s="91"/>
      <c r="M999" s="91"/>
      <c r="N999" s="96" t="b">
        <v>0</v>
      </c>
      <c r="O999" s="96" t="b">
        <v>0</v>
      </c>
      <c r="P999" s="92"/>
      <c r="Q999" s="92"/>
      <c r="R999" s="92"/>
      <c r="S999" s="92"/>
      <c r="T999" s="92"/>
      <c r="U999" s="92"/>
      <c r="V999" s="92"/>
      <c r="W999" s="92"/>
      <c r="X999" s="92"/>
      <c r="Y999" s="92"/>
      <c r="Z999" s="92"/>
      <c r="AA999" s="92"/>
      <c r="AB999" s="92"/>
      <c r="AC999" s="92"/>
      <c r="AD999" s="92"/>
      <c r="AE999" s="92"/>
      <c r="AF999" s="92"/>
      <c r="AG999" s="92"/>
    </row>
    <row r="1000" hidden="1">
      <c r="A1000" s="86"/>
      <c r="B1000" s="39"/>
      <c r="C1000" s="103"/>
      <c r="D1000" s="97"/>
      <c r="E1000" s="98"/>
      <c r="F1000" s="98"/>
      <c r="G1000" s="41"/>
      <c r="H1000" s="98"/>
      <c r="I1000" s="98"/>
      <c r="J1000" s="98"/>
      <c r="K1000" s="91"/>
      <c r="L1000" s="91"/>
      <c r="M1000" s="91"/>
      <c r="N1000" s="96" t="b">
        <v>0</v>
      </c>
      <c r="O1000" s="96" t="b">
        <v>0</v>
      </c>
      <c r="P1000" s="92"/>
      <c r="Q1000" s="92"/>
      <c r="R1000" s="92"/>
      <c r="S1000" s="92"/>
      <c r="T1000" s="92"/>
      <c r="U1000" s="92"/>
      <c r="V1000" s="92"/>
      <c r="W1000" s="92"/>
      <c r="X1000" s="92"/>
      <c r="Y1000" s="92"/>
      <c r="Z1000" s="92"/>
      <c r="AA1000" s="92"/>
      <c r="AB1000" s="92"/>
      <c r="AC1000" s="92"/>
      <c r="AD1000" s="92"/>
      <c r="AE1000" s="92"/>
      <c r="AF1000" s="92"/>
      <c r="AG1000" s="92"/>
    </row>
    <row r="1001" hidden="1">
      <c r="A1001" s="86"/>
      <c r="B1001" s="221" t="s">
        <v>1971</v>
      </c>
      <c r="C1001" s="80" t="s">
        <v>78</v>
      </c>
      <c r="D1001" s="97" t="s">
        <v>79</v>
      </c>
      <c r="E1001" s="183" t="s">
        <v>2118</v>
      </c>
      <c r="F1001" s="183" t="s">
        <v>2119</v>
      </c>
      <c r="G1001" s="41" t="s">
        <v>2120</v>
      </c>
      <c r="H1001" s="98" t="s">
        <v>2121</v>
      </c>
      <c r="I1001" s="98" t="s">
        <v>2122</v>
      </c>
      <c r="J1001" s="183" t="s">
        <v>2119</v>
      </c>
      <c r="K1001" s="91"/>
      <c r="L1001" s="91"/>
      <c r="M1001" s="91"/>
      <c r="N1001" s="96" t="b">
        <v>0</v>
      </c>
      <c r="O1001" s="96" t="b">
        <v>0</v>
      </c>
      <c r="P1001" s="92"/>
      <c r="Q1001" s="92"/>
      <c r="R1001" s="92"/>
      <c r="S1001" s="92"/>
      <c r="T1001" s="92"/>
      <c r="U1001" s="92"/>
      <c r="V1001" s="92"/>
      <c r="W1001" s="92"/>
      <c r="X1001" s="92"/>
      <c r="Y1001" s="92"/>
      <c r="Z1001" s="92"/>
      <c r="AA1001" s="92"/>
      <c r="AB1001" s="92"/>
      <c r="AC1001" s="92"/>
      <c r="AD1001" s="92"/>
      <c r="AE1001" s="92"/>
      <c r="AF1001" s="92"/>
      <c r="AG1001" s="92"/>
    </row>
    <row r="1002" hidden="1">
      <c r="A1002" s="86"/>
      <c r="B1002" s="221"/>
      <c r="C1002" s="80" t="s">
        <v>78</v>
      </c>
      <c r="D1002" s="187" t="s">
        <v>79</v>
      </c>
      <c r="E1002" s="183" t="s">
        <v>2123</v>
      </c>
      <c r="F1002" s="183" t="s">
        <v>2124</v>
      </c>
      <c r="G1002" s="232" t="s">
        <v>449</v>
      </c>
      <c r="H1002" s="189" t="s">
        <v>2125</v>
      </c>
      <c r="I1002" s="183" t="s">
        <v>2126</v>
      </c>
      <c r="J1002" s="183" t="s">
        <v>2127</v>
      </c>
      <c r="K1002" s="91"/>
      <c r="L1002" s="91"/>
      <c r="M1002" s="91"/>
      <c r="N1002" s="96" t="b">
        <v>0</v>
      </c>
      <c r="O1002" s="96" t="b">
        <v>0</v>
      </c>
      <c r="P1002" s="92"/>
      <c r="Q1002" s="92"/>
      <c r="R1002" s="92"/>
      <c r="S1002" s="92"/>
      <c r="T1002" s="92"/>
      <c r="U1002" s="92"/>
      <c r="V1002" s="92"/>
      <c r="W1002" s="92"/>
      <c r="X1002" s="92"/>
      <c r="Y1002" s="92"/>
      <c r="Z1002" s="92"/>
      <c r="AA1002" s="92"/>
      <c r="AB1002" s="92"/>
      <c r="AC1002" s="92"/>
      <c r="AD1002" s="92"/>
      <c r="AE1002" s="92"/>
      <c r="AF1002" s="92"/>
      <c r="AG1002" s="92"/>
    </row>
    <row r="1003" hidden="1">
      <c r="A1003" s="86"/>
      <c r="B1003" s="221"/>
      <c r="C1003" s="78" t="s">
        <v>78</v>
      </c>
      <c r="D1003" s="97" t="s">
        <v>79</v>
      </c>
      <c r="E1003" s="183" t="s">
        <v>2128</v>
      </c>
      <c r="F1003" s="183" t="s">
        <v>2129</v>
      </c>
      <c r="G1003" s="41" t="s">
        <v>180</v>
      </c>
      <c r="H1003" s="98" t="s">
        <v>2130</v>
      </c>
      <c r="I1003" s="98" t="s">
        <v>2131</v>
      </c>
      <c r="J1003" s="183" t="s">
        <v>2132</v>
      </c>
      <c r="K1003" s="91"/>
      <c r="L1003" s="91"/>
      <c r="M1003" s="91"/>
      <c r="N1003" s="96" t="b">
        <v>0</v>
      </c>
      <c r="O1003" s="96" t="b">
        <v>0</v>
      </c>
      <c r="P1003" s="92"/>
      <c r="Q1003" s="92"/>
      <c r="R1003" s="92"/>
      <c r="S1003" s="92"/>
      <c r="T1003" s="92"/>
      <c r="U1003" s="92"/>
      <c r="V1003" s="92"/>
      <c r="W1003" s="92"/>
      <c r="X1003" s="92"/>
      <c r="Y1003" s="92"/>
      <c r="Z1003" s="92"/>
      <c r="AA1003" s="92"/>
      <c r="AB1003" s="92"/>
      <c r="AC1003" s="92"/>
      <c r="AD1003" s="92"/>
      <c r="AE1003" s="92"/>
      <c r="AF1003" s="92"/>
      <c r="AG1003" s="92"/>
    </row>
    <row r="1004" hidden="1">
      <c r="A1004" s="86"/>
      <c r="B1004" s="222"/>
      <c r="C1004" s="80" t="s">
        <v>78</v>
      </c>
      <c r="D1004" s="97" t="s">
        <v>79</v>
      </c>
      <c r="E1004" s="184" t="s">
        <v>2133</v>
      </c>
      <c r="F1004" s="184" t="s">
        <v>2134</v>
      </c>
      <c r="G1004" s="223" t="s">
        <v>248</v>
      </c>
      <c r="H1004" s="191" t="s">
        <v>2135</v>
      </c>
      <c r="I1004" s="191" t="s">
        <v>2136</v>
      </c>
      <c r="J1004" s="184" t="s">
        <v>2137</v>
      </c>
      <c r="K1004" s="91"/>
      <c r="L1004" s="91"/>
      <c r="M1004" s="91"/>
      <c r="N1004" s="96" t="b">
        <v>0</v>
      </c>
      <c r="O1004" s="96" t="b">
        <v>0</v>
      </c>
      <c r="P1004" s="92"/>
      <c r="Q1004" s="92"/>
      <c r="R1004" s="92"/>
      <c r="S1004" s="92"/>
      <c r="T1004" s="92"/>
      <c r="U1004" s="92"/>
      <c r="V1004" s="92"/>
      <c r="W1004" s="92"/>
      <c r="X1004" s="92"/>
      <c r="Y1004" s="92"/>
      <c r="Z1004" s="92"/>
      <c r="AA1004" s="92"/>
      <c r="AB1004" s="92"/>
      <c r="AC1004" s="92"/>
      <c r="AD1004" s="92"/>
      <c r="AE1004" s="92"/>
      <c r="AF1004" s="92"/>
      <c r="AG1004" s="92"/>
    </row>
    <row r="1005" hidden="1">
      <c r="A1005" s="86"/>
      <c r="B1005" s="166"/>
      <c r="C1005" s="88">
        <v>44438.0</v>
      </c>
      <c r="D1005" s="97"/>
      <c r="E1005" s="98"/>
      <c r="F1005" s="98"/>
      <c r="G1005" s="41"/>
      <c r="H1005" s="98"/>
      <c r="I1005" s="98"/>
      <c r="J1005" s="98"/>
      <c r="K1005" s="91"/>
      <c r="L1005" s="91"/>
      <c r="M1005" s="91"/>
      <c r="N1005" s="96" t="b">
        <v>0</v>
      </c>
      <c r="O1005" s="96" t="b">
        <v>0</v>
      </c>
      <c r="P1005" s="92"/>
      <c r="Q1005" s="92"/>
      <c r="R1005" s="92"/>
      <c r="S1005" s="92"/>
      <c r="T1005" s="92"/>
      <c r="U1005" s="92"/>
      <c r="V1005" s="92"/>
      <c r="W1005" s="92"/>
      <c r="X1005" s="92"/>
      <c r="Y1005" s="92"/>
      <c r="Z1005" s="92"/>
      <c r="AA1005" s="92"/>
      <c r="AB1005" s="92"/>
      <c r="AC1005" s="92"/>
      <c r="AD1005" s="92"/>
      <c r="AE1005" s="92"/>
      <c r="AF1005" s="92"/>
      <c r="AG1005" s="92"/>
    </row>
    <row r="1006" hidden="1">
      <c r="A1006" s="86"/>
      <c r="B1006" s="18" t="s">
        <v>1668</v>
      </c>
      <c r="C1006" s="78" t="s">
        <v>78</v>
      </c>
      <c r="D1006" s="97" t="s">
        <v>131</v>
      </c>
      <c r="E1006" s="183" t="s">
        <v>2138</v>
      </c>
      <c r="F1006" s="183" t="s">
        <v>2139</v>
      </c>
      <c r="G1006" s="99">
        <v>0.4166666666666667</v>
      </c>
      <c r="H1006" s="98" t="s">
        <v>478</v>
      </c>
      <c r="I1006" s="98" t="s">
        <v>2140</v>
      </c>
      <c r="J1006" s="183" t="s">
        <v>2141</v>
      </c>
      <c r="K1006" s="98" t="s">
        <v>2142</v>
      </c>
      <c r="L1006" s="91"/>
      <c r="M1006" s="91"/>
      <c r="N1006" s="96" t="b">
        <v>0</v>
      </c>
      <c r="O1006" s="96" t="b">
        <v>0</v>
      </c>
      <c r="P1006" s="92"/>
      <c r="Q1006" s="92"/>
      <c r="R1006" s="92"/>
      <c r="S1006" s="92"/>
      <c r="T1006" s="92"/>
      <c r="U1006" s="92"/>
      <c r="V1006" s="92"/>
      <c r="W1006" s="92"/>
      <c r="X1006" s="92"/>
      <c r="Y1006" s="92"/>
      <c r="Z1006" s="92"/>
      <c r="AA1006" s="92"/>
      <c r="AB1006" s="92"/>
      <c r="AC1006" s="92"/>
      <c r="AD1006" s="92"/>
      <c r="AE1006" s="92"/>
      <c r="AF1006" s="92"/>
      <c r="AG1006" s="92"/>
    </row>
    <row r="1007" hidden="1">
      <c r="A1007" s="86"/>
      <c r="B1007" s="25"/>
      <c r="C1007" s="80" t="s">
        <v>78</v>
      </c>
      <c r="D1007" s="97" t="s">
        <v>131</v>
      </c>
      <c r="E1007" s="183" t="s">
        <v>2143</v>
      </c>
      <c r="F1007" s="233" t="s">
        <v>2144</v>
      </c>
      <c r="G1007" s="99">
        <v>0.5416666666666666</v>
      </c>
      <c r="H1007" s="98" t="s">
        <v>458</v>
      </c>
      <c r="I1007" s="98" t="s">
        <v>2145</v>
      </c>
      <c r="J1007" s="183" t="s">
        <v>2146</v>
      </c>
      <c r="K1007" s="91"/>
      <c r="L1007" s="91"/>
      <c r="M1007" s="91"/>
      <c r="N1007" s="96" t="b">
        <v>0</v>
      </c>
      <c r="O1007" s="96" t="b">
        <v>0</v>
      </c>
      <c r="P1007" s="92"/>
      <c r="Q1007" s="92"/>
      <c r="R1007" s="92"/>
      <c r="S1007" s="92"/>
      <c r="T1007" s="92"/>
      <c r="U1007" s="92"/>
      <c r="V1007" s="92"/>
      <c r="W1007" s="92"/>
      <c r="X1007" s="92"/>
      <c r="Y1007" s="92"/>
      <c r="Z1007" s="92"/>
      <c r="AA1007" s="92"/>
      <c r="AB1007" s="92"/>
      <c r="AC1007" s="92"/>
      <c r="AD1007" s="92"/>
      <c r="AE1007" s="92"/>
      <c r="AF1007" s="92"/>
      <c r="AG1007" s="92"/>
    </row>
    <row r="1008" hidden="1">
      <c r="A1008" s="86"/>
      <c r="B1008" s="25"/>
      <c r="C1008" s="80" t="s">
        <v>78</v>
      </c>
      <c r="D1008" s="97" t="s">
        <v>131</v>
      </c>
      <c r="E1008" s="183" t="s">
        <v>2147</v>
      </c>
      <c r="F1008" s="183" t="s">
        <v>2148</v>
      </c>
      <c r="G1008" s="99">
        <v>0.625</v>
      </c>
      <c r="H1008" s="98" t="s">
        <v>568</v>
      </c>
      <c r="I1008" s="98" t="s">
        <v>2149</v>
      </c>
      <c r="J1008" s="183" t="s">
        <v>2150</v>
      </c>
      <c r="K1008" s="91"/>
      <c r="L1008" s="91"/>
      <c r="M1008" s="91"/>
      <c r="N1008" s="96" t="b">
        <v>0</v>
      </c>
      <c r="O1008" s="96" t="b">
        <v>0</v>
      </c>
      <c r="P1008" s="92"/>
      <c r="Q1008" s="92"/>
      <c r="R1008" s="92"/>
      <c r="S1008" s="92"/>
      <c r="T1008" s="92"/>
      <c r="U1008" s="92"/>
      <c r="V1008" s="92"/>
      <c r="W1008" s="92"/>
      <c r="X1008" s="92"/>
      <c r="Y1008" s="92"/>
      <c r="Z1008" s="92"/>
      <c r="AA1008" s="92"/>
      <c r="AB1008" s="92"/>
      <c r="AC1008" s="92"/>
      <c r="AD1008" s="92"/>
      <c r="AE1008" s="92"/>
      <c r="AF1008" s="92"/>
      <c r="AG1008" s="92"/>
    </row>
    <row r="1009" hidden="1">
      <c r="A1009" s="86"/>
      <c r="B1009" s="25"/>
      <c r="C1009" s="80" t="s">
        <v>78</v>
      </c>
      <c r="D1009" s="97" t="s">
        <v>131</v>
      </c>
      <c r="E1009" s="183" t="s">
        <v>2151</v>
      </c>
      <c r="F1009" s="183" t="s">
        <v>2152</v>
      </c>
      <c r="G1009" s="99">
        <v>0.7083333333333334</v>
      </c>
      <c r="H1009" s="98" t="s">
        <v>2153</v>
      </c>
      <c r="I1009" s="98" t="s">
        <v>2154</v>
      </c>
      <c r="J1009" s="183" t="s">
        <v>2155</v>
      </c>
      <c r="K1009" s="91"/>
      <c r="L1009" s="91"/>
      <c r="M1009" s="91"/>
      <c r="N1009" s="96" t="b">
        <v>0</v>
      </c>
      <c r="O1009" s="96" t="b">
        <v>0</v>
      </c>
      <c r="P1009" s="92"/>
      <c r="Q1009" s="92"/>
      <c r="R1009" s="92"/>
      <c r="S1009" s="92"/>
      <c r="T1009" s="92"/>
      <c r="U1009" s="92"/>
      <c r="V1009" s="92"/>
      <c r="W1009" s="92"/>
      <c r="X1009" s="92"/>
      <c r="Y1009" s="92"/>
      <c r="Z1009" s="92"/>
      <c r="AA1009" s="92"/>
      <c r="AB1009" s="92"/>
      <c r="AC1009" s="92"/>
      <c r="AD1009" s="92"/>
      <c r="AE1009" s="92"/>
      <c r="AF1009" s="92"/>
      <c r="AG1009" s="92"/>
    </row>
    <row r="1010" hidden="1">
      <c r="A1010" s="86"/>
      <c r="B1010" s="25"/>
      <c r="C1010" s="80" t="s">
        <v>78</v>
      </c>
      <c r="D1010" s="97"/>
      <c r="E1010" s="98"/>
      <c r="F1010" s="98"/>
      <c r="G1010" s="41"/>
      <c r="H1010" s="98"/>
      <c r="I1010" s="98"/>
      <c r="J1010" s="98"/>
      <c r="K1010" s="91"/>
      <c r="L1010" s="91"/>
      <c r="M1010" s="91"/>
      <c r="N1010" s="96" t="b">
        <v>0</v>
      </c>
      <c r="O1010" s="96" t="b">
        <v>0</v>
      </c>
      <c r="P1010" s="92"/>
      <c r="Q1010" s="92"/>
      <c r="R1010" s="92"/>
      <c r="S1010" s="92"/>
      <c r="T1010" s="92"/>
      <c r="U1010" s="92"/>
      <c r="V1010" s="92"/>
      <c r="W1010" s="92"/>
      <c r="X1010" s="92"/>
      <c r="Y1010" s="92"/>
      <c r="Z1010" s="92"/>
      <c r="AA1010" s="92"/>
      <c r="AB1010" s="92"/>
      <c r="AC1010" s="92"/>
      <c r="AD1010" s="92"/>
      <c r="AE1010" s="92"/>
      <c r="AF1010" s="92"/>
      <c r="AG1010" s="92"/>
    </row>
    <row r="1011" hidden="1">
      <c r="A1011" s="86"/>
      <c r="B1011" s="39"/>
      <c r="C1011" s="103"/>
      <c r="D1011" s="97"/>
      <c r="E1011" s="98"/>
      <c r="F1011" s="98"/>
      <c r="G1011" s="41"/>
      <c r="H1011" s="98"/>
      <c r="I1011" s="98"/>
      <c r="J1011" s="98"/>
      <c r="K1011" s="91"/>
      <c r="L1011" s="91"/>
      <c r="M1011" s="91"/>
      <c r="N1011" s="96" t="b">
        <v>0</v>
      </c>
      <c r="O1011" s="96" t="b">
        <v>0</v>
      </c>
      <c r="P1011" s="92"/>
      <c r="Q1011" s="92"/>
      <c r="R1011" s="92"/>
      <c r="S1011" s="92"/>
      <c r="T1011" s="92"/>
      <c r="U1011" s="92"/>
      <c r="V1011" s="92"/>
      <c r="W1011" s="92"/>
      <c r="X1011" s="92"/>
      <c r="Y1011" s="92"/>
      <c r="Z1011" s="92"/>
      <c r="AA1011" s="92"/>
      <c r="AB1011" s="92"/>
      <c r="AC1011" s="92"/>
      <c r="AD1011" s="92"/>
      <c r="AE1011" s="92"/>
      <c r="AF1011" s="92"/>
      <c r="AG1011" s="92"/>
    </row>
    <row r="1012" hidden="1">
      <c r="A1012" s="86"/>
      <c r="B1012" s="221" t="s">
        <v>1971</v>
      </c>
      <c r="C1012" s="80" t="s">
        <v>78</v>
      </c>
      <c r="D1012" s="97" t="s">
        <v>79</v>
      </c>
      <c r="E1012" s="184" t="s">
        <v>1774</v>
      </c>
      <c r="F1012" s="184" t="s">
        <v>1775</v>
      </c>
      <c r="G1012" s="112" t="s">
        <v>417</v>
      </c>
      <c r="H1012" s="184" t="s">
        <v>2156</v>
      </c>
      <c r="I1012" s="184" t="s">
        <v>2157</v>
      </c>
      <c r="J1012" s="184" t="s">
        <v>1416</v>
      </c>
      <c r="K1012" s="91"/>
      <c r="L1012" s="91"/>
      <c r="M1012" s="91"/>
      <c r="N1012" s="96" t="b">
        <v>0</v>
      </c>
      <c r="O1012" s="96" t="b">
        <v>0</v>
      </c>
      <c r="P1012" s="92"/>
      <c r="Q1012" s="92"/>
      <c r="R1012" s="92"/>
      <c r="S1012" s="92"/>
      <c r="T1012" s="92"/>
      <c r="U1012" s="92"/>
      <c r="V1012" s="92"/>
      <c r="W1012" s="92"/>
      <c r="X1012" s="92"/>
      <c r="Y1012" s="92"/>
      <c r="Z1012" s="92"/>
      <c r="AA1012" s="92"/>
      <c r="AB1012" s="92"/>
      <c r="AC1012" s="92"/>
      <c r="AD1012" s="92"/>
      <c r="AE1012" s="92"/>
      <c r="AF1012" s="92"/>
      <c r="AG1012" s="92"/>
    </row>
    <row r="1013" hidden="1">
      <c r="A1013" s="86"/>
      <c r="B1013" s="221"/>
      <c r="C1013" s="80" t="s">
        <v>78</v>
      </c>
      <c r="D1013" s="97" t="s">
        <v>79</v>
      </c>
      <c r="E1013" s="183" t="s">
        <v>565</v>
      </c>
      <c r="F1013" s="183" t="s">
        <v>566</v>
      </c>
      <c r="G1013" s="41" t="s">
        <v>449</v>
      </c>
      <c r="H1013" s="183" t="s">
        <v>2156</v>
      </c>
      <c r="I1013" s="98" t="s">
        <v>2158</v>
      </c>
      <c r="J1013" s="183" t="s">
        <v>570</v>
      </c>
      <c r="K1013" s="98" t="s">
        <v>838</v>
      </c>
      <c r="L1013" s="98" t="s">
        <v>2159</v>
      </c>
      <c r="M1013" s="91"/>
      <c r="N1013" s="96" t="b">
        <v>0</v>
      </c>
      <c r="O1013" s="96" t="b">
        <v>0</v>
      </c>
      <c r="P1013" s="92"/>
      <c r="Q1013" s="92"/>
      <c r="R1013" s="92"/>
      <c r="S1013" s="92"/>
      <c r="T1013" s="92"/>
      <c r="U1013" s="92"/>
      <c r="V1013" s="92"/>
      <c r="W1013" s="92"/>
      <c r="X1013" s="92"/>
      <c r="Y1013" s="92"/>
      <c r="Z1013" s="92"/>
      <c r="AA1013" s="92"/>
      <c r="AB1013" s="92"/>
      <c r="AC1013" s="92"/>
      <c r="AD1013" s="92"/>
      <c r="AE1013" s="92"/>
      <c r="AF1013" s="92"/>
      <c r="AG1013" s="92"/>
    </row>
    <row r="1014" hidden="1">
      <c r="A1014" s="86"/>
      <c r="B1014" s="221"/>
      <c r="C1014" s="78" t="s">
        <v>78</v>
      </c>
      <c r="D1014" s="97" t="s">
        <v>79</v>
      </c>
      <c r="E1014" s="184" t="s">
        <v>1221</v>
      </c>
      <c r="F1014" s="184" t="s">
        <v>1222</v>
      </c>
      <c r="G1014" s="112" t="s">
        <v>180</v>
      </c>
      <c r="H1014" s="109" t="s">
        <v>2160</v>
      </c>
      <c r="I1014" s="184" t="s">
        <v>2161</v>
      </c>
      <c r="J1014" s="184" t="s">
        <v>1224</v>
      </c>
      <c r="K1014" s="98" t="s">
        <v>2162</v>
      </c>
      <c r="L1014" s="91"/>
      <c r="M1014" s="91"/>
      <c r="N1014" s="96" t="b">
        <v>0</v>
      </c>
      <c r="O1014" s="96" t="b">
        <v>0</v>
      </c>
      <c r="P1014" s="92"/>
      <c r="Q1014" s="92"/>
      <c r="R1014" s="92"/>
      <c r="S1014" s="92"/>
      <c r="T1014" s="92"/>
      <c r="U1014" s="92"/>
      <c r="V1014" s="92"/>
      <c r="W1014" s="92"/>
      <c r="X1014" s="92"/>
      <c r="Y1014" s="92"/>
      <c r="Z1014" s="92"/>
      <c r="AA1014" s="92"/>
      <c r="AB1014" s="92"/>
      <c r="AC1014" s="92"/>
      <c r="AD1014" s="92"/>
      <c r="AE1014" s="92"/>
      <c r="AF1014" s="92"/>
      <c r="AG1014" s="92"/>
    </row>
    <row r="1015" hidden="1">
      <c r="A1015" s="86"/>
      <c r="B1015" s="222"/>
      <c r="C1015" s="80" t="s">
        <v>78</v>
      </c>
      <c r="D1015" s="97" t="s">
        <v>79</v>
      </c>
      <c r="E1015" s="184" t="s">
        <v>1203</v>
      </c>
      <c r="F1015" s="184" t="s">
        <v>1204</v>
      </c>
      <c r="G1015" s="112" t="s">
        <v>248</v>
      </c>
      <c r="H1015" s="109" t="s">
        <v>2036</v>
      </c>
      <c r="I1015" s="184" t="s">
        <v>2163</v>
      </c>
      <c r="J1015" s="184" t="s">
        <v>1207</v>
      </c>
      <c r="K1015" s="98" t="s">
        <v>838</v>
      </c>
      <c r="L1015" s="98" t="s">
        <v>2164</v>
      </c>
      <c r="M1015" s="91"/>
      <c r="N1015" s="96" t="b">
        <v>0</v>
      </c>
      <c r="O1015" s="96" t="b">
        <v>0</v>
      </c>
      <c r="P1015" s="92"/>
      <c r="Q1015" s="92"/>
      <c r="R1015" s="92"/>
      <c r="S1015" s="92"/>
      <c r="T1015" s="92"/>
      <c r="U1015" s="92"/>
      <c r="V1015" s="92"/>
      <c r="W1015" s="92"/>
      <c r="X1015" s="92"/>
      <c r="Y1015" s="92"/>
      <c r="Z1015" s="92"/>
      <c r="AA1015" s="92"/>
      <c r="AB1015" s="92"/>
      <c r="AC1015" s="92"/>
      <c r="AD1015" s="92"/>
      <c r="AE1015" s="92"/>
      <c r="AF1015" s="92"/>
      <c r="AG1015" s="92"/>
    </row>
    <row r="1016" hidden="1">
      <c r="A1016" s="86"/>
      <c r="B1016" s="166"/>
      <c r="C1016" s="88">
        <v>44439.0</v>
      </c>
      <c r="D1016" s="97"/>
      <c r="E1016" s="98"/>
      <c r="F1016" s="98"/>
      <c r="G1016" s="41"/>
      <c r="H1016" s="98"/>
      <c r="I1016" s="98"/>
      <c r="J1016" s="98"/>
      <c r="K1016" s="91"/>
      <c r="L1016" s="91"/>
      <c r="M1016" s="91"/>
      <c r="N1016" s="96" t="b">
        <v>0</v>
      </c>
      <c r="O1016" s="96" t="b">
        <v>0</v>
      </c>
      <c r="P1016" s="92"/>
      <c r="Q1016" s="92"/>
      <c r="R1016" s="92"/>
      <c r="S1016" s="92"/>
      <c r="T1016" s="92"/>
      <c r="U1016" s="92"/>
      <c r="V1016" s="92"/>
      <c r="W1016" s="92"/>
      <c r="X1016" s="92"/>
      <c r="Y1016" s="92"/>
      <c r="Z1016" s="92"/>
      <c r="AA1016" s="92"/>
      <c r="AB1016" s="92"/>
      <c r="AC1016" s="92"/>
      <c r="AD1016" s="92"/>
      <c r="AE1016" s="92"/>
      <c r="AF1016" s="92"/>
      <c r="AG1016" s="92"/>
    </row>
    <row r="1017" hidden="1">
      <c r="A1017" s="86"/>
      <c r="B1017" s="18" t="s">
        <v>1668</v>
      </c>
      <c r="C1017" s="78" t="s">
        <v>78</v>
      </c>
      <c r="D1017" s="97" t="s">
        <v>79</v>
      </c>
      <c r="E1017" s="227" t="s">
        <v>320</v>
      </c>
      <c r="F1017" s="227" t="s">
        <v>321</v>
      </c>
      <c r="G1017" s="112" t="s">
        <v>248</v>
      </c>
      <c r="H1017" s="191" t="s">
        <v>2165</v>
      </c>
      <c r="I1017" s="184" t="s">
        <v>2166</v>
      </c>
      <c r="J1017" s="227" t="s">
        <v>323</v>
      </c>
      <c r="K1017" s="98"/>
      <c r="L1017" s="91"/>
      <c r="M1017" s="91"/>
      <c r="N1017" s="96" t="b">
        <v>0</v>
      </c>
      <c r="O1017" s="96" t="b">
        <v>0</v>
      </c>
      <c r="P1017" s="92"/>
      <c r="Q1017" s="92"/>
      <c r="R1017" s="92"/>
      <c r="S1017" s="92"/>
      <c r="T1017" s="92"/>
      <c r="U1017" s="92"/>
      <c r="V1017" s="92"/>
      <c r="W1017" s="92"/>
      <c r="X1017" s="92"/>
      <c r="Y1017" s="92"/>
      <c r="Z1017" s="92"/>
      <c r="AA1017" s="92"/>
      <c r="AB1017" s="92"/>
      <c r="AC1017" s="92"/>
      <c r="AD1017" s="92"/>
      <c r="AE1017" s="92"/>
      <c r="AF1017" s="92"/>
      <c r="AG1017" s="92"/>
    </row>
    <row r="1018" hidden="1">
      <c r="A1018" s="86"/>
      <c r="B1018" s="25"/>
      <c r="C1018" s="80" t="s">
        <v>78</v>
      </c>
      <c r="D1018" s="97" t="s">
        <v>79</v>
      </c>
      <c r="E1018" s="183" t="s">
        <v>929</v>
      </c>
      <c r="F1018" s="183" t="s">
        <v>930</v>
      </c>
      <c r="G1018" s="41" t="s">
        <v>417</v>
      </c>
      <c r="H1018" s="183" t="s">
        <v>2167</v>
      </c>
      <c r="I1018" s="183" t="s">
        <v>2168</v>
      </c>
      <c r="J1018" s="183" t="s">
        <v>933</v>
      </c>
      <c r="K1018" s="98" t="s">
        <v>838</v>
      </c>
      <c r="L1018" s="91"/>
      <c r="M1018" s="91"/>
      <c r="N1018" s="96" t="b">
        <v>0</v>
      </c>
      <c r="O1018" s="96" t="b">
        <v>0</v>
      </c>
      <c r="P1018" s="92"/>
      <c r="Q1018" s="92"/>
      <c r="R1018" s="92"/>
      <c r="S1018" s="92"/>
      <c r="T1018" s="92"/>
      <c r="U1018" s="92"/>
      <c r="V1018" s="92"/>
      <c r="W1018" s="92"/>
      <c r="X1018" s="92"/>
      <c r="Y1018" s="92"/>
      <c r="Z1018" s="92"/>
      <c r="AA1018" s="92"/>
      <c r="AB1018" s="92"/>
      <c r="AC1018" s="92"/>
      <c r="AD1018" s="92"/>
      <c r="AE1018" s="92"/>
      <c r="AF1018" s="92"/>
      <c r="AG1018" s="92"/>
    </row>
    <row r="1019" hidden="1">
      <c r="A1019" s="86"/>
      <c r="B1019" s="25"/>
      <c r="C1019" s="80" t="s">
        <v>78</v>
      </c>
      <c r="D1019" s="97" t="s">
        <v>79</v>
      </c>
      <c r="E1019" s="184" t="s">
        <v>575</v>
      </c>
      <c r="F1019" s="184" t="s">
        <v>576</v>
      </c>
      <c r="G1019" s="112" t="s">
        <v>449</v>
      </c>
      <c r="H1019" s="109" t="s">
        <v>2169</v>
      </c>
      <c r="I1019" s="109" t="s">
        <v>2170</v>
      </c>
      <c r="J1019" s="184" t="s">
        <v>2171</v>
      </c>
      <c r="K1019" s="109" t="s">
        <v>838</v>
      </c>
      <c r="L1019" s="91"/>
      <c r="M1019" s="91"/>
      <c r="N1019" s="96" t="b">
        <v>0</v>
      </c>
      <c r="O1019" s="96" t="b">
        <v>0</v>
      </c>
      <c r="P1019" s="92"/>
      <c r="Q1019" s="92"/>
      <c r="R1019" s="92"/>
      <c r="S1019" s="92"/>
      <c r="T1019" s="92"/>
      <c r="U1019" s="92"/>
      <c r="V1019" s="92"/>
      <c r="W1019" s="92"/>
      <c r="X1019" s="92"/>
      <c r="Y1019" s="92"/>
      <c r="Z1019" s="92"/>
      <c r="AA1019" s="92"/>
      <c r="AB1019" s="92"/>
      <c r="AC1019" s="92"/>
      <c r="AD1019" s="92"/>
      <c r="AE1019" s="92"/>
      <c r="AF1019" s="92"/>
      <c r="AG1019" s="92"/>
    </row>
    <row r="1020" hidden="1">
      <c r="A1020" s="86"/>
      <c r="B1020" s="25"/>
      <c r="C1020" s="80" t="s">
        <v>78</v>
      </c>
      <c r="D1020" s="97" t="s">
        <v>79</v>
      </c>
      <c r="E1020" s="183" t="s">
        <v>1607</v>
      </c>
      <c r="F1020" s="183" t="s">
        <v>1608</v>
      </c>
      <c r="G1020" s="41" t="s">
        <v>180</v>
      </c>
      <c r="H1020" s="189" t="s">
        <v>2032</v>
      </c>
      <c r="I1020" s="183" t="s">
        <v>2172</v>
      </c>
      <c r="J1020" s="183" t="s">
        <v>1610</v>
      </c>
      <c r="K1020" s="98" t="s">
        <v>838</v>
      </c>
      <c r="L1020" s="91"/>
      <c r="M1020" s="91"/>
      <c r="N1020" s="96" t="b">
        <v>0</v>
      </c>
      <c r="O1020" s="96" t="b">
        <v>0</v>
      </c>
      <c r="P1020" s="92"/>
      <c r="Q1020" s="92"/>
      <c r="R1020" s="92"/>
      <c r="S1020" s="92"/>
      <c r="T1020" s="92"/>
      <c r="U1020" s="92"/>
      <c r="V1020" s="92"/>
      <c r="W1020" s="92"/>
      <c r="X1020" s="92"/>
      <c r="Y1020" s="92"/>
      <c r="Z1020" s="92"/>
      <c r="AA1020" s="92"/>
      <c r="AB1020" s="92"/>
      <c r="AC1020" s="92"/>
      <c r="AD1020" s="92"/>
      <c r="AE1020" s="92"/>
      <c r="AF1020" s="92"/>
      <c r="AG1020" s="92"/>
    </row>
    <row r="1021" hidden="1">
      <c r="A1021" s="86"/>
      <c r="B1021" s="25"/>
      <c r="C1021" s="80" t="s">
        <v>78</v>
      </c>
      <c r="D1021" s="97"/>
      <c r="E1021" s="98"/>
      <c r="F1021" s="98"/>
      <c r="G1021" s="41"/>
      <c r="H1021" s="98"/>
      <c r="I1021" s="98"/>
      <c r="J1021" s="98"/>
      <c r="K1021" s="91"/>
      <c r="L1021" s="91"/>
      <c r="M1021" s="91"/>
      <c r="N1021" s="96" t="b">
        <v>0</v>
      </c>
      <c r="O1021" s="96" t="b">
        <v>0</v>
      </c>
      <c r="P1021" s="92"/>
      <c r="Q1021" s="92"/>
      <c r="R1021" s="92"/>
      <c r="S1021" s="92"/>
      <c r="T1021" s="92"/>
      <c r="U1021" s="92"/>
      <c r="V1021" s="92"/>
      <c r="W1021" s="92"/>
      <c r="X1021" s="92"/>
      <c r="Y1021" s="92"/>
      <c r="Z1021" s="92"/>
      <c r="AA1021" s="92"/>
      <c r="AB1021" s="92"/>
      <c r="AC1021" s="92"/>
      <c r="AD1021" s="92"/>
      <c r="AE1021" s="92"/>
      <c r="AF1021" s="92"/>
      <c r="AG1021" s="92"/>
    </row>
    <row r="1022" hidden="1">
      <c r="A1022" s="86"/>
      <c r="B1022" s="39"/>
      <c r="C1022" s="103"/>
      <c r="D1022" s="97"/>
      <c r="E1022" s="98"/>
      <c r="F1022" s="98"/>
      <c r="G1022" s="41"/>
      <c r="H1022" s="98"/>
      <c r="I1022" s="98"/>
      <c r="J1022" s="98"/>
      <c r="K1022" s="91"/>
      <c r="L1022" s="91"/>
      <c r="M1022" s="91"/>
      <c r="N1022" s="96" t="b">
        <v>0</v>
      </c>
      <c r="O1022" s="96" t="b">
        <v>0</v>
      </c>
      <c r="P1022" s="92"/>
      <c r="Q1022" s="92"/>
      <c r="R1022" s="92"/>
      <c r="S1022" s="92"/>
      <c r="T1022" s="92"/>
      <c r="U1022" s="92"/>
      <c r="V1022" s="92"/>
      <c r="W1022" s="92"/>
      <c r="X1022" s="92"/>
      <c r="Y1022" s="92"/>
      <c r="Z1022" s="92"/>
      <c r="AA1022" s="92"/>
      <c r="AB1022" s="92"/>
      <c r="AC1022" s="92"/>
      <c r="AD1022" s="92"/>
      <c r="AE1022" s="92"/>
      <c r="AF1022" s="92"/>
      <c r="AG1022" s="92"/>
    </row>
    <row r="1023" hidden="1">
      <c r="A1023" s="86"/>
      <c r="B1023" s="221" t="s">
        <v>1971</v>
      </c>
      <c r="C1023" s="80" t="s">
        <v>78</v>
      </c>
      <c r="D1023" s="97" t="s">
        <v>79</v>
      </c>
      <c r="E1023" s="186" t="s">
        <v>293</v>
      </c>
      <c r="F1023" s="186" t="s">
        <v>294</v>
      </c>
      <c r="G1023" s="41" t="s">
        <v>417</v>
      </c>
      <c r="H1023" s="98" t="s">
        <v>2173</v>
      </c>
      <c r="I1023" s="98" t="s">
        <v>2174</v>
      </c>
      <c r="J1023" s="186" t="s">
        <v>297</v>
      </c>
      <c r="K1023" s="98" t="s">
        <v>2175</v>
      </c>
      <c r="L1023" s="91"/>
      <c r="M1023" s="91"/>
      <c r="N1023" s="96" t="b">
        <v>0</v>
      </c>
      <c r="O1023" s="96" t="b">
        <v>0</v>
      </c>
      <c r="P1023" s="92"/>
      <c r="Q1023" s="92"/>
      <c r="R1023" s="92"/>
      <c r="S1023" s="92"/>
      <c r="T1023" s="92"/>
      <c r="U1023" s="92"/>
      <c r="V1023" s="92"/>
      <c r="W1023" s="92"/>
      <c r="X1023" s="92"/>
      <c r="Y1023" s="92"/>
      <c r="Z1023" s="92"/>
      <c r="AA1023" s="92"/>
      <c r="AB1023" s="92"/>
      <c r="AC1023" s="92"/>
      <c r="AD1023" s="92"/>
      <c r="AE1023" s="92"/>
      <c r="AF1023" s="92"/>
      <c r="AG1023" s="92"/>
    </row>
    <row r="1024" hidden="1">
      <c r="A1024" s="86"/>
      <c r="B1024" s="221"/>
      <c r="C1024" s="80" t="s">
        <v>78</v>
      </c>
      <c r="D1024" s="97" t="s">
        <v>79</v>
      </c>
      <c r="E1024" s="183" t="s">
        <v>2176</v>
      </c>
      <c r="F1024" s="183" t="s">
        <v>2177</v>
      </c>
      <c r="G1024" s="41" t="s">
        <v>449</v>
      </c>
      <c r="H1024" s="183" t="s">
        <v>2178</v>
      </c>
      <c r="I1024" s="183" t="s">
        <v>2179</v>
      </c>
      <c r="J1024" s="183" t="s">
        <v>2180</v>
      </c>
      <c r="K1024" s="91"/>
      <c r="L1024" s="91"/>
      <c r="M1024" s="91"/>
      <c r="N1024" s="96" t="b">
        <v>0</v>
      </c>
      <c r="O1024" s="96" t="b">
        <v>0</v>
      </c>
      <c r="P1024" s="92"/>
      <c r="Q1024" s="92"/>
      <c r="R1024" s="92"/>
      <c r="S1024" s="92"/>
      <c r="T1024" s="92"/>
      <c r="U1024" s="92"/>
      <c r="V1024" s="92"/>
      <c r="W1024" s="92"/>
      <c r="X1024" s="92"/>
      <c r="Y1024" s="92"/>
      <c r="Z1024" s="92"/>
      <c r="AA1024" s="92"/>
      <c r="AB1024" s="92"/>
      <c r="AC1024" s="92"/>
      <c r="AD1024" s="92"/>
      <c r="AE1024" s="92"/>
      <c r="AF1024" s="92"/>
      <c r="AG1024" s="92"/>
    </row>
    <row r="1025" hidden="1">
      <c r="A1025" s="86"/>
      <c r="B1025" s="221"/>
      <c r="C1025" s="78" t="s">
        <v>78</v>
      </c>
      <c r="D1025" s="97" t="s">
        <v>79</v>
      </c>
      <c r="E1025" s="184" t="s">
        <v>1566</v>
      </c>
      <c r="F1025" s="184" t="s">
        <v>1567</v>
      </c>
      <c r="G1025" s="112" t="s">
        <v>180</v>
      </c>
      <c r="H1025" s="109" t="s">
        <v>2181</v>
      </c>
      <c r="I1025" s="184" t="s">
        <v>2182</v>
      </c>
      <c r="J1025" s="184" t="s">
        <v>1570</v>
      </c>
      <c r="K1025" s="109" t="s">
        <v>2175</v>
      </c>
      <c r="L1025" s="91"/>
      <c r="M1025" s="91"/>
      <c r="N1025" s="96" t="b">
        <v>0</v>
      </c>
      <c r="O1025" s="96" t="b">
        <v>0</v>
      </c>
      <c r="P1025" s="92"/>
      <c r="Q1025" s="92"/>
      <c r="R1025" s="92"/>
      <c r="S1025" s="92"/>
      <c r="T1025" s="92"/>
      <c r="U1025" s="92"/>
      <c r="V1025" s="92"/>
      <c r="W1025" s="92"/>
      <c r="X1025" s="92"/>
      <c r="Y1025" s="92"/>
      <c r="Z1025" s="92"/>
      <c r="AA1025" s="92"/>
      <c r="AB1025" s="92"/>
      <c r="AC1025" s="92"/>
      <c r="AD1025" s="92"/>
      <c r="AE1025" s="92"/>
      <c r="AF1025" s="92"/>
      <c r="AG1025" s="92"/>
    </row>
    <row r="1026" hidden="1">
      <c r="A1026" s="86"/>
      <c r="B1026" s="222"/>
      <c r="C1026" s="80" t="s">
        <v>78</v>
      </c>
      <c r="D1026" s="97" t="s">
        <v>79</v>
      </c>
      <c r="E1026" s="184" t="s">
        <v>873</v>
      </c>
      <c r="F1026" s="184" t="s">
        <v>874</v>
      </c>
      <c r="G1026" s="112" t="s">
        <v>305</v>
      </c>
      <c r="H1026" s="109" t="s">
        <v>2183</v>
      </c>
      <c r="I1026" s="109" t="s">
        <v>2184</v>
      </c>
      <c r="J1026" s="109" t="s">
        <v>877</v>
      </c>
      <c r="K1026" s="111"/>
      <c r="L1026" s="91"/>
      <c r="M1026" s="91"/>
      <c r="N1026" s="96" t="b">
        <v>0</v>
      </c>
      <c r="O1026" s="96" t="b">
        <v>0</v>
      </c>
      <c r="P1026" s="92"/>
      <c r="Q1026" s="92"/>
      <c r="R1026" s="92"/>
      <c r="S1026" s="92"/>
      <c r="T1026" s="92"/>
      <c r="U1026" s="92"/>
      <c r="V1026" s="92"/>
      <c r="W1026" s="92"/>
      <c r="X1026" s="92"/>
      <c r="Y1026" s="92"/>
      <c r="Z1026" s="92"/>
      <c r="AA1026" s="92"/>
      <c r="AB1026" s="92"/>
      <c r="AC1026" s="92"/>
      <c r="AD1026" s="92"/>
      <c r="AE1026" s="92"/>
      <c r="AF1026" s="92"/>
      <c r="AG1026" s="92"/>
    </row>
    <row r="1027" hidden="1">
      <c r="A1027" s="86"/>
      <c r="B1027" s="166"/>
      <c r="C1027" s="88">
        <v>44440.0</v>
      </c>
      <c r="D1027" s="97"/>
      <c r="E1027" s="98"/>
      <c r="F1027" s="98"/>
      <c r="G1027" s="41"/>
      <c r="H1027" s="98"/>
      <c r="I1027" s="98"/>
      <c r="J1027" s="98"/>
      <c r="K1027" s="91"/>
      <c r="L1027" s="91"/>
      <c r="M1027" s="91"/>
      <c r="N1027" s="96" t="b">
        <v>0</v>
      </c>
      <c r="O1027" s="96" t="b">
        <v>0</v>
      </c>
      <c r="P1027" s="92"/>
      <c r="Q1027" s="92"/>
      <c r="R1027" s="92"/>
      <c r="S1027" s="92"/>
      <c r="T1027" s="92"/>
      <c r="U1027" s="92"/>
      <c r="V1027" s="92"/>
      <c r="W1027" s="92"/>
      <c r="X1027" s="92"/>
      <c r="Y1027" s="92"/>
      <c r="Z1027" s="92"/>
      <c r="AA1027" s="92"/>
      <c r="AB1027" s="92"/>
      <c r="AC1027" s="92"/>
      <c r="AD1027" s="92"/>
      <c r="AE1027" s="92"/>
      <c r="AF1027" s="92"/>
      <c r="AG1027" s="92"/>
    </row>
    <row r="1028" hidden="1">
      <c r="A1028" s="86"/>
      <c r="B1028" s="18" t="s">
        <v>1668</v>
      </c>
      <c r="C1028" s="78" t="s">
        <v>78</v>
      </c>
      <c r="D1028" s="97" t="s">
        <v>79</v>
      </c>
      <c r="E1028" s="183" t="s">
        <v>1112</v>
      </c>
      <c r="F1028" s="183" t="s">
        <v>1113</v>
      </c>
      <c r="G1028" s="41" t="s">
        <v>713</v>
      </c>
      <c r="H1028" s="98" t="s">
        <v>2185</v>
      </c>
      <c r="I1028" s="98" t="s">
        <v>2186</v>
      </c>
      <c r="J1028" s="183" t="s">
        <v>1115</v>
      </c>
      <c r="K1028" s="98" t="s">
        <v>838</v>
      </c>
      <c r="L1028" s="91"/>
      <c r="M1028" s="91"/>
      <c r="N1028" s="96" t="b">
        <v>0</v>
      </c>
      <c r="O1028" s="96" t="b">
        <v>0</v>
      </c>
      <c r="P1028" s="92"/>
      <c r="Q1028" s="92"/>
      <c r="R1028" s="92"/>
      <c r="S1028" s="92"/>
      <c r="T1028" s="92"/>
      <c r="U1028" s="92"/>
      <c r="V1028" s="92"/>
      <c r="W1028" s="92"/>
      <c r="X1028" s="92"/>
      <c r="Y1028" s="92"/>
      <c r="Z1028" s="92"/>
      <c r="AA1028" s="92"/>
      <c r="AB1028" s="92"/>
      <c r="AC1028" s="92"/>
      <c r="AD1028" s="92"/>
      <c r="AE1028" s="92"/>
      <c r="AF1028" s="92"/>
      <c r="AG1028" s="92"/>
    </row>
    <row r="1029" hidden="1">
      <c r="A1029" s="86"/>
      <c r="B1029" s="25"/>
      <c r="C1029" s="80" t="s">
        <v>78</v>
      </c>
      <c r="D1029" s="97" t="s">
        <v>79</v>
      </c>
      <c r="E1029" s="183" t="s">
        <v>1923</v>
      </c>
      <c r="F1029" s="183" t="s">
        <v>157</v>
      </c>
      <c r="G1029" s="41" t="s">
        <v>417</v>
      </c>
      <c r="H1029" s="183" t="s">
        <v>2187</v>
      </c>
      <c r="I1029" s="183" t="s">
        <v>2188</v>
      </c>
      <c r="J1029" s="183" t="s">
        <v>160</v>
      </c>
      <c r="K1029" s="98" t="s">
        <v>838</v>
      </c>
      <c r="L1029" s="91"/>
      <c r="M1029" s="91"/>
      <c r="N1029" s="96" t="b">
        <v>0</v>
      </c>
      <c r="O1029" s="96" t="b">
        <v>0</v>
      </c>
      <c r="P1029" s="92"/>
      <c r="Q1029" s="92"/>
      <c r="R1029" s="92"/>
      <c r="S1029" s="92"/>
      <c r="T1029" s="92"/>
      <c r="U1029" s="92"/>
      <c r="V1029" s="92"/>
      <c r="W1029" s="92"/>
      <c r="X1029" s="92"/>
      <c r="Y1029" s="92"/>
      <c r="Z1029" s="92"/>
      <c r="AA1029" s="92"/>
      <c r="AB1029" s="92"/>
      <c r="AC1029" s="92"/>
      <c r="AD1029" s="92"/>
      <c r="AE1029" s="92"/>
      <c r="AF1029" s="92"/>
      <c r="AG1029" s="92"/>
    </row>
    <row r="1030" hidden="1">
      <c r="A1030" s="86"/>
      <c r="B1030" s="25"/>
      <c r="C1030" s="80" t="s">
        <v>78</v>
      </c>
      <c r="D1030" s="97" t="s">
        <v>79</v>
      </c>
      <c r="E1030" s="183" t="s">
        <v>1069</v>
      </c>
      <c r="F1030" s="183" t="s">
        <v>1070</v>
      </c>
      <c r="G1030" s="41" t="s">
        <v>449</v>
      </c>
      <c r="H1030" s="98" t="s">
        <v>224</v>
      </c>
      <c r="I1030" s="98" t="s">
        <v>2189</v>
      </c>
      <c r="J1030" s="183" t="s">
        <v>1072</v>
      </c>
      <c r="K1030" s="91"/>
      <c r="L1030" s="91"/>
      <c r="M1030" s="91"/>
      <c r="N1030" s="96" t="b">
        <v>0</v>
      </c>
      <c r="O1030" s="96" t="b">
        <v>0</v>
      </c>
      <c r="P1030" s="92"/>
      <c r="Q1030" s="92"/>
      <c r="R1030" s="92"/>
      <c r="S1030" s="92"/>
      <c r="T1030" s="92"/>
      <c r="U1030" s="92"/>
      <c r="V1030" s="92"/>
      <c r="W1030" s="92"/>
      <c r="X1030" s="92"/>
      <c r="Y1030" s="92"/>
      <c r="Z1030" s="92"/>
      <c r="AA1030" s="92"/>
      <c r="AB1030" s="92"/>
      <c r="AC1030" s="92"/>
      <c r="AD1030" s="92"/>
      <c r="AE1030" s="92"/>
      <c r="AF1030" s="92"/>
      <c r="AG1030" s="92"/>
    </row>
    <row r="1031" hidden="1">
      <c r="A1031" s="86"/>
      <c r="B1031" s="25"/>
      <c r="C1031" s="80" t="s">
        <v>78</v>
      </c>
      <c r="D1031" s="97" t="s">
        <v>79</v>
      </c>
      <c r="E1031" s="183" t="s">
        <v>1747</v>
      </c>
      <c r="F1031" s="183" t="s">
        <v>1748</v>
      </c>
      <c r="G1031" s="41" t="s">
        <v>180</v>
      </c>
      <c r="H1031" s="183" t="s">
        <v>2032</v>
      </c>
      <c r="I1031" s="183" t="s">
        <v>2190</v>
      </c>
      <c r="J1031" s="183" t="s">
        <v>1750</v>
      </c>
      <c r="K1031" s="91"/>
      <c r="L1031" s="91"/>
      <c r="M1031" s="91"/>
      <c r="N1031" s="96" t="b">
        <v>0</v>
      </c>
      <c r="O1031" s="96" t="b">
        <v>0</v>
      </c>
      <c r="P1031" s="92"/>
      <c r="Q1031" s="92"/>
      <c r="R1031" s="92"/>
      <c r="S1031" s="92"/>
      <c r="T1031" s="92"/>
      <c r="U1031" s="92"/>
      <c r="V1031" s="92"/>
      <c r="W1031" s="92"/>
      <c r="X1031" s="92"/>
      <c r="Y1031" s="92"/>
      <c r="Z1031" s="92"/>
      <c r="AA1031" s="92"/>
      <c r="AB1031" s="92"/>
      <c r="AC1031" s="92"/>
      <c r="AD1031" s="92"/>
      <c r="AE1031" s="92"/>
      <c r="AF1031" s="92"/>
      <c r="AG1031" s="92"/>
    </row>
    <row r="1032" hidden="1">
      <c r="A1032" s="86"/>
      <c r="B1032" s="25"/>
      <c r="C1032" s="80" t="s">
        <v>78</v>
      </c>
      <c r="D1032" s="97"/>
      <c r="E1032" s="98"/>
      <c r="F1032" s="98"/>
      <c r="G1032" s="41"/>
      <c r="H1032" s="98"/>
      <c r="I1032" s="98"/>
      <c r="J1032" s="98"/>
      <c r="K1032" s="91"/>
      <c r="L1032" s="91"/>
      <c r="M1032" s="91"/>
      <c r="N1032" s="96" t="b">
        <v>0</v>
      </c>
      <c r="O1032" s="96" t="b">
        <v>0</v>
      </c>
      <c r="P1032" s="92"/>
      <c r="Q1032" s="92"/>
      <c r="R1032" s="92"/>
      <c r="S1032" s="92"/>
      <c r="T1032" s="92"/>
      <c r="U1032" s="92"/>
      <c r="V1032" s="92"/>
      <c r="W1032" s="92"/>
      <c r="X1032" s="92"/>
      <c r="Y1032" s="92"/>
      <c r="Z1032" s="92"/>
      <c r="AA1032" s="92"/>
      <c r="AB1032" s="92"/>
      <c r="AC1032" s="92"/>
      <c r="AD1032" s="92"/>
      <c r="AE1032" s="92"/>
      <c r="AF1032" s="92"/>
      <c r="AG1032" s="92"/>
    </row>
    <row r="1033" hidden="1">
      <c r="A1033" s="86"/>
      <c r="B1033" s="39"/>
      <c r="C1033" s="103"/>
      <c r="D1033" s="97"/>
      <c r="E1033" s="98"/>
      <c r="F1033" s="98"/>
      <c r="G1033" s="41"/>
      <c r="H1033" s="98"/>
      <c r="I1033" s="98"/>
      <c r="J1033" s="98"/>
      <c r="K1033" s="91"/>
      <c r="L1033" s="91"/>
      <c r="M1033" s="91"/>
      <c r="N1033" s="96" t="b">
        <v>0</v>
      </c>
      <c r="O1033" s="96" t="b">
        <v>0</v>
      </c>
      <c r="P1033" s="92"/>
      <c r="Q1033" s="92"/>
      <c r="R1033" s="92"/>
      <c r="S1033" s="92"/>
      <c r="T1033" s="92"/>
      <c r="U1033" s="92"/>
      <c r="V1033" s="92"/>
      <c r="W1033" s="92"/>
      <c r="X1033" s="92"/>
      <c r="Y1033" s="92"/>
      <c r="Z1033" s="92"/>
      <c r="AA1033" s="92"/>
      <c r="AB1033" s="92"/>
      <c r="AC1033" s="92"/>
      <c r="AD1033" s="92"/>
      <c r="AE1033" s="92"/>
      <c r="AF1033" s="92"/>
      <c r="AG1033" s="92"/>
    </row>
    <row r="1034" hidden="1">
      <c r="A1034" s="86"/>
      <c r="B1034" s="221" t="s">
        <v>1971</v>
      </c>
      <c r="C1034" s="80" t="s">
        <v>78</v>
      </c>
      <c r="D1034" s="107" t="s">
        <v>131</v>
      </c>
      <c r="E1034" s="191" t="s">
        <v>1195</v>
      </c>
      <c r="F1034" s="184" t="s">
        <v>1196</v>
      </c>
      <c r="G1034" s="108">
        <v>0.6666666666666666</v>
      </c>
      <c r="H1034" s="109" t="s">
        <v>635</v>
      </c>
      <c r="I1034" s="109" t="s">
        <v>2191</v>
      </c>
      <c r="J1034" s="184" t="s">
        <v>1198</v>
      </c>
      <c r="K1034" s="91"/>
      <c r="L1034" s="91"/>
      <c r="M1034" s="91"/>
      <c r="N1034" s="96" t="b">
        <v>0</v>
      </c>
      <c r="O1034" s="96" t="b">
        <v>0</v>
      </c>
      <c r="P1034" s="92"/>
      <c r="Q1034" s="92"/>
      <c r="R1034" s="92"/>
      <c r="S1034" s="92"/>
      <c r="T1034" s="92"/>
      <c r="U1034" s="92"/>
      <c r="V1034" s="92"/>
      <c r="W1034" s="92"/>
      <c r="X1034" s="92"/>
      <c r="Y1034" s="92"/>
      <c r="Z1034" s="92"/>
      <c r="AA1034" s="92"/>
      <c r="AB1034" s="92"/>
      <c r="AC1034" s="92"/>
      <c r="AD1034" s="92"/>
      <c r="AE1034" s="92"/>
      <c r="AF1034" s="92"/>
      <c r="AG1034" s="92"/>
    </row>
    <row r="1035" hidden="1">
      <c r="A1035" s="86"/>
      <c r="B1035" s="221"/>
      <c r="C1035" s="80" t="s">
        <v>78</v>
      </c>
      <c r="D1035" s="102" t="s">
        <v>2192</v>
      </c>
      <c r="E1035" s="183" t="s">
        <v>2193</v>
      </c>
      <c r="F1035" s="183" t="s">
        <v>2194</v>
      </c>
      <c r="G1035" s="230">
        <v>0.6666666666666666</v>
      </c>
      <c r="H1035" s="165" t="s">
        <v>2195</v>
      </c>
      <c r="I1035" s="165" t="s">
        <v>2196</v>
      </c>
      <c r="J1035" s="183" t="s">
        <v>2197</v>
      </c>
      <c r="K1035" s="91"/>
      <c r="L1035" s="91"/>
      <c r="M1035" s="91"/>
      <c r="N1035" s="96" t="b">
        <v>0</v>
      </c>
      <c r="O1035" s="96" t="b">
        <v>0</v>
      </c>
      <c r="P1035" s="92"/>
      <c r="Q1035" s="92"/>
      <c r="R1035" s="92"/>
      <c r="S1035" s="92"/>
      <c r="T1035" s="92"/>
      <c r="U1035" s="92"/>
      <c r="V1035" s="92"/>
      <c r="W1035" s="92"/>
      <c r="X1035" s="92"/>
      <c r="Y1035" s="92"/>
      <c r="Z1035" s="92"/>
      <c r="AA1035" s="92"/>
      <c r="AB1035" s="92"/>
      <c r="AC1035" s="92"/>
      <c r="AD1035" s="92"/>
      <c r="AE1035" s="92"/>
      <c r="AF1035" s="92"/>
      <c r="AG1035" s="92"/>
    </row>
    <row r="1036" hidden="1">
      <c r="A1036" s="86"/>
      <c r="B1036" s="221"/>
      <c r="C1036" s="80" t="s">
        <v>78</v>
      </c>
      <c r="D1036" s="97" t="s">
        <v>79</v>
      </c>
      <c r="E1036" s="184" t="s">
        <v>1040</v>
      </c>
      <c r="F1036" s="184" t="s">
        <v>1041</v>
      </c>
      <c r="G1036" s="108">
        <v>0.7916666666666666</v>
      </c>
      <c r="H1036" s="109" t="s">
        <v>755</v>
      </c>
      <c r="I1036" s="109" t="s">
        <v>2198</v>
      </c>
      <c r="J1036" s="109" t="s">
        <v>2199</v>
      </c>
      <c r="K1036" s="98" t="s">
        <v>2200</v>
      </c>
      <c r="L1036" s="91"/>
      <c r="M1036" s="91"/>
      <c r="N1036" s="96" t="b">
        <v>0</v>
      </c>
      <c r="O1036" s="96" t="b">
        <v>0</v>
      </c>
      <c r="P1036" s="92"/>
      <c r="Q1036" s="92"/>
      <c r="R1036" s="92"/>
      <c r="S1036" s="92"/>
      <c r="T1036" s="92"/>
      <c r="U1036" s="92"/>
      <c r="V1036" s="92"/>
      <c r="W1036" s="92"/>
      <c r="X1036" s="92"/>
      <c r="Y1036" s="92"/>
      <c r="Z1036" s="92"/>
      <c r="AA1036" s="92"/>
      <c r="AB1036" s="92"/>
      <c r="AC1036" s="92"/>
      <c r="AD1036" s="92"/>
      <c r="AE1036" s="92"/>
      <c r="AF1036" s="92"/>
      <c r="AG1036" s="92"/>
    </row>
    <row r="1037" hidden="1">
      <c r="A1037" s="86"/>
      <c r="B1037" s="221"/>
      <c r="C1037" s="78" t="s">
        <v>78</v>
      </c>
      <c r="D1037" s="97" t="s">
        <v>79</v>
      </c>
      <c r="E1037" s="183" t="s">
        <v>2201</v>
      </c>
      <c r="F1037" s="183" t="s">
        <v>2202</v>
      </c>
      <c r="G1037" s="41" t="s">
        <v>567</v>
      </c>
      <c r="H1037" s="98" t="s">
        <v>2203</v>
      </c>
      <c r="I1037" s="183" t="s">
        <v>2204</v>
      </c>
      <c r="J1037" s="183" t="s">
        <v>2205</v>
      </c>
      <c r="K1037" s="91"/>
      <c r="L1037" s="91"/>
      <c r="M1037" s="91"/>
      <c r="N1037" s="96" t="b">
        <v>0</v>
      </c>
      <c r="O1037" s="96" t="b">
        <v>0</v>
      </c>
      <c r="P1037" s="92"/>
      <c r="Q1037" s="92"/>
      <c r="R1037" s="92"/>
      <c r="S1037" s="92"/>
      <c r="T1037" s="92"/>
      <c r="U1037" s="92"/>
      <c r="V1037" s="92"/>
      <c r="W1037" s="92"/>
      <c r="X1037" s="92"/>
      <c r="Y1037" s="92"/>
      <c r="Z1037" s="92"/>
      <c r="AA1037" s="92"/>
      <c r="AB1037" s="92"/>
      <c r="AC1037" s="92"/>
      <c r="AD1037" s="92"/>
      <c r="AE1037" s="92"/>
      <c r="AF1037" s="92"/>
      <c r="AG1037" s="92"/>
    </row>
    <row r="1038" hidden="1">
      <c r="A1038" s="86"/>
      <c r="B1038" s="222"/>
      <c r="C1038" s="80" t="s">
        <v>78</v>
      </c>
      <c r="D1038" s="97" t="s">
        <v>79</v>
      </c>
      <c r="E1038" s="183" t="s">
        <v>2206</v>
      </c>
      <c r="F1038" s="183" t="s">
        <v>2207</v>
      </c>
      <c r="G1038" s="99">
        <v>0.75</v>
      </c>
      <c r="H1038" s="98" t="s">
        <v>2208</v>
      </c>
      <c r="I1038" s="183" t="s">
        <v>2209</v>
      </c>
      <c r="J1038" s="183" t="s">
        <v>2210</v>
      </c>
      <c r="K1038" s="91"/>
      <c r="L1038" s="91"/>
      <c r="M1038" s="91"/>
      <c r="N1038" s="96" t="b">
        <v>0</v>
      </c>
      <c r="O1038" s="96" t="b">
        <v>0</v>
      </c>
      <c r="P1038" s="92"/>
      <c r="Q1038" s="92"/>
      <c r="R1038" s="92"/>
      <c r="S1038" s="92"/>
      <c r="T1038" s="92"/>
      <c r="U1038" s="92"/>
      <c r="V1038" s="92"/>
      <c r="W1038" s="92"/>
      <c r="X1038" s="92"/>
      <c r="Y1038" s="92"/>
      <c r="Z1038" s="92"/>
      <c r="AA1038" s="92"/>
      <c r="AB1038" s="92"/>
      <c r="AC1038" s="92"/>
      <c r="AD1038" s="92"/>
      <c r="AE1038" s="92"/>
      <c r="AF1038" s="92"/>
      <c r="AG1038" s="92"/>
    </row>
    <row r="1039" hidden="1">
      <c r="A1039" s="86"/>
      <c r="B1039" s="185"/>
      <c r="C1039" s="82"/>
      <c r="D1039" s="187"/>
      <c r="E1039" s="183"/>
      <c r="F1039" s="43"/>
      <c r="G1039" s="81"/>
      <c r="H1039" s="43"/>
      <c r="I1039" s="43"/>
      <c r="J1039" s="43"/>
      <c r="K1039" s="91"/>
      <c r="L1039" s="91"/>
      <c r="M1039" s="91"/>
      <c r="N1039" s="96" t="b">
        <v>0</v>
      </c>
      <c r="O1039" s="96" t="b">
        <v>0</v>
      </c>
      <c r="P1039" s="92"/>
      <c r="Q1039" s="92"/>
      <c r="R1039" s="92"/>
      <c r="S1039" s="92"/>
      <c r="T1039" s="92"/>
      <c r="U1039" s="92"/>
      <c r="V1039" s="92"/>
      <c r="W1039" s="92"/>
      <c r="X1039" s="92"/>
      <c r="Y1039" s="92"/>
      <c r="Z1039" s="92"/>
      <c r="AA1039" s="92"/>
      <c r="AB1039" s="92"/>
      <c r="AC1039" s="92"/>
      <c r="AD1039" s="92"/>
      <c r="AE1039" s="92"/>
      <c r="AF1039" s="92"/>
      <c r="AG1039" s="92"/>
    </row>
    <row r="1040" hidden="1">
      <c r="A1040" s="86"/>
      <c r="B1040" s="166"/>
      <c r="C1040" s="88">
        <v>44441.0</v>
      </c>
      <c r="D1040" s="97"/>
      <c r="E1040" s="98"/>
      <c r="F1040" s="98"/>
      <c r="G1040" s="41"/>
      <c r="H1040" s="98"/>
      <c r="I1040" s="98"/>
      <c r="J1040" s="98"/>
      <c r="K1040" s="91"/>
      <c r="L1040" s="91"/>
      <c r="M1040" s="91"/>
      <c r="N1040" s="96" t="b">
        <v>0</v>
      </c>
      <c r="O1040" s="96" t="b">
        <v>0</v>
      </c>
      <c r="P1040" s="92"/>
      <c r="Q1040" s="92"/>
      <c r="R1040" s="92"/>
      <c r="S1040" s="92"/>
      <c r="T1040" s="92"/>
      <c r="U1040" s="92"/>
      <c r="V1040" s="92"/>
      <c r="W1040" s="92"/>
      <c r="X1040" s="92"/>
      <c r="Y1040" s="92"/>
      <c r="Z1040" s="92"/>
      <c r="AA1040" s="92"/>
      <c r="AB1040" s="92"/>
      <c r="AC1040" s="92"/>
      <c r="AD1040" s="92"/>
      <c r="AE1040" s="92"/>
      <c r="AF1040" s="92"/>
      <c r="AG1040" s="92"/>
    </row>
    <row r="1041" hidden="1">
      <c r="A1041" s="86"/>
      <c r="B1041" s="18" t="s">
        <v>1668</v>
      </c>
      <c r="C1041" s="78" t="s">
        <v>78</v>
      </c>
      <c r="D1041" s="97"/>
      <c r="E1041" s="98"/>
      <c r="F1041" s="98"/>
      <c r="G1041" s="41"/>
      <c r="H1041" s="98"/>
      <c r="I1041" s="98"/>
      <c r="J1041" s="98"/>
      <c r="K1041" s="91"/>
      <c r="L1041" s="91"/>
      <c r="M1041" s="91"/>
      <c r="N1041" s="96" t="b">
        <v>0</v>
      </c>
      <c r="O1041" s="96" t="b">
        <v>0</v>
      </c>
      <c r="P1041" s="92"/>
      <c r="Q1041" s="92"/>
      <c r="R1041" s="92"/>
      <c r="S1041" s="92"/>
      <c r="T1041" s="92"/>
      <c r="U1041" s="92"/>
      <c r="V1041" s="92"/>
      <c r="W1041" s="92"/>
      <c r="X1041" s="92"/>
      <c r="Y1041" s="92"/>
      <c r="Z1041" s="92"/>
      <c r="AA1041" s="92"/>
      <c r="AB1041" s="92"/>
      <c r="AC1041" s="92"/>
      <c r="AD1041" s="92"/>
      <c r="AE1041" s="92"/>
      <c r="AF1041" s="92"/>
      <c r="AG1041" s="92"/>
    </row>
    <row r="1042" hidden="1">
      <c r="A1042" s="86"/>
      <c r="B1042" s="25"/>
      <c r="C1042" s="80" t="s">
        <v>78</v>
      </c>
      <c r="D1042" s="97"/>
      <c r="E1042" s="183" t="s">
        <v>2211</v>
      </c>
      <c r="F1042" s="183" t="s">
        <v>2212</v>
      </c>
      <c r="G1042" s="99">
        <v>0.5</v>
      </c>
      <c r="H1042" s="98" t="s">
        <v>82</v>
      </c>
      <c r="I1042" s="98" t="s">
        <v>2213</v>
      </c>
      <c r="J1042" s="98" t="s">
        <v>2214</v>
      </c>
      <c r="K1042" s="91"/>
      <c r="L1042" s="91"/>
      <c r="M1042" s="91"/>
      <c r="N1042" s="96" t="b">
        <v>0</v>
      </c>
      <c r="O1042" s="96" t="b">
        <v>0</v>
      </c>
      <c r="P1042" s="92"/>
      <c r="Q1042" s="92"/>
      <c r="R1042" s="92"/>
      <c r="S1042" s="92"/>
      <c r="T1042" s="92"/>
      <c r="U1042" s="92"/>
      <c r="V1042" s="92"/>
      <c r="W1042" s="92"/>
      <c r="X1042" s="92"/>
      <c r="Y1042" s="92"/>
      <c r="Z1042" s="92"/>
      <c r="AA1042" s="92"/>
      <c r="AB1042" s="92"/>
      <c r="AC1042" s="92"/>
      <c r="AD1042" s="92"/>
      <c r="AE1042" s="92"/>
      <c r="AF1042" s="92"/>
      <c r="AG1042" s="92"/>
    </row>
    <row r="1043" hidden="1">
      <c r="A1043" s="86"/>
      <c r="B1043" s="25"/>
      <c r="C1043" s="80" t="s">
        <v>78</v>
      </c>
      <c r="D1043" s="97"/>
      <c r="E1043" s="183" t="s">
        <v>2215</v>
      </c>
      <c r="F1043" s="183" t="s">
        <v>2216</v>
      </c>
      <c r="G1043" s="99">
        <v>0.5833333333333334</v>
      </c>
      <c r="H1043" s="98" t="s">
        <v>205</v>
      </c>
      <c r="I1043" s="98" t="s">
        <v>2217</v>
      </c>
      <c r="J1043" s="183" t="s">
        <v>2218</v>
      </c>
      <c r="K1043" s="91"/>
      <c r="L1043" s="91"/>
      <c r="M1043" s="91"/>
      <c r="N1043" s="96" t="b">
        <v>0</v>
      </c>
      <c r="O1043" s="96" t="b">
        <v>0</v>
      </c>
      <c r="P1043" s="92"/>
      <c r="Q1043" s="92"/>
      <c r="R1043" s="92"/>
      <c r="S1043" s="92"/>
      <c r="T1043" s="92"/>
      <c r="U1043" s="92"/>
      <c r="V1043" s="92"/>
      <c r="W1043" s="92"/>
      <c r="X1043" s="92"/>
      <c r="Y1043" s="92"/>
      <c r="Z1043" s="92"/>
      <c r="AA1043" s="92"/>
      <c r="AB1043" s="92"/>
      <c r="AC1043" s="92"/>
      <c r="AD1043" s="92"/>
      <c r="AE1043" s="92"/>
      <c r="AF1043" s="92"/>
      <c r="AG1043" s="92"/>
    </row>
    <row r="1044" hidden="1">
      <c r="A1044" s="86"/>
      <c r="B1044" s="25"/>
      <c r="C1044" s="80" t="s">
        <v>78</v>
      </c>
      <c r="D1044" s="97"/>
      <c r="E1044" s="184" t="s">
        <v>2219</v>
      </c>
      <c r="F1044" s="184" t="s">
        <v>2220</v>
      </c>
      <c r="G1044" s="108">
        <v>0.6666666666666666</v>
      </c>
      <c r="H1044" s="109" t="s">
        <v>424</v>
      </c>
      <c r="I1044" s="109" t="s">
        <v>2221</v>
      </c>
      <c r="J1044" s="184" t="s">
        <v>2222</v>
      </c>
      <c r="K1044" s="91"/>
      <c r="L1044" s="91"/>
      <c r="M1044" s="91"/>
      <c r="N1044" s="96" t="b">
        <v>0</v>
      </c>
      <c r="O1044" s="96" t="b">
        <v>0</v>
      </c>
      <c r="P1044" s="92"/>
      <c r="Q1044" s="92"/>
      <c r="R1044" s="92"/>
      <c r="S1044" s="92"/>
      <c r="T1044" s="92"/>
      <c r="U1044" s="92"/>
      <c r="V1044" s="92"/>
      <c r="W1044" s="92"/>
      <c r="X1044" s="92"/>
      <c r="Y1044" s="92"/>
      <c r="Z1044" s="92"/>
      <c r="AA1044" s="92"/>
      <c r="AB1044" s="92"/>
      <c r="AC1044" s="92"/>
      <c r="AD1044" s="92"/>
      <c r="AE1044" s="92"/>
      <c r="AF1044" s="92"/>
      <c r="AG1044" s="92"/>
    </row>
    <row r="1045" hidden="1">
      <c r="A1045" s="86"/>
      <c r="B1045" s="25"/>
      <c r="C1045" s="80" t="s">
        <v>78</v>
      </c>
      <c r="D1045" s="97"/>
      <c r="E1045" s="183" t="s">
        <v>2223</v>
      </c>
      <c r="F1045" s="183" t="s">
        <v>2224</v>
      </c>
      <c r="G1045" s="99">
        <v>0.75</v>
      </c>
      <c r="H1045" s="98" t="s">
        <v>349</v>
      </c>
      <c r="I1045" s="98" t="s">
        <v>2225</v>
      </c>
      <c r="J1045" s="98" t="s">
        <v>2226</v>
      </c>
      <c r="K1045" s="91"/>
      <c r="L1045" s="91"/>
      <c r="M1045" s="91"/>
      <c r="N1045" s="96" t="b">
        <v>0</v>
      </c>
      <c r="O1045" s="96" t="b">
        <v>0</v>
      </c>
      <c r="P1045" s="92"/>
      <c r="Q1045" s="92"/>
      <c r="R1045" s="92"/>
      <c r="S1045" s="92"/>
      <c r="T1045" s="92"/>
      <c r="U1045" s="92"/>
      <c r="V1045" s="92"/>
      <c r="W1045" s="92"/>
      <c r="X1045" s="92"/>
      <c r="Y1045" s="92"/>
      <c r="Z1045" s="92"/>
      <c r="AA1045" s="92"/>
      <c r="AB1045" s="92"/>
      <c r="AC1045" s="92"/>
      <c r="AD1045" s="92"/>
      <c r="AE1045" s="92"/>
      <c r="AF1045" s="92"/>
      <c r="AG1045" s="92"/>
    </row>
    <row r="1046" hidden="1">
      <c r="A1046" s="86"/>
      <c r="B1046" s="39"/>
      <c r="C1046" s="103"/>
      <c r="D1046" s="97"/>
      <c r="E1046" s="98"/>
      <c r="F1046" s="98"/>
      <c r="G1046" s="41"/>
      <c r="H1046" s="98"/>
      <c r="I1046" s="98"/>
      <c r="J1046" s="98"/>
      <c r="K1046" s="91"/>
      <c r="L1046" s="91"/>
      <c r="M1046" s="91"/>
      <c r="N1046" s="96" t="b">
        <v>0</v>
      </c>
      <c r="O1046" s="96" t="b">
        <v>0</v>
      </c>
      <c r="P1046" s="92"/>
      <c r="Q1046" s="92"/>
      <c r="R1046" s="92"/>
      <c r="S1046" s="92"/>
      <c r="T1046" s="92"/>
      <c r="U1046" s="92"/>
      <c r="V1046" s="92"/>
      <c r="W1046" s="92"/>
      <c r="X1046" s="92"/>
      <c r="Y1046" s="92"/>
      <c r="Z1046" s="92"/>
      <c r="AA1046" s="92"/>
      <c r="AB1046" s="92"/>
      <c r="AC1046" s="92"/>
      <c r="AD1046" s="92"/>
      <c r="AE1046" s="92"/>
      <c r="AF1046" s="92"/>
      <c r="AG1046" s="92"/>
    </row>
    <row r="1047" hidden="1">
      <c r="A1047" s="86"/>
      <c r="B1047" s="221" t="s">
        <v>1971</v>
      </c>
      <c r="C1047" s="80" t="s">
        <v>78</v>
      </c>
      <c r="D1047" s="97"/>
      <c r="E1047" s="183" t="s">
        <v>2227</v>
      </c>
      <c r="F1047" s="183" t="s">
        <v>2228</v>
      </c>
      <c r="G1047" s="99">
        <v>0.4166666666666667</v>
      </c>
      <c r="H1047" s="98" t="s">
        <v>439</v>
      </c>
      <c r="I1047" s="98" t="s">
        <v>2229</v>
      </c>
      <c r="J1047" s="183" t="s">
        <v>2230</v>
      </c>
      <c r="K1047" s="91"/>
      <c r="L1047" s="91"/>
      <c r="M1047" s="91"/>
      <c r="N1047" s="96" t="b">
        <v>0</v>
      </c>
      <c r="O1047" s="96" t="b">
        <v>0</v>
      </c>
      <c r="P1047" s="92"/>
      <c r="Q1047" s="92"/>
      <c r="R1047" s="92"/>
      <c r="S1047" s="92"/>
      <c r="T1047" s="92"/>
      <c r="U1047" s="92"/>
      <c r="V1047" s="92"/>
      <c r="W1047" s="92"/>
      <c r="X1047" s="92"/>
      <c r="Y1047" s="92"/>
      <c r="Z1047" s="92"/>
      <c r="AA1047" s="92"/>
      <c r="AB1047" s="92"/>
      <c r="AC1047" s="92"/>
      <c r="AD1047" s="92"/>
      <c r="AE1047" s="92"/>
      <c r="AF1047" s="92"/>
      <c r="AG1047" s="92"/>
    </row>
    <row r="1048" hidden="1">
      <c r="A1048" s="86"/>
      <c r="B1048" s="221"/>
      <c r="C1048" s="80" t="s">
        <v>78</v>
      </c>
      <c r="D1048" s="97"/>
      <c r="E1048" s="186" t="s">
        <v>2231</v>
      </c>
      <c r="F1048" s="186" t="s">
        <v>2232</v>
      </c>
      <c r="G1048" s="99">
        <v>0.5416666666666666</v>
      </c>
      <c r="H1048" s="98" t="s">
        <v>367</v>
      </c>
      <c r="I1048" s="98" t="s">
        <v>2233</v>
      </c>
      <c r="J1048" s="98" t="s">
        <v>2234</v>
      </c>
      <c r="K1048" s="91"/>
      <c r="L1048" s="91"/>
      <c r="M1048" s="91"/>
      <c r="N1048" s="96" t="b">
        <v>0</v>
      </c>
      <c r="O1048" s="96" t="b">
        <v>0</v>
      </c>
      <c r="P1048" s="92"/>
      <c r="Q1048" s="92"/>
      <c r="R1048" s="92"/>
      <c r="S1048" s="92"/>
      <c r="T1048" s="92"/>
      <c r="U1048" s="92"/>
      <c r="V1048" s="92"/>
      <c r="W1048" s="92"/>
      <c r="X1048" s="92"/>
      <c r="Y1048" s="92"/>
      <c r="Z1048" s="92"/>
      <c r="AA1048" s="92"/>
      <c r="AB1048" s="92"/>
      <c r="AC1048" s="92"/>
      <c r="AD1048" s="92"/>
      <c r="AE1048" s="92"/>
      <c r="AF1048" s="92"/>
      <c r="AG1048" s="92"/>
    </row>
    <row r="1049" hidden="1">
      <c r="A1049" s="86"/>
      <c r="B1049" s="221"/>
      <c r="C1049" s="78" t="s">
        <v>78</v>
      </c>
      <c r="D1049" s="97"/>
      <c r="E1049" s="184" t="s">
        <v>2235</v>
      </c>
      <c r="F1049" s="184" t="s">
        <v>2236</v>
      </c>
      <c r="G1049" s="108">
        <v>0.6666666666666666</v>
      </c>
      <c r="H1049" s="109" t="s">
        <v>439</v>
      </c>
      <c r="I1049" s="109" t="s">
        <v>2237</v>
      </c>
      <c r="J1049" s="109" t="s">
        <v>2238</v>
      </c>
      <c r="K1049" s="91"/>
      <c r="L1049" s="91"/>
      <c r="M1049" s="91"/>
      <c r="N1049" s="96" t="b">
        <v>0</v>
      </c>
      <c r="O1049" s="96" t="b">
        <v>0</v>
      </c>
      <c r="P1049" s="92"/>
      <c r="Q1049" s="92"/>
      <c r="R1049" s="92"/>
      <c r="S1049" s="92"/>
      <c r="T1049" s="92"/>
      <c r="U1049" s="92"/>
      <c r="V1049" s="92"/>
      <c r="W1049" s="92"/>
      <c r="X1049" s="92"/>
      <c r="Y1049" s="92"/>
      <c r="Z1049" s="92"/>
      <c r="AA1049" s="92"/>
      <c r="AB1049" s="92"/>
      <c r="AC1049" s="92"/>
      <c r="AD1049" s="92"/>
      <c r="AE1049" s="92"/>
      <c r="AF1049" s="92"/>
      <c r="AG1049" s="92"/>
    </row>
    <row r="1050" hidden="1">
      <c r="A1050" s="86"/>
      <c r="B1050" s="222"/>
      <c r="C1050" s="80" t="s">
        <v>78</v>
      </c>
      <c r="D1050" s="97"/>
      <c r="E1050" s="183" t="s">
        <v>2239</v>
      </c>
      <c r="F1050" s="183" t="s">
        <v>2240</v>
      </c>
      <c r="G1050" s="99">
        <v>0.75</v>
      </c>
      <c r="H1050" s="98" t="s">
        <v>458</v>
      </c>
      <c r="I1050" s="98" t="s">
        <v>2241</v>
      </c>
      <c r="J1050" s="98" t="s">
        <v>2242</v>
      </c>
      <c r="K1050" s="91"/>
      <c r="L1050" s="91"/>
      <c r="M1050" s="91"/>
      <c r="N1050" s="96" t="b">
        <v>0</v>
      </c>
      <c r="O1050" s="96" t="b">
        <v>0</v>
      </c>
      <c r="P1050" s="92"/>
      <c r="Q1050" s="92"/>
      <c r="R1050" s="92"/>
      <c r="S1050" s="92"/>
      <c r="T1050" s="92"/>
      <c r="U1050" s="92"/>
      <c r="V1050" s="92"/>
      <c r="W1050" s="92"/>
      <c r="X1050" s="92"/>
      <c r="Y1050" s="92"/>
      <c r="Z1050" s="92"/>
      <c r="AA1050" s="92"/>
      <c r="AB1050" s="92"/>
      <c r="AC1050" s="92"/>
      <c r="AD1050" s="92"/>
      <c r="AE1050" s="92"/>
      <c r="AF1050" s="92"/>
      <c r="AG1050" s="92"/>
    </row>
    <row r="1051" hidden="1">
      <c r="A1051" s="86"/>
      <c r="B1051" s="166"/>
      <c r="C1051" s="88">
        <v>44442.0</v>
      </c>
      <c r="D1051" s="97"/>
      <c r="E1051" s="98"/>
      <c r="F1051" s="98"/>
      <c r="G1051" s="41"/>
      <c r="H1051" s="98"/>
      <c r="I1051" s="98"/>
      <c r="J1051" s="98"/>
      <c r="K1051" s="91"/>
      <c r="L1051" s="91"/>
      <c r="M1051" s="91"/>
      <c r="N1051" s="96" t="b">
        <v>0</v>
      </c>
      <c r="O1051" s="96" t="b">
        <v>0</v>
      </c>
      <c r="P1051" s="92"/>
      <c r="Q1051" s="92"/>
      <c r="R1051" s="92"/>
      <c r="S1051" s="92"/>
      <c r="T1051" s="92"/>
      <c r="U1051" s="92"/>
      <c r="V1051" s="92"/>
      <c r="W1051" s="92"/>
      <c r="X1051" s="92"/>
      <c r="Y1051" s="92"/>
      <c r="Z1051" s="92"/>
      <c r="AA1051" s="92"/>
      <c r="AB1051" s="92"/>
      <c r="AC1051" s="92"/>
      <c r="AD1051" s="92"/>
      <c r="AE1051" s="92"/>
      <c r="AF1051" s="92"/>
      <c r="AG1051" s="92"/>
    </row>
    <row r="1052" hidden="1">
      <c r="A1052" s="86"/>
      <c r="B1052" s="18" t="s">
        <v>1668</v>
      </c>
      <c r="C1052" s="78" t="s">
        <v>78</v>
      </c>
      <c r="D1052" s="97"/>
      <c r="E1052" s="98"/>
      <c r="F1052" s="98"/>
      <c r="G1052" s="41"/>
      <c r="H1052" s="98"/>
      <c r="I1052" s="98"/>
      <c r="J1052" s="98"/>
      <c r="K1052" s="91"/>
      <c r="L1052" s="91"/>
      <c r="M1052" s="91"/>
      <c r="N1052" s="96" t="b">
        <v>0</v>
      </c>
      <c r="O1052" s="96" t="b">
        <v>0</v>
      </c>
      <c r="P1052" s="92"/>
      <c r="Q1052" s="92"/>
      <c r="R1052" s="92"/>
      <c r="S1052" s="92"/>
      <c r="T1052" s="92"/>
      <c r="U1052" s="92"/>
      <c r="V1052" s="92"/>
      <c r="W1052" s="92"/>
      <c r="X1052" s="92"/>
      <c r="Y1052" s="92"/>
      <c r="Z1052" s="92"/>
      <c r="AA1052" s="92"/>
      <c r="AB1052" s="92"/>
      <c r="AC1052" s="92"/>
      <c r="AD1052" s="92"/>
      <c r="AE1052" s="92"/>
      <c r="AF1052" s="92"/>
      <c r="AG1052" s="92"/>
    </row>
    <row r="1053" hidden="1">
      <c r="A1053" s="86"/>
      <c r="B1053" s="25"/>
      <c r="C1053" s="80" t="s">
        <v>78</v>
      </c>
      <c r="D1053" s="97"/>
      <c r="E1053" s="98"/>
      <c r="F1053" s="98"/>
      <c r="G1053" s="99">
        <v>0.5</v>
      </c>
      <c r="H1053" s="98"/>
      <c r="I1053" s="98"/>
      <c r="J1053" s="98"/>
      <c r="K1053" s="91"/>
      <c r="L1053" s="91"/>
      <c r="M1053" s="91"/>
      <c r="N1053" s="96" t="b">
        <v>0</v>
      </c>
      <c r="O1053" s="96" t="b">
        <v>0</v>
      </c>
      <c r="P1053" s="92"/>
      <c r="Q1053" s="92"/>
      <c r="R1053" s="92"/>
      <c r="S1053" s="92"/>
      <c r="T1053" s="92"/>
      <c r="U1053" s="92"/>
      <c r="V1053" s="92"/>
      <c r="W1053" s="92"/>
      <c r="X1053" s="92"/>
      <c r="Y1053" s="92"/>
      <c r="Z1053" s="92"/>
      <c r="AA1053" s="92"/>
      <c r="AB1053" s="92"/>
      <c r="AC1053" s="92"/>
      <c r="AD1053" s="92"/>
      <c r="AE1053" s="92"/>
      <c r="AF1053" s="92"/>
      <c r="AG1053" s="92"/>
    </row>
    <row r="1054" hidden="1">
      <c r="A1054" s="86"/>
      <c r="B1054" s="25"/>
      <c r="C1054" s="80" t="s">
        <v>78</v>
      </c>
      <c r="D1054" s="97"/>
      <c r="E1054" s="183" t="s">
        <v>2243</v>
      </c>
      <c r="F1054" s="183" t="s">
        <v>2244</v>
      </c>
      <c r="G1054" s="99">
        <v>0.5833333333333334</v>
      </c>
      <c r="H1054" s="98" t="s">
        <v>82</v>
      </c>
      <c r="I1054" s="98" t="s">
        <v>2245</v>
      </c>
      <c r="J1054" s="183" t="s">
        <v>311</v>
      </c>
      <c r="K1054" s="91"/>
      <c r="L1054" s="91"/>
      <c r="M1054" s="91"/>
      <c r="N1054" s="96" t="b">
        <v>0</v>
      </c>
      <c r="O1054" s="96" t="b">
        <v>0</v>
      </c>
      <c r="P1054" s="92"/>
      <c r="Q1054" s="92"/>
      <c r="R1054" s="92"/>
      <c r="S1054" s="92"/>
      <c r="T1054" s="92"/>
      <c r="U1054" s="92"/>
      <c r="V1054" s="92"/>
      <c r="W1054" s="92"/>
      <c r="X1054" s="92"/>
      <c r="Y1054" s="92"/>
      <c r="Z1054" s="92"/>
      <c r="AA1054" s="92"/>
      <c r="AB1054" s="92"/>
      <c r="AC1054" s="92"/>
      <c r="AD1054" s="92"/>
      <c r="AE1054" s="92"/>
      <c r="AF1054" s="92"/>
      <c r="AG1054" s="92"/>
    </row>
    <row r="1055" hidden="1">
      <c r="A1055" s="86"/>
      <c r="B1055" s="25"/>
      <c r="C1055" s="80" t="s">
        <v>78</v>
      </c>
      <c r="D1055" s="97"/>
      <c r="E1055" s="186" t="s">
        <v>2246</v>
      </c>
      <c r="F1055" s="186" t="s">
        <v>2247</v>
      </c>
      <c r="G1055" s="99">
        <v>0.6666666666666666</v>
      </c>
      <c r="H1055" s="98" t="s">
        <v>909</v>
      </c>
      <c r="I1055" s="98" t="s">
        <v>2248</v>
      </c>
      <c r="J1055" s="186" t="s">
        <v>2249</v>
      </c>
      <c r="K1055" s="91"/>
      <c r="L1055" s="91"/>
      <c r="M1055" s="91"/>
      <c r="N1055" s="96" t="b">
        <v>0</v>
      </c>
      <c r="O1055" s="96" t="b">
        <v>0</v>
      </c>
      <c r="P1055" s="92"/>
      <c r="Q1055" s="92"/>
      <c r="R1055" s="92"/>
      <c r="S1055" s="92"/>
      <c r="T1055" s="92"/>
      <c r="U1055" s="92"/>
      <c r="V1055" s="92"/>
      <c r="W1055" s="92"/>
      <c r="X1055" s="92"/>
      <c r="Y1055" s="92"/>
      <c r="Z1055" s="92"/>
      <c r="AA1055" s="92"/>
      <c r="AB1055" s="92"/>
      <c r="AC1055" s="92"/>
      <c r="AD1055" s="92"/>
      <c r="AE1055" s="92"/>
      <c r="AF1055" s="92"/>
      <c r="AG1055" s="92"/>
    </row>
    <row r="1056" hidden="1">
      <c r="A1056" s="86"/>
      <c r="B1056" s="25"/>
      <c r="C1056" s="80" t="s">
        <v>78</v>
      </c>
      <c r="D1056" s="97"/>
      <c r="E1056" s="183" t="s">
        <v>2250</v>
      </c>
      <c r="F1056" s="183" t="s">
        <v>2251</v>
      </c>
      <c r="G1056" s="99">
        <v>0.7708333333333334</v>
      </c>
      <c r="H1056" s="98" t="s">
        <v>211</v>
      </c>
      <c r="I1056" s="98" t="s">
        <v>2252</v>
      </c>
      <c r="J1056" s="183" t="s">
        <v>2253</v>
      </c>
      <c r="K1056" s="91"/>
      <c r="L1056" s="91"/>
      <c r="M1056" s="91"/>
      <c r="N1056" s="96" t="b">
        <v>0</v>
      </c>
      <c r="O1056" s="96" t="b">
        <v>0</v>
      </c>
      <c r="P1056" s="92"/>
      <c r="Q1056" s="92"/>
      <c r="R1056" s="92"/>
      <c r="S1056" s="92"/>
      <c r="T1056" s="92"/>
      <c r="U1056" s="92"/>
      <c r="V1056" s="92"/>
      <c r="W1056" s="92"/>
      <c r="X1056" s="92"/>
      <c r="Y1056" s="92"/>
      <c r="Z1056" s="92"/>
      <c r="AA1056" s="92"/>
      <c r="AB1056" s="92"/>
      <c r="AC1056" s="92"/>
      <c r="AD1056" s="92"/>
      <c r="AE1056" s="92"/>
      <c r="AF1056" s="92"/>
      <c r="AG1056" s="92"/>
    </row>
    <row r="1057" hidden="1">
      <c r="A1057" s="86"/>
      <c r="B1057" s="39"/>
      <c r="C1057" s="103"/>
      <c r="D1057" s="97"/>
      <c r="E1057" s="98"/>
      <c r="F1057" s="98"/>
      <c r="G1057" s="41"/>
      <c r="H1057" s="98"/>
      <c r="I1057" s="98"/>
      <c r="J1057" s="98"/>
      <c r="K1057" s="91"/>
      <c r="L1057" s="91"/>
      <c r="M1057" s="91"/>
      <c r="N1057" s="96" t="b">
        <v>0</v>
      </c>
      <c r="O1057" s="96" t="b">
        <v>0</v>
      </c>
      <c r="P1057" s="92"/>
      <c r="Q1057" s="92"/>
      <c r="R1057" s="92"/>
      <c r="S1057" s="92"/>
      <c r="T1057" s="92"/>
      <c r="U1057" s="92"/>
      <c r="V1057" s="92"/>
      <c r="W1057" s="92"/>
      <c r="X1057" s="92"/>
      <c r="Y1057" s="92"/>
      <c r="Z1057" s="92"/>
      <c r="AA1057" s="92"/>
      <c r="AB1057" s="92"/>
      <c r="AC1057" s="92"/>
      <c r="AD1057" s="92"/>
      <c r="AE1057" s="92"/>
      <c r="AF1057" s="92"/>
      <c r="AG1057" s="92"/>
    </row>
    <row r="1058" hidden="1">
      <c r="A1058" s="86"/>
      <c r="B1058" s="221" t="s">
        <v>1971</v>
      </c>
      <c r="C1058" s="80" t="s">
        <v>78</v>
      </c>
      <c r="D1058" s="97"/>
      <c r="E1058" s="98"/>
      <c r="F1058" s="98"/>
      <c r="G1058" s="41"/>
      <c r="H1058" s="98"/>
      <c r="I1058" s="98"/>
      <c r="J1058" s="98"/>
      <c r="K1058" s="91"/>
      <c r="L1058" s="91"/>
      <c r="M1058" s="91"/>
      <c r="N1058" s="96" t="b">
        <v>0</v>
      </c>
      <c r="O1058" s="96" t="b">
        <v>0</v>
      </c>
      <c r="P1058" s="92"/>
      <c r="Q1058" s="92"/>
      <c r="R1058" s="92"/>
      <c r="S1058" s="92"/>
      <c r="T1058" s="92"/>
      <c r="U1058" s="92"/>
      <c r="V1058" s="92"/>
      <c r="W1058" s="92"/>
      <c r="X1058" s="92"/>
      <c r="Y1058" s="92"/>
      <c r="Z1058" s="92"/>
      <c r="AA1058" s="92"/>
      <c r="AB1058" s="92"/>
      <c r="AC1058" s="92"/>
      <c r="AD1058" s="92"/>
      <c r="AE1058" s="92"/>
      <c r="AF1058" s="92"/>
      <c r="AG1058" s="92"/>
    </row>
    <row r="1059" hidden="1">
      <c r="A1059" s="86"/>
      <c r="B1059" s="221"/>
      <c r="C1059" s="80" t="s">
        <v>78</v>
      </c>
      <c r="D1059" s="97"/>
      <c r="E1059" s="184" t="s">
        <v>2254</v>
      </c>
      <c r="F1059" s="184" t="s">
        <v>2255</v>
      </c>
      <c r="G1059" s="108">
        <v>0.4583333333333333</v>
      </c>
      <c r="H1059" s="109" t="s">
        <v>635</v>
      </c>
      <c r="I1059" s="109" t="s">
        <v>2256</v>
      </c>
      <c r="J1059" s="184" t="s">
        <v>2257</v>
      </c>
      <c r="K1059" s="91"/>
      <c r="L1059" s="91"/>
      <c r="M1059" s="91"/>
      <c r="N1059" s="96" t="b">
        <v>0</v>
      </c>
      <c r="O1059" s="96" t="b">
        <v>0</v>
      </c>
      <c r="P1059" s="92"/>
      <c r="Q1059" s="92"/>
      <c r="R1059" s="92"/>
      <c r="S1059" s="92"/>
      <c r="T1059" s="92"/>
      <c r="U1059" s="92"/>
      <c r="V1059" s="92"/>
      <c r="W1059" s="92"/>
      <c r="X1059" s="92"/>
      <c r="Y1059" s="92"/>
      <c r="Z1059" s="92"/>
      <c r="AA1059" s="92"/>
      <c r="AB1059" s="92"/>
      <c r="AC1059" s="92"/>
      <c r="AD1059" s="92"/>
      <c r="AE1059" s="92"/>
      <c r="AF1059" s="92"/>
      <c r="AG1059" s="92"/>
    </row>
    <row r="1060" hidden="1">
      <c r="A1060" s="86"/>
      <c r="B1060" s="221"/>
      <c r="C1060" s="78" t="s">
        <v>78</v>
      </c>
      <c r="D1060" s="97"/>
      <c r="E1060" s="183" t="s">
        <v>2258</v>
      </c>
      <c r="F1060" s="183" t="s">
        <v>2259</v>
      </c>
      <c r="G1060" s="99">
        <v>0.5416666666666666</v>
      </c>
      <c r="H1060" s="183" t="s">
        <v>949</v>
      </c>
      <c r="I1060" s="183" t="s">
        <v>2260</v>
      </c>
      <c r="J1060" s="183" t="s">
        <v>2261</v>
      </c>
      <c r="K1060" s="91"/>
      <c r="L1060" s="91"/>
      <c r="M1060" s="91"/>
      <c r="N1060" s="96" t="b">
        <v>0</v>
      </c>
      <c r="O1060" s="96" t="b">
        <v>0</v>
      </c>
      <c r="P1060" s="92"/>
      <c r="Q1060" s="92"/>
      <c r="R1060" s="92"/>
      <c r="S1060" s="92"/>
      <c r="T1060" s="92"/>
      <c r="U1060" s="92"/>
      <c r="V1060" s="92"/>
      <c r="W1060" s="92"/>
      <c r="X1060" s="92"/>
      <c r="Y1060" s="92"/>
      <c r="Z1060" s="92"/>
      <c r="AA1060" s="92"/>
      <c r="AB1060" s="92"/>
      <c r="AC1060" s="92"/>
      <c r="AD1060" s="92"/>
      <c r="AE1060" s="92"/>
      <c r="AF1060" s="92"/>
      <c r="AG1060" s="92"/>
    </row>
    <row r="1061" hidden="1">
      <c r="A1061" s="86"/>
      <c r="B1061" s="222"/>
      <c r="C1061" s="80" t="s">
        <v>78</v>
      </c>
      <c r="D1061" s="97"/>
      <c r="E1061" s="183" t="s">
        <v>2262</v>
      </c>
      <c r="F1061" s="183" t="s">
        <v>2263</v>
      </c>
      <c r="G1061" s="99">
        <v>0.625</v>
      </c>
      <c r="H1061" s="98" t="s">
        <v>635</v>
      </c>
      <c r="I1061" s="98" t="s">
        <v>2264</v>
      </c>
      <c r="J1061" s="183" t="s">
        <v>2265</v>
      </c>
      <c r="K1061" s="91"/>
      <c r="L1061" s="91"/>
      <c r="M1061" s="91"/>
      <c r="N1061" s="96" t="b">
        <v>0</v>
      </c>
      <c r="O1061" s="96" t="b">
        <v>0</v>
      </c>
      <c r="P1061" s="92"/>
      <c r="Q1061" s="92"/>
      <c r="R1061" s="92"/>
      <c r="S1061" s="92"/>
      <c r="T1061" s="92"/>
      <c r="U1061" s="92"/>
      <c r="V1061" s="92"/>
      <c r="W1061" s="92"/>
      <c r="X1061" s="92"/>
      <c r="Y1061" s="92"/>
      <c r="Z1061" s="92"/>
      <c r="AA1061" s="92"/>
      <c r="AB1061" s="92"/>
      <c r="AC1061" s="92"/>
      <c r="AD1061" s="92"/>
      <c r="AE1061" s="92"/>
      <c r="AF1061" s="92"/>
      <c r="AG1061" s="92"/>
    </row>
    <row r="1062" hidden="1">
      <c r="A1062" s="86"/>
      <c r="B1062" s="166"/>
      <c r="C1062" s="88">
        <v>44445.0</v>
      </c>
      <c r="D1062" s="97"/>
      <c r="E1062" s="183" t="s">
        <v>2266</v>
      </c>
      <c r="F1062" s="183" t="s">
        <v>2267</v>
      </c>
      <c r="G1062" s="99">
        <v>0.7083333333333334</v>
      </c>
      <c r="H1062" s="98" t="s">
        <v>439</v>
      </c>
      <c r="I1062" s="98" t="s">
        <v>2268</v>
      </c>
      <c r="J1062" s="183" t="s">
        <v>2269</v>
      </c>
      <c r="K1062" s="91"/>
      <c r="L1062" s="91"/>
      <c r="M1062" s="91"/>
      <c r="N1062" s="96" t="b">
        <v>0</v>
      </c>
      <c r="O1062" s="96" t="b">
        <v>0</v>
      </c>
      <c r="P1062" s="92"/>
      <c r="Q1062" s="92"/>
      <c r="R1062" s="92"/>
      <c r="S1062" s="92"/>
      <c r="T1062" s="92"/>
      <c r="U1062" s="92"/>
      <c r="V1062" s="92"/>
      <c r="W1062" s="92"/>
      <c r="X1062" s="92"/>
      <c r="Y1062" s="92"/>
      <c r="Z1062" s="92"/>
      <c r="AA1062" s="92"/>
      <c r="AB1062" s="92"/>
      <c r="AC1062" s="92"/>
      <c r="AD1062" s="92"/>
      <c r="AE1062" s="92"/>
      <c r="AF1062" s="92"/>
      <c r="AG1062" s="92"/>
    </row>
    <row r="1063" hidden="1">
      <c r="A1063" s="86"/>
      <c r="B1063" s="18" t="s">
        <v>1668</v>
      </c>
      <c r="C1063" s="234"/>
      <c r="D1063" s="97"/>
      <c r="E1063" s="183"/>
      <c r="F1063" s="183"/>
      <c r="G1063" s="99"/>
      <c r="H1063" s="98"/>
      <c r="I1063" s="98"/>
      <c r="J1063" s="183"/>
      <c r="K1063" s="91"/>
      <c r="L1063" s="91"/>
      <c r="M1063" s="91"/>
      <c r="N1063" s="96" t="b">
        <v>0</v>
      </c>
      <c r="O1063" s="96" t="b">
        <v>0</v>
      </c>
      <c r="P1063" s="92"/>
      <c r="Q1063" s="92"/>
      <c r="R1063" s="92"/>
      <c r="S1063" s="92"/>
      <c r="T1063" s="92"/>
      <c r="U1063" s="92"/>
      <c r="V1063" s="92"/>
      <c r="W1063" s="92"/>
      <c r="X1063" s="92"/>
      <c r="Y1063" s="92"/>
      <c r="Z1063" s="92"/>
      <c r="AA1063" s="92"/>
      <c r="AB1063" s="92"/>
      <c r="AC1063" s="92"/>
      <c r="AD1063" s="92"/>
      <c r="AE1063" s="92"/>
      <c r="AF1063" s="92"/>
      <c r="AG1063" s="92"/>
    </row>
    <row r="1064" hidden="1">
      <c r="A1064" s="86"/>
      <c r="B1064" s="25"/>
      <c r="C1064" s="78" t="s">
        <v>78</v>
      </c>
      <c r="D1064" s="97"/>
      <c r="E1064" s="98"/>
      <c r="F1064" s="98"/>
      <c r="G1064" s="99"/>
      <c r="H1064" s="98"/>
      <c r="I1064" s="98"/>
      <c r="J1064" s="98"/>
      <c r="K1064" s="91"/>
      <c r="L1064" s="91"/>
      <c r="M1064" s="91"/>
      <c r="N1064" s="96" t="b">
        <v>0</v>
      </c>
      <c r="O1064" s="96" t="b">
        <v>0</v>
      </c>
      <c r="P1064" s="92"/>
      <c r="Q1064" s="92"/>
      <c r="R1064" s="92"/>
      <c r="S1064" s="92"/>
      <c r="T1064" s="92"/>
      <c r="U1064" s="92"/>
      <c r="V1064" s="92"/>
      <c r="W1064" s="92"/>
      <c r="X1064" s="92"/>
      <c r="Y1064" s="92"/>
      <c r="Z1064" s="92"/>
      <c r="AA1064" s="92"/>
      <c r="AB1064" s="92"/>
      <c r="AC1064" s="92"/>
      <c r="AD1064" s="92"/>
      <c r="AE1064" s="92"/>
      <c r="AF1064" s="92"/>
      <c r="AG1064" s="92"/>
    </row>
    <row r="1065" hidden="1">
      <c r="A1065" s="86"/>
      <c r="B1065" s="25"/>
      <c r="C1065" s="80" t="s">
        <v>78</v>
      </c>
      <c r="D1065" s="97" t="s">
        <v>399</v>
      </c>
      <c r="E1065" s="183" t="s">
        <v>782</v>
      </c>
      <c r="F1065" s="183" t="s">
        <v>783</v>
      </c>
      <c r="G1065" s="99">
        <v>0.5</v>
      </c>
      <c r="H1065" s="98" t="s">
        <v>233</v>
      </c>
      <c r="I1065" s="183" t="s">
        <v>2270</v>
      </c>
      <c r="J1065" s="183" t="s">
        <v>786</v>
      </c>
      <c r="K1065" s="98" t="s">
        <v>838</v>
      </c>
      <c r="L1065" s="91"/>
      <c r="M1065" s="91"/>
      <c r="N1065" s="96" t="b">
        <v>0</v>
      </c>
      <c r="O1065" s="96" t="b">
        <v>0</v>
      </c>
      <c r="P1065" s="92"/>
      <c r="Q1065" s="92"/>
      <c r="R1065" s="92"/>
      <c r="S1065" s="92"/>
      <c r="T1065" s="92"/>
      <c r="U1065" s="92"/>
      <c r="V1065" s="92"/>
      <c r="W1065" s="92"/>
      <c r="X1065" s="92"/>
      <c r="Y1065" s="92"/>
      <c r="Z1065" s="92"/>
      <c r="AA1065" s="92"/>
      <c r="AB1065" s="92"/>
      <c r="AC1065" s="92"/>
      <c r="AD1065" s="92"/>
      <c r="AE1065" s="92"/>
      <c r="AF1065" s="92"/>
      <c r="AG1065" s="92"/>
    </row>
    <row r="1066" hidden="1">
      <c r="A1066" s="86"/>
      <c r="B1066" s="25"/>
      <c r="C1066" s="80" t="s">
        <v>78</v>
      </c>
      <c r="D1066" s="97" t="s">
        <v>399</v>
      </c>
      <c r="E1066" s="224" t="s">
        <v>2271</v>
      </c>
      <c r="F1066" s="224" t="s">
        <v>2272</v>
      </c>
      <c r="G1066" s="99">
        <v>0.5833333333333334</v>
      </c>
      <c r="H1066" s="98" t="s">
        <v>233</v>
      </c>
      <c r="I1066" s="183" t="s">
        <v>2273</v>
      </c>
      <c r="J1066" s="183" t="s">
        <v>2274</v>
      </c>
      <c r="K1066" s="235" t="s">
        <v>2275</v>
      </c>
      <c r="L1066" s="236"/>
      <c r="M1066" s="91"/>
      <c r="N1066" s="96" t="b">
        <v>0</v>
      </c>
      <c r="O1066" s="96" t="b">
        <v>0</v>
      </c>
      <c r="P1066" s="92"/>
      <c r="Q1066" s="92"/>
      <c r="R1066" s="92"/>
      <c r="S1066" s="92"/>
      <c r="T1066" s="92"/>
      <c r="U1066" s="92"/>
      <c r="V1066" s="92"/>
      <c r="W1066" s="92"/>
      <c r="X1066" s="92"/>
      <c r="Y1066" s="92"/>
      <c r="Z1066" s="92"/>
      <c r="AA1066" s="92"/>
      <c r="AB1066" s="92"/>
      <c r="AC1066" s="92"/>
      <c r="AD1066" s="92"/>
      <c r="AE1066" s="92"/>
      <c r="AF1066" s="92"/>
      <c r="AG1066" s="92"/>
    </row>
    <row r="1067" hidden="1">
      <c r="A1067" s="86"/>
      <c r="B1067" s="25"/>
      <c r="C1067" s="80" t="s">
        <v>78</v>
      </c>
      <c r="D1067" s="97" t="s">
        <v>399</v>
      </c>
      <c r="E1067" s="183" t="s">
        <v>2276</v>
      </c>
      <c r="F1067" s="183" t="s">
        <v>2277</v>
      </c>
      <c r="G1067" s="99">
        <v>0.6666666666666666</v>
      </c>
      <c r="H1067" s="98" t="s">
        <v>233</v>
      </c>
      <c r="I1067" s="36" t="s">
        <v>2278</v>
      </c>
      <c r="J1067" s="183" t="s">
        <v>2279</v>
      </c>
      <c r="K1067" s="91"/>
      <c r="L1067" s="91"/>
      <c r="M1067" s="91"/>
      <c r="N1067" s="96" t="b">
        <v>0</v>
      </c>
      <c r="O1067" s="96" t="b">
        <v>0</v>
      </c>
      <c r="P1067" s="92"/>
      <c r="Q1067" s="92"/>
      <c r="R1067" s="92"/>
      <c r="S1067" s="92"/>
      <c r="T1067" s="92"/>
      <c r="U1067" s="92"/>
      <c r="V1067" s="92"/>
      <c r="W1067" s="92"/>
      <c r="X1067" s="92"/>
      <c r="Y1067" s="92"/>
      <c r="Z1067" s="92"/>
      <c r="AA1067" s="92"/>
      <c r="AB1067" s="92"/>
      <c r="AC1067" s="92"/>
      <c r="AD1067" s="92"/>
      <c r="AE1067" s="92"/>
      <c r="AF1067" s="92"/>
      <c r="AG1067" s="92"/>
    </row>
    <row r="1068" hidden="1">
      <c r="A1068" s="86"/>
      <c r="B1068" s="39"/>
      <c r="C1068" s="80" t="s">
        <v>78</v>
      </c>
      <c r="D1068" s="97" t="s">
        <v>399</v>
      </c>
      <c r="E1068" s="183" t="s">
        <v>1065</v>
      </c>
      <c r="F1068" s="183" t="s">
        <v>1066</v>
      </c>
      <c r="G1068" s="99">
        <v>0.75</v>
      </c>
      <c r="H1068" s="98" t="s">
        <v>233</v>
      </c>
      <c r="I1068" s="183" t="s">
        <v>2280</v>
      </c>
      <c r="J1068" s="183" t="s">
        <v>1068</v>
      </c>
      <c r="K1068" s="183" t="s">
        <v>2281</v>
      </c>
      <c r="L1068" s="91"/>
      <c r="M1068" s="91"/>
      <c r="N1068" s="96" t="b">
        <v>0</v>
      </c>
      <c r="O1068" s="96" t="b">
        <v>0</v>
      </c>
      <c r="P1068" s="92"/>
      <c r="Q1068" s="92"/>
      <c r="R1068" s="92"/>
      <c r="S1068" s="92"/>
      <c r="T1068" s="92"/>
      <c r="U1068" s="92"/>
      <c r="V1068" s="92"/>
      <c r="W1068" s="92"/>
      <c r="X1068" s="92"/>
      <c r="Y1068" s="92"/>
      <c r="Z1068" s="92"/>
      <c r="AA1068" s="92"/>
      <c r="AB1068" s="92"/>
      <c r="AC1068" s="92"/>
      <c r="AD1068" s="92"/>
      <c r="AE1068" s="92"/>
      <c r="AF1068" s="92"/>
      <c r="AG1068" s="92"/>
    </row>
    <row r="1069" hidden="1">
      <c r="A1069" s="86"/>
      <c r="B1069" s="18" t="s">
        <v>1971</v>
      </c>
      <c r="C1069" s="80"/>
      <c r="D1069" s="97"/>
      <c r="E1069" s="43"/>
      <c r="F1069" s="43"/>
      <c r="G1069" s="81"/>
      <c r="H1069" s="43"/>
      <c r="I1069" s="43"/>
      <c r="J1069" s="43"/>
      <c r="K1069" s="91"/>
      <c r="L1069" s="91"/>
      <c r="M1069" s="91"/>
      <c r="N1069" s="96" t="b">
        <v>0</v>
      </c>
      <c r="O1069" s="96" t="b">
        <v>0</v>
      </c>
      <c r="P1069" s="92"/>
      <c r="Q1069" s="92"/>
      <c r="R1069" s="92"/>
      <c r="S1069" s="92"/>
      <c r="T1069" s="92"/>
      <c r="U1069" s="92"/>
      <c r="V1069" s="92"/>
      <c r="W1069" s="92"/>
      <c r="X1069" s="92"/>
      <c r="Y1069" s="92"/>
      <c r="Z1069" s="92"/>
      <c r="AA1069" s="92"/>
      <c r="AB1069" s="92"/>
      <c r="AC1069" s="92"/>
      <c r="AD1069" s="92"/>
      <c r="AE1069" s="92"/>
      <c r="AF1069" s="92"/>
      <c r="AG1069" s="92"/>
    </row>
    <row r="1070" hidden="1">
      <c r="A1070" s="86"/>
      <c r="B1070" s="25"/>
      <c r="C1070" s="80" t="s">
        <v>78</v>
      </c>
      <c r="D1070" s="176" t="s">
        <v>2282</v>
      </c>
      <c r="E1070" s="224" t="s">
        <v>2283</v>
      </c>
      <c r="F1070" s="224" t="s">
        <v>2284</v>
      </c>
      <c r="G1070" s="237">
        <v>0.5833333333333334</v>
      </c>
      <c r="H1070" s="179" t="s">
        <v>458</v>
      </c>
      <c r="I1070" s="179" t="s">
        <v>2285</v>
      </c>
      <c r="J1070" s="224" t="s">
        <v>2286</v>
      </c>
      <c r="K1070" s="91"/>
      <c r="L1070" s="91"/>
      <c r="M1070" s="91"/>
      <c r="N1070" s="96" t="b">
        <v>0</v>
      </c>
      <c r="O1070" s="96" t="b">
        <v>0</v>
      </c>
      <c r="P1070" s="92"/>
      <c r="Q1070" s="92"/>
      <c r="R1070" s="92"/>
      <c r="S1070" s="92"/>
      <c r="T1070" s="92"/>
      <c r="U1070" s="92"/>
      <c r="V1070" s="92"/>
      <c r="W1070" s="92"/>
      <c r="X1070" s="92"/>
      <c r="Y1070" s="92"/>
      <c r="Z1070" s="92"/>
      <c r="AA1070" s="92"/>
      <c r="AB1070" s="92"/>
      <c r="AC1070" s="92"/>
      <c r="AD1070" s="92"/>
      <c r="AE1070" s="92"/>
      <c r="AF1070" s="92"/>
      <c r="AG1070" s="92"/>
    </row>
    <row r="1071" hidden="1">
      <c r="A1071" s="86"/>
      <c r="B1071" s="25"/>
      <c r="C1071" s="78" t="s">
        <v>78</v>
      </c>
      <c r="D1071" s="97" t="s">
        <v>399</v>
      </c>
      <c r="E1071" s="183" t="s">
        <v>2287</v>
      </c>
      <c r="F1071" s="183" t="s">
        <v>2288</v>
      </c>
      <c r="G1071" s="99">
        <v>0.625</v>
      </c>
      <c r="H1071" s="98" t="s">
        <v>724</v>
      </c>
      <c r="I1071" s="98" t="s">
        <v>2289</v>
      </c>
      <c r="J1071" s="183" t="s">
        <v>2290</v>
      </c>
      <c r="K1071" s="91"/>
      <c r="L1071" s="91"/>
      <c r="M1071" s="91"/>
      <c r="N1071" s="96" t="b">
        <v>0</v>
      </c>
      <c r="O1071" s="96" t="b">
        <v>0</v>
      </c>
      <c r="P1071" s="92"/>
      <c r="Q1071" s="92"/>
      <c r="R1071" s="92"/>
      <c r="S1071" s="92"/>
      <c r="T1071" s="92"/>
      <c r="U1071" s="92"/>
      <c r="V1071" s="92"/>
      <c r="W1071" s="92"/>
      <c r="X1071" s="92"/>
      <c r="Y1071" s="92"/>
      <c r="Z1071" s="92"/>
      <c r="AA1071" s="92"/>
      <c r="AB1071" s="92"/>
      <c r="AC1071" s="92"/>
      <c r="AD1071" s="92"/>
      <c r="AE1071" s="92"/>
      <c r="AF1071" s="92"/>
      <c r="AG1071" s="92"/>
    </row>
    <row r="1072" hidden="1">
      <c r="A1072" s="86"/>
      <c r="B1072" s="25"/>
      <c r="C1072" s="80" t="s">
        <v>78</v>
      </c>
      <c r="D1072" s="97" t="s">
        <v>131</v>
      </c>
      <c r="E1072" s="189" t="s">
        <v>1195</v>
      </c>
      <c r="F1072" s="183" t="s">
        <v>1196</v>
      </c>
      <c r="G1072" s="99">
        <v>0.6875</v>
      </c>
      <c r="H1072" s="98" t="s">
        <v>635</v>
      </c>
      <c r="I1072" s="98" t="s">
        <v>2191</v>
      </c>
      <c r="J1072" s="183" t="s">
        <v>1198</v>
      </c>
      <c r="K1072" s="91"/>
      <c r="L1072" s="91"/>
      <c r="M1072" s="91"/>
      <c r="N1072" s="96" t="b">
        <v>0</v>
      </c>
      <c r="O1072" s="96" t="b">
        <v>0</v>
      </c>
      <c r="P1072" s="92"/>
      <c r="Q1072" s="92"/>
      <c r="R1072" s="92"/>
      <c r="S1072" s="92"/>
      <c r="T1072" s="92"/>
      <c r="U1072" s="92"/>
      <c r="V1072" s="92"/>
      <c r="W1072" s="92"/>
      <c r="X1072" s="92"/>
      <c r="Y1072" s="92"/>
      <c r="Z1072" s="92"/>
      <c r="AA1072" s="92"/>
      <c r="AB1072" s="92"/>
      <c r="AC1072" s="92"/>
      <c r="AD1072" s="92"/>
      <c r="AE1072" s="92"/>
      <c r="AF1072" s="92"/>
      <c r="AG1072" s="92"/>
    </row>
    <row r="1073" hidden="1">
      <c r="A1073" s="86"/>
      <c r="B1073" s="25"/>
      <c r="C1073" s="80" t="s">
        <v>78</v>
      </c>
      <c r="D1073" s="97" t="s">
        <v>79</v>
      </c>
      <c r="E1073" s="186" t="s">
        <v>2291</v>
      </c>
      <c r="F1073" s="186" t="s">
        <v>2292</v>
      </c>
      <c r="G1073" s="99">
        <v>0.75</v>
      </c>
      <c r="H1073" s="98" t="s">
        <v>367</v>
      </c>
      <c r="I1073" s="98" t="s">
        <v>2293</v>
      </c>
      <c r="J1073" s="186" t="s">
        <v>2294</v>
      </c>
      <c r="K1073" s="91"/>
      <c r="L1073" s="91"/>
      <c r="M1073" s="91"/>
      <c r="N1073" s="96" t="b">
        <v>0</v>
      </c>
      <c r="O1073" s="96" t="b">
        <v>0</v>
      </c>
      <c r="P1073" s="92"/>
      <c r="Q1073" s="92"/>
      <c r="R1073" s="92"/>
      <c r="S1073" s="92"/>
      <c r="T1073" s="92"/>
      <c r="U1073" s="92"/>
      <c r="V1073" s="92"/>
      <c r="W1073" s="92"/>
      <c r="X1073" s="92"/>
      <c r="Y1073" s="92"/>
      <c r="Z1073" s="92"/>
      <c r="AA1073" s="92"/>
      <c r="AB1073" s="92"/>
      <c r="AC1073" s="92"/>
      <c r="AD1073" s="92"/>
      <c r="AE1073" s="92"/>
      <c r="AF1073" s="92"/>
      <c r="AG1073" s="92"/>
    </row>
    <row r="1074" hidden="1">
      <c r="A1074" s="86"/>
      <c r="B1074" s="39"/>
      <c r="C1074" s="80" t="s">
        <v>78</v>
      </c>
      <c r="D1074" s="238"/>
      <c r="E1074" s="239"/>
      <c r="F1074" s="98"/>
      <c r="G1074" s="41"/>
      <c r="H1074" s="98"/>
      <c r="I1074" s="98"/>
      <c r="J1074" s="98"/>
      <c r="K1074" s="91"/>
      <c r="L1074" s="91"/>
      <c r="M1074" s="91"/>
      <c r="N1074" s="96" t="b">
        <v>0</v>
      </c>
      <c r="O1074" s="96" t="b">
        <v>0</v>
      </c>
      <c r="P1074" s="92"/>
      <c r="Q1074" s="92"/>
      <c r="R1074" s="92"/>
      <c r="S1074" s="92"/>
      <c r="T1074" s="92"/>
      <c r="U1074" s="92"/>
      <c r="V1074" s="92"/>
      <c r="W1074" s="92"/>
      <c r="X1074" s="92"/>
      <c r="Y1074" s="92"/>
      <c r="Z1074" s="92"/>
      <c r="AA1074" s="92"/>
      <c r="AB1074" s="92"/>
      <c r="AC1074" s="92"/>
      <c r="AD1074" s="92"/>
      <c r="AE1074" s="92"/>
      <c r="AF1074" s="92"/>
      <c r="AG1074" s="92"/>
    </row>
    <row r="1075" hidden="1">
      <c r="A1075" s="86"/>
      <c r="B1075" s="166"/>
      <c r="C1075" s="88">
        <v>44446.0</v>
      </c>
      <c r="D1075" s="238"/>
      <c r="E1075" s="239"/>
      <c r="F1075" s="98"/>
      <c r="G1075" s="41"/>
      <c r="H1075" s="98"/>
      <c r="I1075" s="98"/>
      <c r="J1075" s="98"/>
      <c r="K1075" s="91"/>
      <c r="L1075" s="91"/>
      <c r="M1075" s="91"/>
      <c r="N1075" s="96" t="b">
        <v>0</v>
      </c>
      <c r="O1075" s="96" t="b">
        <v>0</v>
      </c>
      <c r="P1075" s="92"/>
      <c r="Q1075" s="92"/>
      <c r="R1075" s="92"/>
      <c r="S1075" s="92"/>
      <c r="T1075" s="92"/>
      <c r="U1075" s="92"/>
      <c r="V1075" s="92"/>
      <c r="W1075" s="92"/>
      <c r="X1075" s="92"/>
      <c r="Y1075" s="92"/>
      <c r="Z1075" s="92"/>
      <c r="AA1075" s="92"/>
      <c r="AB1075" s="92"/>
      <c r="AC1075" s="92"/>
      <c r="AD1075" s="92"/>
      <c r="AE1075" s="92"/>
      <c r="AF1075" s="92"/>
      <c r="AG1075" s="92"/>
    </row>
    <row r="1076" hidden="1">
      <c r="A1076" s="86"/>
      <c r="B1076" s="18" t="s">
        <v>1668</v>
      </c>
      <c r="C1076" s="234"/>
      <c r="D1076" s="181"/>
      <c r="E1076" s="43"/>
      <c r="F1076" s="43"/>
      <c r="G1076" s="81"/>
      <c r="H1076" s="43"/>
      <c r="I1076" s="43"/>
      <c r="J1076" s="43"/>
      <c r="K1076" s="91"/>
      <c r="L1076" s="91"/>
      <c r="M1076" s="91"/>
      <c r="N1076" s="96" t="b">
        <v>0</v>
      </c>
      <c r="O1076" s="96" t="b">
        <v>0</v>
      </c>
      <c r="P1076" s="92"/>
      <c r="Q1076" s="92"/>
      <c r="R1076" s="92"/>
      <c r="S1076" s="92"/>
      <c r="T1076" s="92"/>
      <c r="U1076" s="92"/>
      <c r="V1076" s="92"/>
      <c r="W1076" s="92"/>
      <c r="X1076" s="92"/>
      <c r="Y1076" s="92"/>
      <c r="Z1076" s="92"/>
      <c r="AA1076" s="92"/>
      <c r="AB1076" s="92"/>
      <c r="AC1076" s="92"/>
      <c r="AD1076" s="92"/>
      <c r="AE1076" s="92"/>
      <c r="AF1076" s="92"/>
      <c r="AG1076" s="92"/>
    </row>
    <row r="1077" hidden="1">
      <c r="A1077" s="86"/>
      <c r="B1077" s="25"/>
      <c r="C1077" s="80" t="s">
        <v>78</v>
      </c>
      <c r="D1077" s="97" t="s">
        <v>79</v>
      </c>
      <c r="E1077" s="183" t="s">
        <v>1743</v>
      </c>
      <c r="F1077" s="183" t="s">
        <v>1744</v>
      </c>
      <c r="G1077" s="99">
        <v>0.5833333333333334</v>
      </c>
      <c r="H1077" s="98" t="s">
        <v>424</v>
      </c>
      <c r="I1077" s="98" t="s">
        <v>2295</v>
      </c>
      <c r="J1077" s="183" t="s">
        <v>1746</v>
      </c>
      <c r="K1077" s="91"/>
      <c r="L1077" s="91"/>
      <c r="M1077" s="91"/>
      <c r="N1077" s="96" t="b">
        <v>0</v>
      </c>
      <c r="O1077" s="96" t="b">
        <v>0</v>
      </c>
      <c r="P1077" s="92"/>
      <c r="Q1077" s="92"/>
      <c r="R1077" s="92"/>
      <c r="S1077" s="92"/>
      <c r="T1077" s="92"/>
      <c r="U1077" s="92"/>
      <c r="V1077" s="92"/>
      <c r="W1077" s="92"/>
      <c r="X1077" s="92"/>
      <c r="Y1077" s="92"/>
      <c r="Z1077" s="92"/>
      <c r="AA1077" s="92"/>
      <c r="AB1077" s="92"/>
      <c r="AC1077" s="92"/>
      <c r="AD1077" s="92"/>
      <c r="AE1077" s="92"/>
      <c r="AF1077" s="92"/>
      <c r="AG1077" s="92"/>
    </row>
    <row r="1078" hidden="1">
      <c r="A1078" s="86"/>
      <c r="B1078" s="25"/>
      <c r="C1078" s="78" t="s">
        <v>78</v>
      </c>
      <c r="D1078" s="107" t="s">
        <v>79</v>
      </c>
      <c r="E1078" s="184" t="s">
        <v>938</v>
      </c>
      <c r="F1078" s="184" t="s">
        <v>939</v>
      </c>
      <c r="G1078" s="240">
        <v>0.625</v>
      </c>
      <c r="H1078" s="241" t="s">
        <v>424</v>
      </c>
      <c r="I1078" s="109" t="s">
        <v>2296</v>
      </c>
      <c r="J1078" s="109" t="s">
        <v>941</v>
      </c>
      <c r="K1078" s="43"/>
      <c r="L1078" s="91"/>
      <c r="M1078" s="91"/>
      <c r="N1078" s="96" t="b">
        <v>0</v>
      </c>
      <c r="O1078" s="96" t="b">
        <v>0</v>
      </c>
      <c r="P1078" s="92"/>
      <c r="Q1078" s="92"/>
      <c r="R1078" s="92"/>
      <c r="S1078" s="92"/>
      <c r="T1078" s="92"/>
      <c r="U1078" s="92"/>
      <c r="V1078" s="92"/>
      <c r="W1078" s="92"/>
      <c r="X1078" s="92"/>
      <c r="Y1078" s="92"/>
      <c r="Z1078" s="92"/>
      <c r="AA1078" s="92"/>
      <c r="AB1078" s="92"/>
      <c r="AC1078" s="92"/>
      <c r="AD1078" s="92"/>
      <c r="AE1078" s="92"/>
      <c r="AF1078" s="92"/>
      <c r="AG1078" s="92"/>
    </row>
    <row r="1079" hidden="1">
      <c r="A1079" s="86"/>
      <c r="B1079" s="25"/>
      <c r="C1079" s="80" t="s">
        <v>78</v>
      </c>
      <c r="D1079" s="107" t="s">
        <v>79</v>
      </c>
      <c r="E1079" s="184" t="s">
        <v>80</v>
      </c>
      <c r="F1079" s="184" t="s">
        <v>81</v>
      </c>
      <c r="G1079" s="108">
        <v>0.6666666666666666</v>
      </c>
      <c r="H1079" s="109" t="s">
        <v>82</v>
      </c>
      <c r="I1079" s="109" t="s">
        <v>2297</v>
      </c>
      <c r="J1079" s="109" t="s">
        <v>84</v>
      </c>
      <c r="K1079" s="91"/>
      <c r="L1079" s="91"/>
      <c r="M1079" s="91"/>
      <c r="N1079" s="96" t="b">
        <v>0</v>
      </c>
      <c r="O1079" s="96" t="b">
        <v>0</v>
      </c>
      <c r="P1079" s="92"/>
      <c r="Q1079" s="92"/>
      <c r="R1079" s="92"/>
      <c r="S1079" s="92"/>
      <c r="T1079" s="92"/>
      <c r="U1079" s="92"/>
      <c r="V1079" s="92"/>
      <c r="W1079" s="92"/>
      <c r="X1079" s="92"/>
      <c r="Y1079" s="92"/>
      <c r="Z1079" s="92"/>
      <c r="AA1079" s="92"/>
      <c r="AB1079" s="92"/>
      <c r="AC1079" s="92"/>
      <c r="AD1079" s="92"/>
      <c r="AE1079" s="92"/>
      <c r="AF1079" s="92"/>
      <c r="AG1079" s="92"/>
    </row>
    <row r="1080" hidden="1">
      <c r="A1080" s="86"/>
      <c r="B1080" s="25"/>
      <c r="C1080" s="80" t="s">
        <v>78</v>
      </c>
      <c r="D1080" s="97" t="s">
        <v>79</v>
      </c>
      <c r="E1080" s="183" t="s">
        <v>2298</v>
      </c>
      <c r="F1080" s="183" t="s">
        <v>2299</v>
      </c>
      <c r="G1080" s="99">
        <v>0.75</v>
      </c>
      <c r="H1080" s="98" t="s">
        <v>909</v>
      </c>
      <c r="I1080" s="98" t="s">
        <v>2300</v>
      </c>
      <c r="J1080" s="183" t="s">
        <v>2301</v>
      </c>
      <c r="K1080" s="91"/>
      <c r="L1080" s="91"/>
      <c r="M1080" s="91"/>
      <c r="N1080" s="96" t="b">
        <v>0</v>
      </c>
      <c r="O1080" s="96" t="b">
        <v>0</v>
      </c>
      <c r="P1080" s="92"/>
      <c r="Q1080" s="92"/>
      <c r="R1080" s="92"/>
      <c r="S1080" s="92"/>
      <c r="T1080" s="92"/>
      <c r="U1080" s="92"/>
      <c r="V1080" s="92"/>
      <c r="W1080" s="92"/>
      <c r="X1080" s="92"/>
      <c r="Y1080" s="92"/>
      <c r="Z1080" s="92"/>
      <c r="AA1080" s="92"/>
      <c r="AB1080" s="92"/>
      <c r="AC1080" s="92"/>
      <c r="AD1080" s="92"/>
      <c r="AE1080" s="92"/>
      <c r="AF1080" s="92"/>
      <c r="AG1080" s="92"/>
    </row>
    <row r="1081" hidden="1">
      <c r="A1081" s="86"/>
      <c r="B1081" s="25"/>
      <c r="C1081" s="80" t="s">
        <v>78</v>
      </c>
      <c r="D1081" s="238"/>
      <c r="E1081" s="239"/>
      <c r="F1081" s="98"/>
      <c r="G1081" s="41"/>
      <c r="H1081" s="98"/>
      <c r="I1081" s="98"/>
      <c r="J1081" s="98"/>
      <c r="K1081" s="91"/>
      <c r="L1081" s="91"/>
      <c r="M1081" s="91"/>
      <c r="N1081" s="96" t="b">
        <v>0</v>
      </c>
      <c r="O1081" s="96" t="b">
        <v>0</v>
      </c>
      <c r="P1081" s="92"/>
      <c r="Q1081" s="92"/>
      <c r="R1081" s="92"/>
      <c r="S1081" s="92"/>
      <c r="T1081" s="92"/>
      <c r="U1081" s="92"/>
      <c r="V1081" s="92"/>
      <c r="W1081" s="92"/>
      <c r="X1081" s="92"/>
      <c r="Y1081" s="92"/>
      <c r="Z1081" s="92"/>
      <c r="AA1081" s="92"/>
      <c r="AB1081" s="92"/>
      <c r="AC1081" s="92"/>
      <c r="AD1081" s="92"/>
      <c r="AE1081" s="92"/>
      <c r="AF1081" s="92"/>
      <c r="AG1081" s="92"/>
    </row>
    <row r="1082" hidden="1">
      <c r="A1082" s="86"/>
      <c r="B1082" s="39"/>
      <c r="C1082" s="80" t="s">
        <v>78</v>
      </c>
      <c r="D1082" s="97"/>
      <c r="E1082" s="98"/>
      <c r="F1082" s="98"/>
      <c r="G1082" s="41"/>
      <c r="H1082" s="98"/>
      <c r="I1082" s="98"/>
      <c r="J1082" s="98"/>
      <c r="K1082" s="91"/>
      <c r="L1082" s="91"/>
      <c r="M1082" s="91"/>
      <c r="N1082" s="96" t="b">
        <v>0</v>
      </c>
      <c r="O1082" s="96" t="b">
        <v>0</v>
      </c>
      <c r="P1082" s="92"/>
      <c r="Q1082" s="92"/>
      <c r="R1082" s="92"/>
      <c r="S1082" s="92"/>
      <c r="T1082" s="92"/>
      <c r="U1082" s="92"/>
      <c r="V1082" s="92"/>
      <c r="W1082" s="92"/>
      <c r="X1082" s="92"/>
      <c r="Y1082" s="92"/>
      <c r="Z1082" s="92"/>
      <c r="AA1082" s="92"/>
      <c r="AB1082" s="92"/>
      <c r="AC1082" s="92"/>
      <c r="AD1082" s="92"/>
      <c r="AE1082" s="92"/>
      <c r="AF1082" s="92"/>
      <c r="AG1082" s="92"/>
    </row>
    <row r="1083" hidden="1">
      <c r="A1083" s="86"/>
      <c r="B1083" s="18" t="s">
        <v>1971</v>
      </c>
      <c r="C1083" s="80"/>
      <c r="D1083" s="97"/>
      <c r="E1083" s="98"/>
      <c r="F1083" s="98"/>
      <c r="G1083" s="41"/>
      <c r="H1083" s="98"/>
      <c r="I1083" s="98"/>
      <c r="J1083" s="98"/>
      <c r="K1083" s="91"/>
      <c r="L1083" s="91"/>
      <c r="M1083" s="91"/>
      <c r="N1083" s="96" t="b">
        <v>0</v>
      </c>
      <c r="O1083" s="96" t="b">
        <v>0</v>
      </c>
      <c r="P1083" s="92"/>
      <c r="Q1083" s="92"/>
      <c r="R1083" s="92"/>
      <c r="S1083" s="92"/>
      <c r="T1083" s="92"/>
      <c r="U1083" s="92"/>
      <c r="V1083" s="92"/>
      <c r="W1083" s="92"/>
      <c r="X1083" s="92"/>
      <c r="Y1083" s="92"/>
      <c r="Z1083" s="92"/>
      <c r="AA1083" s="92"/>
      <c r="AB1083" s="92"/>
      <c r="AC1083" s="92"/>
      <c r="AD1083" s="92"/>
      <c r="AE1083" s="92"/>
      <c r="AF1083" s="92"/>
      <c r="AG1083" s="92"/>
    </row>
    <row r="1084" hidden="1">
      <c r="A1084" s="86"/>
      <c r="B1084" s="25"/>
      <c r="C1084" s="80" t="s">
        <v>78</v>
      </c>
      <c r="D1084" s="97" t="s">
        <v>79</v>
      </c>
      <c r="E1084" s="183" t="s">
        <v>2302</v>
      </c>
      <c r="F1084" s="183" t="s">
        <v>2303</v>
      </c>
      <c r="G1084" s="99">
        <v>0.5416666666666666</v>
      </c>
      <c r="H1084" s="98" t="s">
        <v>2304</v>
      </c>
      <c r="I1084" s="98" t="s">
        <v>2305</v>
      </c>
      <c r="J1084" s="183" t="s">
        <v>2306</v>
      </c>
      <c r="K1084" s="91"/>
      <c r="L1084" s="91"/>
      <c r="M1084" s="91"/>
      <c r="N1084" s="96" t="b">
        <v>0</v>
      </c>
      <c r="O1084" s="96" t="b">
        <v>0</v>
      </c>
      <c r="P1084" s="92"/>
      <c r="Q1084" s="92"/>
      <c r="R1084" s="92"/>
      <c r="S1084" s="92"/>
      <c r="T1084" s="92"/>
      <c r="U1084" s="92"/>
      <c r="V1084" s="92"/>
      <c r="W1084" s="92"/>
      <c r="X1084" s="92"/>
      <c r="Y1084" s="92"/>
      <c r="Z1084" s="92"/>
      <c r="AA1084" s="92"/>
      <c r="AB1084" s="92"/>
      <c r="AC1084" s="92"/>
      <c r="AD1084" s="92"/>
      <c r="AE1084" s="92"/>
      <c r="AF1084" s="92"/>
      <c r="AG1084" s="92"/>
    </row>
    <row r="1085" hidden="1">
      <c r="A1085" s="86"/>
      <c r="B1085" s="25"/>
      <c r="C1085" s="78" t="s">
        <v>78</v>
      </c>
      <c r="D1085" s="97" t="s">
        <v>399</v>
      </c>
      <c r="E1085" s="183" t="s">
        <v>2307</v>
      </c>
      <c r="F1085" s="183" t="s">
        <v>2308</v>
      </c>
      <c r="G1085" s="99">
        <v>0.625</v>
      </c>
      <c r="H1085" s="98" t="s">
        <v>1345</v>
      </c>
      <c r="I1085" s="98" t="s">
        <v>2309</v>
      </c>
      <c r="J1085" s="183" t="s">
        <v>2310</v>
      </c>
      <c r="K1085" s="91"/>
      <c r="L1085" s="91"/>
      <c r="M1085" s="91"/>
      <c r="N1085" s="96" t="b">
        <v>0</v>
      </c>
      <c r="O1085" s="96" t="b">
        <v>0</v>
      </c>
      <c r="P1085" s="92"/>
      <c r="Q1085" s="92"/>
      <c r="R1085" s="92"/>
      <c r="S1085" s="92"/>
      <c r="T1085" s="92"/>
      <c r="U1085" s="92"/>
      <c r="V1085" s="92"/>
      <c r="W1085" s="92"/>
      <c r="X1085" s="92"/>
      <c r="Y1085" s="92"/>
      <c r="Z1085" s="92"/>
      <c r="AA1085" s="92"/>
      <c r="AB1085" s="92"/>
      <c r="AC1085" s="92"/>
      <c r="AD1085" s="92"/>
      <c r="AE1085" s="92"/>
      <c r="AF1085" s="92"/>
      <c r="AG1085" s="92"/>
    </row>
    <row r="1086" hidden="1">
      <c r="A1086" s="86"/>
      <c r="B1086" s="25"/>
      <c r="C1086" s="80" t="s">
        <v>78</v>
      </c>
      <c r="D1086" s="97" t="s">
        <v>399</v>
      </c>
      <c r="E1086" s="183" t="s">
        <v>1814</v>
      </c>
      <c r="F1086" s="183" t="s">
        <v>1815</v>
      </c>
      <c r="G1086" s="99">
        <v>0.7083333333333334</v>
      </c>
      <c r="H1086" s="98" t="s">
        <v>2311</v>
      </c>
      <c r="I1086" s="183" t="s">
        <v>2312</v>
      </c>
      <c r="J1086" s="183" t="s">
        <v>1818</v>
      </c>
      <c r="K1086" s="98" t="s">
        <v>838</v>
      </c>
      <c r="L1086" s="91"/>
      <c r="M1086" s="91"/>
      <c r="N1086" s="96" t="b">
        <v>0</v>
      </c>
      <c r="O1086" s="96" t="b">
        <v>0</v>
      </c>
      <c r="P1086" s="92"/>
      <c r="Q1086" s="92"/>
      <c r="R1086" s="92"/>
      <c r="S1086" s="92"/>
      <c r="T1086" s="92"/>
      <c r="U1086" s="92"/>
      <c r="V1086" s="92"/>
      <c r="W1086" s="92"/>
      <c r="X1086" s="92"/>
      <c r="Y1086" s="92"/>
      <c r="Z1086" s="92"/>
      <c r="AA1086" s="92"/>
      <c r="AB1086" s="92"/>
      <c r="AC1086" s="92"/>
      <c r="AD1086" s="92"/>
      <c r="AE1086" s="92"/>
      <c r="AF1086" s="92"/>
      <c r="AG1086" s="92"/>
    </row>
    <row r="1087" hidden="1">
      <c r="A1087" s="86"/>
      <c r="B1087" s="25"/>
      <c r="C1087" s="80" t="s">
        <v>78</v>
      </c>
      <c r="D1087" s="97" t="s">
        <v>79</v>
      </c>
      <c r="E1087" s="183" t="s">
        <v>2313</v>
      </c>
      <c r="F1087" s="183" t="s">
        <v>2314</v>
      </c>
      <c r="G1087" s="99">
        <v>0.7708333333333334</v>
      </c>
      <c r="H1087" s="98" t="s">
        <v>458</v>
      </c>
      <c r="I1087" s="98" t="s">
        <v>2315</v>
      </c>
      <c r="J1087" s="183" t="s">
        <v>2316</v>
      </c>
      <c r="K1087" s="91"/>
      <c r="L1087" s="91"/>
      <c r="M1087" s="91"/>
      <c r="N1087" s="96" t="b">
        <v>0</v>
      </c>
      <c r="O1087" s="96" t="b">
        <v>0</v>
      </c>
      <c r="P1087" s="92"/>
      <c r="Q1087" s="92"/>
      <c r="R1087" s="92"/>
      <c r="S1087" s="92"/>
      <c r="T1087" s="92"/>
      <c r="U1087" s="92"/>
      <c r="V1087" s="92"/>
      <c r="W1087" s="92"/>
      <c r="X1087" s="92"/>
      <c r="Y1087" s="92"/>
      <c r="Z1087" s="92"/>
      <c r="AA1087" s="92"/>
      <c r="AB1087" s="92"/>
      <c r="AC1087" s="92"/>
      <c r="AD1087" s="92"/>
      <c r="AE1087" s="92"/>
      <c r="AF1087" s="92"/>
      <c r="AG1087" s="92"/>
    </row>
    <row r="1088" hidden="1">
      <c r="A1088" s="86"/>
      <c r="B1088" s="39"/>
      <c r="C1088" s="80" t="s">
        <v>78</v>
      </c>
      <c r="D1088" s="97"/>
      <c r="E1088" s="43"/>
      <c r="F1088" s="43"/>
      <c r="G1088" s="81"/>
      <c r="H1088" s="43"/>
      <c r="I1088" s="43"/>
      <c r="J1088" s="43"/>
      <c r="K1088" s="43"/>
      <c r="L1088" s="91"/>
      <c r="M1088" s="91"/>
      <c r="N1088" s="96" t="b">
        <v>0</v>
      </c>
      <c r="O1088" s="96" t="b">
        <v>0</v>
      </c>
      <c r="P1088" s="92"/>
      <c r="Q1088" s="92"/>
      <c r="R1088" s="92"/>
      <c r="S1088" s="92"/>
      <c r="T1088" s="92"/>
      <c r="U1088" s="92"/>
      <c r="V1088" s="92"/>
      <c r="W1088" s="92"/>
      <c r="X1088" s="92"/>
      <c r="Y1088" s="92"/>
      <c r="Z1088" s="92"/>
      <c r="AA1088" s="92"/>
      <c r="AB1088" s="92"/>
      <c r="AC1088" s="92"/>
      <c r="AD1088" s="92"/>
      <c r="AE1088" s="92"/>
      <c r="AF1088" s="92"/>
      <c r="AG1088" s="92"/>
    </row>
    <row r="1089" hidden="1">
      <c r="A1089" s="86"/>
      <c r="B1089" s="166"/>
      <c r="C1089" s="88">
        <v>44447.0</v>
      </c>
      <c r="D1089" s="97"/>
      <c r="E1089" s="239"/>
      <c r="F1089" s="98"/>
      <c r="G1089" s="41"/>
      <c r="H1089" s="98"/>
      <c r="I1089" s="98"/>
      <c r="J1089" s="98"/>
      <c r="K1089" s="91"/>
      <c r="L1089" s="91"/>
      <c r="M1089" s="91"/>
      <c r="N1089" s="96" t="b">
        <v>0</v>
      </c>
      <c r="O1089" s="96" t="b">
        <v>0</v>
      </c>
      <c r="P1089" s="92"/>
      <c r="Q1089" s="92"/>
      <c r="R1089" s="92"/>
      <c r="S1089" s="92"/>
      <c r="T1089" s="92"/>
      <c r="U1089" s="92"/>
      <c r="V1089" s="92"/>
      <c r="W1089" s="92"/>
      <c r="X1089" s="92"/>
      <c r="Y1089" s="92"/>
      <c r="Z1089" s="92"/>
      <c r="AA1089" s="92"/>
      <c r="AB1089" s="92"/>
      <c r="AC1089" s="92"/>
      <c r="AD1089" s="92"/>
      <c r="AE1089" s="92"/>
      <c r="AF1089" s="92"/>
      <c r="AG1089" s="92"/>
    </row>
    <row r="1090" hidden="1">
      <c r="A1090" s="86"/>
      <c r="B1090" s="18" t="s">
        <v>1668</v>
      </c>
      <c r="C1090" s="234"/>
      <c r="D1090" s="181"/>
      <c r="E1090" s="43"/>
      <c r="F1090" s="43"/>
      <c r="G1090" s="81"/>
      <c r="H1090" s="43"/>
      <c r="I1090" s="43"/>
      <c r="J1090" s="43"/>
      <c r="K1090" s="91"/>
      <c r="L1090" s="91"/>
      <c r="M1090" s="91"/>
      <c r="N1090" s="96" t="b">
        <v>0</v>
      </c>
      <c r="O1090" s="96" t="b">
        <v>0</v>
      </c>
      <c r="P1090" s="92"/>
      <c r="Q1090" s="92"/>
      <c r="R1090" s="92"/>
      <c r="S1090" s="92"/>
      <c r="T1090" s="92"/>
      <c r="U1090" s="92"/>
      <c r="V1090" s="92"/>
      <c r="W1090" s="92"/>
      <c r="X1090" s="92"/>
      <c r="Y1090" s="92"/>
      <c r="Z1090" s="92"/>
      <c r="AA1090" s="92"/>
      <c r="AB1090" s="92"/>
      <c r="AC1090" s="92"/>
      <c r="AD1090" s="92"/>
      <c r="AE1090" s="92"/>
      <c r="AF1090" s="92"/>
      <c r="AG1090" s="92"/>
    </row>
    <row r="1091" hidden="1">
      <c r="A1091" s="86"/>
      <c r="B1091" s="25"/>
      <c r="C1091" s="78" t="s">
        <v>78</v>
      </c>
      <c r="D1091" s="97" t="s">
        <v>79</v>
      </c>
      <c r="E1091" s="183" t="s">
        <v>1885</v>
      </c>
      <c r="F1091" s="183" t="s">
        <v>1886</v>
      </c>
      <c r="G1091" s="99">
        <v>0.4583333333333333</v>
      </c>
      <c r="H1091" s="98" t="s">
        <v>439</v>
      </c>
      <c r="I1091" s="98" t="s">
        <v>2317</v>
      </c>
      <c r="J1091" s="183" t="s">
        <v>1888</v>
      </c>
      <c r="K1091" s="91"/>
      <c r="L1091" s="91"/>
      <c r="M1091" s="91"/>
      <c r="N1091" s="96" t="b">
        <v>0</v>
      </c>
      <c r="O1091" s="96" t="b">
        <v>0</v>
      </c>
      <c r="P1091" s="92"/>
      <c r="Q1091" s="92"/>
      <c r="R1091" s="92"/>
      <c r="S1091" s="92"/>
      <c r="T1091" s="92"/>
      <c r="U1091" s="92"/>
      <c r="V1091" s="92"/>
      <c r="W1091" s="92"/>
      <c r="X1091" s="92"/>
      <c r="Y1091" s="92"/>
      <c r="Z1091" s="92"/>
      <c r="AA1091" s="92"/>
      <c r="AB1091" s="92"/>
      <c r="AC1091" s="92"/>
      <c r="AD1091" s="92"/>
      <c r="AE1091" s="92"/>
      <c r="AF1091" s="92"/>
      <c r="AG1091" s="92"/>
    </row>
    <row r="1092" hidden="1">
      <c r="A1092" s="86"/>
      <c r="B1092" s="25"/>
      <c r="C1092" s="80" t="s">
        <v>78</v>
      </c>
      <c r="D1092" s="97" t="s">
        <v>79</v>
      </c>
      <c r="E1092" s="183" t="s">
        <v>2318</v>
      </c>
      <c r="F1092" s="183" t="s">
        <v>2319</v>
      </c>
      <c r="G1092" s="99">
        <v>0.5833333333333334</v>
      </c>
      <c r="H1092" s="98" t="s">
        <v>635</v>
      </c>
      <c r="I1092" s="98" t="s">
        <v>2320</v>
      </c>
      <c r="J1092" s="183" t="s">
        <v>2321</v>
      </c>
      <c r="K1092" s="91"/>
      <c r="L1092" s="91"/>
      <c r="M1092" s="91"/>
      <c r="N1092" s="96" t="b">
        <v>0</v>
      </c>
      <c r="O1092" s="96" t="b">
        <v>0</v>
      </c>
      <c r="P1092" s="92"/>
      <c r="Q1092" s="92"/>
      <c r="R1092" s="92"/>
      <c r="S1092" s="92"/>
      <c r="T1092" s="92"/>
      <c r="U1092" s="92"/>
      <c r="V1092" s="92"/>
      <c r="W1092" s="92"/>
      <c r="X1092" s="92"/>
      <c r="Y1092" s="92"/>
      <c r="Z1092" s="92"/>
      <c r="AA1092" s="92"/>
      <c r="AB1092" s="92"/>
      <c r="AC1092" s="92"/>
      <c r="AD1092" s="92"/>
      <c r="AE1092" s="92"/>
      <c r="AF1092" s="92"/>
      <c r="AG1092" s="92"/>
    </row>
    <row r="1093" hidden="1">
      <c r="A1093" s="86"/>
      <c r="B1093" s="25"/>
      <c r="C1093" s="80" t="s">
        <v>78</v>
      </c>
      <c r="D1093" s="97" t="s">
        <v>79</v>
      </c>
      <c r="E1093" s="183" t="s">
        <v>2052</v>
      </c>
      <c r="F1093" s="183" t="s">
        <v>2053</v>
      </c>
      <c r="G1093" s="188">
        <v>0.6666666666666666</v>
      </c>
      <c r="H1093" s="189" t="s">
        <v>635</v>
      </c>
      <c r="I1093" s="189" t="s">
        <v>2322</v>
      </c>
      <c r="J1093" s="189" t="s">
        <v>2055</v>
      </c>
      <c r="K1093" s="91"/>
      <c r="L1093" s="91"/>
      <c r="M1093" s="91"/>
      <c r="N1093" s="96" t="b">
        <v>0</v>
      </c>
      <c r="O1093" s="96" t="b">
        <v>0</v>
      </c>
      <c r="P1093" s="92"/>
      <c r="Q1093" s="92"/>
      <c r="R1093" s="92"/>
      <c r="S1093" s="92"/>
      <c r="T1093" s="92"/>
      <c r="U1093" s="92"/>
      <c r="V1093" s="92"/>
      <c r="W1093" s="92"/>
      <c r="X1093" s="92"/>
      <c r="Y1093" s="92"/>
      <c r="Z1093" s="92"/>
      <c r="AA1093" s="92"/>
      <c r="AB1093" s="92"/>
      <c r="AC1093" s="92"/>
      <c r="AD1093" s="92"/>
      <c r="AE1093" s="92"/>
      <c r="AF1093" s="92"/>
      <c r="AG1093" s="92"/>
    </row>
    <row r="1094" hidden="1">
      <c r="A1094" s="86"/>
      <c r="B1094" s="25"/>
      <c r="C1094" s="80" t="s">
        <v>78</v>
      </c>
      <c r="D1094" s="97" t="s">
        <v>79</v>
      </c>
      <c r="E1094" s="184" t="s">
        <v>1408</v>
      </c>
      <c r="F1094" s="184" t="s">
        <v>1409</v>
      </c>
      <c r="G1094" s="192">
        <v>0.75</v>
      </c>
      <c r="H1094" s="191" t="s">
        <v>2323</v>
      </c>
      <c r="I1094" s="191" t="s">
        <v>2324</v>
      </c>
      <c r="J1094" s="191" t="s">
        <v>1412</v>
      </c>
      <c r="K1094" s="111"/>
      <c r="L1094" s="91"/>
      <c r="M1094" s="91"/>
      <c r="N1094" s="96" t="b">
        <v>0</v>
      </c>
      <c r="O1094" s="96" t="b">
        <v>0</v>
      </c>
      <c r="P1094" s="92"/>
      <c r="Q1094" s="92"/>
      <c r="R1094" s="92"/>
      <c r="S1094" s="92"/>
      <c r="T1094" s="92"/>
      <c r="U1094" s="92"/>
      <c r="V1094" s="92"/>
      <c r="W1094" s="92"/>
      <c r="X1094" s="92"/>
      <c r="Y1094" s="92"/>
      <c r="Z1094" s="92"/>
      <c r="AA1094" s="92"/>
      <c r="AB1094" s="92"/>
      <c r="AC1094" s="92"/>
      <c r="AD1094" s="92"/>
      <c r="AE1094" s="92"/>
      <c r="AF1094" s="92"/>
      <c r="AG1094" s="92"/>
    </row>
    <row r="1095" hidden="1">
      <c r="A1095" s="86"/>
      <c r="B1095" s="39"/>
      <c r="C1095" s="80" t="s">
        <v>78</v>
      </c>
      <c r="D1095" s="97"/>
      <c r="E1095" s="98"/>
      <c r="F1095" s="98"/>
      <c r="G1095" s="41"/>
      <c r="H1095" s="98"/>
      <c r="I1095" s="98"/>
      <c r="J1095" s="98"/>
      <c r="K1095" s="91"/>
      <c r="L1095" s="91"/>
      <c r="M1095" s="91"/>
      <c r="N1095" s="96" t="b">
        <v>0</v>
      </c>
      <c r="O1095" s="96" t="b">
        <v>0</v>
      </c>
      <c r="P1095" s="92"/>
      <c r="Q1095" s="92"/>
      <c r="R1095" s="92"/>
      <c r="S1095" s="92"/>
      <c r="T1095" s="92"/>
      <c r="U1095" s="92"/>
      <c r="V1095" s="92"/>
      <c r="W1095" s="92"/>
      <c r="X1095" s="92"/>
      <c r="Y1095" s="92"/>
      <c r="Z1095" s="92"/>
      <c r="AA1095" s="92"/>
      <c r="AB1095" s="92"/>
      <c r="AC1095" s="92"/>
      <c r="AD1095" s="92"/>
      <c r="AE1095" s="92"/>
      <c r="AF1095" s="92"/>
      <c r="AG1095" s="92"/>
    </row>
    <row r="1096" hidden="1">
      <c r="A1096" s="86"/>
      <c r="B1096" s="18" t="s">
        <v>1971</v>
      </c>
      <c r="C1096" s="80"/>
      <c r="D1096" s="97"/>
      <c r="E1096" s="98"/>
      <c r="F1096" s="98"/>
      <c r="G1096" s="41"/>
      <c r="H1096" s="98"/>
      <c r="I1096" s="179"/>
      <c r="J1096" s="179"/>
      <c r="K1096" s="173"/>
      <c r="L1096" s="91"/>
      <c r="M1096" s="91"/>
      <c r="N1096" s="96" t="b">
        <v>0</v>
      </c>
      <c r="O1096" s="96" t="b">
        <v>0</v>
      </c>
      <c r="P1096" s="92"/>
      <c r="Q1096" s="92"/>
      <c r="R1096" s="92"/>
      <c r="S1096" s="92"/>
      <c r="T1096" s="92"/>
      <c r="U1096" s="92"/>
      <c r="V1096" s="92"/>
      <c r="W1096" s="92"/>
      <c r="X1096" s="92"/>
      <c r="Y1096" s="92"/>
      <c r="Z1096" s="92"/>
      <c r="AA1096" s="92"/>
      <c r="AB1096" s="92"/>
      <c r="AC1096" s="92"/>
      <c r="AD1096" s="92"/>
      <c r="AE1096" s="92"/>
      <c r="AF1096" s="92"/>
      <c r="AG1096" s="92"/>
    </row>
    <row r="1097" hidden="1">
      <c r="A1097" s="86"/>
      <c r="B1097" s="25"/>
      <c r="C1097" s="80" t="s">
        <v>78</v>
      </c>
      <c r="D1097" s="107" t="s">
        <v>79</v>
      </c>
      <c r="E1097" s="184" t="s">
        <v>2325</v>
      </c>
      <c r="F1097" s="184" t="s">
        <v>2326</v>
      </c>
      <c r="G1097" s="240">
        <v>0.4375</v>
      </c>
      <c r="H1097" s="109" t="s">
        <v>2063</v>
      </c>
      <c r="I1097" s="241" t="s">
        <v>2327</v>
      </c>
      <c r="J1097" s="184" t="s">
        <v>2328</v>
      </c>
      <c r="K1097" s="173"/>
      <c r="L1097" s="91"/>
      <c r="M1097" s="91"/>
      <c r="N1097" s="96" t="b">
        <v>0</v>
      </c>
      <c r="O1097" s="96" t="b">
        <v>0</v>
      </c>
      <c r="P1097" s="92"/>
      <c r="Q1097" s="92"/>
      <c r="R1097" s="92"/>
      <c r="S1097" s="92"/>
      <c r="T1097" s="92"/>
      <c r="U1097" s="92"/>
      <c r="V1097" s="92"/>
      <c r="W1097" s="92"/>
      <c r="X1097" s="92"/>
      <c r="Y1097" s="92"/>
      <c r="Z1097" s="92"/>
      <c r="AA1097" s="92"/>
      <c r="AB1097" s="92"/>
      <c r="AC1097" s="92"/>
      <c r="AD1097" s="92"/>
      <c r="AE1097" s="92"/>
      <c r="AF1097" s="92"/>
      <c r="AG1097" s="92"/>
    </row>
    <row r="1098" hidden="1">
      <c r="A1098" s="86"/>
      <c r="B1098" s="25"/>
      <c r="C1098" s="78" t="s">
        <v>78</v>
      </c>
      <c r="D1098" s="97" t="s">
        <v>79</v>
      </c>
      <c r="E1098" s="183" t="s">
        <v>2329</v>
      </c>
      <c r="F1098" s="183" t="s">
        <v>2330</v>
      </c>
      <c r="G1098" s="188">
        <v>0.5</v>
      </c>
      <c r="H1098" s="189" t="s">
        <v>1784</v>
      </c>
      <c r="I1098" s="189" t="s">
        <v>2331</v>
      </c>
      <c r="J1098" s="189" t="s">
        <v>2332</v>
      </c>
      <c r="K1098" s="183"/>
      <c r="L1098" s="91"/>
      <c r="M1098" s="91"/>
      <c r="N1098" s="96" t="b">
        <v>0</v>
      </c>
      <c r="O1098" s="96" t="b">
        <v>0</v>
      </c>
      <c r="P1098" s="92"/>
      <c r="Q1098" s="92"/>
      <c r="R1098" s="92"/>
      <c r="S1098" s="92"/>
      <c r="T1098" s="92"/>
      <c r="U1098" s="92"/>
      <c r="V1098" s="92"/>
      <c r="W1098" s="92"/>
      <c r="X1098" s="92"/>
      <c r="Y1098" s="92"/>
      <c r="Z1098" s="92"/>
      <c r="AA1098" s="92"/>
      <c r="AB1098" s="92"/>
      <c r="AC1098" s="92"/>
      <c r="AD1098" s="92"/>
      <c r="AE1098" s="92"/>
      <c r="AF1098" s="92"/>
      <c r="AG1098" s="92"/>
    </row>
    <row r="1099" hidden="1">
      <c r="A1099" s="86"/>
      <c r="B1099" s="25"/>
      <c r="C1099" s="80" t="s">
        <v>78</v>
      </c>
      <c r="D1099" s="97" t="s">
        <v>79</v>
      </c>
      <c r="E1099" s="183" t="s">
        <v>2056</v>
      </c>
      <c r="F1099" s="183" t="s">
        <v>2057</v>
      </c>
      <c r="G1099" s="178">
        <v>0.5833333333333334</v>
      </c>
      <c r="H1099" s="98" t="s">
        <v>1784</v>
      </c>
      <c r="I1099" s="242" t="s">
        <v>2333</v>
      </c>
      <c r="J1099" s="242" t="s">
        <v>2059</v>
      </c>
      <c r="K1099" s="179"/>
      <c r="L1099" s="91"/>
      <c r="M1099" s="91"/>
      <c r="N1099" s="96" t="b">
        <v>0</v>
      </c>
      <c r="O1099" s="96" t="b">
        <v>0</v>
      </c>
      <c r="P1099" s="92"/>
      <c r="Q1099" s="92"/>
      <c r="R1099" s="92"/>
      <c r="S1099" s="92"/>
      <c r="T1099" s="92"/>
      <c r="U1099" s="92"/>
      <c r="V1099" s="92"/>
      <c r="W1099" s="92"/>
      <c r="X1099" s="92"/>
      <c r="Y1099" s="92"/>
      <c r="Z1099" s="92"/>
      <c r="AA1099" s="92"/>
      <c r="AB1099" s="92"/>
      <c r="AC1099" s="92"/>
      <c r="AD1099" s="92"/>
      <c r="AE1099" s="92"/>
      <c r="AF1099" s="92"/>
      <c r="AG1099" s="92"/>
    </row>
    <row r="1100" hidden="1">
      <c r="A1100" s="86"/>
      <c r="B1100" s="25"/>
      <c r="C1100" s="80" t="s">
        <v>78</v>
      </c>
      <c r="D1100" s="97" t="s">
        <v>79</v>
      </c>
      <c r="E1100" s="183" t="s">
        <v>1652</v>
      </c>
      <c r="F1100" s="183" t="s">
        <v>1653</v>
      </c>
      <c r="G1100" s="178">
        <v>0.6666666666666666</v>
      </c>
      <c r="H1100" s="98" t="s">
        <v>1784</v>
      </c>
      <c r="I1100" s="98" t="s">
        <v>2334</v>
      </c>
      <c r="J1100" s="183" t="s">
        <v>1655</v>
      </c>
      <c r="K1100" s="91"/>
      <c r="L1100" s="91"/>
      <c r="M1100" s="91"/>
      <c r="N1100" s="96" t="b">
        <v>0</v>
      </c>
      <c r="O1100" s="96" t="b">
        <v>0</v>
      </c>
      <c r="P1100" s="92"/>
      <c r="Q1100" s="92"/>
      <c r="R1100" s="92"/>
      <c r="S1100" s="92"/>
      <c r="T1100" s="92"/>
      <c r="U1100" s="92"/>
      <c r="V1100" s="92"/>
      <c r="W1100" s="92"/>
      <c r="X1100" s="92"/>
      <c r="Y1100" s="92"/>
      <c r="Z1100" s="92"/>
      <c r="AA1100" s="92"/>
      <c r="AB1100" s="92"/>
      <c r="AC1100" s="92"/>
      <c r="AD1100" s="92"/>
      <c r="AE1100" s="92"/>
      <c r="AF1100" s="92"/>
      <c r="AG1100" s="92"/>
    </row>
    <row r="1101" hidden="1">
      <c r="A1101" s="86"/>
      <c r="B1101" s="39"/>
      <c r="C1101" s="80" t="s">
        <v>78</v>
      </c>
      <c r="D1101" s="181"/>
      <c r="E1101" s="43"/>
      <c r="F1101" s="43"/>
      <c r="G1101" s="81"/>
      <c r="H1101" s="43"/>
      <c r="I1101" s="43"/>
      <c r="J1101" s="43"/>
      <c r="K1101" s="43"/>
      <c r="L1101" s="91"/>
      <c r="M1101" s="91"/>
      <c r="N1101" s="96" t="b">
        <v>0</v>
      </c>
      <c r="O1101" s="96" t="b">
        <v>0</v>
      </c>
      <c r="P1101" s="92"/>
      <c r="Q1101" s="92"/>
      <c r="R1101" s="92"/>
      <c r="S1101" s="92"/>
      <c r="T1101" s="92"/>
      <c r="U1101" s="92"/>
      <c r="V1101" s="92"/>
      <c r="W1101" s="92"/>
      <c r="X1101" s="92"/>
      <c r="Y1101" s="92"/>
      <c r="Z1101" s="92"/>
      <c r="AA1101" s="92"/>
      <c r="AB1101" s="92"/>
      <c r="AC1101" s="92"/>
      <c r="AD1101" s="92"/>
      <c r="AE1101" s="92"/>
      <c r="AF1101" s="92"/>
      <c r="AG1101" s="92"/>
    </row>
    <row r="1102" hidden="1">
      <c r="A1102" s="86"/>
      <c r="B1102" s="166"/>
      <c r="C1102" s="88">
        <v>44448.0</v>
      </c>
      <c r="D1102" s="97"/>
      <c r="E1102" s="239"/>
      <c r="F1102" s="98"/>
      <c r="G1102" s="41"/>
      <c r="H1102" s="98"/>
      <c r="I1102" s="98"/>
      <c r="J1102" s="98"/>
      <c r="K1102" s="91"/>
      <c r="L1102" s="91"/>
      <c r="M1102" s="91"/>
      <c r="N1102" s="96" t="b">
        <v>0</v>
      </c>
      <c r="O1102" s="96" t="b">
        <v>0</v>
      </c>
      <c r="P1102" s="92"/>
      <c r="Q1102" s="92"/>
      <c r="R1102" s="92"/>
      <c r="S1102" s="92"/>
      <c r="T1102" s="92"/>
      <c r="U1102" s="92"/>
      <c r="V1102" s="92"/>
      <c r="W1102" s="92"/>
      <c r="X1102" s="92"/>
      <c r="Y1102" s="92"/>
      <c r="Z1102" s="92"/>
      <c r="AA1102" s="92"/>
      <c r="AB1102" s="92"/>
      <c r="AC1102" s="92"/>
      <c r="AD1102" s="92"/>
      <c r="AE1102" s="92"/>
      <c r="AF1102" s="92"/>
      <c r="AG1102" s="92"/>
    </row>
    <row r="1103" hidden="1">
      <c r="A1103" s="86"/>
      <c r="B1103" s="18" t="s">
        <v>1668</v>
      </c>
      <c r="C1103" s="234"/>
      <c r="D1103" s="97"/>
      <c r="E1103" s="91"/>
      <c r="F1103" s="98"/>
      <c r="G1103" s="41"/>
      <c r="H1103" s="98"/>
      <c r="I1103" s="98"/>
      <c r="J1103" s="98"/>
      <c r="K1103" s="91"/>
      <c r="L1103" s="91"/>
      <c r="M1103" s="91"/>
      <c r="N1103" s="96" t="b">
        <v>0</v>
      </c>
      <c r="O1103" s="96" t="b">
        <v>0</v>
      </c>
      <c r="P1103" s="92"/>
      <c r="Q1103" s="92"/>
      <c r="R1103" s="92"/>
      <c r="S1103" s="92"/>
      <c r="T1103" s="92"/>
      <c r="U1103" s="92"/>
      <c r="V1103" s="92"/>
      <c r="W1103" s="92"/>
      <c r="X1103" s="92"/>
      <c r="Y1103" s="92"/>
      <c r="Z1103" s="92"/>
      <c r="AA1103" s="92"/>
      <c r="AB1103" s="92"/>
      <c r="AC1103" s="92"/>
      <c r="AD1103" s="92"/>
      <c r="AE1103" s="92"/>
      <c r="AF1103" s="92"/>
      <c r="AG1103" s="92"/>
    </row>
    <row r="1104" hidden="1">
      <c r="A1104" s="86"/>
      <c r="B1104" s="25"/>
      <c r="C1104" s="78" t="s">
        <v>78</v>
      </c>
      <c r="D1104" s="97"/>
      <c r="E1104" s="183" t="s">
        <v>2335</v>
      </c>
      <c r="F1104" s="183" t="s">
        <v>2336</v>
      </c>
      <c r="G1104" s="99">
        <v>0.4166666666666667</v>
      </c>
      <c r="H1104" s="98" t="s">
        <v>258</v>
      </c>
      <c r="I1104" s="98" t="s">
        <v>2337</v>
      </c>
      <c r="J1104" s="183" t="s">
        <v>2338</v>
      </c>
      <c r="K1104" s="98"/>
      <c r="L1104" s="91"/>
      <c r="M1104" s="91"/>
      <c r="N1104" s="96" t="b">
        <v>0</v>
      </c>
      <c r="O1104" s="96" t="b">
        <v>0</v>
      </c>
      <c r="P1104" s="92"/>
      <c r="Q1104" s="92"/>
      <c r="R1104" s="92"/>
      <c r="S1104" s="92"/>
      <c r="T1104" s="92"/>
      <c r="U1104" s="92"/>
      <c r="V1104" s="92"/>
      <c r="W1104" s="92"/>
      <c r="X1104" s="92"/>
      <c r="Y1104" s="92"/>
      <c r="Z1104" s="92"/>
      <c r="AA1104" s="92"/>
      <c r="AB1104" s="92"/>
      <c r="AC1104" s="92"/>
      <c r="AD1104" s="92"/>
      <c r="AE1104" s="92"/>
      <c r="AF1104" s="92"/>
      <c r="AG1104" s="92"/>
    </row>
    <row r="1105" hidden="1">
      <c r="A1105" s="86"/>
      <c r="B1105" s="25"/>
      <c r="C1105" s="80" t="s">
        <v>78</v>
      </c>
      <c r="D1105" s="97"/>
      <c r="E1105" s="183" t="s">
        <v>2339</v>
      </c>
      <c r="F1105" s="183" t="s">
        <v>2340</v>
      </c>
      <c r="G1105" s="41" t="s">
        <v>417</v>
      </c>
      <c r="H1105" s="98" t="s">
        <v>258</v>
      </c>
      <c r="I1105" s="183" t="s">
        <v>2341</v>
      </c>
      <c r="J1105" s="183"/>
      <c r="K1105" s="91"/>
      <c r="L1105" s="91"/>
      <c r="M1105" s="91"/>
      <c r="N1105" s="96" t="b">
        <v>0</v>
      </c>
      <c r="O1105" s="96" t="b">
        <v>0</v>
      </c>
      <c r="P1105" s="92"/>
      <c r="Q1105" s="92"/>
      <c r="R1105" s="92"/>
      <c r="S1105" s="92"/>
      <c r="T1105" s="92"/>
      <c r="U1105" s="92"/>
      <c r="V1105" s="92"/>
      <c r="W1105" s="92"/>
      <c r="X1105" s="92"/>
      <c r="Y1105" s="92"/>
      <c r="Z1105" s="92"/>
      <c r="AA1105" s="92"/>
      <c r="AB1105" s="92"/>
      <c r="AC1105" s="92"/>
      <c r="AD1105" s="92"/>
      <c r="AE1105" s="92"/>
      <c r="AF1105" s="92"/>
      <c r="AG1105" s="92"/>
    </row>
    <row r="1106" hidden="1">
      <c r="A1106" s="86"/>
      <c r="B1106" s="25"/>
      <c r="C1106" s="80" t="s">
        <v>78</v>
      </c>
      <c r="D1106" s="97"/>
      <c r="E1106" s="183" t="s">
        <v>2342</v>
      </c>
      <c r="F1106" s="183" t="s">
        <v>2343</v>
      </c>
      <c r="G1106" s="41" t="s">
        <v>2344</v>
      </c>
      <c r="H1106" s="98" t="s">
        <v>349</v>
      </c>
      <c r="I1106" s="98" t="s">
        <v>2345</v>
      </c>
      <c r="J1106" s="183" t="s">
        <v>2346</v>
      </c>
      <c r="K1106" s="98" t="s">
        <v>2347</v>
      </c>
      <c r="L1106" s="91"/>
      <c r="M1106" s="91"/>
      <c r="N1106" s="96" t="b">
        <v>0</v>
      </c>
      <c r="O1106" s="96" t="b">
        <v>0</v>
      </c>
      <c r="P1106" s="92"/>
      <c r="Q1106" s="92"/>
      <c r="R1106" s="92"/>
      <c r="S1106" s="92"/>
      <c r="T1106" s="92"/>
      <c r="U1106" s="92"/>
      <c r="V1106" s="92"/>
      <c r="W1106" s="92"/>
      <c r="X1106" s="92"/>
      <c r="Y1106" s="92"/>
      <c r="Z1106" s="92"/>
      <c r="AA1106" s="92"/>
      <c r="AB1106" s="92"/>
      <c r="AC1106" s="92"/>
      <c r="AD1106" s="92"/>
      <c r="AE1106" s="92"/>
      <c r="AF1106" s="92"/>
      <c r="AG1106" s="92"/>
    </row>
    <row r="1107" hidden="1">
      <c r="A1107" s="86"/>
      <c r="B1107" s="25"/>
      <c r="C1107" s="80" t="s">
        <v>78</v>
      </c>
      <c r="D1107" s="238"/>
      <c r="E1107" s="186" t="s">
        <v>2348</v>
      </c>
      <c r="F1107" s="186" t="s">
        <v>2349</v>
      </c>
      <c r="G1107" s="99">
        <v>0.6666666666666666</v>
      </c>
      <c r="H1107" s="98" t="s">
        <v>349</v>
      </c>
      <c r="I1107" s="98" t="s">
        <v>2350</v>
      </c>
      <c r="J1107" s="186" t="s">
        <v>2351</v>
      </c>
      <c r="K1107" s="91"/>
      <c r="L1107" s="91"/>
      <c r="M1107" s="91"/>
      <c r="N1107" s="96" t="b">
        <v>0</v>
      </c>
      <c r="O1107" s="96" t="b">
        <v>0</v>
      </c>
      <c r="P1107" s="92"/>
      <c r="Q1107" s="92"/>
      <c r="R1107" s="92"/>
      <c r="S1107" s="92"/>
      <c r="T1107" s="92"/>
      <c r="U1107" s="92"/>
      <c r="V1107" s="92"/>
      <c r="W1107" s="92"/>
      <c r="X1107" s="92"/>
      <c r="Y1107" s="92"/>
      <c r="Z1107" s="92"/>
      <c r="AA1107" s="92"/>
      <c r="AB1107" s="92"/>
      <c r="AC1107" s="92"/>
      <c r="AD1107" s="92"/>
      <c r="AE1107" s="92"/>
      <c r="AF1107" s="92"/>
      <c r="AG1107" s="92"/>
    </row>
    <row r="1108" hidden="1">
      <c r="A1108" s="86"/>
      <c r="B1108" s="39"/>
      <c r="C1108" s="80" t="s">
        <v>78</v>
      </c>
      <c r="D1108" s="97"/>
      <c r="E1108" s="184" t="s">
        <v>2352</v>
      </c>
      <c r="F1108" s="184" t="s">
        <v>2353</v>
      </c>
      <c r="G1108" s="108">
        <v>0.75</v>
      </c>
      <c r="H1108" s="109" t="s">
        <v>211</v>
      </c>
      <c r="I1108" s="109" t="s">
        <v>2354</v>
      </c>
      <c r="J1108" s="184" t="s">
        <v>2355</v>
      </c>
      <c r="K1108" s="91"/>
      <c r="L1108" s="91"/>
      <c r="M1108" s="91"/>
      <c r="N1108" s="96" t="b">
        <v>0</v>
      </c>
      <c r="O1108" s="96" t="b">
        <v>0</v>
      </c>
      <c r="P1108" s="92"/>
      <c r="Q1108" s="92"/>
      <c r="R1108" s="92"/>
      <c r="S1108" s="92"/>
      <c r="T1108" s="92"/>
      <c r="U1108" s="92"/>
      <c r="V1108" s="92"/>
      <c r="W1108" s="92"/>
      <c r="X1108" s="92"/>
      <c r="Y1108" s="92"/>
      <c r="Z1108" s="92"/>
      <c r="AA1108" s="92"/>
      <c r="AB1108" s="92"/>
      <c r="AC1108" s="92"/>
      <c r="AD1108" s="92"/>
      <c r="AE1108" s="92"/>
      <c r="AF1108" s="92"/>
      <c r="AG1108" s="92"/>
    </row>
    <row r="1109" hidden="1">
      <c r="A1109" s="86"/>
      <c r="B1109" s="18" t="s">
        <v>1971</v>
      </c>
      <c r="C1109" s="80"/>
      <c r="D1109" s="97"/>
      <c r="E1109" s="98"/>
      <c r="F1109" s="98"/>
      <c r="G1109" s="41"/>
      <c r="H1109" s="98"/>
      <c r="I1109" s="179"/>
      <c r="J1109" s="179"/>
      <c r="K1109" s="173"/>
      <c r="L1109" s="91"/>
      <c r="M1109" s="91"/>
      <c r="N1109" s="96" t="b">
        <v>0</v>
      </c>
      <c r="O1109" s="96" t="b">
        <v>0</v>
      </c>
      <c r="P1109" s="92"/>
      <c r="Q1109" s="92"/>
      <c r="R1109" s="92"/>
      <c r="S1109" s="92"/>
      <c r="T1109" s="92"/>
      <c r="U1109" s="92"/>
      <c r="V1109" s="92"/>
      <c r="W1109" s="92"/>
      <c r="X1109" s="92"/>
      <c r="Y1109" s="92"/>
      <c r="Z1109" s="92"/>
      <c r="AA1109" s="92"/>
      <c r="AB1109" s="92"/>
      <c r="AC1109" s="92"/>
      <c r="AD1109" s="92"/>
      <c r="AE1109" s="92"/>
      <c r="AF1109" s="92"/>
      <c r="AG1109" s="92"/>
    </row>
    <row r="1110" hidden="1">
      <c r="A1110" s="86"/>
      <c r="B1110" s="25"/>
      <c r="C1110" s="80" t="s">
        <v>78</v>
      </c>
      <c r="D1110" s="97"/>
      <c r="E1110" s="183"/>
      <c r="F1110" s="243" t="s">
        <v>2356</v>
      </c>
      <c r="G1110" s="244"/>
      <c r="H1110" s="98"/>
      <c r="I1110" s="242"/>
      <c r="J1110" s="183"/>
      <c r="K1110" s="173"/>
      <c r="L1110" s="91"/>
      <c r="M1110" s="91"/>
      <c r="N1110" s="96" t="b">
        <v>0</v>
      </c>
      <c r="O1110" s="96" t="b">
        <v>0</v>
      </c>
      <c r="P1110" s="92"/>
      <c r="Q1110" s="92"/>
      <c r="R1110" s="92"/>
      <c r="S1110" s="92"/>
      <c r="T1110" s="92"/>
      <c r="U1110" s="92"/>
      <c r="V1110" s="92"/>
      <c r="W1110" s="92"/>
      <c r="X1110" s="92"/>
      <c r="Y1110" s="92"/>
      <c r="Z1110" s="92"/>
      <c r="AA1110" s="92"/>
      <c r="AB1110" s="92"/>
      <c r="AC1110" s="92"/>
      <c r="AD1110" s="92"/>
      <c r="AE1110" s="92"/>
      <c r="AF1110" s="92"/>
      <c r="AG1110" s="92"/>
    </row>
    <row r="1111" hidden="1">
      <c r="A1111" s="86"/>
      <c r="B1111" s="25"/>
      <c r="C1111" s="78" t="s">
        <v>78</v>
      </c>
      <c r="D1111" s="97"/>
      <c r="E1111" s="183" t="s">
        <v>2357</v>
      </c>
      <c r="F1111" s="183" t="s">
        <v>2358</v>
      </c>
      <c r="G1111" s="244" t="s">
        <v>2359</v>
      </c>
      <c r="H1111" s="98" t="s">
        <v>439</v>
      </c>
      <c r="I1111" s="242" t="s">
        <v>2360</v>
      </c>
      <c r="J1111" s="183" t="s">
        <v>2361</v>
      </c>
      <c r="K1111" s="173"/>
      <c r="L1111" s="91"/>
      <c r="M1111" s="91"/>
      <c r="N1111" s="96" t="b">
        <v>0</v>
      </c>
      <c r="O1111" s="96" t="b">
        <v>0</v>
      </c>
      <c r="P1111" s="92"/>
      <c r="Q1111" s="92"/>
      <c r="R1111" s="92"/>
      <c r="S1111" s="92"/>
      <c r="T1111" s="92"/>
      <c r="U1111" s="92"/>
      <c r="V1111" s="92"/>
      <c r="W1111" s="92"/>
      <c r="X1111" s="92"/>
      <c r="Y1111" s="92"/>
      <c r="Z1111" s="92"/>
      <c r="AA1111" s="92"/>
      <c r="AB1111" s="92"/>
      <c r="AC1111" s="92"/>
      <c r="AD1111" s="92"/>
      <c r="AE1111" s="92"/>
      <c r="AF1111" s="92"/>
      <c r="AG1111" s="92"/>
    </row>
    <row r="1112" hidden="1">
      <c r="A1112" s="86"/>
      <c r="B1112" s="25"/>
      <c r="C1112" s="80" t="s">
        <v>78</v>
      </c>
      <c r="D1112" s="97"/>
      <c r="E1112" s="183" t="s">
        <v>2362</v>
      </c>
      <c r="F1112" s="183" t="s">
        <v>2363</v>
      </c>
      <c r="G1112" s="178">
        <v>0.5833333333333334</v>
      </c>
      <c r="H1112" s="98" t="s">
        <v>585</v>
      </c>
      <c r="I1112" s="242" t="s">
        <v>2364</v>
      </c>
      <c r="J1112" s="183" t="s">
        <v>2365</v>
      </c>
      <c r="K1112" s="242" t="s">
        <v>2366</v>
      </c>
      <c r="L1112" s="91"/>
      <c r="M1112" s="91"/>
      <c r="N1112" s="96" t="b">
        <v>0</v>
      </c>
      <c r="O1112" s="96" t="b">
        <v>0</v>
      </c>
      <c r="P1112" s="92"/>
      <c r="Q1112" s="92"/>
      <c r="R1112" s="92"/>
      <c r="S1112" s="92"/>
      <c r="T1112" s="92"/>
      <c r="U1112" s="92"/>
      <c r="V1112" s="92"/>
      <c r="W1112" s="92"/>
      <c r="X1112" s="92"/>
      <c r="Y1112" s="92"/>
      <c r="Z1112" s="92"/>
      <c r="AA1112" s="92"/>
      <c r="AB1112" s="92"/>
      <c r="AC1112" s="92"/>
      <c r="AD1112" s="92"/>
      <c r="AE1112" s="92"/>
      <c r="AF1112" s="92"/>
      <c r="AG1112" s="92"/>
    </row>
    <row r="1113" hidden="1">
      <c r="A1113" s="86"/>
      <c r="B1113" s="25"/>
      <c r="C1113" s="80" t="s">
        <v>78</v>
      </c>
      <c r="D1113" s="97"/>
      <c r="E1113" s="184" t="s">
        <v>2367</v>
      </c>
      <c r="F1113" s="184" t="s">
        <v>2368</v>
      </c>
      <c r="G1113" s="245" t="s">
        <v>180</v>
      </c>
      <c r="H1113" s="109" t="s">
        <v>458</v>
      </c>
      <c r="I1113" s="241" t="s">
        <v>2369</v>
      </c>
      <c r="J1113" s="184" t="s">
        <v>2370</v>
      </c>
      <c r="K1113" s="179"/>
      <c r="L1113" s="91"/>
      <c r="M1113" s="91"/>
      <c r="N1113" s="96" t="b">
        <v>0</v>
      </c>
      <c r="O1113" s="96" t="b">
        <v>0</v>
      </c>
      <c r="P1113" s="92"/>
      <c r="Q1113" s="92"/>
      <c r="R1113" s="92"/>
      <c r="S1113" s="92"/>
      <c r="T1113" s="92"/>
      <c r="U1113" s="92"/>
      <c r="V1113" s="92"/>
      <c r="W1113" s="92"/>
      <c r="X1113" s="92"/>
      <c r="Y1113" s="92"/>
      <c r="Z1113" s="92"/>
      <c r="AA1113" s="92"/>
      <c r="AB1113" s="92"/>
      <c r="AC1113" s="92"/>
      <c r="AD1113" s="92"/>
      <c r="AE1113" s="92"/>
      <c r="AF1113" s="92"/>
      <c r="AG1113" s="92"/>
    </row>
    <row r="1114" hidden="1">
      <c r="A1114" s="86"/>
      <c r="B1114" s="25"/>
      <c r="C1114" s="80" t="s">
        <v>78</v>
      </c>
      <c r="D1114" s="97"/>
      <c r="E1114" s="184" t="s">
        <v>2371</v>
      </c>
      <c r="F1114" s="184" t="s">
        <v>2372</v>
      </c>
      <c r="G1114" s="245" t="s">
        <v>2373</v>
      </c>
      <c r="H1114" s="109" t="s">
        <v>290</v>
      </c>
      <c r="I1114" s="109" t="s">
        <v>2374</v>
      </c>
      <c r="J1114" s="184" t="s">
        <v>2375</v>
      </c>
      <c r="K1114" s="91"/>
      <c r="L1114" s="91"/>
      <c r="M1114" s="91"/>
      <c r="N1114" s="96" t="b">
        <v>0</v>
      </c>
      <c r="O1114" s="96" t="b">
        <v>0</v>
      </c>
      <c r="P1114" s="92"/>
      <c r="Q1114" s="92"/>
      <c r="R1114" s="92"/>
      <c r="S1114" s="92"/>
      <c r="T1114" s="92"/>
      <c r="U1114" s="92"/>
      <c r="V1114" s="92"/>
      <c r="W1114" s="92"/>
      <c r="X1114" s="92"/>
      <c r="Y1114" s="92"/>
      <c r="Z1114" s="92"/>
      <c r="AA1114" s="92"/>
      <c r="AB1114" s="92"/>
      <c r="AC1114" s="92"/>
      <c r="AD1114" s="92"/>
      <c r="AE1114" s="92"/>
      <c r="AF1114" s="92"/>
      <c r="AG1114" s="92"/>
    </row>
    <row r="1115" hidden="1">
      <c r="A1115" s="86"/>
      <c r="B1115" s="39"/>
      <c r="C1115" s="80" t="s">
        <v>78</v>
      </c>
      <c r="D1115" s="181"/>
      <c r="E1115" s="43"/>
      <c r="F1115" s="43"/>
      <c r="G1115" s="81"/>
      <c r="H1115" s="43"/>
      <c r="I1115" s="43"/>
      <c r="J1115" s="43"/>
      <c r="K1115" s="43"/>
      <c r="L1115" s="91"/>
      <c r="M1115" s="91"/>
      <c r="N1115" s="96" t="b">
        <v>0</v>
      </c>
      <c r="O1115" s="96" t="b">
        <v>0</v>
      </c>
      <c r="P1115" s="92"/>
      <c r="Q1115" s="92"/>
      <c r="R1115" s="92"/>
      <c r="S1115" s="92"/>
      <c r="T1115" s="92"/>
      <c r="U1115" s="92"/>
      <c r="V1115" s="92"/>
      <c r="W1115" s="92"/>
      <c r="X1115" s="92"/>
      <c r="Y1115" s="92"/>
      <c r="Z1115" s="92"/>
      <c r="AA1115" s="92"/>
      <c r="AB1115" s="92"/>
      <c r="AC1115" s="92"/>
      <c r="AD1115" s="92"/>
      <c r="AE1115" s="92"/>
      <c r="AF1115" s="92"/>
      <c r="AG1115" s="92"/>
    </row>
    <row r="1116" hidden="1">
      <c r="A1116" s="86"/>
      <c r="B1116" s="166"/>
      <c r="C1116" s="88">
        <v>44449.0</v>
      </c>
      <c r="D1116" s="97"/>
      <c r="E1116" s="239"/>
      <c r="F1116" s="98"/>
      <c r="G1116" s="41"/>
      <c r="H1116" s="98"/>
      <c r="I1116" s="98"/>
      <c r="J1116" s="98"/>
      <c r="K1116" s="91"/>
      <c r="L1116" s="91"/>
      <c r="M1116" s="91"/>
      <c r="N1116" s="96" t="b">
        <v>0</v>
      </c>
      <c r="O1116" s="96" t="b">
        <v>0</v>
      </c>
      <c r="P1116" s="92"/>
      <c r="Q1116" s="92"/>
      <c r="R1116" s="92"/>
      <c r="S1116" s="92"/>
      <c r="T1116" s="92"/>
      <c r="U1116" s="92"/>
      <c r="V1116" s="92"/>
      <c r="W1116" s="92"/>
      <c r="X1116" s="92"/>
      <c r="Y1116" s="92"/>
      <c r="Z1116" s="92"/>
      <c r="AA1116" s="92"/>
      <c r="AB1116" s="92"/>
      <c r="AC1116" s="92"/>
      <c r="AD1116" s="92"/>
      <c r="AE1116" s="92"/>
      <c r="AF1116" s="92"/>
      <c r="AG1116" s="92"/>
    </row>
    <row r="1117" hidden="1">
      <c r="A1117" s="86"/>
      <c r="B1117" s="18" t="s">
        <v>1668</v>
      </c>
      <c r="C1117" s="234"/>
      <c r="D1117" s="97"/>
      <c r="E1117" s="91"/>
      <c r="F1117" s="98"/>
      <c r="G1117" s="41"/>
      <c r="H1117" s="98"/>
      <c r="I1117" s="98"/>
      <c r="J1117" s="98"/>
      <c r="K1117" s="91"/>
      <c r="L1117" s="91"/>
      <c r="M1117" s="91"/>
      <c r="N1117" s="96" t="b">
        <v>0</v>
      </c>
      <c r="O1117" s="96" t="b">
        <v>0</v>
      </c>
      <c r="P1117" s="92"/>
      <c r="Q1117" s="92"/>
      <c r="R1117" s="92"/>
      <c r="S1117" s="92"/>
      <c r="T1117" s="92"/>
      <c r="U1117" s="92"/>
      <c r="V1117" s="92"/>
      <c r="W1117" s="92"/>
      <c r="X1117" s="92"/>
      <c r="Y1117" s="92"/>
      <c r="Z1117" s="92"/>
      <c r="AA1117" s="92"/>
      <c r="AB1117" s="92"/>
      <c r="AC1117" s="92"/>
      <c r="AD1117" s="92"/>
      <c r="AE1117" s="92"/>
      <c r="AF1117" s="92"/>
      <c r="AG1117" s="92"/>
    </row>
    <row r="1118" hidden="1">
      <c r="A1118" s="86"/>
      <c r="B1118" s="25"/>
      <c r="C1118" s="78" t="s">
        <v>78</v>
      </c>
      <c r="D1118" s="97"/>
      <c r="E1118" s="41"/>
      <c r="F1118" s="98"/>
      <c r="G1118" s="41"/>
      <c r="H1118" s="98"/>
      <c r="I1118" s="98"/>
      <c r="J1118" s="183"/>
      <c r="K1118" s="91"/>
      <c r="L1118" s="91"/>
      <c r="M1118" s="91"/>
      <c r="N1118" s="96" t="b">
        <v>0</v>
      </c>
      <c r="O1118" s="96" t="b">
        <v>0</v>
      </c>
      <c r="P1118" s="92"/>
      <c r="Q1118" s="92"/>
      <c r="R1118" s="92"/>
      <c r="S1118" s="92"/>
      <c r="T1118" s="92"/>
      <c r="U1118" s="92"/>
      <c r="V1118" s="92"/>
      <c r="W1118" s="92"/>
      <c r="X1118" s="92"/>
      <c r="Y1118" s="92"/>
      <c r="Z1118" s="92"/>
      <c r="AA1118" s="92"/>
      <c r="AB1118" s="92"/>
      <c r="AC1118" s="92"/>
      <c r="AD1118" s="92"/>
      <c r="AE1118" s="92"/>
      <c r="AF1118" s="92"/>
      <c r="AG1118" s="92"/>
    </row>
    <row r="1119" hidden="1">
      <c r="A1119" s="86"/>
      <c r="B1119" s="25"/>
      <c r="C1119" s="80" t="s">
        <v>78</v>
      </c>
      <c r="D1119" s="97"/>
      <c r="E1119" s="184" t="s">
        <v>685</v>
      </c>
      <c r="F1119" s="184" t="s">
        <v>686</v>
      </c>
      <c r="G1119" s="108">
        <v>0.5416666666666666</v>
      </c>
      <c r="H1119" s="109" t="s">
        <v>211</v>
      </c>
      <c r="I1119" s="109" t="s">
        <v>2376</v>
      </c>
      <c r="J1119" s="184" t="s">
        <v>688</v>
      </c>
      <c r="K1119" s="91"/>
      <c r="L1119" s="91"/>
      <c r="M1119" s="91"/>
      <c r="N1119" s="96" t="b">
        <v>0</v>
      </c>
      <c r="O1119" s="96" t="b">
        <v>0</v>
      </c>
      <c r="P1119" s="92"/>
      <c r="Q1119" s="92"/>
      <c r="R1119" s="92"/>
      <c r="S1119" s="92"/>
      <c r="T1119" s="92"/>
      <c r="U1119" s="92"/>
      <c r="V1119" s="92"/>
      <c r="W1119" s="92"/>
      <c r="X1119" s="92"/>
      <c r="Y1119" s="92"/>
      <c r="Z1119" s="92"/>
      <c r="AA1119" s="92"/>
      <c r="AB1119" s="92"/>
      <c r="AC1119" s="92"/>
      <c r="AD1119" s="92"/>
      <c r="AE1119" s="92"/>
      <c r="AF1119" s="92"/>
      <c r="AG1119" s="92"/>
    </row>
    <row r="1120" hidden="1">
      <c r="A1120" s="86"/>
      <c r="B1120" s="25"/>
      <c r="C1120" s="80" t="s">
        <v>78</v>
      </c>
      <c r="D1120" s="97"/>
      <c r="E1120" s="183" t="s">
        <v>2377</v>
      </c>
      <c r="F1120" s="183" t="s">
        <v>2378</v>
      </c>
      <c r="G1120" s="99">
        <v>0.625</v>
      </c>
      <c r="H1120" s="98" t="s">
        <v>205</v>
      </c>
      <c r="I1120" s="98" t="s">
        <v>2379</v>
      </c>
      <c r="J1120" s="183" t="s">
        <v>2380</v>
      </c>
      <c r="K1120" s="91"/>
      <c r="L1120" s="91"/>
      <c r="M1120" s="91"/>
      <c r="N1120" s="96" t="b">
        <v>0</v>
      </c>
      <c r="O1120" s="96" t="b">
        <v>0</v>
      </c>
      <c r="P1120" s="92"/>
      <c r="Q1120" s="92"/>
      <c r="R1120" s="92"/>
      <c r="S1120" s="92"/>
      <c r="T1120" s="92"/>
      <c r="U1120" s="92"/>
      <c r="V1120" s="92"/>
      <c r="W1120" s="92"/>
      <c r="X1120" s="92"/>
      <c r="Y1120" s="92"/>
      <c r="Z1120" s="92"/>
      <c r="AA1120" s="92"/>
      <c r="AB1120" s="92"/>
      <c r="AC1120" s="92"/>
      <c r="AD1120" s="92"/>
      <c r="AE1120" s="92"/>
      <c r="AF1120" s="92"/>
      <c r="AG1120" s="92"/>
    </row>
    <row r="1121" hidden="1">
      <c r="A1121" s="86"/>
      <c r="B1121" s="25"/>
      <c r="C1121" s="80" t="s">
        <v>78</v>
      </c>
      <c r="D1121" s="238"/>
      <c r="E1121" s="183" t="s">
        <v>2381</v>
      </c>
      <c r="F1121" s="183" t="s">
        <v>2382</v>
      </c>
      <c r="G1121" s="41" t="s">
        <v>2383</v>
      </c>
      <c r="H1121" s="98" t="s">
        <v>211</v>
      </c>
      <c r="I1121" s="98" t="s">
        <v>2384</v>
      </c>
      <c r="J1121" s="183" t="s">
        <v>2385</v>
      </c>
      <c r="K1121" s="91"/>
      <c r="L1121" s="91"/>
      <c r="M1121" s="91"/>
      <c r="N1121" s="96" t="b">
        <v>0</v>
      </c>
      <c r="O1121" s="96" t="b">
        <v>0</v>
      </c>
      <c r="P1121" s="92"/>
      <c r="Q1121" s="92"/>
      <c r="R1121" s="92"/>
      <c r="S1121" s="92"/>
      <c r="T1121" s="92"/>
      <c r="U1121" s="92"/>
      <c r="V1121" s="92"/>
      <c r="W1121" s="92"/>
      <c r="X1121" s="92"/>
      <c r="Y1121" s="92"/>
      <c r="Z1121" s="92"/>
      <c r="AA1121" s="92"/>
      <c r="AB1121" s="92"/>
      <c r="AC1121" s="92"/>
      <c r="AD1121" s="92"/>
      <c r="AE1121" s="92"/>
      <c r="AF1121" s="92"/>
      <c r="AG1121" s="92"/>
    </row>
    <row r="1122" hidden="1">
      <c r="A1122" s="86"/>
      <c r="B1122" s="39"/>
      <c r="C1122" s="80" t="s">
        <v>78</v>
      </c>
      <c r="D1122" s="97"/>
      <c r="E1122" s="98"/>
      <c r="F1122" s="98"/>
      <c r="G1122" s="41"/>
      <c r="H1122" s="98"/>
      <c r="I1122" s="98"/>
      <c r="J1122" s="98"/>
      <c r="K1122" s="91"/>
      <c r="L1122" s="91"/>
      <c r="M1122" s="91"/>
      <c r="N1122" s="96" t="b">
        <v>0</v>
      </c>
      <c r="O1122" s="96" t="b">
        <v>0</v>
      </c>
      <c r="P1122" s="92"/>
      <c r="Q1122" s="92"/>
      <c r="R1122" s="92"/>
      <c r="S1122" s="92"/>
      <c r="T1122" s="92"/>
      <c r="U1122" s="92"/>
      <c r="V1122" s="92"/>
      <c r="W1122" s="92"/>
      <c r="X1122" s="92"/>
      <c r="Y1122" s="92"/>
      <c r="Z1122" s="92"/>
      <c r="AA1122" s="92"/>
      <c r="AB1122" s="92"/>
      <c r="AC1122" s="92"/>
      <c r="AD1122" s="92"/>
      <c r="AE1122" s="92"/>
      <c r="AF1122" s="92"/>
      <c r="AG1122" s="92"/>
    </row>
    <row r="1123" hidden="1">
      <c r="A1123" s="86"/>
      <c r="B1123" s="18" t="s">
        <v>1971</v>
      </c>
      <c r="C1123" s="80"/>
      <c r="D1123" s="97"/>
      <c r="E1123" s="98"/>
      <c r="F1123" s="98"/>
      <c r="G1123" s="41"/>
      <c r="H1123" s="98"/>
      <c r="I1123" s="179"/>
      <c r="J1123" s="179"/>
      <c r="K1123" s="173"/>
      <c r="L1123" s="91"/>
      <c r="M1123" s="91"/>
      <c r="N1123" s="96" t="b">
        <v>0</v>
      </c>
      <c r="O1123" s="96" t="b">
        <v>0</v>
      </c>
      <c r="P1123" s="92"/>
      <c r="Q1123" s="92"/>
      <c r="R1123" s="92"/>
      <c r="S1123" s="92"/>
      <c r="T1123" s="92"/>
      <c r="U1123" s="92"/>
      <c r="V1123" s="92"/>
      <c r="W1123" s="92"/>
      <c r="X1123" s="92"/>
      <c r="Y1123" s="92"/>
      <c r="Z1123" s="92"/>
      <c r="AA1123" s="92"/>
      <c r="AB1123" s="92"/>
      <c r="AC1123" s="92"/>
      <c r="AD1123" s="92"/>
      <c r="AE1123" s="92"/>
      <c r="AF1123" s="92"/>
      <c r="AG1123" s="92"/>
    </row>
    <row r="1124" hidden="1">
      <c r="A1124" s="86"/>
      <c r="B1124" s="25"/>
      <c r="C1124" s="80" t="s">
        <v>78</v>
      </c>
      <c r="D1124" s="97"/>
      <c r="E1124" s="183" t="s">
        <v>813</v>
      </c>
      <c r="F1124" s="183" t="s">
        <v>814</v>
      </c>
      <c r="G1124" s="178">
        <v>0.5208333333333334</v>
      </c>
      <c r="H1124" s="98" t="s">
        <v>290</v>
      </c>
      <c r="I1124" s="242" t="s">
        <v>2386</v>
      </c>
      <c r="J1124" s="242" t="s">
        <v>816</v>
      </c>
      <c r="K1124" s="173"/>
      <c r="L1124" s="91"/>
      <c r="M1124" s="91"/>
      <c r="N1124" s="96" t="b">
        <v>0</v>
      </c>
      <c r="O1124" s="96" t="b">
        <v>0</v>
      </c>
      <c r="P1124" s="92"/>
      <c r="Q1124" s="92"/>
      <c r="R1124" s="92"/>
      <c r="S1124" s="92"/>
      <c r="T1124" s="92"/>
      <c r="U1124" s="92"/>
      <c r="V1124" s="92"/>
      <c r="W1124" s="92"/>
      <c r="X1124" s="92"/>
      <c r="Y1124" s="92"/>
      <c r="Z1124" s="92"/>
      <c r="AA1124" s="92"/>
      <c r="AB1124" s="92"/>
      <c r="AC1124" s="92"/>
      <c r="AD1124" s="92"/>
      <c r="AE1124" s="92"/>
      <c r="AF1124" s="92"/>
      <c r="AG1124" s="92"/>
    </row>
    <row r="1125" hidden="1">
      <c r="A1125" s="86"/>
      <c r="B1125" s="25"/>
      <c r="C1125" s="78" t="s">
        <v>78</v>
      </c>
      <c r="D1125" s="97"/>
      <c r="E1125" s="184" t="s">
        <v>917</v>
      </c>
      <c r="F1125" s="184" t="s">
        <v>918</v>
      </c>
      <c r="G1125" s="240">
        <v>0.5833333333333334</v>
      </c>
      <c r="H1125" s="109" t="s">
        <v>290</v>
      </c>
      <c r="I1125" s="241" t="s">
        <v>919</v>
      </c>
      <c r="J1125" s="241" t="s">
        <v>920</v>
      </c>
      <c r="K1125" s="173"/>
      <c r="L1125" s="91"/>
      <c r="M1125" s="91"/>
      <c r="N1125" s="96" t="b">
        <v>0</v>
      </c>
      <c r="O1125" s="96" t="b">
        <v>0</v>
      </c>
      <c r="P1125" s="92"/>
      <c r="Q1125" s="92"/>
      <c r="R1125" s="92"/>
      <c r="S1125" s="92"/>
      <c r="T1125" s="92"/>
      <c r="U1125" s="92"/>
      <c r="V1125" s="92"/>
      <c r="W1125" s="92"/>
      <c r="X1125" s="92"/>
      <c r="Y1125" s="92"/>
      <c r="Z1125" s="92"/>
      <c r="AA1125" s="92"/>
      <c r="AB1125" s="92"/>
      <c r="AC1125" s="92"/>
      <c r="AD1125" s="92"/>
      <c r="AE1125" s="92"/>
      <c r="AF1125" s="92"/>
      <c r="AG1125" s="92"/>
    </row>
    <row r="1126" hidden="1">
      <c r="A1126" s="86"/>
      <c r="B1126" s="25"/>
      <c r="C1126" s="80" t="s">
        <v>78</v>
      </c>
      <c r="D1126" s="97"/>
      <c r="E1126" s="183" t="s">
        <v>2387</v>
      </c>
      <c r="F1126" s="183" t="s">
        <v>2388</v>
      </c>
      <c r="G1126" s="178">
        <v>0.6666666666666666</v>
      </c>
      <c r="H1126" s="98" t="s">
        <v>568</v>
      </c>
      <c r="I1126" s="242" t="s">
        <v>2389</v>
      </c>
      <c r="J1126" s="242" t="s">
        <v>2390</v>
      </c>
      <c r="K1126" s="179"/>
      <c r="L1126" s="91"/>
      <c r="M1126" s="91"/>
      <c r="N1126" s="96" t="b">
        <v>0</v>
      </c>
      <c r="O1126" s="96" t="b">
        <v>0</v>
      </c>
      <c r="P1126" s="92"/>
      <c r="Q1126" s="92"/>
      <c r="R1126" s="92"/>
      <c r="S1126" s="92"/>
      <c r="T1126" s="92"/>
      <c r="U1126" s="92"/>
      <c r="V1126" s="92"/>
      <c r="W1126" s="92"/>
      <c r="X1126" s="92"/>
      <c r="Y1126" s="92"/>
      <c r="Z1126" s="92"/>
      <c r="AA1126" s="92"/>
      <c r="AB1126" s="92"/>
      <c r="AC1126" s="92"/>
      <c r="AD1126" s="92"/>
      <c r="AE1126" s="92"/>
      <c r="AF1126" s="92"/>
      <c r="AG1126" s="92"/>
    </row>
    <row r="1127" hidden="1">
      <c r="A1127" s="86"/>
      <c r="B1127" s="25"/>
      <c r="C1127" s="80" t="s">
        <v>78</v>
      </c>
      <c r="D1127" s="97"/>
      <c r="E1127" s="183" t="s">
        <v>1166</v>
      </c>
      <c r="F1127" s="183" t="s">
        <v>1167</v>
      </c>
      <c r="G1127" s="178">
        <v>0.75</v>
      </c>
      <c r="H1127" s="98" t="s">
        <v>1168</v>
      </c>
      <c r="I1127" s="98" t="s">
        <v>2391</v>
      </c>
      <c r="J1127" s="183" t="s">
        <v>1170</v>
      </c>
      <c r="K1127" s="98" t="s">
        <v>2392</v>
      </c>
      <c r="L1127" s="91"/>
      <c r="M1127" s="91"/>
      <c r="N1127" s="96" t="b">
        <v>0</v>
      </c>
      <c r="O1127" s="96" t="b">
        <v>0</v>
      </c>
      <c r="P1127" s="92"/>
      <c r="Q1127" s="92"/>
      <c r="R1127" s="92"/>
      <c r="S1127" s="92"/>
      <c r="T1127" s="92"/>
      <c r="U1127" s="92"/>
      <c r="V1127" s="92"/>
      <c r="W1127" s="92"/>
      <c r="X1127" s="92"/>
      <c r="Y1127" s="92"/>
      <c r="Z1127" s="92"/>
      <c r="AA1127" s="92"/>
      <c r="AB1127" s="92"/>
      <c r="AC1127" s="92"/>
      <c r="AD1127" s="92"/>
      <c r="AE1127" s="92"/>
      <c r="AF1127" s="92"/>
      <c r="AG1127" s="92"/>
    </row>
    <row r="1128" hidden="1">
      <c r="A1128" s="86"/>
      <c r="B1128" s="39"/>
      <c r="C1128" s="80" t="s">
        <v>78</v>
      </c>
      <c r="D1128" s="97"/>
      <c r="E1128" s="43"/>
      <c r="F1128" s="43"/>
      <c r="G1128" s="81"/>
      <c r="H1128" s="43"/>
      <c r="I1128" s="43"/>
      <c r="J1128" s="43"/>
      <c r="K1128" s="43"/>
      <c r="L1128" s="91"/>
      <c r="M1128" s="91"/>
      <c r="N1128" s="96" t="b">
        <v>0</v>
      </c>
      <c r="O1128" s="96" t="b">
        <v>0</v>
      </c>
      <c r="P1128" s="92"/>
      <c r="Q1128" s="92"/>
      <c r="R1128" s="92"/>
      <c r="S1128" s="92"/>
      <c r="T1128" s="92"/>
      <c r="U1128" s="92"/>
      <c r="V1128" s="92"/>
      <c r="W1128" s="92"/>
      <c r="X1128" s="92"/>
      <c r="Y1128" s="92"/>
      <c r="Z1128" s="92"/>
      <c r="AA1128" s="92"/>
      <c r="AB1128" s="92"/>
      <c r="AC1128" s="92"/>
      <c r="AD1128" s="92"/>
      <c r="AE1128" s="92"/>
      <c r="AF1128" s="92"/>
      <c r="AG1128" s="92"/>
    </row>
    <row r="1129" ht="16.5" hidden="1" customHeight="1">
      <c r="A1129" s="86"/>
      <c r="B1129" s="166"/>
      <c r="C1129" s="88">
        <v>44452.0</v>
      </c>
      <c r="D1129" s="97"/>
      <c r="E1129" s="98"/>
      <c r="F1129" s="98"/>
      <c r="G1129" s="41"/>
      <c r="H1129" s="98"/>
      <c r="I1129" s="98"/>
      <c r="J1129" s="98"/>
      <c r="K1129" s="91"/>
      <c r="L1129" s="91"/>
      <c r="M1129" s="91"/>
      <c r="N1129" s="96" t="b">
        <v>0</v>
      </c>
      <c r="O1129" s="96" t="b">
        <v>0</v>
      </c>
      <c r="P1129" s="92"/>
      <c r="Q1129" s="92"/>
      <c r="R1129" s="92"/>
      <c r="S1129" s="92"/>
      <c r="T1129" s="92"/>
      <c r="U1129" s="92"/>
      <c r="V1129" s="92"/>
      <c r="W1129" s="92"/>
      <c r="X1129" s="92"/>
      <c r="Y1129" s="92"/>
      <c r="Z1129" s="92"/>
      <c r="AA1129" s="92"/>
      <c r="AB1129" s="92"/>
      <c r="AC1129" s="92"/>
      <c r="AD1129" s="92"/>
      <c r="AE1129" s="92"/>
      <c r="AF1129" s="92"/>
      <c r="AG1129" s="92"/>
    </row>
    <row r="1130" hidden="1">
      <c r="A1130" s="86"/>
      <c r="B1130" s="18" t="s">
        <v>1668</v>
      </c>
      <c r="C1130" s="234"/>
      <c r="D1130" s="97"/>
      <c r="E1130" s="98"/>
      <c r="F1130" s="98"/>
      <c r="G1130" s="41"/>
      <c r="H1130" s="98"/>
      <c r="I1130" s="98"/>
      <c r="J1130" s="98"/>
      <c r="K1130" s="91"/>
      <c r="L1130" s="91"/>
      <c r="M1130" s="91"/>
      <c r="N1130" s="96" t="b">
        <v>0</v>
      </c>
      <c r="O1130" s="96" t="b">
        <v>0</v>
      </c>
      <c r="P1130" s="92"/>
      <c r="Q1130" s="92"/>
      <c r="R1130" s="92"/>
      <c r="S1130" s="92"/>
      <c r="T1130" s="92"/>
      <c r="U1130" s="92"/>
      <c r="V1130" s="92"/>
      <c r="W1130" s="92"/>
      <c r="X1130" s="92"/>
      <c r="Y1130" s="92"/>
      <c r="Z1130" s="92"/>
      <c r="AA1130" s="92"/>
      <c r="AB1130" s="92"/>
      <c r="AC1130" s="92"/>
      <c r="AD1130" s="92"/>
      <c r="AE1130" s="92"/>
      <c r="AF1130" s="92"/>
      <c r="AG1130" s="92"/>
    </row>
    <row r="1131" hidden="1">
      <c r="A1131" s="86"/>
      <c r="B1131" s="25"/>
      <c r="C1131" s="78" t="s">
        <v>78</v>
      </c>
      <c r="D1131" s="97" t="s">
        <v>79</v>
      </c>
      <c r="E1131" s="183" t="s">
        <v>1112</v>
      </c>
      <c r="F1131" s="183" t="s">
        <v>1113</v>
      </c>
      <c r="G1131" s="41" t="s">
        <v>380</v>
      </c>
      <c r="H1131" s="98" t="s">
        <v>2393</v>
      </c>
      <c r="I1131" s="98" t="s">
        <v>2394</v>
      </c>
      <c r="J1131" s="183" t="s">
        <v>1115</v>
      </c>
      <c r="K1131" s="98" t="s">
        <v>2395</v>
      </c>
      <c r="L1131" s="91"/>
      <c r="M1131" s="91"/>
      <c r="N1131" s="96" t="b">
        <v>0</v>
      </c>
      <c r="O1131" s="96" t="b">
        <v>0</v>
      </c>
      <c r="P1131" s="92"/>
      <c r="Q1131" s="92"/>
      <c r="R1131" s="92"/>
      <c r="S1131" s="92"/>
      <c r="T1131" s="92"/>
      <c r="U1131" s="92"/>
      <c r="V1131" s="92"/>
      <c r="W1131" s="92"/>
      <c r="X1131" s="92"/>
      <c r="Y1131" s="92"/>
      <c r="Z1131" s="92"/>
      <c r="AA1131" s="92"/>
      <c r="AB1131" s="92"/>
      <c r="AC1131" s="92"/>
      <c r="AD1131" s="92"/>
      <c r="AE1131" s="92"/>
      <c r="AF1131" s="92"/>
      <c r="AG1131" s="92"/>
    </row>
    <row r="1132" hidden="1">
      <c r="A1132" s="86"/>
      <c r="B1132" s="25"/>
      <c r="C1132" s="80" t="s">
        <v>78</v>
      </c>
      <c r="D1132" s="97" t="s">
        <v>79</v>
      </c>
      <c r="E1132" s="183" t="s">
        <v>2396</v>
      </c>
      <c r="F1132" s="183" t="s">
        <v>2397</v>
      </c>
      <c r="G1132" s="99">
        <v>0.5833333333333334</v>
      </c>
      <c r="H1132" s="98" t="s">
        <v>2398</v>
      </c>
      <c r="I1132" s="98" t="s">
        <v>2399</v>
      </c>
      <c r="J1132" s="98" t="s">
        <v>2400</v>
      </c>
      <c r="K1132" s="91"/>
      <c r="L1132" s="91"/>
      <c r="M1132" s="91"/>
      <c r="N1132" s="96" t="b">
        <v>0</v>
      </c>
      <c r="O1132" s="96" t="b">
        <v>0</v>
      </c>
      <c r="P1132" s="92"/>
      <c r="Q1132" s="92"/>
      <c r="R1132" s="92"/>
      <c r="S1132" s="92"/>
      <c r="T1132" s="92"/>
      <c r="U1132" s="92"/>
      <c r="V1132" s="92"/>
      <c r="W1132" s="92"/>
      <c r="X1132" s="92"/>
      <c r="Y1132" s="92"/>
      <c r="Z1132" s="92"/>
      <c r="AA1132" s="92"/>
      <c r="AB1132" s="92"/>
      <c r="AC1132" s="92"/>
      <c r="AD1132" s="92"/>
      <c r="AE1132" s="92"/>
      <c r="AF1132" s="92"/>
      <c r="AG1132" s="92"/>
    </row>
    <row r="1133" hidden="1">
      <c r="A1133" s="86"/>
      <c r="B1133" s="25"/>
      <c r="C1133" s="80" t="s">
        <v>78</v>
      </c>
      <c r="D1133" s="97" t="s">
        <v>79</v>
      </c>
      <c r="E1133" s="184" t="s">
        <v>2401</v>
      </c>
      <c r="F1133" s="184" t="s">
        <v>2402</v>
      </c>
      <c r="G1133" s="108">
        <v>0.6666666666666666</v>
      </c>
      <c r="H1133" s="109" t="s">
        <v>211</v>
      </c>
      <c r="I1133" s="109" t="s">
        <v>2403</v>
      </c>
      <c r="J1133" s="109" t="s">
        <v>2404</v>
      </c>
      <c r="K1133" s="91"/>
      <c r="L1133" s="91"/>
      <c r="M1133" s="91"/>
      <c r="N1133" s="96" t="b">
        <v>0</v>
      </c>
      <c r="O1133" s="96" t="b">
        <v>0</v>
      </c>
      <c r="P1133" s="92"/>
      <c r="Q1133" s="92"/>
      <c r="R1133" s="92"/>
      <c r="S1133" s="92"/>
      <c r="T1133" s="92"/>
      <c r="U1133" s="92"/>
      <c r="V1133" s="92"/>
      <c r="W1133" s="92"/>
      <c r="X1133" s="92"/>
      <c r="Y1133" s="92"/>
      <c r="Z1133" s="92"/>
      <c r="AA1133" s="92"/>
      <c r="AB1133" s="92"/>
      <c r="AC1133" s="92"/>
      <c r="AD1133" s="92"/>
      <c r="AE1133" s="92"/>
      <c r="AF1133" s="92"/>
      <c r="AG1133" s="92"/>
    </row>
    <row r="1134" hidden="1">
      <c r="A1134" s="86"/>
      <c r="B1134" s="25"/>
      <c r="C1134" s="80" t="s">
        <v>78</v>
      </c>
      <c r="D1134" s="97" t="s">
        <v>79</v>
      </c>
      <c r="E1134" s="183" t="s">
        <v>2405</v>
      </c>
      <c r="F1134" s="183" t="s">
        <v>2406</v>
      </c>
      <c r="G1134" s="99">
        <v>0.75</v>
      </c>
      <c r="H1134" s="98" t="s">
        <v>211</v>
      </c>
      <c r="I1134" s="98" t="s">
        <v>2407</v>
      </c>
      <c r="J1134" s="98" t="s">
        <v>2408</v>
      </c>
      <c r="K1134" s="91"/>
      <c r="L1134" s="91"/>
      <c r="M1134" s="91"/>
      <c r="N1134" s="96" t="b">
        <v>0</v>
      </c>
      <c r="O1134" s="96" t="b">
        <v>0</v>
      </c>
      <c r="P1134" s="92"/>
      <c r="Q1134" s="92"/>
      <c r="R1134" s="92"/>
      <c r="S1134" s="92"/>
      <c r="T1134" s="92"/>
      <c r="U1134" s="92"/>
      <c r="V1134" s="92"/>
      <c r="W1134" s="92"/>
      <c r="X1134" s="92"/>
      <c r="Y1134" s="92"/>
      <c r="Z1134" s="92"/>
      <c r="AA1134" s="92"/>
      <c r="AB1134" s="92"/>
      <c r="AC1134" s="92"/>
      <c r="AD1134" s="92"/>
      <c r="AE1134" s="92"/>
      <c r="AF1134" s="92"/>
      <c r="AG1134" s="92"/>
    </row>
    <row r="1135" hidden="1">
      <c r="A1135" s="86"/>
      <c r="B1135" s="39"/>
      <c r="C1135" s="80" t="s">
        <v>78</v>
      </c>
      <c r="D1135" s="97"/>
      <c r="E1135" s="98"/>
      <c r="F1135" s="98"/>
      <c r="G1135" s="41"/>
      <c r="H1135" s="98"/>
      <c r="I1135" s="98"/>
      <c r="J1135" s="98"/>
      <c r="K1135" s="91"/>
      <c r="L1135" s="91"/>
      <c r="M1135" s="91"/>
      <c r="N1135" s="96" t="b">
        <v>0</v>
      </c>
      <c r="O1135" s="96" t="b">
        <v>0</v>
      </c>
      <c r="P1135" s="92"/>
      <c r="Q1135" s="92"/>
      <c r="R1135" s="92"/>
      <c r="S1135" s="92"/>
      <c r="T1135" s="92"/>
      <c r="U1135" s="92"/>
      <c r="V1135" s="92"/>
      <c r="W1135" s="92"/>
      <c r="X1135" s="92"/>
      <c r="Y1135" s="92"/>
      <c r="Z1135" s="92"/>
      <c r="AA1135" s="92"/>
      <c r="AB1135" s="92"/>
      <c r="AC1135" s="92"/>
      <c r="AD1135" s="92"/>
      <c r="AE1135" s="92"/>
      <c r="AF1135" s="92"/>
      <c r="AG1135" s="92"/>
    </row>
    <row r="1136" hidden="1">
      <c r="A1136" s="86"/>
      <c r="B1136" s="18" t="s">
        <v>1971</v>
      </c>
      <c r="C1136" s="80"/>
      <c r="D1136" s="97"/>
      <c r="E1136" s="98"/>
      <c r="F1136" s="98"/>
      <c r="G1136" s="41"/>
      <c r="H1136" s="98"/>
      <c r="I1136" s="98"/>
      <c r="J1136" s="98"/>
      <c r="K1136" s="91"/>
      <c r="L1136" s="91"/>
      <c r="M1136" s="91"/>
      <c r="N1136" s="96" t="b">
        <v>0</v>
      </c>
      <c r="O1136" s="96" t="b">
        <v>0</v>
      </c>
      <c r="P1136" s="92"/>
      <c r="Q1136" s="92"/>
      <c r="R1136" s="92"/>
      <c r="S1136" s="92"/>
      <c r="T1136" s="92"/>
      <c r="U1136" s="92"/>
      <c r="V1136" s="92"/>
      <c r="W1136" s="92"/>
      <c r="X1136" s="92"/>
      <c r="Y1136" s="92"/>
      <c r="Z1136" s="92"/>
      <c r="AA1136" s="92"/>
      <c r="AB1136" s="92"/>
      <c r="AC1136" s="92"/>
      <c r="AD1136" s="92"/>
      <c r="AE1136" s="92"/>
      <c r="AF1136" s="92"/>
      <c r="AG1136" s="92"/>
    </row>
    <row r="1137" hidden="1">
      <c r="A1137" s="86"/>
      <c r="B1137" s="25"/>
      <c r="C1137" s="80" t="s">
        <v>78</v>
      </c>
      <c r="D1137" s="97" t="s">
        <v>79</v>
      </c>
      <c r="E1137" s="183" t="s">
        <v>2409</v>
      </c>
      <c r="F1137" s="183" t="s">
        <v>2410</v>
      </c>
      <c r="G1137" s="99">
        <v>0.5416666666666666</v>
      </c>
      <c r="H1137" s="98" t="s">
        <v>2411</v>
      </c>
      <c r="I1137" s="98" t="s">
        <v>2412</v>
      </c>
      <c r="J1137" s="98" t="s">
        <v>2413</v>
      </c>
      <c r="K1137" s="91"/>
      <c r="L1137" s="91"/>
      <c r="M1137" s="91"/>
      <c r="N1137" s="96" t="b">
        <v>0</v>
      </c>
      <c r="O1137" s="96" t="b">
        <v>0</v>
      </c>
      <c r="P1137" s="92"/>
      <c r="Q1137" s="92"/>
      <c r="R1137" s="92"/>
      <c r="S1137" s="92"/>
      <c r="T1137" s="92"/>
      <c r="U1137" s="92"/>
      <c r="V1137" s="92"/>
      <c r="W1137" s="92"/>
      <c r="X1137" s="92"/>
      <c r="Y1137" s="92"/>
      <c r="Z1137" s="92"/>
      <c r="AA1137" s="92"/>
      <c r="AB1137" s="92"/>
      <c r="AC1137" s="92"/>
      <c r="AD1137" s="92"/>
      <c r="AE1137" s="92"/>
      <c r="AF1137" s="92"/>
      <c r="AG1137" s="92"/>
    </row>
    <row r="1138" hidden="1">
      <c r="A1138" s="86"/>
      <c r="B1138" s="25"/>
      <c r="C1138" s="78" t="s">
        <v>78</v>
      </c>
      <c r="D1138" s="97" t="s">
        <v>79</v>
      </c>
      <c r="E1138" s="183" t="s">
        <v>2414</v>
      </c>
      <c r="F1138" s="183" t="s">
        <v>2415</v>
      </c>
      <c r="G1138" s="99">
        <v>0.625</v>
      </c>
      <c r="H1138" s="98" t="s">
        <v>290</v>
      </c>
      <c r="I1138" s="98" t="s">
        <v>2416</v>
      </c>
      <c r="J1138" s="183" t="s">
        <v>2417</v>
      </c>
      <c r="K1138" s="183"/>
      <c r="L1138" s="91"/>
      <c r="M1138" s="91"/>
      <c r="N1138" s="96" t="b">
        <v>0</v>
      </c>
      <c r="O1138" s="96" t="b">
        <v>0</v>
      </c>
      <c r="P1138" s="92"/>
      <c r="Q1138" s="92"/>
      <c r="R1138" s="92"/>
      <c r="S1138" s="92"/>
      <c r="T1138" s="92"/>
      <c r="U1138" s="92"/>
      <c r="V1138" s="92"/>
      <c r="W1138" s="92"/>
      <c r="X1138" s="92"/>
      <c r="Y1138" s="92"/>
      <c r="Z1138" s="92"/>
      <c r="AA1138" s="92"/>
      <c r="AB1138" s="92"/>
      <c r="AC1138" s="92"/>
      <c r="AD1138" s="92"/>
      <c r="AE1138" s="92"/>
      <c r="AF1138" s="92"/>
      <c r="AG1138" s="92"/>
    </row>
    <row r="1139" hidden="1">
      <c r="A1139" s="86"/>
      <c r="B1139" s="25"/>
      <c r="C1139" s="80" t="s">
        <v>78</v>
      </c>
      <c r="D1139" s="97" t="s">
        <v>2418</v>
      </c>
      <c r="E1139" s="184" t="s">
        <v>2419</v>
      </c>
      <c r="F1139" s="184" t="s">
        <v>2420</v>
      </c>
      <c r="G1139" s="108">
        <v>0.7083333333333334</v>
      </c>
      <c r="H1139" s="109" t="s">
        <v>2421</v>
      </c>
      <c r="I1139" s="109" t="s">
        <v>2422</v>
      </c>
      <c r="J1139" s="183" t="s">
        <v>2423</v>
      </c>
      <c r="K1139" s="91"/>
      <c r="L1139" s="91"/>
      <c r="M1139" s="91"/>
      <c r="N1139" s="96" t="b">
        <v>0</v>
      </c>
      <c r="O1139" s="96" t="b">
        <v>0</v>
      </c>
      <c r="P1139" s="92"/>
      <c r="Q1139" s="92"/>
      <c r="R1139" s="92"/>
      <c r="S1139" s="92"/>
      <c r="T1139" s="92"/>
      <c r="U1139" s="92"/>
      <c r="V1139" s="92"/>
      <c r="W1139" s="92"/>
      <c r="X1139" s="92"/>
      <c r="Y1139" s="92"/>
      <c r="Z1139" s="92"/>
      <c r="AA1139" s="92"/>
      <c r="AB1139" s="92"/>
      <c r="AC1139" s="92"/>
      <c r="AD1139" s="92"/>
      <c r="AE1139" s="92"/>
      <c r="AF1139" s="92"/>
      <c r="AG1139" s="92"/>
    </row>
    <row r="1140" hidden="1">
      <c r="A1140" s="86"/>
      <c r="B1140" s="25"/>
      <c r="C1140" s="80" t="s">
        <v>78</v>
      </c>
      <c r="D1140" s="97" t="s">
        <v>79</v>
      </c>
      <c r="E1140" s="183" t="s">
        <v>766</v>
      </c>
      <c r="F1140" s="183" t="s">
        <v>767</v>
      </c>
      <c r="G1140" s="99">
        <v>0.7708333333333334</v>
      </c>
      <c r="H1140" s="98" t="s">
        <v>755</v>
      </c>
      <c r="I1140" s="98" t="s">
        <v>768</v>
      </c>
      <c r="J1140" s="183" t="s">
        <v>769</v>
      </c>
      <c r="K1140" s="91"/>
      <c r="L1140" s="91"/>
      <c r="M1140" s="91"/>
      <c r="N1140" s="96" t="b">
        <v>0</v>
      </c>
      <c r="O1140" s="96" t="b">
        <v>0</v>
      </c>
      <c r="P1140" s="92"/>
      <c r="Q1140" s="92"/>
      <c r="R1140" s="92"/>
      <c r="S1140" s="92"/>
      <c r="T1140" s="92"/>
      <c r="U1140" s="92"/>
      <c r="V1140" s="92"/>
      <c r="W1140" s="92"/>
      <c r="X1140" s="92"/>
      <c r="Y1140" s="92"/>
      <c r="Z1140" s="92"/>
      <c r="AA1140" s="92"/>
      <c r="AB1140" s="92"/>
      <c r="AC1140" s="92"/>
      <c r="AD1140" s="92"/>
      <c r="AE1140" s="92"/>
      <c r="AF1140" s="92"/>
      <c r="AG1140" s="92"/>
    </row>
    <row r="1141" hidden="1">
      <c r="A1141" s="86"/>
      <c r="B1141" s="39"/>
      <c r="C1141" s="80" t="s">
        <v>78</v>
      </c>
      <c r="D1141" s="97"/>
      <c r="E1141" s="98"/>
      <c r="F1141" s="98"/>
      <c r="G1141" s="41"/>
      <c r="H1141" s="98"/>
      <c r="I1141" s="98"/>
      <c r="J1141" s="98"/>
      <c r="K1141" s="91"/>
      <c r="L1141" s="91"/>
      <c r="M1141" s="91"/>
      <c r="N1141" s="96" t="b">
        <v>0</v>
      </c>
      <c r="O1141" s="96" t="b">
        <v>0</v>
      </c>
      <c r="P1141" s="92"/>
      <c r="Q1141" s="92"/>
      <c r="R1141" s="92"/>
      <c r="S1141" s="92"/>
      <c r="T1141" s="92"/>
      <c r="U1141" s="92"/>
      <c r="V1141" s="92"/>
      <c r="W1141" s="92"/>
      <c r="X1141" s="92"/>
      <c r="Y1141" s="92"/>
      <c r="Z1141" s="92"/>
      <c r="AA1141" s="92"/>
      <c r="AB1141" s="92"/>
      <c r="AC1141" s="92"/>
      <c r="AD1141" s="92"/>
      <c r="AE1141" s="92"/>
      <c r="AF1141" s="92"/>
      <c r="AG1141" s="92"/>
    </row>
    <row r="1142" hidden="1">
      <c r="A1142" s="86"/>
      <c r="B1142" s="166"/>
      <c r="C1142" s="88">
        <v>44453.0</v>
      </c>
      <c r="D1142" s="97"/>
      <c r="E1142" s="98"/>
      <c r="F1142" s="98"/>
      <c r="G1142" s="41"/>
      <c r="H1142" s="98"/>
      <c r="I1142" s="98"/>
      <c r="J1142" s="98"/>
      <c r="K1142" s="91"/>
      <c r="L1142" s="91"/>
      <c r="M1142" s="91"/>
      <c r="N1142" s="96" t="b">
        <v>0</v>
      </c>
      <c r="O1142" s="96" t="b">
        <v>0</v>
      </c>
      <c r="P1142" s="92"/>
      <c r="Q1142" s="92"/>
      <c r="R1142" s="92"/>
      <c r="S1142" s="92"/>
      <c r="T1142" s="92"/>
      <c r="U1142" s="92"/>
      <c r="V1142" s="92"/>
      <c r="W1142" s="92"/>
      <c r="X1142" s="92"/>
      <c r="Y1142" s="92"/>
      <c r="Z1142" s="92"/>
      <c r="AA1142" s="92"/>
      <c r="AB1142" s="92"/>
      <c r="AC1142" s="92"/>
      <c r="AD1142" s="92"/>
      <c r="AE1142" s="92"/>
      <c r="AF1142" s="92"/>
      <c r="AG1142" s="92"/>
    </row>
    <row r="1143" hidden="1">
      <c r="A1143" s="86"/>
      <c r="B1143" s="18" t="s">
        <v>1668</v>
      </c>
      <c r="C1143" s="234"/>
      <c r="D1143" s="97"/>
      <c r="E1143" s="98"/>
      <c r="F1143" s="98"/>
      <c r="G1143" s="41"/>
      <c r="H1143" s="98"/>
      <c r="I1143" s="98"/>
      <c r="J1143" s="98"/>
      <c r="K1143" s="91"/>
      <c r="L1143" s="91"/>
      <c r="M1143" s="91"/>
      <c r="N1143" s="96" t="b">
        <v>0</v>
      </c>
      <c r="O1143" s="96" t="b">
        <v>0</v>
      </c>
      <c r="P1143" s="92"/>
      <c r="Q1143" s="92"/>
      <c r="R1143" s="92"/>
      <c r="S1143" s="92"/>
      <c r="T1143" s="92"/>
      <c r="U1143" s="92"/>
      <c r="V1143" s="92"/>
      <c r="W1143" s="92"/>
      <c r="X1143" s="92"/>
      <c r="Y1143" s="92"/>
      <c r="Z1143" s="92"/>
      <c r="AA1143" s="92"/>
      <c r="AB1143" s="92"/>
      <c r="AC1143" s="92"/>
      <c r="AD1143" s="92"/>
      <c r="AE1143" s="92"/>
      <c r="AF1143" s="92"/>
      <c r="AG1143" s="92"/>
    </row>
    <row r="1144" hidden="1">
      <c r="A1144" s="86"/>
      <c r="B1144" s="25"/>
      <c r="C1144" s="78" t="s">
        <v>78</v>
      </c>
      <c r="D1144" s="97" t="s">
        <v>79</v>
      </c>
      <c r="E1144" s="183" t="s">
        <v>1112</v>
      </c>
      <c r="F1144" s="183" t="s">
        <v>1113</v>
      </c>
      <c r="G1144" s="41" t="s">
        <v>380</v>
      </c>
      <c r="H1144" s="98" t="s">
        <v>2393</v>
      </c>
      <c r="I1144" s="98" t="s">
        <v>2394</v>
      </c>
      <c r="J1144" s="183" t="s">
        <v>1115</v>
      </c>
      <c r="K1144" s="98" t="s">
        <v>2395</v>
      </c>
      <c r="L1144" s="91"/>
      <c r="M1144" s="91"/>
      <c r="N1144" s="96" t="b">
        <v>0</v>
      </c>
      <c r="O1144" s="96" t="b">
        <v>0</v>
      </c>
      <c r="P1144" s="92"/>
      <c r="Q1144" s="92"/>
      <c r="R1144" s="92"/>
      <c r="S1144" s="92"/>
      <c r="T1144" s="92"/>
      <c r="U1144" s="92"/>
      <c r="V1144" s="92"/>
      <c r="W1144" s="92"/>
      <c r="X1144" s="92"/>
      <c r="Y1144" s="92"/>
      <c r="Z1144" s="92"/>
      <c r="AA1144" s="92"/>
      <c r="AB1144" s="92"/>
      <c r="AC1144" s="92"/>
      <c r="AD1144" s="92"/>
      <c r="AE1144" s="92"/>
      <c r="AF1144" s="92"/>
      <c r="AG1144" s="92"/>
    </row>
    <row r="1145" hidden="1">
      <c r="A1145" s="86"/>
      <c r="B1145" s="25"/>
      <c r="C1145" s="80" t="s">
        <v>78</v>
      </c>
      <c r="D1145" s="97" t="s">
        <v>79</v>
      </c>
      <c r="E1145" s="98" t="s">
        <v>986</v>
      </c>
      <c r="F1145" s="98" t="s">
        <v>987</v>
      </c>
      <c r="G1145" s="99">
        <v>0.5833333333333334</v>
      </c>
      <c r="H1145" s="98" t="s">
        <v>82</v>
      </c>
      <c r="I1145" s="98" t="s">
        <v>988</v>
      </c>
      <c r="J1145" s="98" t="s">
        <v>989</v>
      </c>
      <c r="K1145" s="91"/>
      <c r="L1145" s="91"/>
      <c r="M1145" s="91"/>
      <c r="N1145" s="96" t="b">
        <v>0</v>
      </c>
      <c r="O1145" s="96" t="b">
        <v>0</v>
      </c>
      <c r="P1145" s="92"/>
      <c r="Q1145" s="92"/>
      <c r="R1145" s="92"/>
      <c r="S1145" s="92"/>
      <c r="T1145" s="92"/>
      <c r="U1145" s="92"/>
      <c r="V1145" s="92"/>
      <c r="W1145" s="92"/>
      <c r="X1145" s="92"/>
      <c r="Y1145" s="92"/>
      <c r="Z1145" s="92"/>
      <c r="AA1145" s="92"/>
      <c r="AB1145" s="92"/>
      <c r="AC1145" s="92"/>
      <c r="AD1145" s="92"/>
      <c r="AE1145" s="92"/>
      <c r="AF1145" s="92"/>
      <c r="AG1145" s="92"/>
    </row>
    <row r="1146" hidden="1">
      <c r="A1146" s="86"/>
      <c r="B1146" s="25"/>
      <c r="C1146" s="80" t="s">
        <v>78</v>
      </c>
      <c r="D1146" s="97" t="s">
        <v>2424</v>
      </c>
      <c r="E1146" s="183" t="s">
        <v>1181</v>
      </c>
      <c r="F1146" s="183" t="s">
        <v>1182</v>
      </c>
      <c r="G1146" s="41" t="s">
        <v>180</v>
      </c>
      <c r="H1146" s="98" t="s">
        <v>82</v>
      </c>
      <c r="I1146" s="203" t="s">
        <v>2425</v>
      </c>
      <c r="J1146" s="183" t="s">
        <v>1184</v>
      </c>
      <c r="K1146" s="91"/>
      <c r="L1146" s="91"/>
      <c r="M1146" s="91"/>
      <c r="N1146" s="96" t="b">
        <v>0</v>
      </c>
      <c r="O1146" s="96" t="b">
        <v>0</v>
      </c>
      <c r="P1146" s="92"/>
      <c r="Q1146" s="92"/>
      <c r="R1146" s="92"/>
      <c r="S1146" s="92"/>
      <c r="T1146" s="92"/>
      <c r="U1146" s="92"/>
      <c r="V1146" s="92"/>
      <c r="W1146" s="92"/>
      <c r="X1146" s="92"/>
      <c r="Y1146" s="92"/>
      <c r="Z1146" s="92"/>
      <c r="AA1146" s="92"/>
      <c r="AB1146" s="92"/>
      <c r="AC1146" s="92"/>
      <c r="AD1146" s="92"/>
      <c r="AE1146" s="92"/>
      <c r="AF1146" s="92"/>
      <c r="AG1146" s="92"/>
    </row>
    <row r="1147" hidden="1">
      <c r="A1147" s="86"/>
      <c r="B1147" s="25"/>
      <c r="C1147" s="80" t="s">
        <v>78</v>
      </c>
      <c r="D1147" s="97" t="s">
        <v>79</v>
      </c>
      <c r="E1147" s="183" t="s">
        <v>1116</v>
      </c>
      <c r="F1147" s="183" t="s">
        <v>1117</v>
      </c>
      <c r="G1147" s="41" t="s">
        <v>43</v>
      </c>
      <c r="H1147" s="98" t="s">
        <v>2426</v>
      </c>
      <c r="I1147" s="98" t="s">
        <v>2427</v>
      </c>
      <c r="J1147" s="183" t="s">
        <v>1120</v>
      </c>
      <c r="K1147" s="91"/>
      <c r="L1147" s="91"/>
      <c r="M1147" s="91"/>
      <c r="N1147" s="96" t="b">
        <v>0</v>
      </c>
      <c r="O1147" s="96" t="b">
        <v>0</v>
      </c>
      <c r="P1147" s="92"/>
      <c r="Q1147" s="92"/>
      <c r="R1147" s="92"/>
      <c r="S1147" s="92"/>
      <c r="T1147" s="92"/>
      <c r="U1147" s="92"/>
      <c r="V1147" s="92"/>
      <c r="W1147" s="92"/>
      <c r="X1147" s="92"/>
      <c r="Y1147" s="92"/>
      <c r="Z1147" s="92"/>
      <c r="AA1147" s="92"/>
      <c r="AB1147" s="92"/>
      <c r="AC1147" s="92"/>
      <c r="AD1147" s="92"/>
      <c r="AE1147" s="92"/>
      <c r="AF1147" s="92"/>
      <c r="AG1147" s="92"/>
    </row>
    <row r="1148" hidden="1">
      <c r="A1148" s="86"/>
      <c r="B1148" s="39"/>
      <c r="C1148" s="80" t="s">
        <v>78</v>
      </c>
      <c r="D1148" s="97"/>
      <c r="E1148" s="98"/>
      <c r="F1148" s="98"/>
      <c r="G1148" s="41"/>
      <c r="H1148" s="98"/>
      <c r="I1148" s="98"/>
      <c r="J1148" s="98"/>
      <c r="K1148" s="91"/>
      <c r="L1148" s="91"/>
      <c r="M1148" s="91"/>
      <c r="N1148" s="96" t="b">
        <v>0</v>
      </c>
      <c r="O1148" s="96" t="b">
        <v>0</v>
      </c>
      <c r="P1148" s="92"/>
      <c r="Q1148" s="92"/>
      <c r="R1148" s="92"/>
      <c r="S1148" s="92"/>
      <c r="T1148" s="92"/>
      <c r="U1148" s="92"/>
      <c r="V1148" s="92"/>
      <c r="W1148" s="92"/>
      <c r="X1148" s="92"/>
      <c r="Y1148" s="92"/>
      <c r="Z1148" s="92"/>
      <c r="AA1148" s="92"/>
      <c r="AB1148" s="92"/>
      <c r="AC1148" s="92"/>
      <c r="AD1148" s="92"/>
      <c r="AE1148" s="92"/>
      <c r="AF1148" s="92"/>
      <c r="AG1148" s="92"/>
    </row>
    <row r="1149" hidden="1">
      <c r="A1149" s="86"/>
      <c r="B1149" s="18" t="s">
        <v>1971</v>
      </c>
      <c r="C1149" s="80"/>
      <c r="D1149" s="97"/>
      <c r="E1149" s="98"/>
      <c r="F1149" s="98"/>
      <c r="G1149" s="41"/>
      <c r="H1149" s="98"/>
      <c r="I1149" s="98"/>
      <c r="J1149" s="98"/>
      <c r="K1149" s="91"/>
      <c r="L1149" s="91"/>
      <c r="M1149" s="91"/>
      <c r="N1149" s="96" t="b">
        <v>0</v>
      </c>
      <c r="O1149" s="96" t="b">
        <v>0</v>
      </c>
      <c r="P1149" s="92"/>
      <c r="Q1149" s="92"/>
      <c r="R1149" s="92"/>
      <c r="S1149" s="92"/>
      <c r="T1149" s="92"/>
      <c r="U1149" s="92"/>
      <c r="V1149" s="92"/>
      <c r="W1149" s="92"/>
      <c r="X1149" s="92"/>
      <c r="Y1149" s="92"/>
      <c r="Z1149" s="92"/>
      <c r="AA1149" s="92"/>
      <c r="AB1149" s="92"/>
      <c r="AC1149" s="92"/>
      <c r="AD1149" s="92"/>
      <c r="AE1149" s="92"/>
      <c r="AF1149" s="92"/>
      <c r="AG1149" s="92"/>
    </row>
    <row r="1150" hidden="1">
      <c r="A1150" s="86"/>
      <c r="B1150" s="25"/>
      <c r="C1150" s="80" t="s">
        <v>78</v>
      </c>
      <c r="D1150" s="97" t="s">
        <v>79</v>
      </c>
      <c r="E1150" s="183" t="s">
        <v>2428</v>
      </c>
      <c r="F1150" s="183" t="s">
        <v>2429</v>
      </c>
      <c r="G1150" s="99">
        <v>0.4583333333333333</v>
      </c>
      <c r="H1150" s="98" t="s">
        <v>290</v>
      </c>
      <c r="I1150" s="98" t="s">
        <v>2430</v>
      </c>
      <c r="J1150" s="98" t="s">
        <v>2431</v>
      </c>
      <c r="K1150" s="91"/>
      <c r="L1150" s="91"/>
      <c r="M1150" s="91"/>
      <c r="N1150" s="96" t="b">
        <v>0</v>
      </c>
      <c r="O1150" s="96" t="b">
        <v>0</v>
      </c>
      <c r="P1150" s="92"/>
      <c r="Q1150" s="92"/>
      <c r="R1150" s="92"/>
      <c r="S1150" s="92"/>
      <c r="T1150" s="92"/>
      <c r="U1150" s="92"/>
      <c r="V1150" s="92"/>
      <c r="W1150" s="92"/>
      <c r="X1150" s="92"/>
      <c r="Y1150" s="92"/>
      <c r="Z1150" s="92"/>
      <c r="AA1150" s="92"/>
      <c r="AB1150" s="92"/>
      <c r="AC1150" s="92"/>
      <c r="AD1150" s="92"/>
      <c r="AE1150" s="92"/>
      <c r="AF1150" s="92"/>
      <c r="AG1150" s="92"/>
    </row>
    <row r="1151" hidden="1">
      <c r="A1151" s="86"/>
      <c r="B1151" s="25"/>
      <c r="C1151" s="78" t="s">
        <v>78</v>
      </c>
      <c r="D1151" s="97" t="s">
        <v>79</v>
      </c>
      <c r="E1151" s="227" t="s">
        <v>2432</v>
      </c>
      <c r="F1151" s="227" t="s">
        <v>2433</v>
      </c>
      <c r="G1151" s="112" t="s">
        <v>384</v>
      </c>
      <c r="H1151" s="109" t="s">
        <v>290</v>
      </c>
      <c r="I1151" s="109" t="s">
        <v>2434</v>
      </c>
      <c r="J1151" s="227" t="s">
        <v>2435</v>
      </c>
      <c r="K1151" s="109" t="s">
        <v>2436</v>
      </c>
      <c r="L1151" s="91"/>
      <c r="M1151" s="91"/>
      <c r="N1151" s="96" t="b">
        <v>0</v>
      </c>
      <c r="O1151" s="96" t="b">
        <v>0</v>
      </c>
      <c r="P1151" s="92"/>
      <c r="Q1151" s="92"/>
      <c r="R1151" s="92"/>
      <c r="S1151" s="92"/>
      <c r="T1151" s="92"/>
      <c r="U1151" s="92"/>
      <c r="V1151" s="92"/>
      <c r="W1151" s="92"/>
      <c r="X1151" s="92"/>
      <c r="Y1151" s="92"/>
      <c r="Z1151" s="92"/>
      <c r="AA1151" s="92"/>
      <c r="AB1151" s="92"/>
      <c r="AC1151" s="92"/>
      <c r="AD1151" s="92"/>
      <c r="AE1151" s="92"/>
      <c r="AF1151" s="92"/>
      <c r="AG1151" s="92"/>
    </row>
    <row r="1152" hidden="1">
      <c r="A1152" s="86"/>
      <c r="B1152" s="25"/>
      <c r="C1152" s="80" t="s">
        <v>78</v>
      </c>
      <c r="D1152" s="97" t="s">
        <v>79</v>
      </c>
      <c r="E1152" s="184" t="s">
        <v>2437</v>
      </c>
      <c r="F1152" s="184" t="s">
        <v>2438</v>
      </c>
      <c r="G1152" s="112" t="s">
        <v>567</v>
      </c>
      <c r="H1152" s="109" t="s">
        <v>755</v>
      </c>
      <c r="I1152" s="109" t="s">
        <v>2439</v>
      </c>
      <c r="J1152" s="184" t="s">
        <v>2440</v>
      </c>
      <c r="K1152" s="91"/>
      <c r="L1152" s="91"/>
      <c r="M1152" s="91"/>
      <c r="N1152" s="96" t="b">
        <v>0</v>
      </c>
      <c r="O1152" s="96" t="b">
        <v>0</v>
      </c>
      <c r="P1152" s="92"/>
      <c r="Q1152" s="92"/>
      <c r="R1152" s="92"/>
      <c r="S1152" s="92"/>
      <c r="T1152" s="92"/>
      <c r="U1152" s="92"/>
      <c r="V1152" s="92"/>
      <c r="W1152" s="92"/>
      <c r="X1152" s="92"/>
      <c r="Y1152" s="92"/>
      <c r="Z1152" s="92"/>
      <c r="AA1152" s="92"/>
      <c r="AB1152" s="92"/>
      <c r="AC1152" s="92"/>
      <c r="AD1152" s="92"/>
      <c r="AE1152" s="92"/>
      <c r="AF1152" s="92"/>
      <c r="AG1152" s="92"/>
    </row>
    <row r="1153" hidden="1">
      <c r="A1153" s="86"/>
      <c r="B1153" s="25"/>
      <c r="C1153" s="80" t="s">
        <v>78</v>
      </c>
      <c r="D1153" s="97" t="s">
        <v>79</v>
      </c>
      <c r="E1153" s="183" t="s">
        <v>2441</v>
      </c>
      <c r="F1153" s="183" t="s">
        <v>2442</v>
      </c>
      <c r="G1153" s="99">
        <v>0.7083333333333334</v>
      </c>
      <c r="H1153" s="98" t="s">
        <v>2443</v>
      </c>
      <c r="I1153" s="98" t="s">
        <v>585</v>
      </c>
      <c r="J1153" s="183" t="s">
        <v>2444</v>
      </c>
      <c r="K1153" s="91"/>
      <c r="L1153" s="91"/>
      <c r="M1153" s="91"/>
      <c r="N1153" s="96" t="b">
        <v>0</v>
      </c>
      <c r="O1153" s="96" t="b">
        <v>0</v>
      </c>
      <c r="P1153" s="92"/>
      <c r="Q1153" s="92"/>
      <c r="R1153" s="92"/>
      <c r="S1153" s="92"/>
      <c r="T1153" s="92"/>
      <c r="U1153" s="92"/>
      <c r="V1153" s="92"/>
      <c r="W1153" s="92"/>
      <c r="X1153" s="92"/>
      <c r="Y1153" s="92"/>
      <c r="Z1153" s="92"/>
      <c r="AA1153" s="92"/>
      <c r="AB1153" s="92"/>
      <c r="AC1153" s="92"/>
      <c r="AD1153" s="92"/>
      <c r="AE1153" s="92"/>
      <c r="AF1153" s="92"/>
      <c r="AG1153" s="92"/>
    </row>
    <row r="1154" hidden="1">
      <c r="A1154" s="86"/>
      <c r="B1154" s="39"/>
      <c r="C1154" s="80" t="s">
        <v>78</v>
      </c>
      <c r="D1154" s="97"/>
      <c r="E1154" s="98"/>
      <c r="F1154" s="98"/>
      <c r="G1154" s="41"/>
      <c r="H1154" s="98"/>
      <c r="I1154" s="98"/>
      <c r="J1154" s="98"/>
      <c r="K1154" s="91"/>
      <c r="L1154" s="91"/>
      <c r="M1154" s="91"/>
      <c r="N1154" s="96" t="b">
        <v>0</v>
      </c>
      <c r="O1154" s="96" t="b">
        <v>0</v>
      </c>
      <c r="P1154" s="92"/>
      <c r="Q1154" s="92"/>
      <c r="R1154" s="92"/>
      <c r="S1154" s="92"/>
      <c r="T1154" s="92"/>
      <c r="U1154" s="92"/>
      <c r="V1154" s="92"/>
      <c r="W1154" s="92"/>
      <c r="X1154" s="92"/>
      <c r="Y1154" s="92"/>
      <c r="Z1154" s="92"/>
      <c r="AA1154" s="92"/>
      <c r="AB1154" s="92"/>
      <c r="AC1154" s="92"/>
      <c r="AD1154" s="92"/>
      <c r="AE1154" s="92"/>
      <c r="AF1154" s="92"/>
      <c r="AG1154" s="92"/>
    </row>
    <row r="1155" hidden="1">
      <c r="A1155" s="86"/>
      <c r="B1155" s="166"/>
      <c r="C1155" s="88">
        <v>44454.0</v>
      </c>
      <c r="D1155" s="97"/>
      <c r="E1155" s="98"/>
      <c r="F1155" s="98"/>
      <c r="G1155" s="41"/>
      <c r="H1155" s="98"/>
      <c r="I1155" s="98"/>
      <c r="J1155" s="98"/>
      <c r="K1155" s="91"/>
      <c r="L1155" s="91"/>
      <c r="M1155" s="91"/>
      <c r="N1155" s="96" t="b">
        <v>0</v>
      </c>
      <c r="O1155" s="96" t="b">
        <v>0</v>
      </c>
      <c r="P1155" s="92"/>
      <c r="Q1155" s="92"/>
      <c r="R1155" s="92"/>
      <c r="S1155" s="92"/>
      <c r="T1155" s="92"/>
      <c r="U1155" s="92"/>
      <c r="V1155" s="92"/>
      <c r="W1155" s="92"/>
      <c r="X1155" s="92"/>
      <c r="Y1155" s="92"/>
      <c r="Z1155" s="92"/>
      <c r="AA1155" s="92"/>
      <c r="AB1155" s="92"/>
      <c r="AC1155" s="92"/>
      <c r="AD1155" s="92"/>
      <c r="AE1155" s="92"/>
      <c r="AF1155" s="92"/>
      <c r="AG1155" s="92"/>
    </row>
    <row r="1156" hidden="1">
      <c r="A1156" s="86"/>
      <c r="B1156" s="18" t="s">
        <v>1668</v>
      </c>
      <c r="C1156" s="234"/>
      <c r="D1156" s="97"/>
      <c r="E1156" s="98"/>
      <c r="F1156" s="98"/>
      <c r="G1156" s="41"/>
      <c r="H1156" s="98"/>
      <c r="I1156" s="98"/>
      <c r="J1156" s="98"/>
      <c r="K1156" s="91"/>
      <c r="L1156" s="91"/>
      <c r="M1156" s="91"/>
      <c r="N1156" s="96" t="b">
        <v>0</v>
      </c>
      <c r="O1156" s="96" t="b">
        <v>0</v>
      </c>
      <c r="P1156" s="92"/>
      <c r="Q1156" s="92"/>
      <c r="R1156" s="92"/>
      <c r="S1156" s="92"/>
      <c r="T1156" s="92"/>
      <c r="U1156" s="92"/>
      <c r="V1156" s="92"/>
      <c r="W1156" s="92"/>
      <c r="X1156" s="92"/>
      <c r="Y1156" s="92"/>
      <c r="Z1156" s="92"/>
      <c r="AA1156" s="92"/>
      <c r="AB1156" s="92"/>
      <c r="AC1156" s="92"/>
      <c r="AD1156" s="92"/>
      <c r="AE1156" s="92"/>
      <c r="AF1156" s="92"/>
      <c r="AG1156" s="92"/>
    </row>
    <row r="1157" hidden="1">
      <c r="A1157" s="86"/>
      <c r="B1157" s="25"/>
      <c r="C1157" s="78" t="s">
        <v>78</v>
      </c>
      <c r="D1157" s="97" t="s">
        <v>79</v>
      </c>
      <c r="E1157" s="184" t="s">
        <v>2445</v>
      </c>
      <c r="F1157" s="184" t="s">
        <v>2446</v>
      </c>
      <c r="G1157" s="108">
        <v>0.4583333333333333</v>
      </c>
      <c r="H1157" s="109" t="s">
        <v>349</v>
      </c>
      <c r="I1157" s="109" t="s">
        <v>2447</v>
      </c>
      <c r="J1157" s="109" t="s">
        <v>2448</v>
      </c>
      <c r="K1157" s="91"/>
      <c r="L1157" s="91"/>
      <c r="M1157" s="91"/>
      <c r="N1157" s="96" t="b">
        <v>0</v>
      </c>
      <c r="O1157" s="96" t="b">
        <v>0</v>
      </c>
      <c r="P1157" s="92"/>
      <c r="Q1157" s="92"/>
      <c r="R1157" s="92"/>
      <c r="S1157" s="92"/>
      <c r="T1157" s="92"/>
      <c r="U1157" s="92"/>
      <c r="V1157" s="92"/>
      <c r="W1157" s="92"/>
      <c r="X1157" s="92"/>
      <c r="Y1157" s="92"/>
      <c r="Z1157" s="92"/>
      <c r="AA1157" s="92"/>
      <c r="AB1157" s="92"/>
      <c r="AC1157" s="92"/>
      <c r="AD1157" s="92"/>
      <c r="AE1157" s="92"/>
      <c r="AF1157" s="92"/>
      <c r="AG1157" s="92"/>
    </row>
    <row r="1158" hidden="1">
      <c r="A1158" s="86"/>
      <c r="B1158" s="25"/>
      <c r="C1158" s="80" t="s">
        <v>78</v>
      </c>
      <c r="D1158" s="97" t="s">
        <v>79</v>
      </c>
      <c r="E1158" s="184" t="s">
        <v>2449</v>
      </c>
      <c r="F1158" s="184" t="s">
        <v>2450</v>
      </c>
      <c r="G1158" s="108">
        <v>0.5416666666666666</v>
      </c>
      <c r="H1158" s="109" t="s">
        <v>82</v>
      </c>
      <c r="I1158" s="109" t="s">
        <v>2451</v>
      </c>
      <c r="J1158" s="184" t="s">
        <v>1258</v>
      </c>
      <c r="K1158" s="91"/>
      <c r="L1158" s="91"/>
      <c r="M1158" s="91"/>
      <c r="N1158" s="96" t="b">
        <v>0</v>
      </c>
      <c r="O1158" s="96" t="b">
        <v>0</v>
      </c>
      <c r="P1158" s="92"/>
      <c r="Q1158" s="92"/>
      <c r="R1158" s="92"/>
      <c r="S1158" s="92"/>
      <c r="T1158" s="92"/>
      <c r="U1158" s="92"/>
      <c r="V1158" s="92"/>
      <c r="W1158" s="92"/>
      <c r="X1158" s="92"/>
      <c r="Y1158" s="92"/>
      <c r="Z1158" s="92"/>
      <c r="AA1158" s="92"/>
      <c r="AB1158" s="92"/>
      <c r="AC1158" s="92"/>
      <c r="AD1158" s="92"/>
      <c r="AE1158" s="92"/>
      <c r="AF1158" s="92"/>
      <c r="AG1158" s="92"/>
    </row>
    <row r="1159" hidden="1">
      <c r="A1159" s="86"/>
      <c r="B1159" s="25"/>
      <c r="C1159" s="80" t="s">
        <v>78</v>
      </c>
      <c r="D1159" s="97" t="s">
        <v>79</v>
      </c>
      <c r="E1159" s="183" t="s">
        <v>2339</v>
      </c>
      <c r="F1159" s="183" t="s">
        <v>2340</v>
      </c>
      <c r="G1159" s="99">
        <v>0.625</v>
      </c>
      <c r="H1159" s="98" t="s">
        <v>258</v>
      </c>
      <c r="I1159" s="98" t="s">
        <v>2452</v>
      </c>
      <c r="J1159" s="183" t="s">
        <v>2453</v>
      </c>
      <c r="K1159" s="91"/>
      <c r="L1159" s="91"/>
      <c r="M1159" s="91"/>
      <c r="N1159" s="96" t="b">
        <v>0</v>
      </c>
      <c r="O1159" s="96" t="b">
        <v>0</v>
      </c>
      <c r="P1159" s="92"/>
      <c r="Q1159" s="92"/>
      <c r="R1159" s="92"/>
      <c r="S1159" s="92"/>
      <c r="T1159" s="92"/>
      <c r="U1159" s="92"/>
      <c r="V1159" s="92"/>
      <c r="W1159" s="92"/>
      <c r="X1159" s="92"/>
      <c r="Y1159" s="92"/>
      <c r="Z1159" s="92"/>
      <c r="AA1159" s="92"/>
      <c r="AB1159" s="92"/>
      <c r="AC1159" s="92"/>
      <c r="AD1159" s="92"/>
      <c r="AE1159" s="92"/>
      <c r="AF1159" s="92"/>
      <c r="AG1159" s="92"/>
    </row>
    <row r="1160" hidden="1">
      <c r="A1160" s="86"/>
      <c r="B1160" s="25"/>
      <c r="C1160" s="80" t="s">
        <v>78</v>
      </c>
      <c r="D1160" s="97" t="s">
        <v>79</v>
      </c>
      <c r="E1160" s="183" t="s">
        <v>2454</v>
      </c>
      <c r="F1160" s="183" t="s">
        <v>2455</v>
      </c>
      <c r="G1160" s="99">
        <v>0.7083333333333334</v>
      </c>
      <c r="H1160" s="98" t="s">
        <v>424</v>
      </c>
      <c r="I1160" s="98" t="s">
        <v>2456</v>
      </c>
      <c r="J1160" s="183" t="s">
        <v>2457</v>
      </c>
      <c r="K1160" s="91"/>
      <c r="L1160" s="91"/>
      <c r="M1160" s="91"/>
      <c r="N1160" s="96" t="b">
        <v>0</v>
      </c>
      <c r="O1160" s="96" t="b">
        <v>0</v>
      </c>
      <c r="P1160" s="92"/>
      <c r="Q1160" s="92"/>
      <c r="R1160" s="92"/>
      <c r="S1160" s="92"/>
      <c r="T1160" s="92"/>
      <c r="U1160" s="92"/>
      <c r="V1160" s="92"/>
      <c r="W1160" s="92"/>
      <c r="X1160" s="92"/>
      <c r="Y1160" s="92"/>
      <c r="Z1160" s="92"/>
      <c r="AA1160" s="92"/>
      <c r="AB1160" s="92"/>
      <c r="AC1160" s="92"/>
      <c r="AD1160" s="92"/>
      <c r="AE1160" s="92"/>
      <c r="AF1160" s="92"/>
      <c r="AG1160" s="92"/>
    </row>
    <row r="1161" hidden="1">
      <c r="A1161" s="86"/>
      <c r="B1161" s="39"/>
      <c r="C1161" s="80" t="s">
        <v>78</v>
      </c>
      <c r="D1161" s="97"/>
      <c r="E1161" s="98"/>
      <c r="F1161" s="98"/>
      <c r="G1161" s="41"/>
      <c r="H1161" s="98"/>
      <c r="I1161" s="98"/>
      <c r="J1161" s="98"/>
      <c r="K1161" s="91"/>
      <c r="L1161" s="91"/>
      <c r="M1161" s="91"/>
      <c r="N1161" s="96" t="b">
        <v>0</v>
      </c>
      <c r="O1161" s="96" t="b">
        <v>0</v>
      </c>
      <c r="P1161" s="92"/>
      <c r="Q1161" s="92"/>
      <c r="R1161" s="92"/>
      <c r="S1161" s="92"/>
      <c r="T1161" s="92"/>
      <c r="U1161" s="92"/>
      <c r="V1161" s="92"/>
      <c r="W1161" s="92"/>
      <c r="X1161" s="92"/>
      <c r="Y1161" s="92"/>
      <c r="Z1161" s="92"/>
      <c r="AA1161" s="92"/>
      <c r="AB1161" s="92"/>
      <c r="AC1161" s="92"/>
      <c r="AD1161" s="92"/>
      <c r="AE1161" s="92"/>
      <c r="AF1161" s="92"/>
      <c r="AG1161" s="92"/>
    </row>
    <row r="1162" hidden="1">
      <c r="A1162" s="86"/>
      <c r="B1162" s="18" t="s">
        <v>1971</v>
      </c>
      <c r="C1162" s="80"/>
      <c r="D1162" s="97" t="s">
        <v>79</v>
      </c>
      <c r="E1162" s="184" t="s">
        <v>2458</v>
      </c>
      <c r="F1162" s="184" t="s">
        <v>2459</v>
      </c>
      <c r="G1162" s="112" t="s">
        <v>438</v>
      </c>
      <c r="H1162" s="109" t="s">
        <v>568</v>
      </c>
      <c r="I1162" s="109" t="s">
        <v>2460</v>
      </c>
      <c r="J1162" s="184" t="s">
        <v>2461</v>
      </c>
      <c r="K1162" s="91"/>
      <c r="L1162" s="91"/>
      <c r="M1162" s="91"/>
      <c r="N1162" s="96" t="b">
        <v>0</v>
      </c>
      <c r="O1162" s="96" t="b">
        <v>0</v>
      </c>
      <c r="P1162" s="92"/>
      <c r="Q1162" s="92"/>
      <c r="R1162" s="92"/>
      <c r="S1162" s="92"/>
      <c r="T1162" s="92"/>
      <c r="U1162" s="92"/>
      <c r="V1162" s="92"/>
      <c r="W1162" s="92"/>
      <c r="X1162" s="92"/>
      <c r="Y1162" s="92"/>
      <c r="Z1162" s="92"/>
      <c r="AA1162" s="92"/>
      <c r="AB1162" s="92"/>
      <c r="AC1162" s="92"/>
      <c r="AD1162" s="92"/>
      <c r="AE1162" s="92"/>
      <c r="AF1162" s="92"/>
      <c r="AG1162" s="92"/>
    </row>
    <row r="1163" hidden="1">
      <c r="A1163" s="86"/>
      <c r="B1163" s="25"/>
      <c r="C1163" s="80" t="s">
        <v>78</v>
      </c>
      <c r="D1163" s="97" t="s">
        <v>79</v>
      </c>
      <c r="E1163" s="183" t="s">
        <v>2462</v>
      </c>
      <c r="F1163" s="183" t="s">
        <v>2463</v>
      </c>
      <c r="G1163" s="41" t="s">
        <v>713</v>
      </c>
      <c r="H1163" s="98" t="s">
        <v>439</v>
      </c>
      <c r="I1163" s="98" t="s">
        <v>2464</v>
      </c>
      <c r="J1163" s="183" t="s">
        <v>2465</v>
      </c>
      <c r="K1163" s="91"/>
      <c r="L1163" s="91"/>
      <c r="M1163" s="91"/>
      <c r="N1163" s="96" t="b">
        <v>0</v>
      </c>
      <c r="O1163" s="96" t="b">
        <v>0</v>
      </c>
      <c r="P1163" s="92"/>
      <c r="Q1163" s="92"/>
      <c r="R1163" s="92"/>
      <c r="S1163" s="92"/>
      <c r="T1163" s="92"/>
      <c r="U1163" s="92"/>
      <c r="V1163" s="92"/>
      <c r="W1163" s="92"/>
      <c r="X1163" s="92"/>
      <c r="Y1163" s="92"/>
      <c r="Z1163" s="92"/>
      <c r="AA1163" s="92"/>
      <c r="AB1163" s="92"/>
      <c r="AC1163" s="92"/>
      <c r="AD1163" s="92"/>
      <c r="AE1163" s="92"/>
      <c r="AF1163" s="92"/>
      <c r="AG1163" s="92"/>
    </row>
    <row r="1164" hidden="1">
      <c r="A1164" s="86"/>
      <c r="B1164" s="25"/>
      <c r="C1164" s="78" t="s">
        <v>78</v>
      </c>
      <c r="D1164" s="97" t="s">
        <v>79</v>
      </c>
      <c r="E1164" s="183" t="s">
        <v>2466</v>
      </c>
      <c r="F1164" s="183" t="s">
        <v>2467</v>
      </c>
      <c r="G1164" s="41" t="s">
        <v>384</v>
      </c>
      <c r="H1164" s="98" t="s">
        <v>2323</v>
      </c>
      <c r="I1164" s="98" t="s">
        <v>2468</v>
      </c>
      <c r="J1164" s="183" t="s">
        <v>2469</v>
      </c>
      <c r="K1164" s="91"/>
      <c r="L1164" s="91"/>
      <c r="M1164" s="91"/>
      <c r="N1164" s="96" t="b">
        <v>0</v>
      </c>
      <c r="O1164" s="96" t="b">
        <v>0</v>
      </c>
      <c r="P1164" s="92"/>
      <c r="Q1164" s="92"/>
      <c r="R1164" s="92"/>
      <c r="S1164" s="92"/>
      <c r="T1164" s="92"/>
      <c r="U1164" s="92"/>
      <c r="V1164" s="92"/>
      <c r="W1164" s="92"/>
      <c r="X1164" s="92"/>
      <c r="Y1164" s="92"/>
      <c r="Z1164" s="92"/>
      <c r="AA1164" s="92"/>
      <c r="AB1164" s="92"/>
      <c r="AC1164" s="92"/>
      <c r="AD1164" s="92"/>
      <c r="AE1164" s="92"/>
      <c r="AF1164" s="92"/>
      <c r="AG1164" s="92"/>
    </row>
    <row r="1165" hidden="1">
      <c r="A1165" s="86"/>
      <c r="B1165" s="25"/>
      <c r="C1165" s="80" t="s">
        <v>78</v>
      </c>
      <c r="D1165" s="97" t="s">
        <v>79</v>
      </c>
      <c r="E1165" s="184" t="s">
        <v>2470</v>
      </c>
      <c r="F1165" s="184" t="s">
        <v>2471</v>
      </c>
      <c r="G1165" s="112" t="s">
        <v>567</v>
      </c>
      <c r="H1165" s="109" t="s">
        <v>290</v>
      </c>
      <c r="I1165" s="109" t="s">
        <v>2472</v>
      </c>
      <c r="J1165" s="109" t="s">
        <v>2473</v>
      </c>
      <c r="K1165" s="98" t="s">
        <v>2474</v>
      </c>
      <c r="L1165" s="91"/>
      <c r="M1165" s="91"/>
      <c r="N1165" s="96" t="b">
        <v>0</v>
      </c>
      <c r="O1165" s="96" t="b">
        <v>0</v>
      </c>
      <c r="P1165" s="92"/>
      <c r="Q1165" s="92"/>
      <c r="R1165" s="92"/>
      <c r="S1165" s="92"/>
      <c r="T1165" s="92"/>
      <c r="U1165" s="92"/>
      <c r="V1165" s="92"/>
      <c r="W1165" s="92"/>
      <c r="X1165" s="92"/>
      <c r="Y1165" s="92"/>
      <c r="Z1165" s="92"/>
      <c r="AA1165" s="92"/>
      <c r="AB1165" s="92"/>
      <c r="AC1165" s="92"/>
      <c r="AD1165" s="92"/>
      <c r="AE1165" s="92"/>
      <c r="AF1165" s="92"/>
      <c r="AG1165" s="92"/>
    </row>
    <row r="1166" hidden="1">
      <c r="A1166" s="86"/>
      <c r="B1166" s="25"/>
      <c r="C1166" s="80" t="s">
        <v>78</v>
      </c>
      <c r="D1166" s="97"/>
      <c r="E1166" s="98"/>
      <c r="F1166" s="98"/>
      <c r="G1166" s="41"/>
      <c r="H1166" s="98"/>
      <c r="I1166" s="98"/>
      <c r="J1166" s="98"/>
      <c r="K1166" s="91"/>
      <c r="L1166" s="91"/>
      <c r="M1166" s="91"/>
      <c r="N1166" s="96" t="b">
        <v>0</v>
      </c>
      <c r="O1166" s="96" t="b">
        <v>0</v>
      </c>
      <c r="P1166" s="92"/>
      <c r="Q1166" s="92"/>
      <c r="R1166" s="92"/>
      <c r="S1166" s="92"/>
      <c r="T1166" s="92"/>
      <c r="U1166" s="92"/>
      <c r="V1166" s="92"/>
      <c r="W1166" s="92"/>
      <c r="X1166" s="92"/>
      <c r="Y1166" s="92"/>
      <c r="Z1166" s="92"/>
      <c r="AA1166" s="92"/>
      <c r="AB1166" s="92"/>
      <c r="AC1166" s="92"/>
      <c r="AD1166" s="92"/>
      <c r="AE1166" s="92"/>
      <c r="AF1166" s="92"/>
      <c r="AG1166" s="92"/>
    </row>
    <row r="1167" hidden="1">
      <c r="A1167" s="86"/>
      <c r="B1167" s="39"/>
      <c r="C1167" s="80" t="s">
        <v>78</v>
      </c>
      <c r="D1167" s="97"/>
      <c r="E1167" s="98"/>
      <c r="F1167" s="98"/>
      <c r="G1167" s="41"/>
      <c r="H1167" s="98"/>
      <c r="I1167" s="98"/>
      <c r="J1167" s="98"/>
      <c r="K1167" s="91"/>
      <c r="L1167" s="91"/>
      <c r="M1167" s="91"/>
      <c r="N1167" s="96" t="b">
        <v>0</v>
      </c>
      <c r="O1167" s="96" t="b">
        <v>0</v>
      </c>
      <c r="P1167" s="92"/>
      <c r="Q1167" s="92"/>
      <c r="R1167" s="92"/>
      <c r="S1167" s="92"/>
      <c r="T1167" s="92"/>
      <c r="U1167" s="92"/>
      <c r="V1167" s="92"/>
      <c r="W1167" s="92"/>
      <c r="X1167" s="92"/>
      <c r="Y1167" s="92"/>
      <c r="Z1167" s="92"/>
      <c r="AA1167" s="92"/>
      <c r="AB1167" s="92"/>
      <c r="AC1167" s="92"/>
      <c r="AD1167" s="92"/>
      <c r="AE1167" s="92"/>
      <c r="AF1167" s="92"/>
      <c r="AG1167" s="92"/>
    </row>
    <row r="1168" hidden="1">
      <c r="A1168" s="86"/>
      <c r="B1168" s="166"/>
      <c r="C1168" s="88">
        <v>44455.0</v>
      </c>
      <c r="D1168" s="97"/>
      <c r="E1168" s="98"/>
      <c r="F1168" s="98"/>
      <c r="G1168" s="41"/>
      <c r="H1168" s="98"/>
      <c r="I1168" s="98"/>
      <c r="J1168" s="98"/>
      <c r="K1168" s="91"/>
      <c r="L1168" s="91"/>
      <c r="M1168" s="91"/>
      <c r="N1168" s="96" t="b">
        <v>0</v>
      </c>
      <c r="O1168" s="96" t="b">
        <v>0</v>
      </c>
      <c r="P1168" s="92"/>
      <c r="Q1168" s="92"/>
      <c r="R1168" s="92"/>
      <c r="S1168" s="92"/>
      <c r="T1168" s="92"/>
      <c r="U1168" s="92"/>
      <c r="V1168" s="92"/>
      <c r="W1168" s="92"/>
      <c r="X1168" s="92"/>
      <c r="Y1168" s="92"/>
      <c r="Z1168" s="92"/>
      <c r="AA1168" s="92"/>
      <c r="AB1168" s="92"/>
      <c r="AC1168" s="92"/>
      <c r="AD1168" s="92"/>
      <c r="AE1168" s="92"/>
      <c r="AF1168" s="92"/>
      <c r="AG1168" s="92"/>
    </row>
    <row r="1169" hidden="1">
      <c r="A1169" s="86"/>
      <c r="B1169" s="18" t="s">
        <v>1668</v>
      </c>
      <c r="C1169" s="234"/>
      <c r="D1169" s="97"/>
      <c r="E1169" s="98"/>
      <c r="F1169" s="98"/>
      <c r="G1169" s="41"/>
      <c r="H1169" s="98"/>
      <c r="I1169" s="98"/>
      <c r="J1169" s="98"/>
      <c r="K1169" s="91"/>
      <c r="L1169" s="91"/>
      <c r="M1169" s="91"/>
      <c r="N1169" s="96" t="b">
        <v>0</v>
      </c>
      <c r="O1169" s="96" t="b">
        <v>0</v>
      </c>
      <c r="P1169" s="92"/>
      <c r="Q1169" s="92"/>
      <c r="R1169" s="92"/>
      <c r="S1169" s="92"/>
      <c r="T1169" s="92"/>
      <c r="U1169" s="92"/>
      <c r="V1169" s="92"/>
      <c r="W1169" s="92"/>
      <c r="X1169" s="92"/>
      <c r="Y1169" s="92"/>
      <c r="Z1169" s="92"/>
      <c r="AA1169" s="92"/>
      <c r="AB1169" s="92"/>
      <c r="AC1169" s="92"/>
      <c r="AD1169" s="92"/>
      <c r="AE1169" s="92"/>
      <c r="AF1169" s="92"/>
      <c r="AG1169" s="92"/>
    </row>
    <row r="1170" hidden="1">
      <c r="A1170" s="86"/>
      <c r="B1170" s="25"/>
      <c r="C1170" s="78" t="s">
        <v>78</v>
      </c>
      <c r="D1170" s="97"/>
      <c r="E1170" s="183"/>
      <c r="F1170" s="183"/>
      <c r="G1170" s="41"/>
      <c r="H1170" s="98"/>
      <c r="I1170" s="98"/>
      <c r="J1170" s="98"/>
      <c r="K1170" s="91"/>
      <c r="L1170" s="91"/>
      <c r="M1170" s="91"/>
      <c r="N1170" s="96" t="b">
        <v>0</v>
      </c>
      <c r="O1170" s="96" t="b">
        <v>0</v>
      </c>
      <c r="P1170" s="92"/>
      <c r="Q1170" s="92"/>
      <c r="R1170" s="92"/>
      <c r="S1170" s="92"/>
      <c r="T1170" s="92"/>
      <c r="U1170" s="92"/>
      <c r="V1170" s="92"/>
      <c r="W1170" s="92"/>
      <c r="X1170" s="92"/>
      <c r="Y1170" s="92"/>
      <c r="Z1170" s="92"/>
      <c r="AA1170" s="92"/>
      <c r="AB1170" s="92"/>
      <c r="AC1170" s="92"/>
      <c r="AD1170" s="92"/>
      <c r="AE1170" s="92"/>
      <c r="AF1170" s="92"/>
      <c r="AG1170" s="92"/>
    </row>
    <row r="1171" hidden="1">
      <c r="A1171" s="86"/>
      <c r="B1171" s="25"/>
      <c r="C1171" s="80" t="s">
        <v>78</v>
      </c>
      <c r="D1171" s="97" t="s">
        <v>79</v>
      </c>
      <c r="E1171" s="183" t="s">
        <v>2475</v>
      </c>
      <c r="F1171" s="183" t="s">
        <v>2476</v>
      </c>
      <c r="G1171" s="41" t="s">
        <v>2120</v>
      </c>
      <c r="H1171" s="98" t="s">
        <v>82</v>
      </c>
      <c r="I1171" s="98" t="s">
        <v>2477</v>
      </c>
      <c r="J1171" s="183" t="s">
        <v>2478</v>
      </c>
      <c r="K1171" s="91"/>
      <c r="L1171" s="91"/>
      <c r="M1171" s="91"/>
      <c r="N1171" s="96" t="b">
        <v>0</v>
      </c>
      <c r="O1171" s="96" t="b">
        <v>0</v>
      </c>
      <c r="P1171" s="92"/>
      <c r="Q1171" s="92"/>
      <c r="R1171" s="92"/>
      <c r="S1171" s="92"/>
      <c r="T1171" s="92"/>
      <c r="U1171" s="92"/>
      <c r="V1171" s="92"/>
      <c r="W1171" s="92"/>
      <c r="X1171" s="92"/>
      <c r="Y1171" s="92"/>
      <c r="Z1171" s="92"/>
      <c r="AA1171" s="92"/>
      <c r="AB1171" s="92"/>
      <c r="AC1171" s="92"/>
      <c r="AD1171" s="92"/>
      <c r="AE1171" s="92"/>
      <c r="AF1171" s="92"/>
      <c r="AG1171" s="92"/>
    </row>
    <row r="1172" hidden="1">
      <c r="A1172" s="86"/>
      <c r="B1172" s="25"/>
      <c r="C1172" s="80" t="s">
        <v>78</v>
      </c>
      <c r="D1172" s="97" t="s">
        <v>79</v>
      </c>
      <c r="E1172" s="183" t="s">
        <v>2479</v>
      </c>
      <c r="F1172" s="183" t="s">
        <v>2480</v>
      </c>
      <c r="G1172" s="99">
        <v>0.6041666666666666</v>
      </c>
      <c r="H1172" s="98" t="s">
        <v>909</v>
      </c>
      <c r="I1172" s="98" t="s">
        <v>2481</v>
      </c>
      <c r="J1172" s="98" t="s">
        <v>2482</v>
      </c>
      <c r="K1172" s="91"/>
      <c r="L1172" s="91"/>
      <c r="M1172" s="91"/>
      <c r="N1172" s="96" t="b">
        <v>0</v>
      </c>
      <c r="O1172" s="96" t="b">
        <v>0</v>
      </c>
      <c r="P1172" s="92"/>
      <c r="Q1172" s="92"/>
      <c r="R1172" s="92"/>
      <c r="S1172" s="92"/>
      <c r="T1172" s="92"/>
      <c r="U1172" s="92"/>
      <c r="V1172" s="92"/>
      <c r="W1172" s="92"/>
      <c r="X1172" s="92"/>
      <c r="Y1172" s="92"/>
      <c r="Z1172" s="92"/>
      <c r="AA1172" s="92"/>
      <c r="AB1172" s="92"/>
      <c r="AC1172" s="92"/>
      <c r="AD1172" s="92"/>
      <c r="AE1172" s="92"/>
      <c r="AF1172" s="92"/>
      <c r="AG1172" s="92"/>
    </row>
    <row r="1173" hidden="1">
      <c r="A1173" s="86"/>
      <c r="B1173" s="25"/>
      <c r="C1173" s="80" t="s">
        <v>78</v>
      </c>
      <c r="D1173" s="97" t="s">
        <v>79</v>
      </c>
      <c r="E1173" s="184" t="s">
        <v>2483</v>
      </c>
      <c r="F1173" s="184" t="s">
        <v>2484</v>
      </c>
      <c r="G1173" s="108">
        <v>0.6875</v>
      </c>
      <c r="H1173" s="109" t="s">
        <v>211</v>
      </c>
      <c r="I1173" s="109" t="s">
        <v>2485</v>
      </c>
      <c r="J1173" s="184" t="s">
        <v>2486</v>
      </c>
      <c r="K1173" s="91"/>
      <c r="L1173" s="91"/>
      <c r="M1173" s="91"/>
      <c r="N1173" s="96" t="b">
        <v>0</v>
      </c>
      <c r="O1173" s="96" t="b">
        <v>0</v>
      </c>
      <c r="P1173" s="92"/>
      <c r="Q1173" s="92"/>
      <c r="R1173" s="92"/>
      <c r="S1173" s="92"/>
      <c r="T1173" s="92"/>
      <c r="U1173" s="92"/>
      <c r="V1173" s="92"/>
      <c r="W1173" s="92"/>
      <c r="X1173" s="92"/>
      <c r="Y1173" s="92"/>
      <c r="Z1173" s="92"/>
      <c r="AA1173" s="92"/>
      <c r="AB1173" s="92"/>
      <c r="AC1173" s="92"/>
      <c r="AD1173" s="92"/>
      <c r="AE1173" s="92"/>
      <c r="AF1173" s="92"/>
      <c r="AG1173" s="92"/>
    </row>
    <row r="1174" hidden="1">
      <c r="A1174" s="86"/>
      <c r="B1174" s="39"/>
      <c r="C1174" s="80" t="s">
        <v>78</v>
      </c>
      <c r="D1174" s="97" t="s">
        <v>79</v>
      </c>
      <c r="E1174" s="184" t="s">
        <v>2487</v>
      </c>
      <c r="F1174" s="184" t="s">
        <v>2488</v>
      </c>
      <c r="G1174" s="108">
        <v>0.7708333333333334</v>
      </c>
      <c r="H1174" s="109" t="s">
        <v>258</v>
      </c>
      <c r="I1174" s="109" t="s">
        <v>2489</v>
      </c>
      <c r="J1174" s="184" t="s">
        <v>2490</v>
      </c>
      <c r="K1174" s="91"/>
      <c r="L1174" s="91"/>
      <c r="M1174" s="91"/>
      <c r="N1174" s="96" t="b">
        <v>0</v>
      </c>
      <c r="O1174" s="96" t="b">
        <v>0</v>
      </c>
      <c r="P1174" s="92"/>
      <c r="Q1174" s="92"/>
      <c r="R1174" s="92"/>
      <c r="S1174" s="92"/>
      <c r="T1174" s="92"/>
      <c r="U1174" s="92"/>
      <c r="V1174" s="92"/>
      <c r="W1174" s="92"/>
      <c r="X1174" s="92"/>
      <c r="Y1174" s="92"/>
      <c r="Z1174" s="92"/>
      <c r="AA1174" s="92"/>
      <c r="AB1174" s="92"/>
      <c r="AC1174" s="92"/>
      <c r="AD1174" s="92"/>
      <c r="AE1174" s="92"/>
      <c r="AF1174" s="92"/>
      <c r="AG1174" s="92"/>
    </row>
    <row r="1175" hidden="1">
      <c r="A1175" s="86"/>
      <c r="B1175" s="18" t="s">
        <v>1971</v>
      </c>
      <c r="C1175" s="80"/>
      <c r="D1175" s="97"/>
      <c r="E1175" s="98"/>
      <c r="F1175" s="98"/>
      <c r="G1175" s="41"/>
      <c r="H1175" s="98"/>
      <c r="I1175" s="98"/>
      <c r="J1175" s="98"/>
      <c r="K1175" s="91"/>
      <c r="L1175" s="91"/>
      <c r="M1175" s="91"/>
      <c r="N1175" s="96" t="b">
        <v>0</v>
      </c>
      <c r="O1175" s="96" t="b">
        <v>0</v>
      </c>
      <c r="P1175" s="92"/>
      <c r="Q1175" s="92"/>
      <c r="R1175" s="92"/>
      <c r="S1175" s="92"/>
      <c r="T1175" s="92"/>
      <c r="U1175" s="92"/>
      <c r="V1175" s="92"/>
      <c r="W1175" s="92"/>
      <c r="X1175" s="92"/>
      <c r="Y1175" s="92"/>
      <c r="Z1175" s="92"/>
      <c r="AA1175" s="92"/>
      <c r="AB1175" s="92"/>
      <c r="AC1175" s="92"/>
      <c r="AD1175" s="92"/>
      <c r="AE1175" s="92"/>
      <c r="AF1175" s="92"/>
      <c r="AG1175" s="92"/>
    </row>
    <row r="1176" ht="19.5" hidden="1" customHeight="1">
      <c r="A1176" s="86"/>
      <c r="B1176" s="25"/>
      <c r="C1176" s="80" t="s">
        <v>78</v>
      </c>
      <c r="D1176" s="97"/>
      <c r="E1176" s="98"/>
      <c r="F1176" s="98"/>
      <c r="G1176" s="41"/>
      <c r="H1176" s="98"/>
      <c r="I1176" s="98"/>
      <c r="J1176" s="98"/>
      <c r="K1176" s="91"/>
      <c r="L1176" s="91"/>
      <c r="M1176" s="91"/>
      <c r="N1176" s="96" t="b">
        <v>0</v>
      </c>
      <c r="O1176" s="96" t="b">
        <v>0</v>
      </c>
      <c r="P1176" s="92"/>
      <c r="Q1176" s="92"/>
      <c r="R1176" s="92"/>
      <c r="S1176" s="92"/>
      <c r="T1176" s="92"/>
      <c r="U1176" s="92"/>
      <c r="V1176" s="92"/>
      <c r="W1176" s="92"/>
      <c r="X1176" s="92"/>
      <c r="Y1176" s="92"/>
      <c r="Z1176" s="92"/>
      <c r="AA1176" s="92"/>
      <c r="AB1176" s="92"/>
      <c r="AC1176" s="92"/>
      <c r="AD1176" s="92"/>
      <c r="AE1176" s="92"/>
      <c r="AF1176" s="92"/>
      <c r="AG1176" s="92"/>
    </row>
    <row r="1177" hidden="1">
      <c r="A1177" s="86"/>
      <c r="B1177" s="25"/>
      <c r="C1177" s="78" t="s">
        <v>78</v>
      </c>
      <c r="D1177" s="97" t="s">
        <v>79</v>
      </c>
      <c r="E1177" s="183" t="s">
        <v>2491</v>
      </c>
      <c r="F1177" s="183" t="s">
        <v>2492</v>
      </c>
      <c r="G1177" s="99">
        <v>0.4583333333333333</v>
      </c>
      <c r="H1177" s="98" t="s">
        <v>890</v>
      </c>
      <c r="I1177" s="98" t="s">
        <v>2493</v>
      </c>
      <c r="J1177" s="98" t="s">
        <v>2494</v>
      </c>
      <c r="K1177" s="91"/>
      <c r="L1177" s="91"/>
      <c r="M1177" s="91"/>
      <c r="N1177" s="96" t="b">
        <v>0</v>
      </c>
      <c r="O1177" s="96" t="b">
        <v>0</v>
      </c>
      <c r="P1177" s="92"/>
      <c r="Q1177" s="92"/>
      <c r="R1177" s="92"/>
      <c r="S1177" s="92"/>
      <c r="T1177" s="92"/>
      <c r="U1177" s="92"/>
      <c r="V1177" s="92"/>
      <c r="W1177" s="92"/>
      <c r="X1177" s="92"/>
      <c r="Y1177" s="92"/>
      <c r="Z1177" s="92"/>
      <c r="AA1177" s="92"/>
      <c r="AB1177" s="92"/>
      <c r="AC1177" s="92"/>
      <c r="AD1177" s="92"/>
      <c r="AE1177" s="92"/>
      <c r="AF1177" s="92"/>
      <c r="AG1177" s="92"/>
    </row>
    <row r="1178" hidden="1">
      <c r="A1178" s="86"/>
      <c r="B1178" s="25"/>
      <c r="C1178" s="80" t="s">
        <v>78</v>
      </c>
      <c r="D1178" s="97" t="s">
        <v>79</v>
      </c>
      <c r="E1178" s="184" t="s">
        <v>1227</v>
      </c>
      <c r="F1178" s="184" t="s">
        <v>1228</v>
      </c>
      <c r="G1178" s="108">
        <v>0.5416666666666666</v>
      </c>
      <c r="H1178" s="109" t="s">
        <v>290</v>
      </c>
      <c r="I1178" s="109" t="s">
        <v>2495</v>
      </c>
      <c r="J1178" s="109" t="s">
        <v>1230</v>
      </c>
      <c r="K1178" s="91"/>
      <c r="L1178" s="91"/>
      <c r="M1178" s="91"/>
      <c r="N1178" s="96" t="b">
        <v>0</v>
      </c>
      <c r="O1178" s="96" t="b">
        <v>0</v>
      </c>
      <c r="P1178" s="92"/>
      <c r="Q1178" s="92"/>
      <c r="R1178" s="92"/>
      <c r="S1178" s="92"/>
      <c r="T1178" s="92"/>
      <c r="U1178" s="92"/>
      <c r="V1178" s="92"/>
      <c r="W1178" s="92"/>
      <c r="X1178" s="92"/>
      <c r="Y1178" s="92"/>
      <c r="Z1178" s="92"/>
      <c r="AA1178" s="92"/>
      <c r="AB1178" s="92"/>
      <c r="AC1178" s="92"/>
      <c r="AD1178" s="92"/>
      <c r="AE1178" s="92"/>
      <c r="AF1178" s="92"/>
      <c r="AG1178" s="92"/>
    </row>
    <row r="1179" hidden="1">
      <c r="A1179" s="86"/>
      <c r="B1179" s="25"/>
      <c r="C1179" s="80" t="s">
        <v>78</v>
      </c>
      <c r="D1179" s="97" t="s">
        <v>79</v>
      </c>
      <c r="E1179" s="183" t="s">
        <v>2496</v>
      </c>
      <c r="F1179" s="183" t="s">
        <v>2497</v>
      </c>
      <c r="G1179" s="99">
        <v>0.625</v>
      </c>
      <c r="H1179" s="98" t="s">
        <v>439</v>
      </c>
      <c r="I1179" s="98" t="s">
        <v>2498</v>
      </c>
      <c r="J1179" s="183" t="s">
        <v>2499</v>
      </c>
      <c r="K1179" s="91"/>
      <c r="L1179" s="91"/>
      <c r="M1179" s="91"/>
      <c r="N1179" s="96" t="b">
        <v>0</v>
      </c>
      <c r="O1179" s="96" t="b">
        <v>0</v>
      </c>
      <c r="P1179" s="92"/>
      <c r="Q1179" s="92"/>
      <c r="R1179" s="92"/>
      <c r="S1179" s="92"/>
      <c r="T1179" s="92"/>
      <c r="U1179" s="92"/>
      <c r="V1179" s="92"/>
      <c r="W1179" s="92"/>
      <c r="X1179" s="92"/>
      <c r="Y1179" s="92"/>
      <c r="Z1179" s="92"/>
      <c r="AA1179" s="92"/>
      <c r="AB1179" s="92"/>
      <c r="AC1179" s="92"/>
      <c r="AD1179" s="92"/>
      <c r="AE1179" s="92"/>
      <c r="AF1179" s="92"/>
      <c r="AG1179" s="92"/>
    </row>
    <row r="1180" hidden="1">
      <c r="A1180" s="86"/>
      <c r="B1180" s="39"/>
      <c r="C1180" s="80" t="s">
        <v>78</v>
      </c>
      <c r="D1180" s="97" t="s">
        <v>79</v>
      </c>
      <c r="E1180" s="183" t="s">
        <v>1378</v>
      </c>
      <c r="F1180" s="183" t="s">
        <v>1379</v>
      </c>
      <c r="G1180" s="41" t="s">
        <v>2042</v>
      </c>
      <c r="H1180" s="98" t="s">
        <v>2500</v>
      </c>
      <c r="I1180" s="98">
        <v>5.305754116E9</v>
      </c>
      <c r="J1180" s="183" t="s">
        <v>2501</v>
      </c>
      <c r="K1180" s="91"/>
      <c r="L1180" s="91"/>
      <c r="M1180" s="91"/>
      <c r="N1180" s="96" t="b">
        <v>0</v>
      </c>
      <c r="O1180" s="96" t="b">
        <v>0</v>
      </c>
      <c r="P1180" s="92"/>
      <c r="Q1180" s="92"/>
      <c r="R1180" s="92"/>
      <c r="S1180" s="92"/>
      <c r="T1180" s="92"/>
      <c r="U1180" s="92"/>
      <c r="V1180" s="92"/>
      <c r="W1180" s="92"/>
      <c r="X1180" s="92"/>
      <c r="Y1180" s="92"/>
      <c r="Z1180" s="92"/>
      <c r="AA1180" s="92"/>
      <c r="AB1180" s="92"/>
      <c r="AC1180" s="92"/>
      <c r="AD1180" s="92"/>
      <c r="AE1180" s="92"/>
      <c r="AF1180" s="92"/>
      <c r="AG1180" s="92"/>
    </row>
    <row r="1181" hidden="1">
      <c r="A1181" s="86"/>
      <c r="B1181" s="166"/>
      <c r="C1181" s="88">
        <v>44456.0</v>
      </c>
      <c r="D1181" s="97"/>
      <c r="E1181" s="98"/>
      <c r="F1181" s="98"/>
      <c r="G1181" s="41"/>
      <c r="H1181" s="98"/>
      <c r="I1181" s="98"/>
      <c r="J1181" s="98"/>
      <c r="K1181" s="91"/>
      <c r="L1181" s="91"/>
      <c r="M1181" s="91"/>
      <c r="N1181" s="96" t="b">
        <v>0</v>
      </c>
      <c r="O1181" s="96" t="b">
        <v>0</v>
      </c>
      <c r="P1181" s="92"/>
      <c r="Q1181" s="92"/>
      <c r="R1181" s="92"/>
      <c r="S1181" s="92"/>
      <c r="T1181" s="92"/>
      <c r="U1181" s="92"/>
      <c r="V1181" s="92"/>
      <c r="W1181" s="92"/>
      <c r="X1181" s="92"/>
      <c r="Y1181" s="92"/>
      <c r="Z1181" s="92"/>
      <c r="AA1181" s="92"/>
      <c r="AB1181" s="92"/>
      <c r="AC1181" s="92"/>
      <c r="AD1181" s="92"/>
      <c r="AE1181" s="92"/>
      <c r="AF1181" s="92"/>
      <c r="AG1181" s="92"/>
    </row>
    <row r="1182" hidden="1">
      <c r="A1182" s="86"/>
      <c r="B1182" s="18" t="s">
        <v>1668</v>
      </c>
      <c r="C1182" s="234"/>
      <c r="D1182" s="97"/>
      <c r="E1182" s="98"/>
      <c r="F1182" s="98"/>
      <c r="G1182" s="41"/>
      <c r="H1182" s="98"/>
      <c r="I1182" s="98"/>
      <c r="J1182" s="98"/>
      <c r="K1182" s="91"/>
      <c r="L1182" s="91"/>
      <c r="M1182" s="91"/>
      <c r="N1182" s="96" t="b">
        <v>0</v>
      </c>
      <c r="O1182" s="96" t="b">
        <v>0</v>
      </c>
      <c r="P1182" s="92"/>
      <c r="Q1182" s="92"/>
      <c r="R1182" s="92"/>
      <c r="S1182" s="92"/>
      <c r="T1182" s="92"/>
      <c r="U1182" s="92"/>
      <c r="V1182" s="92"/>
      <c r="W1182" s="92"/>
      <c r="X1182" s="92"/>
      <c r="Y1182" s="92"/>
      <c r="Z1182" s="92"/>
      <c r="AA1182" s="92"/>
      <c r="AB1182" s="92"/>
      <c r="AC1182" s="92"/>
      <c r="AD1182" s="92"/>
      <c r="AE1182" s="92"/>
      <c r="AF1182" s="92"/>
      <c r="AG1182" s="92"/>
    </row>
    <row r="1183" hidden="1">
      <c r="A1183" s="86"/>
      <c r="B1183" s="25"/>
      <c r="C1183" s="78" t="s">
        <v>78</v>
      </c>
      <c r="D1183" s="97" t="s">
        <v>79</v>
      </c>
      <c r="E1183" s="183" t="s">
        <v>2502</v>
      </c>
      <c r="F1183" s="183" t="s">
        <v>2503</v>
      </c>
      <c r="G1183" s="99">
        <v>0.5</v>
      </c>
      <c r="H1183" s="98" t="s">
        <v>909</v>
      </c>
      <c r="I1183" s="98" t="s">
        <v>2504</v>
      </c>
      <c r="J1183" s="98" t="s">
        <v>2505</v>
      </c>
      <c r="K1183" s="91"/>
      <c r="L1183" s="91"/>
      <c r="M1183" s="91"/>
      <c r="N1183" s="96" t="b">
        <v>0</v>
      </c>
      <c r="O1183" s="96" t="b">
        <v>0</v>
      </c>
      <c r="P1183" s="92"/>
      <c r="Q1183" s="92"/>
      <c r="R1183" s="92"/>
      <c r="S1183" s="92"/>
      <c r="T1183" s="92"/>
      <c r="U1183" s="92"/>
      <c r="V1183" s="92"/>
      <c r="W1183" s="92"/>
      <c r="X1183" s="92"/>
      <c r="Y1183" s="92"/>
      <c r="Z1183" s="92"/>
      <c r="AA1183" s="92"/>
      <c r="AB1183" s="92"/>
      <c r="AC1183" s="92"/>
      <c r="AD1183" s="92"/>
      <c r="AE1183" s="92"/>
      <c r="AF1183" s="92"/>
      <c r="AG1183" s="92"/>
    </row>
    <row r="1184" hidden="1">
      <c r="A1184" s="86"/>
      <c r="B1184" s="25"/>
      <c r="C1184" s="80" t="s">
        <v>78</v>
      </c>
      <c r="D1184" s="97" t="s">
        <v>79</v>
      </c>
      <c r="E1184" s="184" t="s">
        <v>792</v>
      </c>
      <c r="F1184" s="184" t="s">
        <v>793</v>
      </c>
      <c r="G1184" s="108">
        <v>0.5833333333333334</v>
      </c>
      <c r="H1184" s="109" t="s">
        <v>82</v>
      </c>
      <c r="I1184" s="109" t="s">
        <v>2506</v>
      </c>
      <c r="J1184" s="98" t="s">
        <v>795</v>
      </c>
      <c r="K1184" s="91"/>
      <c r="L1184" s="91"/>
      <c r="M1184" s="91"/>
      <c r="N1184" s="96" t="b">
        <v>0</v>
      </c>
      <c r="O1184" s="96" t="b">
        <v>0</v>
      </c>
      <c r="P1184" s="92"/>
      <c r="Q1184" s="92"/>
      <c r="R1184" s="92"/>
      <c r="S1184" s="92"/>
      <c r="T1184" s="92"/>
      <c r="U1184" s="92"/>
      <c r="V1184" s="92"/>
      <c r="W1184" s="92"/>
      <c r="X1184" s="92"/>
      <c r="Y1184" s="92"/>
      <c r="Z1184" s="92"/>
      <c r="AA1184" s="92"/>
      <c r="AB1184" s="92"/>
      <c r="AC1184" s="92"/>
      <c r="AD1184" s="92"/>
      <c r="AE1184" s="92"/>
      <c r="AF1184" s="92"/>
      <c r="AG1184" s="92"/>
    </row>
    <row r="1185" hidden="1">
      <c r="A1185" s="86"/>
      <c r="B1185" s="25"/>
      <c r="C1185" s="80" t="s">
        <v>78</v>
      </c>
      <c r="D1185" s="97" t="s">
        <v>79</v>
      </c>
      <c r="E1185" s="183" t="s">
        <v>2507</v>
      </c>
      <c r="F1185" s="183" t="s">
        <v>2508</v>
      </c>
      <c r="G1185" s="99">
        <v>0.6666666666666666</v>
      </c>
      <c r="H1185" s="98" t="s">
        <v>424</v>
      </c>
      <c r="I1185" s="98" t="s">
        <v>2509</v>
      </c>
      <c r="J1185" s="98" t="s">
        <v>2510</v>
      </c>
      <c r="K1185" s="91"/>
      <c r="L1185" s="91"/>
      <c r="M1185" s="91"/>
      <c r="N1185" s="96" t="b">
        <v>0</v>
      </c>
      <c r="O1185" s="96" t="b">
        <v>0</v>
      </c>
      <c r="P1185" s="92"/>
      <c r="Q1185" s="92"/>
      <c r="R1185" s="92"/>
      <c r="S1185" s="92"/>
      <c r="T1185" s="92"/>
      <c r="U1185" s="92"/>
      <c r="V1185" s="92"/>
      <c r="W1185" s="92"/>
      <c r="X1185" s="92"/>
      <c r="Y1185" s="92"/>
      <c r="Z1185" s="92"/>
      <c r="AA1185" s="92"/>
      <c r="AB1185" s="92"/>
      <c r="AC1185" s="92"/>
      <c r="AD1185" s="92"/>
      <c r="AE1185" s="92"/>
      <c r="AF1185" s="92"/>
      <c r="AG1185" s="92"/>
    </row>
    <row r="1186" hidden="1">
      <c r="A1186" s="86"/>
      <c r="B1186" s="25"/>
      <c r="C1186" s="80" t="s">
        <v>78</v>
      </c>
      <c r="D1186" s="97" t="s">
        <v>79</v>
      </c>
      <c r="E1186" s="184" t="s">
        <v>575</v>
      </c>
      <c r="F1186" s="184" t="s">
        <v>576</v>
      </c>
      <c r="G1186" s="112" t="s">
        <v>283</v>
      </c>
      <c r="H1186" s="109" t="s">
        <v>2169</v>
      </c>
      <c r="I1186" s="109" t="s">
        <v>2170</v>
      </c>
      <c r="J1186" s="228" t="s">
        <v>2171</v>
      </c>
      <c r="K1186" s="91"/>
      <c r="L1186" s="91"/>
      <c r="M1186" s="91"/>
      <c r="N1186" s="96" t="b">
        <v>0</v>
      </c>
      <c r="O1186" s="96" t="b">
        <v>0</v>
      </c>
      <c r="P1186" s="92"/>
      <c r="Q1186" s="92"/>
      <c r="R1186" s="92"/>
      <c r="S1186" s="92"/>
      <c r="T1186" s="92"/>
      <c r="U1186" s="92"/>
      <c r="V1186" s="92"/>
      <c r="W1186" s="92"/>
      <c r="X1186" s="92"/>
      <c r="Y1186" s="92"/>
      <c r="Z1186" s="92"/>
      <c r="AA1186" s="92"/>
      <c r="AB1186" s="92"/>
      <c r="AC1186" s="92"/>
      <c r="AD1186" s="92"/>
      <c r="AE1186" s="92"/>
      <c r="AF1186" s="92"/>
      <c r="AG1186" s="92"/>
    </row>
    <row r="1187" hidden="1">
      <c r="A1187" s="86"/>
      <c r="B1187" s="39"/>
      <c r="C1187" s="80" t="s">
        <v>78</v>
      </c>
      <c r="D1187" s="181"/>
      <c r="E1187" s="43"/>
      <c r="F1187" s="43"/>
      <c r="G1187" s="81"/>
      <c r="H1187" s="43"/>
      <c r="I1187" s="43"/>
      <c r="J1187" s="43"/>
      <c r="K1187" s="91"/>
      <c r="L1187" s="91"/>
      <c r="M1187" s="91"/>
      <c r="N1187" s="96" t="b">
        <v>0</v>
      </c>
      <c r="O1187" s="96" t="b">
        <v>0</v>
      </c>
      <c r="P1187" s="92"/>
      <c r="Q1187" s="92"/>
      <c r="R1187" s="92"/>
      <c r="S1187" s="92"/>
      <c r="T1187" s="92"/>
      <c r="U1187" s="92"/>
      <c r="V1187" s="92"/>
      <c r="W1187" s="92"/>
      <c r="X1187" s="92"/>
      <c r="Y1187" s="92"/>
      <c r="Z1187" s="92"/>
      <c r="AA1187" s="92"/>
      <c r="AB1187" s="92"/>
      <c r="AC1187" s="92"/>
      <c r="AD1187" s="92"/>
      <c r="AE1187" s="92"/>
      <c r="AF1187" s="92"/>
      <c r="AG1187" s="92"/>
    </row>
    <row r="1188" hidden="1">
      <c r="A1188" s="86"/>
      <c r="B1188" s="17"/>
      <c r="C1188" s="80"/>
      <c r="D1188" s="97"/>
      <c r="E1188" s="183"/>
      <c r="F1188" s="183"/>
      <c r="G1188" s="99"/>
      <c r="H1188" s="98"/>
      <c r="I1188" s="98"/>
      <c r="J1188" s="98"/>
      <c r="K1188" s="91"/>
      <c r="L1188" s="91"/>
      <c r="M1188" s="91"/>
      <c r="N1188" s="96" t="b">
        <v>0</v>
      </c>
      <c r="O1188" s="96" t="b">
        <v>0</v>
      </c>
      <c r="P1188" s="92"/>
      <c r="Q1188" s="92"/>
      <c r="R1188" s="92"/>
      <c r="S1188" s="92"/>
      <c r="T1188" s="92"/>
      <c r="U1188" s="92"/>
      <c r="V1188" s="92"/>
      <c r="W1188" s="92"/>
      <c r="X1188" s="92"/>
      <c r="Y1188" s="92"/>
      <c r="Z1188" s="92"/>
      <c r="AA1188" s="92"/>
      <c r="AB1188" s="92"/>
      <c r="AC1188" s="92"/>
      <c r="AD1188" s="92"/>
      <c r="AE1188" s="92"/>
      <c r="AF1188" s="92"/>
      <c r="AG1188" s="92"/>
    </row>
    <row r="1189" hidden="1">
      <c r="A1189" s="86"/>
      <c r="B1189" s="18" t="s">
        <v>1971</v>
      </c>
      <c r="C1189" s="80" t="s">
        <v>78</v>
      </c>
      <c r="D1189" s="97" t="s">
        <v>79</v>
      </c>
      <c r="E1189" s="183" t="s">
        <v>2254</v>
      </c>
      <c r="F1189" s="183" t="s">
        <v>2255</v>
      </c>
      <c r="G1189" s="99">
        <v>0.4583333333333333</v>
      </c>
      <c r="H1189" s="98" t="s">
        <v>635</v>
      </c>
      <c r="I1189" s="98" t="s">
        <v>2256</v>
      </c>
      <c r="J1189" s="98" t="s">
        <v>2257</v>
      </c>
      <c r="K1189" s="91"/>
      <c r="L1189" s="91"/>
      <c r="M1189" s="91"/>
      <c r="N1189" s="96" t="b">
        <v>0</v>
      </c>
      <c r="O1189" s="96" t="b">
        <v>0</v>
      </c>
      <c r="P1189" s="92"/>
      <c r="Q1189" s="92"/>
      <c r="R1189" s="92"/>
      <c r="S1189" s="92"/>
      <c r="T1189" s="92"/>
      <c r="U1189" s="92"/>
      <c r="V1189" s="92"/>
      <c r="W1189" s="92"/>
      <c r="X1189" s="92"/>
      <c r="Y1189" s="92"/>
      <c r="Z1189" s="92"/>
      <c r="AA1189" s="92"/>
      <c r="AB1189" s="92"/>
      <c r="AC1189" s="92"/>
      <c r="AD1189" s="92"/>
      <c r="AE1189" s="92"/>
      <c r="AF1189" s="92"/>
      <c r="AG1189" s="92"/>
    </row>
    <row r="1190" hidden="1">
      <c r="A1190" s="86"/>
      <c r="B1190" s="25"/>
      <c r="C1190" s="80" t="s">
        <v>78</v>
      </c>
      <c r="D1190" s="97" t="s">
        <v>79</v>
      </c>
      <c r="E1190" s="184" t="s">
        <v>2511</v>
      </c>
      <c r="F1190" s="184" t="s">
        <v>2512</v>
      </c>
      <c r="G1190" s="112" t="s">
        <v>384</v>
      </c>
      <c r="H1190" s="109" t="s">
        <v>2513</v>
      </c>
      <c r="I1190" s="109" t="s">
        <v>2514</v>
      </c>
      <c r="J1190" s="184" t="s">
        <v>2515</v>
      </c>
      <c r="K1190" s="91"/>
      <c r="L1190" s="91"/>
      <c r="M1190" s="91"/>
      <c r="N1190" s="96" t="b">
        <v>0</v>
      </c>
      <c r="O1190" s="96" t="b">
        <v>0</v>
      </c>
      <c r="P1190" s="92"/>
      <c r="Q1190" s="92"/>
      <c r="R1190" s="92"/>
      <c r="S1190" s="92"/>
      <c r="T1190" s="92"/>
      <c r="U1190" s="92"/>
      <c r="V1190" s="92"/>
      <c r="W1190" s="92"/>
      <c r="X1190" s="92"/>
      <c r="Y1190" s="92"/>
      <c r="Z1190" s="92"/>
      <c r="AA1190" s="92"/>
      <c r="AB1190" s="92"/>
      <c r="AC1190" s="92"/>
      <c r="AD1190" s="92"/>
      <c r="AE1190" s="92"/>
      <c r="AF1190" s="92"/>
      <c r="AG1190" s="92"/>
    </row>
    <row r="1191" hidden="1">
      <c r="A1191" s="86"/>
      <c r="B1191" s="25"/>
      <c r="C1191" s="78" t="s">
        <v>78</v>
      </c>
      <c r="D1191" s="97" t="s">
        <v>2192</v>
      </c>
      <c r="E1191" s="183" t="s">
        <v>2516</v>
      </c>
      <c r="F1191" s="183" t="s">
        <v>2517</v>
      </c>
      <c r="G1191" s="99">
        <v>0.625</v>
      </c>
      <c r="H1191" s="98" t="s">
        <v>585</v>
      </c>
      <c r="I1191" s="98" t="s">
        <v>2518</v>
      </c>
      <c r="J1191" s="183" t="s">
        <v>2519</v>
      </c>
      <c r="K1191" s="91"/>
      <c r="L1191" s="91"/>
      <c r="M1191" s="91"/>
      <c r="N1191" s="96" t="b">
        <v>0</v>
      </c>
      <c r="O1191" s="96" t="b">
        <v>0</v>
      </c>
      <c r="P1191" s="92"/>
      <c r="Q1191" s="92"/>
      <c r="R1191" s="92"/>
      <c r="S1191" s="92"/>
      <c r="T1191" s="92"/>
      <c r="U1191" s="92"/>
      <c r="V1191" s="92"/>
      <c r="W1191" s="92"/>
      <c r="X1191" s="92"/>
      <c r="Y1191" s="92"/>
      <c r="Z1191" s="92"/>
      <c r="AA1191" s="92"/>
      <c r="AB1191" s="92"/>
      <c r="AC1191" s="92"/>
      <c r="AD1191" s="92"/>
      <c r="AE1191" s="92"/>
      <c r="AF1191" s="92"/>
      <c r="AG1191" s="92"/>
    </row>
    <row r="1192" hidden="1">
      <c r="A1192" s="86"/>
      <c r="B1192" s="25"/>
      <c r="C1192" s="80" t="s">
        <v>78</v>
      </c>
      <c r="D1192" s="97" t="s">
        <v>79</v>
      </c>
      <c r="E1192" s="183" t="s">
        <v>2133</v>
      </c>
      <c r="F1192" s="183" t="s">
        <v>2134</v>
      </c>
      <c r="G1192" s="99">
        <v>0.6875</v>
      </c>
      <c r="H1192" s="98" t="s">
        <v>2520</v>
      </c>
      <c r="I1192" s="98" t="s">
        <v>2521</v>
      </c>
      <c r="J1192" s="98" t="s">
        <v>2137</v>
      </c>
      <c r="K1192" s="91"/>
      <c r="L1192" s="91"/>
      <c r="M1192" s="91"/>
      <c r="N1192" s="96" t="b">
        <v>0</v>
      </c>
      <c r="O1192" s="96" t="b">
        <v>0</v>
      </c>
      <c r="P1192" s="92"/>
      <c r="Q1192" s="92"/>
      <c r="R1192" s="92"/>
      <c r="S1192" s="92"/>
      <c r="T1192" s="92"/>
      <c r="U1192" s="92"/>
      <c r="V1192" s="92"/>
      <c r="W1192" s="92"/>
      <c r="X1192" s="92"/>
      <c r="Y1192" s="92"/>
      <c r="Z1192" s="92"/>
      <c r="AA1192" s="92"/>
      <c r="AB1192" s="92"/>
      <c r="AC1192" s="92"/>
      <c r="AD1192" s="92"/>
      <c r="AE1192" s="92"/>
      <c r="AF1192" s="92"/>
      <c r="AG1192" s="92"/>
    </row>
    <row r="1193" hidden="1">
      <c r="A1193" s="86"/>
      <c r="B1193" s="25"/>
      <c r="C1193" s="80" t="s">
        <v>78</v>
      </c>
      <c r="D1193" s="97" t="s">
        <v>79</v>
      </c>
      <c r="E1193" s="184" t="s">
        <v>1221</v>
      </c>
      <c r="F1193" s="184" t="s">
        <v>1222</v>
      </c>
      <c r="G1193" s="108">
        <v>0.75</v>
      </c>
      <c r="H1193" s="109" t="s">
        <v>568</v>
      </c>
      <c r="I1193" s="109" t="s">
        <v>2522</v>
      </c>
      <c r="J1193" s="184" t="s">
        <v>1224</v>
      </c>
      <c r="K1193" s="91"/>
      <c r="L1193" s="91"/>
      <c r="M1193" s="91"/>
      <c r="N1193" s="96" t="b">
        <v>0</v>
      </c>
      <c r="O1193" s="96" t="b">
        <v>0</v>
      </c>
      <c r="P1193" s="92"/>
      <c r="Q1193" s="92"/>
      <c r="R1193" s="92"/>
      <c r="S1193" s="92"/>
      <c r="T1193" s="92"/>
      <c r="U1193" s="92"/>
      <c r="V1193" s="92"/>
      <c r="W1193" s="92"/>
      <c r="X1193" s="92"/>
      <c r="Y1193" s="92"/>
      <c r="Z1193" s="92"/>
      <c r="AA1193" s="92"/>
      <c r="AB1193" s="92"/>
      <c r="AC1193" s="92"/>
      <c r="AD1193" s="92"/>
      <c r="AE1193" s="92"/>
      <c r="AF1193" s="92"/>
      <c r="AG1193" s="92"/>
    </row>
    <row r="1194" hidden="1">
      <c r="A1194" s="86"/>
      <c r="B1194" s="39"/>
      <c r="C1194" s="80" t="s">
        <v>78</v>
      </c>
      <c r="D1194" s="97"/>
      <c r="E1194" s="98"/>
      <c r="F1194" s="98"/>
      <c r="G1194" s="41"/>
      <c r="H1194" s="98"/>
      <c r="I1194" s="98"/>
      <c r="J1194" s="98"/>
      <c r="K1194" s="91"/>
      <c r="L1194" s="91"/>
      <c r="M1194" s="91"/>
      <c r="N1194" s="96" t="b">
        <v>0</v>
      </c>
      <c r="O1194" s="96" t="b">
        <v>0</v>
      </c>
      <c r="P1194" s="92"/>
      <c r="Q1194" s="92"/>
      <c r="R1194" s="92"/>
      <c r="S1194" s="92"/>
      <c r="T1194" s="92"/>
      <c r="U1194" s="92"/>
      <c r="V1194" s="92"/>
      <c r="W1194" s="92"/>
      <c r="X1194" s="92"/>
      <c r="Y1194" s="92"/>
      <c r="Z1194" s="92"/>
      <c r="AA1194" s="92"/>
      <c r="AB1194" s="92"/>
      <c r="AC1194" s="92"/>
      <c r="AD1194" s="92"/>
      <c r="AE1194" s="92"/>
      <c r="AF1194" s="92"/>
      <c r="AG1194" s="92"/>
    </row>
    <row r="1195" hidden="1">
      <c r="A1195" s="86"/>
      <c r="B1195" s="166"/>
      <c r="C1195" s="88">
        <v>44459.0</v>
      </c>
      <c r="D1195" s="97"/>
      <c r="E1195" s="98"/>
      <c r="F1195" s="98"/>
      <c r="G1195" s="41"/>
      <c r="H1195" s="98"/>
      <c r="I1195" s="98"/>
      <c r="J1195" s="98"/>
      <c r="K1195" s="91"/>
      <c r="L1195" s="91"/>
      <c r="M1195" s="91"/>
      <c r="N1195" s="96" t="b">
        <v>0</v>
      </c>
      <c r="O1195" s="96" t="b">
        <v>0</v>
      </c>
      <c r="P1195" s="92"/>
      <c r="Q1195" s="92"/>
      <c r="R1195" s="92"/>
      <c r="S1195" s="92"/>
      <c r="T1195" s="92"/>
      <c r="U1195" s="92"/>
      <c r="V1195" s="92"/>
      <c r="W1195" s="92"/>
      <c r="X1195" s="92"/>
      <c r="Y1195" s="92"/>
      <c r="Z1195" s="92"/>
      <c r="AA1195" s="92"/>
      <c r="AB1195" s="92"/>
      <c r="AC1195" s="92"/>
      <c r="AD1195" s="92"/>
      <c r="AE1195" s="92"/>
      <c r="AF1195" s="92"/>
      <c r="AG1195" s="92"/>
    </row>
    <row r="1196" hidden="1">
      <c r="A1196" s="86"/>
      <c r="B1196" s="18" t="s">
        <v>1668</v>
      </c>
      <c r="C1196" s="234"/>
      <c r="D1196" s="97"/>
      <c r="E1196" s="98"/>
      <c r="F1196" s="98"/>
      <c r="G1196" s="41"/>
      <c r="H1196" s="98"/>
      <c r="I1196" s="98"/>
      <c r="J1196" s="98"/>
      <c r="K1196" s="91"/>
      <c r="L1196" s="91"/>
      <c r="M1196" s="91"/>
      <c r="N1196" s="96" t="b">
        <v>0</v>
      </c>
      <c r="O1196" s="96" t="b">
        <v>0</v>
      </c>
      <c r="P1196" s="92"/>
      <c r="Q1196" s="92"/>
      <c r="R1196" s="92"/>
      <c r="S1196" s="92"/>
      <c r="T1196" s="92"/>
      <c r="U1196" s="92"/>
      <c r="V1196" s="92"/>
      <c r="W1196" s="92"/>
      <c r="X1196" s="92"/>
      <c r="Y1196" s="92"/>
      <c r="Z1196" s="92"/>
      <c r="AA1196" s="92"/>
      <c r="AB1196" s="92"/>
      <c r="AC1196" s="92"/>
      <c r="AD1196" s="92"/>
      <c r="AE1196" s="92"/>
      <c r="AF1196" s="92"/>
      <c r="AG1196" s="92"/>
    </row>
    <row r="1197" hidden="1">
      <c r="A1197" s="86"/>
      <c r="B1197" s="25"/>
      <c r="C1197" s="78" t="s">
        <v>78</v>
      </c>
      <c r="D1197" s="181"/>
      <c r="E1197" s="43"/>
      <c r="F1197" s="43"/>
      <c r="G1197" s="81"/>
      <c r="H1197" s="43"/>
      <c r="I1197" s="43"/>
      <c r="J1197" s="43"/>
      <c r="K1197" s="91"/>
      <c r="L1197" s="91"/>
      <c r="M1197" s="91"/>
      <c r="N1197" s="96" t="b">
        <v>0</v>
      </c>
      <c r="O1197" s="96" t="b">
        <v>0</v>
      </c>
      <c r="P1197" s="92"/>
      <c r="Q1197" s="92"/>
      <c r="R1197" s="92"/>
      <c r="S1197" s="92"/>
      <c r="T1197" s="92"/>
      <c r="U1197" s="92"/>
      <c r="V1197" s="92"/>
      <c r="W1197" s="92"/>
      <c r="X1197" s="92"/>
      <c r="Y1197" s="92"/>
      <c r="Z1197" s="92"/>
      <c r="AA1197" s="92"/>
      <c r="AB1197" s="92"/>
      <c r="AC1197" s="92"/>
      <c r="AD1197" s="92"/>
      <c r="AE1197" s="92"/>
      <c r="AF1197" s="92"/>
      <c r="AG1197" s="92"/>
    </row>
    <row r="1198" hidden="1">
      <c r="A1198" s="86"/>
      <c r="B1198" s="25"/>
      <c r="C1198" s="80" t="s">
        <v>78</v>
      </c>
      <c r="D1198" s="97" t="s">
        <v>79</v>
      </c>
      <c r="E1198" s="183" t="s">
        <v>602</v>
      </c>
      <c r="F1198" s="183" t="s">
        <v>603</v>
      </c>
      <c r="G1198" s="188">
        <v>0.5416666666666666</v>
      </c>
      <c r="H1198" s="189" t="s">
        <v>349</v>
      </c>
      <c r="I1198" s="189" t="s">
        <v>2523</v>
      </c>
      <c r="J1198" s="189" t="s">
        <v>2524</v>
      </c>
      <c r="K1198" s="91"/>
      <c r="L1198" s="91"/>
      <c r="M1198" s="91"/>
      <c r="N1198" s="96" t="b">
        <v>0</v>
      </c>
      <c r="O1198" s="96" t="b">
        <v>0</v>
      </c>
      <c r="P1198" s="92"/>
      <c r="Q1198" s="92"/>
      <c r="R1198" s="92"/>
      <c r="S1198" s="92"/>
      <c r="T1198" s="92"/>
      <c r="U1198" s="92"/>
      <c r="V1198" s="92"/>
      <c r="W1198" s="92"/>
      <c r="X1198" s="92"/>
      <c r="Y1198" s="92"/>
      <c r="Z1198" s="92"/>
      <c r="AA1198" s="92"/>
      <c r="AB1198" s="92"/>
      <c r="AC1198" s="92"/>
      <c r="AD1198" s="92"/>
      <c r="AE1198" s="92"/>
      <c r="AF1198" s="92"/>
      <c r="AG1198" s="92"/>
    </row>
    <row r="1199" hidden="1">
      <c r="A1199" s="86"/>
      <c r="B1199" s="25"/>
      <c r="C1199" s="80" t="s">
        <v>78</v>
      </c>
      <c r="D1199" s="97" t="s">
        <v>79</v>
      </c>
      <c r="E1199" s="183" t="s">
        <v>2525</v>
      </c>
      <c r="F1199" s="183" t="s">
        <v>2526</v>
      </c>
      <c r="G1199" s="41" t="s">
        <v>567</v>
      </c>
      <c r="H1199" s="98" t="s">
        <v>2527</v>
      </c>
      <c r="I1199" s="98">
        <v>5.464493179E9</v>
      </c>
      <c r="J1199" s="183" t="s">
        <v>2528</v>
      </c>
      <c r="K1199" s="91"/>
      <c r="L1199" s="91"/>
      <c r="M1199" s="91"/>
      <c r="N1199" s="96" t="b">
        <v>0</v>
      </c>
      <c r="O1199" s="96" t="b">
        <v>0</v>
      </c>
      <c r="P1199" s="92"/>
      <c r="Q1199" s="92"/>
      <c r="R1199" s="92"/>
      <c r="S1199" s="92"/>
      <c r="T1199" s="92"/>
      <c r="U1199" s="92"/>
      <c r="V1199" s="92"/>
      <c r="W1199" s="92"/>
      <c r="X1199" s="92"/>
      <c r="Y1199" s="92"/>
      <c r="Z1199" s="92"/>
      <c r="AA1199" s="92"/>
      <c r="AB1199" s="92"/>
      <c r="AC1199" s="92"/>
      <c r="AD1199" s="92"/>
      <c r="AE1199" s="92"/>
      <c r="AF1199" s="92"/>
      <c r="AG1199" s="92"/>
    </row>
    <row r="1200" hidden="1">
      <c r="A1200" s="86"/>
      <c r="B1200" s="25"/>
      <c r="C1200" s="80" t="s">
        <v>78</v>
      </c>
      <c r="D1200" s="97" t="s">
        <v>79</v>
      </c>
      <c r="E1200" s="183" t="s">
        <v>1616</v>
      </c>
      <c r="F1200" s="183" t="s">
        <v>1617</v>
      </c>
      <c r="G1200" s="99">
        <v>0.6875</v>
      </c>
      <c r="H1200" s="98" t="s">
        <v>82</v>
      </c>
      <c r="I1200" s="98" t="s">
        <v>2529</v>
      </c>
      <c r="J1200" s="98" t="s">
        <v>1619</v>
      </c>
      <c r="K1200" s="91"/>
      <c r="L1200" s="91"/>
      <c r="M1200" s="91"/>
      <c r="N1200" s="96" t="b">
        <v>0</v>
      </c>
      <c r="O1200" s="96" t="b">
        <v>0</v>
      </c>
      <c r="P1200" s="92"/>
      <c r="Q1200" s="92"/>
      <c r="R1200" s="92"/>
      <c r="S1200" s="92"/>
      <c r="T1200" s="92"/>
      <c r="U1200" s="92"/>
      <c r="V1200" s="92"/>
      <c r="W1200" s="92"/>
      <c r="X1200" s="92"/>
      <c r="Y1200" s="92"/>
      <c r="Z1200" s="92"/>
      <c r="AA1200" s="92"/>
      <c r="AB1200" s="92"/>
      <c r="AC1200" s="92"/>
      <c r="AD1200" s="92"/>
      <c r="AE1200" s="92"/>
      <c r="AF1200" s="92"/>
      <c r="AG1200" s="92"/>
    </row>
    <row r="1201" hidden="1">
      <c r="A1201" s="86"/>
      <c r="B1201" s="39"/>
      <c r="C1201" s="80" t="s">
        <v>78</v>
      </c>
      <c r="D1201" s="97" t="s">
        <v>79</v>
      </c>
      <c r="E1201" s="227" t="s">
        <v>422</v>
      </c>
      <c r="F1201" s="227" t="s">
        <v>423</v>
      </c>
      <c r="G1201" s="108">
        <v>0.75</v>
      </c>
      <c r="H1201" s="109" t="s">
        <v>424</v>
      </c>
      <c r="I1201" s="109" t="s">
        <v>425</v>
      </c>
      <c r="J1201" s="227" t="s">
        <v>426</v>
      </c>
      <c r="K1201" s="91"/>
      <c r="L1201" s="91"/>
      <c r="M1201" s="91"/>
      <c r="N1201" s="96" t="b">
        <v>0</v>
      </c>
      <c r="O1201" s="96" t="b">
        <v>0</v>
      </c>
      <c r="P1201" s="92"/>
      <c r="Q1201" s="92"/>
      <c r="R1201" s="92"/>
      <c r="S1201" s="92"/>
      <c r="T1201" s="92"/>
      <c r="U1201" s="92"/>
      <c r="V1201" s="92"/>
      <c r="W1201" s="92"/>
      <c r="X1201" s="92"/>
      <c r="Y1201" s="92"/>
      <c r="Z1201" s="92"/>
      <c r="AA1201" s="92"/>
      <c r="AB1201" s="92"/>
      <c r="AC1201" s="92"/>
      <c r="AD1201" s="92"/>
      <c r="AE1201" s="92"/>
      <c r="AF1201" s="92"/>
      <c r="AG1201" s="92"/>
    </row>
    <row r="1202" hidden="1">
      <c r="A1202" s="86"/>
      <c r="B1202" s="18" t="s">
        <v>1971</v>
      </c>
      <c r="C1202" s="80"/>
      <c r="D1202" s="97"/>
      <c r="E1202" s="98"/>
      <c r="F1202" s="98"/>
      <c r="G1202" s="41"/>
      <c r="H1202" s="98"/>
      <c r="I1202" s="98"/>
      <c r="J1202" s="98"/>
      <c r="K1202" s="91"/>
      <c r="L1202" s="91"/>
      <c r="M1202" s="91"/>
      <c r="N1202" s="96" t="b">
        <v>0</v>
      </c>
      <c r="O1202" s="96" t="b">
        <v>0</v>
      </c>
      <c r="P1202" s="92"/>
      <c r="Q1202" s="92"/>
      <c r="R1202" s="92"/>
      <c r="S1202" s="92"/>
      <c r="T1202" s="92"/>
      <c r="U1202" s="92"/>
      <c r="V1202" s="92"/>
      <c r="W1202" s="92"/>
      <c r="X1202" s="92"/>
      <c r="Y1202" s="92"/>
      <c r="Z1202" s="92"/>
      <c r="AA1202" s="92"/>
      <c r="AB1202" s="92"/>
      <c r="AC1202" s="92"/>
      <c r="AD1202" s="92"/>
      <c r="AE1202" s="92"/>
      <c r="AF1202" s="92"/>
      <c r="AG1202" s="92"/>
    </row>
    <row r="1203" hidden="1">
      <c r="A1203" s="86"/>
      <c r="B1203" s="25"/>
      <c r="C1203" s="80" t="s">
        <v>78</v>
      </c>
      <c r="D1203" s="97"/>
      <c r="E1203" s="98"/>
      <c r="F1203" s="98"/>
      <c r="G1203" s="41"/>
      <c r="H1203" s="98"/>
      <c r="I1203" s="98"/>
      <c r="J1203" s="98"/>
      <c r="K1203" s="91"/>
      <c r="L1203" s="91"/>
      <c r="M1203" s="91"/>
      <c r="N1203" s="96" t="b">
        <v>0</v>
      </c>
      <c r="O1203" s="96" t="b">
        <v>0</v>
      </c>
      <c r="P1203" s="92"/>
      <c r="Q1203" s="92"/>
      <c r="R1203" s="92"/>
      <c r="S1203" s="92"/>
      <c r="T1203" s="92"/>
      <c r="U1203" s="92"/>
      <c r="V1203" s="92"/>
      <c r="W1203" s="92"/>
      <c r="X1203" s="92"/>
      <c r="Y1203" s="92"/>
      <c r="Z1203" s="92"/>
      <c r="AA1203" s="92"/>
      <c r="AB1203" s="92"/>
      <c r="AC1203" s="92"/>
      <c r="AD1203" s="92"/>
      <c r="AE1203" s="92"/>
      <c r="AF1203" s="92"/>
      <c r="AG1203" s="92"/>
    </row>
    <row r="1204" hidden="1">
      <c r="A1204" s="86"/>
      <c r="B1204" s="25"/>
      <c r="C1204" s="78" t="s">
        <v>78</v>
      </c>
      <c r="D1204" s="97" t="s">
        <v>79</v>
      </c>
      <c r="E1204" s="184" t="s">
        <v>2287</v>
      </c>
      <c r="F1204" s="184" t="s">
        <v>2288</v>
      </c>
      <c r="G1204" s="108">
        <v>0.4583333333333333</v>
      </c>
      <c r="H1204" s="109" t="s">
        <v>755</v>
      </c>
      <c r="I1204" s="109" t="s">
        <v>2530</v>
      </c>
      <c r="J1204" s="184" t="s">
        <v>2290</v>
      </c>
      <c r="K1204" s="91"/>
      <c r="L1204" s="91"/>
      <c r="M1204" s="91"/>
      <c r="N1204" s="96" t="b">
        <v>0</v>
      </c>
      <c r="O1204" s="96" t="b">
        <v>0</v>
      </c>
      <c r="P1204" s="92"/>
      <c r="Q1204" s="92"/>
      <c r="R1204" s="92"/>
      <c r="S1204" s="92"/>
      <c r="T1204" s="92"/>
      <c r="U1204" s="92"/>
      <c r="V1204" s="92"/>
      <c r="W1204" s="92"/>
      <c r="X1204" s="92"/>
      <c r="Y1204" s="92"/>
      <c r="Z1204" s="92"/>
      <c r="AA1204" s="92"/>
      <c r="AB1204" s="92"/>
      <c r="AC1204" s="92"/>
      <c r="AD1204" s="92"/>
      <c r="AE1204" s="92"/>
      <c r="AF1204" s="92"/>
      <c r="AG1204" s="92"/>
    </row>
    <row r="1205" hidden="1">
      <c r="A1205" s="86"/>
      <c r="B1205" s="25"/>
      <c r="C1205" s="80" t="s">
        <v>78</v>
      </c>
      <c r="D1205" s="97" t="s">
        <v>79</v>
      </c>
      <c r="E1205" s="246" t="s">
        <v>2531</v>
      </c>
      <c r="F1205" s="246" t="s">
        <v>2532</v>
      </c>
      <c r="G1205" s="247">
        <v>0.5416666666666666</v>
      </c>
      <c r="H1205" s="248" t="s">
        <v>290</v>
      </c>
      <c r="I1205" s="248" t="s">
        <v>2533</v>
      </c>
      <c r="J1205" s="248" t="s">
        <v>2534</v>
      </c>
      <c r="K1205" s="98" t="s">
        <v>2535</v>
      </c>
      <c r="L1205" s="91"/>
      <c r="M1205" s="91"/>
      <c r="N1205" s="96" t="b">
        <v>0</v>
      </c>
      <c r="O1205" s="96" t="b">
        <v>0</v>
      </c>
      <c r="P1205" s="92"/>
      <c r="Q1205" s="92"/>
      <c r="R1205" s="92"/>
      <c r="S1205" s="92"/>
      <c r="T1205" s="92"/>
      <c r="U1205" s="92"/>
      <c r="V1205" s="92"/>
      <c r="W1205" s="92"/>
      <c r="X1205" s="92"/>
      <c r="Y1205" s="92"/>
      <c r="Z1205" s="92"/>
      <c r="AA1205" s="92"/>
      <c r="AB1205" s="92"/>
      <c r="AC1205" s="92"/>
      <c r="AD1205" s="92"/>
      <c r="AE1205" s="92"/>
      <c r="AF1205" s="92"/>
      <c r="AG1205" s="92"/>
    </row>
    <row r="1206" hidden="1">
      <c r="A1206" s="86"/>
      <c r="B1206" s="25"/>
      <c r="C1206" s="80" t="s">
        <v>78</v>
      </c>
      <c r="D1206" s="97" t="s">
        <v>79</v>
      </c>
      <c r="E1206" s="183" t="s">
        <v>1166</v>
      </c>
      <c r="F1206" s="183" t="s">
        <v>1167</v>
      </c>
      <c r="G1206" s="41" t="s">
        <v>567</v>
      </c>
      <c r="H1206" s="98" t="s">
        <v>2536</v>
      </c>
      <c r="I1206" s="98" t="s">
        <v>2537</v>
      </c>
      <c r="J1206" s="183" t="s">
        <v>1170</v>
      </c>
      <c r="K1206" s="91"/>
      <c r="L1206" s="91"/>
      <c r="M1206" s="91"/>
      <c r="N1206" s="96" t="b">
        <v>0</v>
      </c>
      <c r="O1206" s="96" t="b">
        <v>0</v>
      </c>
      <c r="P1206" s="92"/>
      <c r="Q1206" s="92"/>
      <c r="R1206" s="92"/>
      <c r="S1206" s="92"/>
      <c r="T1206" s="92"/>
      <c r="U1206" s="92"/>
      <c r="V1206" s="92"/>
      <c r="W1206" s="92"/>
      <c r="X1206" s="92"/>
      <c r="Y1206" s="92"/>
      <c r="Z1206" s="92"/>
      <c r="AA1206" s="92"/>
      <c r="AB1206" s="92"/>
      <c r="AC1206" s="92"/>
      <c r="AD1206" s="92"/>
      <c r="AE1206" s="92"/>
      <c r="AF1206" s="92"/>
      <c r="AG1206" s="92"/>
    </row>
    <row r="1207" hidden="1">
      <c r="A1207" s="86"/>
      <c r="B1207" s="39"/>
      <c r="C1207" s="80" t="s">
        <v>78</v>
      </c>
      <c r="D1207" s="97" t="s">
        <v>79</v>
      </c>
      <c r="E1207" s="183" t="s">
        <v>2538</v>
      </c>
      <c r="F1207" s="183" t="s">
        <v>2539</v>
      </c>
      <c r="G1207" s="41" t="s">
        <v>248</v>
      </c>
      <c r="H1207" s="98" t="s">
        <v>2540</v>
      </c>
      <c r="I1207" s="203">
        <v>5.309547387E9</v>
      </c>
      <c r="J1207" s="183" t="s">
        <v>2541</v>
      </c>
      <c r="K1207" s="91"/>
      <c r="L1207" s="91"/>
      <c r="M1207" s="91"/>
      <c r="N1207" s="96" t="b">
        <v>0</v>
      </c>
      <c r="O1207" s="96" t="b">
        <v>0</v>
      </c>
      <c r="P1207" s="92"/>
      <c r="Q1207" s="92"/>
      <c r="R1207" s="92"/>
      <c r="S1207" s="92"/>
      <c r="T1207" s="92"/>
      <c r="U1207" s="92"/>
      <c r="V1207" s="92"/>
      <c r="W1207" s="92"/>
      <c r="X1207" s="92"/>
      <c r="Y1207" s="92"/>
      <c r="Z1207" s="92"/>
      <c r="AA1207" s="92"/>
      <c r="AB1207" s="92"/>
      <c r="AC1207" s="92"/>
      <c r="AD1207" s="92"/>
      <c r="AE1207" s="92"/>
      <c r="AF1207" s="92"/>
      <c r="AG1207" s="92"/>
    </row>
    <row r="1208" hidden="1">
      <c r="A1208" s="86"/>
      <c r="B1208" s="166"/>
      <c r="C1208" s="88">
        <v>44460.0</v>
      </c>
      <c r="D1208" s="97"/>
      <c r="E1208" s="98"/>
      <c r="F1208" s="98"/>
      <c r="G1208" s="41"/>
      <c r="H1208" s="98"/>
      <c r="I1208" s="98"/>
      <c r="J1208" s="98"/>
      <c r="K1208" s="91"/>
      <c r="L1208" s="91"/>
      <c r="M1208" s="91"/>
      <c r="N1208" s="96" t="b">
        <v>0</v>
      </c>
      <c r="O1208" s="96" t="b">
        <v>0</v>
      </c>
      <c r="P1208" s="92"/>
      <c r="Q1208" s="92"/>
      <c r="R1208" s="92"/>
      <c r="S1208" s="92"/>
      <c r="T1208" s="92"/>
      <c r="U1208" s="92"/>
      <c r="V1208" s="92"/>
      <c r="W1208" s="92"/>
      <c r="X1208" s="92"/>
      <c r="Y1208" s="92"/>
      <c r="Z1208" s="92"/>
      <c r="AA1208" s="92"/>
      <c r="AB1208" s="92"/>
      <c r="AC1208" s="92"/>
      <c r="AD1208" s="92"/>
      <c r="AE1208" s="92"/>
      <c r="AF1208" s="92"/>
      <c r="AG1208" s="92"/>
    </row>
    <row r="1209" hidden="1">
      <c r="A1209" s="86"/>
      <c r="B1209" s="18" t="s">
        <v>1668</v>
      </c>
      <c r="C1209" s="234"/>
      <c r="D1209" s="97"/>
      <c r="E1209" s="98"/>
      <c r="F1209" s="98"/>
      <c r="G1209" s="41"/>
      <c r="H1209" s="98"/>
      <c r="I1209" s="98"/>
      <c r="J1209" s="98"/>
      <c r="K1209" s="91"/>
      <c r="L1209" s="91"/>
      <c r="M1209" s="91"/>
      <c r="N1209" s="96" t="b">
        <v>0</v>
      </c>
      <c r="O1209" s="96" t="b">
        <v>0</v>
      </c>
      <c r="P1209" s="92"/>
      <c r="Q1209" s="92"/>
      <c r="R1209" s="92"/>
      <c r="S1209" s="92"/>
      <c r="T1209" s="92"/>
      <c r="U1209" s="92"/>
      <c r="V1209" s="92"/>
      <c r="W1209" s="92"/>
      <c r="X1209" s="92"/>
      <c r="Y1209" s="92"/>
      <c r="Z1209" s="92"/>
      <c r="AA1209" s="92"/>
      <c r="AB1209" s="92"/>
      <c r="AC1209" s="92"/>
      <c r="AD1209" s="92"/>
      <c r="AE1209" s="92"/>
      <c r="AF1209" s="92"/>
      <c r="AG1209" s="92"/>
    </row>
    <row r="1210" hidden="1">
      <c r="A1210" s="86"/>
      <c r="B1210" s="25"/>
      <c r="C1210" s="78" t="s">
        <v>78</v>
      </c>
      <c r="D1210" s="97" t="s">
        <v>2542</v>
      </c>
      <c r="E1210" s="184" t="s">
        <v>2543</v>
      </c>
      <c r="F1210" s="184" t="s">
        <v>2544</v>
      </c>
      <c r="G1210" s="108">
        <v>0.4583333333333333</v>
      </c>
      <c r="H1210" s="109" t="s">
        <v>1784</v>
      </c>
      <c r="I1210" s="109" t="s">
        <v>2545</v>
      </c>
      <c r="J1210" s="184" t="s">
        <v>2546</v>
      </c>
      <c r="K1210" s="91"/>
      <c r="L1210" s="91"/>
      <c r="M1210" s="91"/>
      <c r="N1210" s="96" t="b">
        <v>0</v>
      </c>
      <c r="O1210" s="96" t="b">
        <v>0</v>
      </c>
      <c r="P1210" s="92"/>
      <c r="Q1210" s="92"/>
      <c r="R1210" s="92"/>
      <c r="S1210" s="92"/>
      <c r="T1210" s="92"/>
      <c r="U1210" s="92"/>
      <c r="V1210" s="92"/>
      <c r="W1210" s="92"/>
      <c r="X1210" s="92"/>
      <c r="Y1210" s="92"/>
      <c r="Z1210" s="92"/>
      <c r="AA1210" s="92"/>
      <c r="AB1210" s="92"/>
      <c r="AC1210" s="92"/>
      <c r="AD1210" s="92"/>
      <c r="AE1210" s="92"/>
      <c r="AF1210" s="92"/>
      <c r="AG1210" s="92"/>
    </row>
    <row r="1211" hidden="1">
      <c r="A1211" s="86"/>
      <c r="B1211" s="25"/>
      <c r="C1211" s="80" t="s">
        <v>78</v>
      </c>
      <c r="D1211" s="97" t="s">
        <v>2542</v>
      </c>
      <c r="E1211" s="183" t="s">
        <v>1647</v>
      </c>
      <c r="F1211" s="183" t="s">
        <v>1648</v>
      </c>
      <c r="G1211" s="99">
        <v>0.5416666666666666</v>
      </c>
      <c r="H1211" s="98" t="s">
        <v>1784</v>
      </c>
      <c r="I1211" s="98" t="s">
        <v>2547</v>
      </c>
      <c r="J1211" s="98" t="s">
        <v>1650</v>
      </c>
      <c r="K1211" s="91"/>
      <c r="L1211" s="91"/>
      <c r="M1211" s="91"/>
      <c r="N1211" s="96" t="b">
        <v>0</v>
      </c>
      <c r="O1211" s="96" t="b">
        <v>0</v>
      </c>
      <c r="P1211" s="92"/>
      <c r="Q1211" s="92"/>
      <c r="R1211" s="92"/>
      <c r="S1211" s="92"/>
      <c r="T1211" s="92"/>
      <c r="U1211" s="92"/>
      <c r="V1211" s="92"/>
      <c r="W1211" s="92"/>
      <c r="X1211" s="92"/>
      <c r="Y1211" s="92"/>
      <c r="Z1211" s="92"/>
      <c r="AA1211" s="92"/>
      <c r="AB1211" s="92"/>
      <c r="AC1211" s="92"/>
      <c r="AD1211" s="92"/>
      <c r="AE1211" s="92"/>
      <c r="AF1211" s="92"/>
      <c r="AG1211" s="92"/>
    </row>
    <row r="1212" hidden="1">
      <c r="A1212" s="86"/>
      <c r="B1212" s="25"/>
      <c r="C1212" s="80" t="s">
        <v>78</v>
      </c>
      <c r="D1212" s="97" t="s">
        <v>79</v>
      </c>
      <c r="E1212" s="183" t="s">
        <v>1695</v>
      </c>
      <c r="F1212" s="183" t="s">
        <v>1696</v>
      </c>
      <c r="G1212" s="99">
        <v>0.625</v>
      </c>
      <c r="H1212" s="98" t="s">
        <v>1784</v>
      </c>
      <c r="I1212" s="98" t="s">
        <v>2548</v>
      </c>
      <c r="J1212" s="98" t="s">
        <v>1698</v>
      </c>
      <c r="K1212" s="91"/>
      <c r="L1212" s="91"/>
      <c r="M1212" s="91"/>
      <c r="N1212" s="96" t="b">
        <v>0</v>
      </c>
      <c r="O1212" s="96" t="b">
        <v>0</v>
      </c>
      <c r="P1212" s="92"/>
      <c r="Q1212" s="92"/>
      <c r="R1212" s="92"/>
      <c r="S1212" s="92"/>
      <c r="T1212" s="92"/>
      <c r="U1212" s="92"/>
      <c r="V1212" s="92"/>
      <c r="W1212" s="92"/>
      <c r="X1212" s="92"/>
      <c r="Y1212" s="92"/>
      <c r="Z1212" s="92"/>
      <c r="AA1212" s="92"/>
      <c r="AB1212" s="92"/>
      <c r="AC1212" s="92"/>
      <c r="AD1212" s="92"/>
      <c r="AE1212" s="92"/>
      <c r="AF1212" s="92"/>
      <c r="AG1212" s="92"/>
    </row>
    <row r="1213" hidden="1">
      <c r="A1213" s="86"/>
      <c r="B1213" s="25"/>
      <c r="C1213" s="80" t="s">
        <v>78</v>
      </c>
      <c r="D1213" s="97" t="s">
        <v>2542</v>
      </c>
      <c r="E1213" s="183" t="s">
        <v>1710</v>
      </c>
      <c r="F1213" s="183" t="s">
        <v>1711</v>
      </c>
      <c r="G1213" s="41" t="s">
        <v>248</v>
      </c>
      <c r="H1213" s="98" t="s">
        <v>2082</v>
      </c>
      <c r="I1213" s="98" t="s">
        <v>2549</v>
      </c>
      <c r="J1213" s="98" t="s">
        <v>1714</v>
      </c>
      <c r="K1213" s="91"/>
      <c r="L1213" s="91"/>
      <c r="M1213" s="91"/>
      <c r="N1213" s="96" t="b">
        <v>0</v>
      </c>
      <c r="O1213" s="96" t="b">
        <v>0</v>
      </c>
      <c r="P1213" s="92"/>
      <c r="Q1213" s="92"/>
      <c r="R1213" s="92"/>
      <c r="S1213" s="92"/>
      <c r="T1213" s="92"/>
      <c r="U1213" s="92"/>
      <c r="V1213" s="92"/>
      <c r="W1213" s="92"/>
      <c r="X1213" s="92"/>
      <c r="Y1213" s="92"/>
      <c r="Z1213" s="92"/>
      <c r="AA1213" s="92"/>
      <c r="AB1213" s="92"/>
      <c r="AC1213" s="92"/>
      <c r="AD1213" s="92"/>
      <c r="AE1213" s="92"/>
      <c r="AF1213" s="92"/>
      <c r="AG1213" s="92"/>
    </row>
    <row r="1214" hidden="1">
      <c r="A1214" s="86"/>
      <c r="B1214" s="39"/>
      <c r="C1214" s="80" t="s">
        <v>78</v>
      </c>
      <c r="D1214" s="97"/>
      <c r="E1214" s="98"/>
      <c r="F1214" s="98"/>
      <c r="G1214" s="41"/>
      <c r="H1214" s="98"/>
      <c r="I1214" s="98"/>
      <c r="J1214" s="98"/>
      <c r="K1214" s="91"/>
      <c r="L1214" s="91"/>
      <c r="M1214" s="91"/>
      <c r="N1214" s="96" t="b">
        <v>0</v>
      </c>
      <c r="O1214" s="96" t="b">
        <v>0</v>
      </c>
      <c r="P1214" s="92"/>
      <c r="Q1214" s="92"/>
      <c r="R1214" s="92"/>
      <c r="S1214" s="92"/>
      <c r="T1214" s="92"/>
      <c r="U1214" s="92"/>
      <c r="V1214" s="92"/>
      <c r="W1214" s="92"/>
      <c r="X1214" s="92"/>
      <c r="Y1214" s="92"/>
      <c r="Z1214" s="92"/>
      <c r="AA1214" s="92"/>
      <c r="AB1214" s="92"/>
      <c r="AC1214" s="92"/>
      <c r="AD1214" s="92"/>
      <c r="AE1214" s="92"/>
      <c r="AF1214" s="92"/>
      <c r="AG1214" s="92"/>
    </row>
    <row r="1215" hidden="1">
      <c r="A1215" s="86"/>
      <c r="B1215" s="18" t="s">
        <v>1971</v>
      </c>
      <c r="C1215" s="80"/>
      <c r="D1215" s="97"/>
      <c r="E1215" s="98"/>
      <c r="F1215" s="98"/>
      <c r="G1215" s="41"/>
      <c r="H1215" s="98"/>
      <c r="I1215" s="98"/>
      <c r="J1215" s="98"/>
      <c r="K1215" s="91"/>
      <c r="L1215" s="91"/>
      <c r="M1215" s="91"/>
      <c r="N1215" s="96" t="b">
        <v>0</v>
      </c>
      <c r="O1215" s="96" t="b">
        <v>0</v>
      </c>
      <c r="P1215" s="92"/>
      <c r="Q1215" s="92"/>
      <c r="R1215" s="92"/>
      <c r="S1215" s="92"/>
      <c r="T1215" s="92"/>
      <c r="U1215" s="92"/>
      <c r="V1215" s="92"/>
      <c r="W1215" s="92"/>
      <c r="X1215" s="92"/>
      <c r="Y1215" s="92"/>
      <c r="Z1215" s="92"/>
      <c r="AA1215" s="92"/>
      <c r="AB1215" s="92"/>
      <c r="AC1215" s="92"/>
      <c r="AD1215" s="92"/>
      <c r="AE1215" s="92"/>
      <c r="AF1215" s="92"/>
      <c r="AG1215" s="92"/>
    </row>
    <row r="1216" hidden="1">
      <c r="A1216" s="86"/>
      <c r="B1216" s="25"/>
      <c r="C1216" s="80" t="s">
        <v>78</v>
      </c>
      <c r="D1216" s="97"/>
      <c r="E1216" s="183"/>
      <c r="F1216" s="183"/>
      <c r="G1216" s="99"/>
      <c r="H1216" s="98"/>
      <c r="I1216" s="98"/>
      <c r="J1216" s="183"/>
      <c r="K1216" s="109" t="s">
        <v>2550</v>
      </c>
      <c r="L1216" s="111"/>
      <c r="M1216" s="111"/>
      <c r="N1216" s="96" t="b">
        <v>0</v>
      </c>
      <c r="O1216" s="96" t="b">
        <v>0</v>
      </c>
      <c r="P1216" s="92"/>
      <c r="Q1216" s="92"/>
      <c r="R1216" s="92"/>
      <c r="S1216" s="92"/>
      <c r="T1216" s="92"/>
      <c r="U1216" s="92"/>
      <c r="V1216" s="92"/>
      <c r="W1216" s="92"/>
      <c r="X1216" s="92"/>
      <c r="Y1216" s="92"/>
      <c r="Z1216" s="92"/>
      <c r="AA1216" s="92"/>
      <c r="AB1216" s="92"/>
      <c r="AC1216" s="92"/>
      <c r="AD1216" s="92"/>
      <c r="AE1216" s="92"/>
      <c r="AF1216" s="92"/>
      <c r="AG1216" s="92"/>
    </row>
    <row r="1217" hidden="1">
      <c r="A1217" s="86"/>
      <c r="B1217" s="25"/>
      <c r="C1217" s="78" t="s">
        <v>78</v>
      </c>
      <c r="D1217" s="97" t="s">
        <v>2542</v>
      </c>
      <c r="E1217" s="184" t="s">
        <v>2551</v>
      </c>
      <c r="F1217" s="184" t="s">
        <v>2552</v>
      </c>
      <c r="G1217" s="112" t="s">
        <v>2553</v>
      </c>
      <c r="H1217" s="109" t="s">
        <v>82</v>
      </c>
      <c r="I1217" s="109" t="s">
        <v>2554</v>
      </c>
      <c r="J1217" s="184" t="s">
        <v>2555</v>
      </c>
      <c r="K1217" s="91"/>
      <c r="L1217" s="91"/>
      <c r="M1217" s="91"/>
      <c r="N1217" s="96" t="b">
        <v>0</v>
      </c>
      <c r="O1217" s="96" t="b">
        <v>0</v>
      </c>
      <c r="P1217" s="92"/>
      <c r="Q1217" s="92"/>
      <c r="R1217" s="92"/>
      <c r="S1217" s="92"/>
      <c r="T1217" s="92"/>
      <c r="U1217" s="92"/>
      <c r="V1217" s="92"/>
      <c r="W1217" s="92"/>
      <c r="X1217" s="92"/>
      <c r="Y1217" s="92"/>
      <c r="Z1217" s="92"/>
      <c r="AA1217" s="92"/>
      <c r="AB1217" s="92"/>
      <c r="AC1217" s="92"/>
      <c r="AD1217" s="92"/>
      <c r="AE1217" s="92"/>
      <c r="AF1217" s="92"/>
      <c r="AG1217" s="92"/>
    </row>
    <row r="1218" hidden="1">
      <c r="A1218" s="86"/>
      <c r="B1218" s="25"/>
      <c r="C1218" s="80" t="s">
        <v>78</v>
      </c>
      <c r="D1218" s="97" t="s">
        <v>2542</v>
      </c>
      <c r="E1218" s="183" t="s">
        <v>2556</v>
      </c>
      <c r="F1218" s="183" t="s">
        <v>2557</v>
      </c>
      <c r="G1218" s="218" t="s">
        <v>567</v>
      </c>
      <c r="H1218" s="189" t="s">
        <v>82</v>
      </c>
      <c r="I1218" s="189" t="s">
        <v>2558</v>
      </c>
      <c r="J1218" s="183" t="s">
        <v>2559</v>
      </c>
      <c r="K1218" s="91"/>
      <c r="L1218" s="91"/>
      <c r="M1218" s="91"/>
      <c r="N1218" s="96" t="b">
        <v>0</v>
      </c>
      <c r="O1218" s="96" t="b">
        <v>0</v>
      </c>
      <c r="P1218" s="92"/>
      <c r="Q1218" s="92"/>
      <c r="R1218" s="92"/>
      <c r="S1218" s="92"/>
      <c r="T1218" s="92"/>
      <c r="U1218" s="92"/>
      <c r="V1218" s="92"/>
      <c r="W1218" s="92"/>
      <c r="X1218" s="92"/>
      <c r="Y1218" s="92"/>
      <c r="Z1218" s="92"/>
      <c r="AA1218" s="92"/>
      <c r="AB1218" s="92"/>
      <c r="AC1218" s="92"/>
      <c r="AD1218" s="92"/>
      <c r="AE1218" s="92"/>
      <c r="AF1218" s="92"/>
      <c r="AG1218" s="92"/>
    </row>
    <row r="1219" hidden="1">
      <c r="A1219" s="86"/>
      <c r="B1219" s="25"/>
      <c r="C1219" s="80" t="s">
        <v>78</v>
      </c>
      <c r="D1219" s="97" t="s">
        <v>79</v>
      </c>
      <c r="E1219" s="183" t="s">
        <v>685</v>
      </c>
      <c r="F1219" s="183" t="s">
        <v>686</v>
      </c>
      <c r="G1219" s="99">
        <v>0.6666666666666666</v>
      </c>
      <c r="H1219" s="98" t="s">
        <v>211</v>
      </c>
      <c r="I1219" s="98" t="s">
        <v>2560</v>
      </c>
      <c r="J1219" s="183" t="s">
        <v>688</v>
      </c>
      <c r="K1219" s="91"/>
      <c r="L1219" s="91"/>
      <c r="M1219" s="91"/>
      <c r="N1219" s="96" t="b">
        <v>0</v>
      </c>
      <c r="O1219" s="96" t="b">
        <v>0</v>
      </c>
      <c r="P1219" s="92"/>
      <c r="Q1219" s="92"/>
      <c r="R1219" s="92"/>
      <c r="S1219" s="92"/>
      <c r="T1219" s="92"/>
      <c r="U1219" s="92"/>
      <c r="V1219" s="92"/>
      <c r="W1219" s="92"/>
      <c r="X1219" s="92"/>
      <c r="Y1219" s="92"/>
      <c r="Z1219" s="92"/>
      <c r="AA1219" s="92"/>
      <c r="AB1219" s="92"/>
      <c r="AC1219" s="92"/>
      <c r="AD1219" s="92"/>
      <c r="AE1219" s="92"/>
      <c r="AF1219" s="92"/>
      <c r="AG1219" s="92"/>
    </row>
    <row r="1220" hidden="1">
      <c r="A1220" s="86"/>
      <c r="B1220" s="39"/>
      <c r="C1220" s="80" t="s">
        <v>78</v>
      </c>
      <c r="D1220" s="97" t="s">
        <v>2561</v>
      </c>
      <c r="E1220" s="184" t="s">
        <v>1992</v>
      </c>
      <c r="F1220" s="184" t="s">
        <v>1993</v>
      </c>
      <c r="G1220" s="108">
        <v>0.7291666666666666</v>
      </c>
      <c r="H1220" s="109" t="s">
        <v>1118</v>
      </c>
      <c r="I1220" s="109" t="s">
        <v>2562</v>
      </c>
      <c r="J1220" s="109" t="s">
        <v>1995</v>
      </c>
      <c r="K1220" s="91"/>
      <c r="L1220" s="91"/>
      <c r="M1220" s="91"/>
      <c r="N1220" s="96" t="b">
        <v>0</v>
      </c>
      <c r="O1220" s="96" t="b">
        <v>0</v>
      </c>
      <c r="P1220" s="92"/>
      <c r="Q1220" s="92"/>
      <c r="R1220" s="92"/>
      <c r="S1220" s="92"/>
      <c r="T1220" s="92"/>
      <c r="U1220" s="92"/>
      <c r="V1220" s="92"/>
      <c r="W1220" s="92"/>
      <c r="X1220" s="92"/>
      <c r="Y1220" s="92"/>
      <c r="Z1220" s="92"/>
      <c r="AA1220" s="92"/>
      <c r="AB1220" s="92"/>
      <c r="AC1220" s="92"/>
      <c r="AD1220" s="92"/>
      <c r="AE1220" s="92"/>
      <c r="AF1220" s="92"/>
      <c r="AG1220" s="92"/>
    </row>
    <row r="1221" hidden="1">
      <c r="A1221" s="86"/>
      <c r="B1221" s="166"/>
      <c r="C1221" s="88">
        <v>44461.0</v>
      </c>
      <c r="D1221" s="97"/>
      <c r="E1221" s="98"/>
      <c r="F1221" s="98"/>
      <c r="G1221" s="41"/>
      <c r="H1221" s="98"/>
      <c r="I1221" s="98"/>
      <c r="J1221" s="98"/>
      <c r="K1221" s="91"/>
      <c r="L1221" s="91"/>
      <c r="M1221" s="91"/>
      <c r="N1221" s="96" t="b">
        <v>0</v>
      </c>
      <c r="O1221" s="96" t="b">
        <v>0</v>
      </c>
      <c r="P1221" s="92"/>
      <c r="Q1221" s="92"/>
      <c r="R1221" s="92"/>
      <c r="S1221" s="92"/>
      <c r="T1221" s="92"/>
      <c r="U1221" s="92"/>
      <c r="V1221" s="92"/>
      <c r="W1221" s="92"/>
      <c r="X1221" s="92"/>
      <c r="Y1221" s="92"/>
      <c r="Z1221" s="92"/>
      <c r="AA1221" s="92"/>
      <c r="AB1221" s="92"/>
      <c r="AC1221" s="92"/>
      <c r="AD1221" s="92"/>
      <c r="AE1221" s="92"/>
      <c r="AF1221" s="92"/>
      <c r="AG1221" s="92"/>
    </row>
    <row r="1222" hidden="1">
      <c r="A1222" s="86"/>
      <c r="B1222" s="18" t="s">
        <v>1668</v>
      </c>
      <c r="C1222" s="234"/>
      <c r="D1222" s="97"/>
      <c r="E1222" s="98"/>
      <c r="F1222" s="98"/>
      <c r="G1222" s="41"/>
      <c r="H1222" s="98"/>
      <c r="I1222" s="98"/>
      <c r="J1222" s="98"/>
      <c r="K1222" s="91"/>
      <c r="L1222" s="91"/>
      <c r="M1222" s="91"/>
      <c r="N1222" s="96" t="b">
        <v>0</v>
      </c>
      <c r="O1222" s="96" t="b">
        <v>0</v>
      </c>
      <c r="P1222" s="92"/>
      <c r="Q1222" s="92"/>
      <c r="R1222" s="92"/>
      <c r="S1222" s="92"/>
      <c r="T1222" s="92"/>
      <c r="U1222" s="92"/>
      <c r="V1222" s="92"/>
      <c r="W1222" s="92"/>
      <c r="X1222" s="92"/>
      <c r="Y1222" s="92"/>
      <c r="Z1222" s="92"/>
      <c r="AA1222" s="92"/>
      <c r="AB1222" s="92"/>
      <c r="AC1222" s="92"/>
      <c r="AD1222" s="92"/>
      <c r="AE1222" s="92"/>
      <c r="AF1222" s="92"/>
      <c r="AG1222" s="92"/>
    </row>
    <row r="1223" hidden="1">
      <c r="A1223" s="86"/>
      <c r="B1223" s="25"/>
      <c r="C1223" s="78" t="s">
        <v>78</v>
      </c>
      <c r="D1223" s="97" t="s">
        <v>79</v>
      </c>
      <c r="E1223" s="183" t="s">
        <v>1132</v>
      </c>
      <c r="F1223" s="183" t="s">
        <v>1133</v>
      </c>
      <c r="G1223" s="99">
        <v>0.4583333333333333</v>
      </c>
      <c r="H1223" s="98" t="s">
        <v>211</v>
      </c>
      <c r="I1223" s="98" t="s">
        <v>2563</v>
      </c>
      <c r="J1223" s="183" t="s">
        <v>1135</v>
      </c>
      <c r="K1223" s="91"/>
      <c r="L1223" s="91"/>
      <c r="M1223" s="91"/>
      <c r="N1223" s="96" t="b">
        <v>0</v>
      </c>
      <c r="O1223" s="96" t="b">
        <v>0</v>
      </c>
      <c r="P1223" s="92"/>
      <c r="Q1223" s="92"/>
      <c r="R1223" s="92"/>
      <c r="S1223" s="92"/>
      <c r="T1223" s="92"/>
      <c r="U1223" s="92"/>
      <c r="V1223" s="92"/>
      <c r="W1223" s="92"/>
      <c r="X1223" s="92"/>
      <c r="Y1223" s="92"/>
      <c r="Z1223" s="92"/>
      <c r="AA1223" s="92"/>
      <c r="AB1223" s="92"/>
      <c r="AC1223" s="92"/>
      <c r="AD1223" s="92"/>
      <c r="AE1223" s="92"/>
      <c r="AF1223" s="92"/>
      <c r="AG1223" s="92"/>
    </row>
    <row r="1224" hidden="1">
      <c r="A1224" s="86"/>
      <c r="B1224" s="25"/>
      <c r="C1224" s="80" t="s">
        <v>78</v>
      </c>
      <c r="D1224" s="97" t="s">
        <v>79</v>
      </c>
      <c r="E1224" s="183" t="s">
        <v>861</v>
      </c>
      <c r="F1224" s="183" t="s">
        <v>862</v>
      </c>
      <c r="G1224" s="41" t="s">
        <v>2553</v>
      </c>
      <c r="H1224" s="98" t="s">
        <v>1575</v>
      </c>
      <c r="I1224" s="98" t="s">
        <v>2564</v>
      </c>
      <c r="J1224" s="183" t="s">
        <v>864</v>
      </c>
      <c r="K1224" s="91"/>
      <c r="L1224" s="91"/>
      <c r="M1224" s="91"/>
      <c r="N1224" s="96" t="b">
        <v>0</v>
      </c>
      <c r="O1224" s="96" t="b">
        <v>0</v>
      </c>
      <c r="P1224" s="92"/>
      <c r="Q1224" s="92"/>
      <c r="R1224" s="92"/>
      <c r="S1224" s="92"/>
      <c r="T1224" s="92"/>
      <c r="U1224" s="92"/>
      <c r="V1224" s="92"/>
      <c r="W1224" s="92"/>
      <c r="X1224" s="92"/>
      <c r="Y1224" s="92"/>
      <c r="Z1224" s="92"/>
      <c r="AA1224" s="92"/>
      <c r="AB1224" s="92"/>
      <c r="AC1224" s="92"/>
      <c r="AD1224" s="92"/>
      <c r="AE1224" s="92"/>
      <c r="AF1224" s="92"/>
      <c r="AG1224" s="92"/>
    </row>
    <row r="1225" hidden="1">
      <c r="A1225" s="86"/>
      <c r="B1225" s="25"/>
      <c r="C1225" s="80" t="s">
        <v>78</v>
      </c>
      <c r="D1225" s="97" t="s">
        <v>79</v>
      </c>
      <c r="E1225" s="184" t="s">
        <v>2565</v>
      </c>
      <c r="F1225" s="184" t="s">
        <v>2566</v>
      </c>
      <c r="G1225" s="108">
        <v>0.6458333333333334</v>
      </c>
      <c r="H1225" s="109" t="s">
        <v>211</v>
      </c>
      <c r="I1225" s="109" t="s">
        <v>2567</v>
      </c>
      <c r="J1225" s="98" t="s">
        <v>2568</v>
      </c>
      <c r="K1225" s="91"/>
      <c r="L1225" s="91"/>
      <c r="M1225" s="91"/>
      <c r="N1225" s="96" t="b">
        <v>0</v>
      </c>
      <c r="O1225" s="96" t="b">
        <v>0</v>
      </c>
      <c r="P1225" s="92"/>
      <c r="Q1225" s="92"/>
      <c r="R1225" s="92"/>
      <c r="S1225" s="92"/>
      <c r="T1225" s="92"/>
      <c r="U1225" s="92"/>
      <c r="V1225" s="92"/>
      <c r="W1225" s="92"/>
      <c r="X1225" s="92"/>
      <c r="Y1225" s="92"/>
      <c r="Z1225" s="92"/>
      <c r="AA1225" s="92"/>
      <c r="AB1225" s="92"/>
      <c r="AC1225" s="92"/>
      <c r="AD1225" s="92"/>
      <c r="AE1225" s="92"/>
      <c r="AF1225" s="92"/>
      <c r="AG1225" s="92"/>
    </row>
    <row r="1226" hidden="1">
      <c r="A1226" s="86"/>
      <c r="B1226" s="25"/>
      <c r="C1226" s="80" t="s">
        <v>78</v>
      </c>
      <c r="D1226" s="97" t="s">
        <v>79</v>
      </c>
      <c r="E1226" s="184" t="s">
        <v>2487</v>
      </c>
      <c r="F1226" s="184" t="s">
        <v>2488</v>
      </c>
      <c r="G1226" s="108">
        <v>0.7083333333333334</v>
      </c>
      <c r="H1226" s="109" t="s">
        <v>258</v>
      </c>
      <c r="I1226" s="109" t="s">
        <v>2569</v>
      </c>
      <c r="J1226" s="183" t="s">
        <v>2490</v>
      </c>
      <c r="K1226" s="183"/>
      <c r="L1226" s="91"/>
      <c r="M1226" s="91"/>
      <c r="N1226" s="96" t="b">
        <v>0</v>
      </c>
      <c r="O1226" s="96" t="b">
        <v>0</v>
      </c>
      <c r="P1226" s="92"/>
      <c r="Q1226" s="92"/>
      <c r="R1226" s="92"/>
      <c r="S1226" s="92"/>
      <c r="T1226" s="92"/>
      <c r="U1226" s="92"/>
      <c r="V1226" s="92"/>
      <c r="W1226" s="92"/>
      <c r="X1226" s="92"/>
      <c r="Y1226" s="92"/>
      <c r="Z1226" s="92"/>
      <c r="AA1226" s="92"/>
      <c r="AB1226" s="92"/>
      <c r="AC1226" s="92"/>
      <c r="AD1226" s="92"/>
      <c r="AE1226" s="92"/>
      <c r="AF1226" s="92"/>
      <c r="AG1226" s="92"/>
    </row>
    <row r="1227" hidden="1">
      <c r="A1227" s="86"/>
      <c r="B1227" s="39"/>
      <c r="C1227" s="80" t="s">
        <v>78</v>
      </c>
      <c r="D1227" s="97"/>
      <c r="E1227" s="98"/>
      <c r="F1227" s="98"/>
      <c r="G1227" s="41"/>
      <c r="H1227" s="98"/>
      <c r="I1227" s="98"/>
      <c r="J1227" s="98"/>
      <c r="K1227" s="91"/>
      <c r="L1227" s="91"/>
      <c r="M1227" s="91"/>
      <c r="N1227" s="96" t="b">
        <v>0</v>
      </c>
      <c r="O1227" s="96" t="b">
        <v>0</v>
      </c>
      <c r="P1227" s="92"/>
      <c r="Q1227" s="92"/>
      <c r="R1227" s="92"/>
      <c r="S1227" s="92"/>
      <c r="T1227" s="92"/>
      <c r="U1227" s="92"/>
      <c r="V1227" s="92"/>
      <c r="W1227" s="92"/>
      <c r="X1227" s="92"/>
      <c r="Y1227" s="92"/>
      <c r="Z1227" s="92"/>
      <c r="AA1227" s="92"/>
      <c r="AB1227" s="92"/>
      <c r="AC1227" s="92"/>
      <c r="AD1227" s="92"/>
      <c r="AE1227" s="92"/>
      <c r="AF1227" s="92"/>
      <c r="AG1227" s="92"/>
    </row>
    <row r="1228" hidden="1">
      <c r="A1228" s="86"/>
      <c r="B1228" s="18" t="s">
        <v>1971</v>
      </c>
      <c r="C1228" s="80"/>
      <c r="D1228" s="97"/>
      <c r="E1228" s="98"/>
      <c r="F1228" s="98"/>
      <c r="G1228" s="41"/>
      <c r="H1228" s="98"/>
      <c r="I1228" s="98"/>
      <c r="J1228" s="98"/>
      <c r="K1228" s="91"/>
      <c r="L1228" s="91"/>
      <c r="M1228" s="91"/>
      <c r="N1228" s="96" t="b">
        <v>0</v>
      </c>
      <c r="O1228" s="96" t="b">
        <v>0</v>
      </c>
      <c r="P1228" s="92"/>
      <c r="Q1228" s="92"/>
      <c r="R1228" s="92"/>
      <c r="S1228" s="92"/>
      <c r="T1228" s="92"/>
      <c r="U1228" s="92"/>
      <c r="V1228" s="92"/>
      <c r="W1228" s="92"/>
      <c r="X1228" s="92"/>
      <c r="Y1228" s="92"/>
      <c r="Z1228" s="92"/>
      <c r="AA1228" s="92"/>
      <c r="AB1228" s="92"/>
      <c r="AC1228" s="92"/>
      <c r="AD1228" s="92"/>
      <c r="AE1228" s="92"/>
      <c r="AF1228" s="92"/>
      <c r="AG1228" s="92"/>
    </row>
    <row r="1229" hidden="1">
      <c r="A1229" s="86"/>
      <c r="B1229" s="25"/>
      <c r="C1229" s="80" t="s">
        <v>78</v>
      </c>
      <c r="D1229" s="97"/>
      <c r="E1229" s="98"/>
      <c r="F1229" s="98"/>
      <c r="G1229" s="41"/>
      <c r="H1229" s="98"/>
      <c r="I1229" s="98"/>
      <c r="J1229" s="98"/>
      <c r="K1229" s="91"/>
      <c r="L1229" s="91"/>
      <c r="M1229" s="91"/>
      <c r="N1229" s="96" t="b">
        <v>0</v>
      </c>
      <c r="O1229" s="96" t="b">
        <v>0</v>
      </c>
      <c r="P1229" s="92"/>
      <c r="Q1229" s="92"/>
      <c r="R1229" s="92"/>
      <c r="S1229" s="92"/>
      <c r="T1229" s="92"/>
      <c r="U1229" s="92"/>
      <c r="V1229" s="92"/>
      <c r="W1229" s="92"/>
      <c r="X1229" s="92"/>
      <c r="Y1229" s="92"/>
      <c r="Z1229" s="92"/>
      <c r="AA1229" s="92"/>
      <c r="AB1229" s="92"/>
      <c r="AC1229" s="92"/>
      <c r="AD1229" s="92"/>
      <c r="AE1229" s="92"/>
      <c r="AF1229" s="92"/>
      <c r="AG1229" s="92"/>
    </row>
    <row r="1230" hidden="1">
      <c r="A1230" s="86"/>
      <c r="B1230" s="25"/>
      <c r="C1230" s="78" t="s">
        <v>78</v>
      </c>
      <c r="D1230" s="97" t="s">
        <v>79</v>
      </c>
      <c r="E1230" s="183" t="s">
        <v>1408</v>
      </c>
      <c r="F1230" s="183" t="s">
        <v>1409</v>
      </c>
      <c r="G1230" s="99">
        <v>0.3958333333333333</v>
      </c>
      <c r="H1230" s="98" t="s">
        <v>2323</v>
      </c>
      <c r="I1230" s="98" t="s">
        <v>2570</v>
      </c>
      <c r="J1230" s="183" t="s">
        <v>1412</v>
      </c>
      <c r="K1230" s="91"/>
      <c r="L1230" s="91"/>
      <c r="M1230" s="91"/>
      <c r="N1230" s="96" t="b">
        <v>0</v>
      </c>
      <c r="O1230" s="96" t="b">
        <v>0</v>
      </c>
      <c r="P1230" s="92"/>
      <c r="Q1230" s="92"/>
      <c r="R1230" s="92"/>
      <c r="S1230" s="92"/>
      <c r="T1230" s="92"/>
      <c r="U1230" s="92"/>
      <c r="V1230" s="92"/>
      <c r="W1230" s="92"/>
      <c r="X1230" s="92"/>
      <c r="Y1230" s="92"/>
      <c r="Z1230" s="92"/>
      <c r="AA1230" s="92"/>
      <c r="AB1230" s="92"/>
      <c r="AC1230" s="92"/>
      <c r="AD1230" s="92"/>
      <c r="AE1230" s="92"/>
      <c r="AF1230" s="92"/>
      <c r="AG1230" s="92"/>
    </row>
    <row r="1231" hidden="1">
      <c r="A1231" s="86"/>
      <c r="B1231" s="25"/>
      <c r="C1231" s="80" t="s">
        <v>78</v>
      </c>
      <c r="D1231" s="97" t="s">
        <v>79</v>
      </c>
      <c r="E1231" s="184" t="s">
        <v>1335</v>
      </c>
      <c r="F1231" s="184" t="s">
        <v>1336</v>
      </c>
      <c r="G1231" s="108">
        <v>0.4583333333333333</v>
      </c>
      <c r="H1231" s="109" t="s">
        <v>2195</v>
      </c>
      <c r="I1231" s="109" t="s">
        <v>2571</v>
      </c>
      <c r="J1231" s="183" t="s">
        <v>2197</v>
      </c>
      <c r="K1231" s="43"/>
      <c r="L1231" s="91"/>
      <c r="M1231" s="91"/>
      <c r="N1231" s="96" t="b">
        <v>0</v>
      </c>
      <c r="O1231" s="96" t="b">
        <v>0</v>
      </c>
      <c r="P1231" s="92"/>
      <c r="Q1231" s="92"/>
      <c r="R1231" s="92"/>
      <c r="S1231" s="92"/>
      <c r="T1231" s="92"/>
      <c r="U1231" s="92"/>
      <c r="V1231" s="92"/>
      <c r="W1231" s="92"/>
      <c r="X1231" s="92"/>
      <c r="Y1231" s="92"/>
      <c r="Z1231" s="92"/>
      <c r="AA1231" s="92"/>
      <c r="AB1231" s="92"/>
      <c r="AC1231" s="92"/>
      <c r="AD1231" s="92"/>
      <c r="AE1231" s="92"/>
      <c r="AF1231" s="92"/>
      <c r="AG1231" s="92"/>
    </row>
    <row r="1232" hidden="1">
      <c r="A1232" s="86"/>
      <c r="B1232" s="25"/>
      <c r="C1232" s="80" t="s">
        <v>78</v>
      </c>
      <c r="D1232" s="97" t="s">
        <v>79</v>
      </c>
      <c r="E1232" s="183" t="s">
        <v>1304</v>
      </c>
      <c r="F1232" s="183" t="s">
        <v>1305</v>
      </c>
      <c r="G1232" s="188">
        <v>0.5416666666666666</v>
      </c>
      <c r="H1232" s="189" t="s">
        <v>1312</v>
      </c>
      <c r="I1232" s="189" t="s">
        <v>2572</v>
      </c>
      <c r="J1232" s="183" t="s">
        <v>2573</v>
      </c>
      <c r="K1232" s="183"/>
      <c r="L1232" s="91"/>
      <c r="M1232" s="91"/>
      <c r="N1232" s="96" t="b">
        <v>0</v>
      </c>
      <c r="O1232" s="96" t="b">
        <v>0</v>
      </c>
      <c r="P1232" s="92"/>
      <c r="Q1232" s="92"/>
      <c r="R1232" s="92"/>
      <c r="S1232" s="92"/>
      <c r="T1232" s="92"/>
      <c r="U1232" s="92"/>
      <c r="V1232" s="92"/>
      <c r="W1232" s="92"/>
      <c r="X1232" s="92"/>
      <c r="Y1232" s="92"/>
      <c r="Z1232" s="92"/>
      <c r="AA1232" s="92"/>
      <c r="AB1232" s="92"/>
      <c r="AC1232" s="92"/>
      <c r="AD1232" s="92"/>
      <c r="AE1232" s="92"/>
      <c r="AF1232" s="92"/>
      <c r="AG1232" s="92"/>
    </row>
    <row r="1233" hidden="1">
      <c r="A1233" s="86"/>
      <c r="B1233" s="39"/>
      <c r="C1233" s="80" t="s">
        <v>78</v>
      </c>
      <c r="D1233" s="97" t="s">
        <v>79</v>
      </c>
      <c r="E1233" s="184" t="s">
        <v>2437</v>
      </c>
      <c r="F1233" s="184" t="s">
        <v>2438</v>
      </c>
      <c r="G1233" s="108">
        <v>0.625</v>
      </c>
      <c r="H1233" s="109" t="s">
        <v>755</v>
      </c>
      <c r="I1233" s="109" t="s">
        <v>2574</v>
      </c>
      <c r="J1233" s="98" t="s">
        <v>2440</v>
      </c>
      <c r="K1233" s="91"/>
      <c r="L1233" s="91"/>
      <c r="M1233" s="91"/>
      <c r="N1233" s="96" t="b">
        <v>0</v>
      </c>
      <c r="O1233" s="96" t="b">
        <v>0</v>
      </c>
      <c r="P1233" s="92"/>
      <c r="Q1233" s="92"/>
      <c r="R1233" s="92"/>
      <c r="S1233" s="92"/>
      <c r="T1233" s="92"/>
      <c r="U1233" s="92"/>
      <c r="V1233" s="92"/>
      <c r="W1233" s="92"/>
      <c r="X1233" s="92"/>
      <c r="Y1233" s="92"/>
      <c r="Z1233" s="92"/>
      <c r="AA1233" s="92"/>
      <c r="AB1233" s="92"/>
      <c r="AC1233" s="92"/>
      <c r="AD1233" s="92"/>
      <c r="AE1233" s="92"/>
      <c r="AF1233" s="92"/>
      <c r="AG1233" s="92"/>
    </row>
    <row r="1234" hidden="1">
      <c r="A1234" s="86"/>
      <c r="B1234" s="166"/>
      <c r="C1234" s="88">
        <v>44462.0</v>
      </c>
      <c r="D1234" s="97"/>
      <c r="E1234" s="98"/>
      <c r="F1234" s="98"/>
      <c r="G1234" s="41"/>
      <c r="H1234" s="98"/>
      <c r="I1234" s="98"/>
      <c r="J1234" s="98"/>
      <c r="K1234" s="91"/>
      <c r="L1234" s="91"/>
      <c r="M1234" s="91"/>
      <c r="N1234" s="96" t="b">
        <v>0</v>
      </c>
      <c r="O1234" s="96" t="b">
        <v>0</v>
      </c>
      <c r="P1234" s="92"/>
      <c r="Q1234" s="92"/>
      <c r="R1234" s="92"/>
      <c r="S1234" s="92"/>
      <c r="T1234" s="92"/>
      <c r="U1234" s="92"/>
      <c r="V1234" s="92"/>
      <c r="W1234" s="92"/>
      <c r="X1234" s="92"/>
      <c r="Y1234" s="92"/>
      <c r="Z1234" s="92"/>
      <c r="AA1234" s="92"/>
      <c r="AB1234" s="92"/>
      <c r="AC1234" s="92"/>
      <c r="AD1234" s="92"/>
      <c r="AE1234" s="92"/>
      <c r="AF1234" s="92"/>
      <c r="AG1234" s="92"/>
    </row>
    <row r="1235" hidden="1">
      <c r="A1235" s="86"/>
      <c r="B1235" s="18" t="s">
        <v>1668</v>
      </c>
      <c r="C1235" s="234"/>
      <c r="D1235" s="97"/>
      <c r="E1235" s="98"/>
      <c r="F1235" s="98"/>
      <c r="G1235" s="41"/>
      <c r="H1235" s="98"/>
      <c r="I1235" s="98"/>
      <c r="J1235" s="98"/>
      <c r="K1235" s="91"/>
      <c r="L1235" s="91"/>
      <c r="M1235" s="91"/>
      <c r="N1235" s="96" t="b">
        <v>0</v>
      </c>
      <c r="O1235" s="96" t="b">
        <v>0</v>
      </c>
      <c r="P1235" s="92"/>
      <c r="Q1235" s="92"/>
      <c r="R1235" s="92"/>
      <c r="S1235" s="92"/>
      <c r="T1235" s="92"/>
      <c r="U1235" s="92"/>
      <c r="V1235" s="92"/>
      <c r="W1235" s="92"/>
      <c r="X1235" s="92"/>
      <c r="Y1235" s="92"/>
      <c r="Z1235" s="92"/>
      <c r="AA1235" s="92"/>
      <c r="AB1235" s="92"/>
      <c r="AC1235" s="92"/>
      <c r="AD1235" s="92"/>
      <c r="AE1235" s="92"/>
      <c r="AF1235" s="92"/>
      <c r="AG1235" s="92"/>
    </row>
    <row r="1236" hidden="1">
      <c r="A1236" s="86"/>
      <c r="B1236" s="25"/>
      <c r="C1236" s="78" t="s">
        <v>78</v>
      </c>
      <c r="D1236" s="97"/>
      <c r="E1236" s="98"/>
      <c r="F1236" s="149" t="s">
        <v>2575</v>
      </c>
      <c r="G1236" s="41"/>
      <c r="H1236" s="98"/>
      <c r="I1236" s="98"/>
      <c r="J1236" s="98"/>
      <c r="K1236" s="91"/>
      <c r="L1236" s="91"/>
      <c r="M1236" s="91"/>
      <c r="N1236" s="96" t="b">
        <v>0</v>
      </c>
      <c r="O1236" s="96" t="b">
        <v>0</v>
      </c>
      <c r="P1236" s="92"/>
      <c r="Q1236" s="92"/>
      <c r="R1236" s="92"/>
      <c r="S1236" s="92"/>
      <c r="T1236" s="92"/>
      <c r="U1236" s="92"/>
      <c r="V1236" s="92"/>
      <c r="W1236" s="92"/>
      <c r="X1236" s="92"/>
      <c r="Y1236" s="92"/>
      <c r="Z1236" s="92"/>
      <c r="AA1236" s="92"/>
      <c r="AB1236" s="92"/>
      <c r="AC1236" s="92"/>
      <c r="AD1236" s="92"/>
      <c r="AE1236" s="92"/>
      <c r="AF1236" s="92"/>
      <c r="AG1236" s="92"/>
    </row>
    <row r="1237" hidden="1">
      <c r="A1237" s="86"/>
      <c r="B1237" s="25"/>
      <c r="C1237" s="80" t="s">
        <v>78</v>
      </c>
      <c r="D1237" s="97"/>
      <c r="E1237" s="98"/>
      <c r="F1237" s="98"/>
      <c r="G1237" s="99">
        <v>0.5</v>
      </c>
      <c r="H1237" s="98"/>
      <c r="I1237" s="98"/>
      <c r="J1237" s="98"/>
      <c r="K1237" s="98"/>
      <c r="L1237" s="91"/>
      <c r="M1237" s="91"/>
      <c r="N1237" s="96" t="b">
        <v>0</v>
      </c>
      <c r="O1237" s="96" t="b">
        <v>0</v>
      </c>
      <c r="P1237" s="92"/>
      <c r="Q1237" s="92"/>
      <c r="R1237" s="92"/>
      <c r="S1237" s="92"/>
      <c r="T1237" s="92"/>
      <c r="U1237" s="92"/>
      <c r="V1237" s="92"/>
      <c r="W1237" s="92"/>
      <c r="X1237" s="92"/>
      <c r="Y1237" s="92"/>
      <c r="Z1237" s="92"/>
      <c r="AA1237" s="92"/>
      <c r="AB1237" s="92"/>
      <c r="AC1237" s="92"/>
      <c r="AD1237" s="92"/>
      <c r="AE1237" s="92"/>
      <c r="AF1237" s="92"/>
      <c r="AG1237" s="92"/>
    </row>
    <row r="1238" hidden="1">
      <c r="A1238" s="86"/>
      <c r="B1238" s="25"/>
      <c r="C1238" s="80" t="s">
        <v>78</v>
      </c>
      <c r="D1238" s="97"/>
      <c r="E1238" s="98"/>
      <c r="F1238" s="98"/>
      <c r="G1238" s="99">
        <v>0.5833333333333334</v>
      </c>
      <c r="H1238" s="98"/>
      <c r="I1238" s="98"/>
      <c r="J1238" s="98"/>
      <c r="K1238" s="91"/>
      <c r="L1238" s="91"/>
      <c r="M1238" s="91"/>
      <c r="N1238" s="96" t="b">
        <v>0</v>
      </c>
      <c r="O1238" s="96" t="b">
        <v>0</v>
      </c>
      <c r="P1238" s="92"/>
      <c r="Q1238" s="92"/>
      <c r="R1238" s="92"/>
      <c r="S1238" s="92"/>
      <c r="T1238" s="92"/>
      <c r="U1238" s="92"/>
      <c r="V1238" s="92"/>
      <c r="W1238" s="92"/>
      <c r="X1238" s="92"/>
      <c r="Y1238" s="92"/>
      <c r="Z1238" s="92"/>
      <c r="AA1238" s="92"/>
      <c r="AB1238" s="92"/>
      <c r="AC1238" s="92"/>
      <c r="AD1238" s="92"/>
      <c r="AE1238" s="92"/>
      <c r="AF1238" s="92"/>
      <c r="AG1238" s="92"/>
    </row>
    <row r="1239" hidden="1">
      <c r="A1239" s="86"/>
      <c r="B1239" s="25"/>
      <c r="C1239" s="80" t="s">
        <v>78</v>
      </c>
      <c r="D1239" s="97" t="s">
        <v>2576</v>
      </c>
      <c r="E1239" s="98" t="s">
        <v>2577</v>
      </c>
      <c r="F1239" s="98" t="s">
        <v>2578</v>
      </c>
      <c r="G1239" s="41" t="s">
        <v>180</v>
      </c>
      <c r="H1239" s="98" t="s">
        <v>2311</v>
      </c>
      <c r="I1239" s="98" t="s">
        <v>2579</v>
      </c>
      <c r="J1239" s="98" t="s">
        <v>2580</v>
      </c>
      <c r="K1239" s="98" t="s">
        <v>2581</v>
      </c>
      <c r="L1239" s="91"/>
      <c r="M1239" s="91"/>
      <c r="N1239" s="96" t="b">
        <v>0</v>
      </c>
      <c r="O1239" s="96" t="b">
        <v>0</v>
      </c>
      <c r="P1239" s="92"/>
      <c r="Q1239" s="92"/>
      <c r="R1239" s="92"/>
      <c r="S1239" s="92"/>
      <c r="T1239" s="92"/>
      <c r="U1239" s="92"/>
      <c r="V1239" s="92"/>
      <c r="W1239" s="92"/>
      <c r="X1239" s="92"/>
      <c r="Y1239" s="92"/>
      <c r="Z1239" s="92"/>
      <c r="AA1239" s="92"/>
      <c r="AB1239" s="92"/>
      <c r="AC1239" s="92"/>
      <c r="AD1239" s="92"/>
      <c r="AE1239" s="92"/>
      <c r="AF1239" s="92"/>
      <c r="AG1239" s="92"/>
    </row>
    <row r="1240" hidden="1">
      <c r="A1240" s="86"/>
      <c r="B1240" s="39"/>
      <c r="C1240" s="80" t="s">
        <v>78</v>
      </c>
      <c r="D1240" s="97"/>
      <c r="E1240" s="98"/>
      <c r="F1240" s="98"/>
      <c r="G1240" s="99">
        <v>0.75</v>
      </c>
      <c r="H1240" s="98"/>
      <c r="I1240" s="98"/>
      <c r="J1240" s="98"/>
      <c r="K1240" s="91"/>
      <c r="L1240" s="91"/>
      <c r="M1240" s="91"/>
      <c r="N1240" s="96" t="b">
        <v>0</v>
      </c>
      <c r="O1240" s="96" t="b">
        <v>0</v>
      </c>
      <c r="P1240" s="92"/>
      <c r="Q1240" s="92"/>
      <c r="R1240" s="92"/>
      <c r="S1240" s="92"/>
      <c r="T1240" s="92"/>
      <c r="U1240" s="92"/>
      <c r="V1240" s="92"/>
      <c r="W1240" s="92"/>
      <c r="X1240" s="92"/>
      <c r="Y1240" s="92"/>
      <c r="Z1240" s="92"/>
      <c r="AA1240" s="92"/>
      <c r="AB1240" s="92"/>
      <c r="AC1240" s="92"/>
      <c r="AD1240" s="92"/>
      <c r="AE1240" s="92"/>
      <c r="AF1240" s="92"/>
      <c r="AG1240" s="92"/>
    </row>
    <row r="1241" hidden="1">
      <c r="A1241" s="86"/>
      <c r="B1241" s="18" t="s">
        <v>1971</v>
      </c>
      <c r="C1241" s="80"/>
      <c r="D1241" s="97"/>
      <c r="E1241" s="98"/>
      <c r="F1241" s="98"/>
      <c r="G1241" s="41"/>
      <c r="H1241" s="98"/>
      <c r="I1241" s="98"/>
      <c r="J1241" s="98"/>
      <c r="K1241" s="91"/>
      <c r="L1241" s="91"/>
      <c r="M1241" s="91"/>
      <c r="N1241" s="96" t="b">
        <v>0</v>
      </c>
      <c r="O1241" s="96" t="b">
        <v>0</v>
      </c>
      <c r="P1241" s="92"/>
      <c r="Q1241" s="92"/>
      <c r="R1241" s="92"/>
      <c r="S1241" s="92"/>
      <c r="T1241" s="92"/>
      <c r="U1241" s="92"/>
      <c r="V1241" s="92"/>
      <c r="W1241" s="92"/>
      <c r="X1241" s="92"/>
      <c r="Y1241" s="92"/>
      <c r="Z1241" s="92"/>
      <c r="AA1241" s="92"/>
      <c r="AB1241" s="92"/>
      <c r="AC1241" s="92"/>
      <c r="AD1241" s="92"/>
      <c r="AE1241" s="92"/>
      <c r="AF1241" s="92"/>
      <c r="AG1241" s="92"/>
    </row>
    <row r="1242" hidden="1">
      <c r="A1242" s="86"/>
      <c r="B1242" s="25"/>
      <c r="C1242" s="80" t="s">
        <v>78</v>
      </c>
      <c r="D1242" s="97" t="s">
        <v>2582</v>
      </c>
      <c r="E1242" s="183" t="s">
        <v>2583</v>
      </c>
      <c r="F1242" s="183" t="s">
        <v>2584</v>
      </c>
      <c r="G1242" s="41" t="s">
        <v>1657</v>
      </c>
      <c r="H1242" s="98" t="s">
        <v>2585</v>
      </c>
      <c r="I1242" s="98" t="s">
        <v>2586</v>
      </c>
      <c r="J1242" s="183" t="s">
        <v>2587</v>
      </c>
      <c r="K1242" s="91"/>
      <c r="L1242" s="91"/>
      <c r="M1242" s="91"/>
      <c r="N1242" s="96" t="b">
        <v>0</v>
      </c>
      <c r="O1242" s="96" t="b">
        <v>0</v>
      </c>
      <c r="P1242" s="92"/>
      <c r="Q1242" s="92"/>
      <c r="R1242" s="92"/>
      <c r="S1242" s="92"/>
      <c r="T1242" s="92"/>
      <c r="U1242" s="92"/>
      <c r="V1242" s="92"/>
      <c r="W1242" s="92"/>
      <c r="X1242" s="92"/>
      <c r="Y1242" s="92"/>
      <c r="Z1242" s="92"/>
      <c r="AA1242" s="92"/>
      <c r="AB1242" s="92"/>
      <c r="AC1242" s="92"/>
      <c r="AD1242" s="92"/>
      <c r="AE1242" s="92"/>
      <c r="AF1242" s="92"/>
      <c r="AG1242" s="92"/>
    </row>
    <row r="1243" hidden="1">
      <c r="A1243" s="86"/>
      <c r="B1243" s="25"/>
      <c r="C1243" s="78" t="s">
        <v>78</v>
      </c>
      <c r="D1243" s="97" t="s">
        <v>2582</v>
      </c>
      <c r="E1243" s="183" t="s">
        <v>2588</v>
      </c>
      <c r="F1243" s="183" t="s">
        <v>2589</v>
      </c>
      <c r="G1243" s="41" t="s">
        <v>417</v>
      </c>
      <c r="H1243" s="98" t="s">
        <v>755</v>
      </c>
      <c r="I1243" s="98" t="s">
        <v>2590</v>
      </c>
      <c r="J1243" s="98" t="s">
        <v>2591</v>
      </c>
      <c r="K1243" s="91"/>
      <c r="L1243" s="91"/>
      <c r="M1243" s="91"/>
      <c r="N1243" s="96" t="b">
        <v>0</v>
      </c>
      <c r="O1243" s="96" t="b">
        <v>0</v>
      </c>
      <c r="P1243" s="92"/>
      <c r="Q1243" s="92"/>
      <c r="R1243" s="92"/>
      <c r="S1243" s="92"/>
      <c r="T1243" s="92"/>
      <c r="U1243" s="92"/>
      <c r="V1243" s="92"/>
      <c r="W1243" s="92"/>
      <c r="X1243" s="92"/>
      <c r="Y1243" s="92"/>
      <c r="Z1243" s="92"/>
      <c r="AA1243" s="92"/>
      <c r="AB1243" s="92"/>
      <c r="AC1243" s="92"/>
      <c r="AD1243" s="92"/>
      <c r="AE1243" s="92"/>
      <c r="AF1243" s="92"/>
      <c r="AG1243" s="92"/>
    </row>
    <row r="1244" hidden="1">
      <c r="A1244" s="86"/>
      <c r="B1244" s="25"/>
      <c r="C1244" s="80" t="s">
        <v>78</v>
      </c>
      <c r="D1244" s="97" t="s">
        <v>79</v>
      </c>
      <c r="E1244" s="183" t="s">
        <v>1283</v>
      </c>
      <c r="F1244" s="183" t="s">
        <v>1284</v>
      </c>
      <c r="G1244" s="99">
        <v>0.5833333333333334</v>
      </c>
      <c r="H1244" s="98" t="s">
        <v>367</v>
      </c>
      <c r="I1244" s="98" t="s">
        <v>2592</v>
      </c>
      <c r="J1244" s="98" t="s">
        <v>1286</v>
      </c>
      <c r="K1244" s="91"/>
      <c r="L1244" s="91"/>
      <c r="M1244" s="91"/>
      <c r="N1244" s="96" t="b">
        <v>0</v>
      </c>
      <c r="O1244" s="96" t="b">
        <v>0</v>
      </c>
      <c r="P1244" s="92"/>
      <c r="Q1244" s="92"/>
      <c r="R1244" s="92"/>
      <c r="S1244" s="92"/>
      <c r="T1244" s="92"/>
      <c r="U1244" s="92"/>
      <c r="V1244" s="92"/>
      <c r="W1244" s="92"/>
      <c r="X1244" s="92"/>
      <c r="Y1244" s="92"/>
      <c r="Z1244" s="92"/>
      <c r="AA1244" s="92"/>
      <c r="AB1244" s="92"/>
      <c r="AC1244" s="92"/>
      <c r="AD1244" s="92"/>
      <c r="AE1244" s="92"/>
      <c r="AF1244" s="92"/>
      <c r="AG1244" s="92"/>
    </row>
    <row r="1245" hidden="1">
      <c r="A1245" s="86"/>
      <c r="B1245" s="25"/>
      <c r="C1245" s="80" t="s">
        <v>78</v>
      </c>
      <c r="D1245" s="97" t="s">
        <v>79</v>
      </c>
      <c r="E1245" s="184" t="s">
        <v>552</v>
      </c>
      <c r="F1245" s="184" t="s">
        <v>553</v>
      </c>
      <c r="G1245" s="108">
        <v>0.6666666666666666</v>
      </c>
      <c r="H1245" s="109" t="s">
        <v>326</v>
      </c>
      <c r="I1245" s="109" t="s">
        <v>2593</v>
      </c>
      <c r="J1245" s="109" t="s">
        <v>555</v>
      </c>
      <c r="K1245" s="91"/>
      <c r="L1245" s="91"/>
      <c r="M1245" s="91"/>
      <c r="N1245" s="96" t="b">
        <v>0</v>
      </c>
      <c r="O1245" s="96" t="b">
        <v>0</v>
      </c>
      <c r="P1245" s="92"/>
      <c r="Q1245" s="92"/>
      <c r="R1245" s="92"/>
      <c r="S1245" s="92"/>
      <c r="T1245" s="92"/>
      <c r="U1245" s="92"/>
      <c r="V1245" s="92"/>
      <c r="W1245" s="92"/>
      <c r="X1245" s="92"/>
      <c r="Y1245" s="92"/>
      <c r="Z1245" s="92"/>
      <c r="AA1245" s="92"/>
      <c r="AB1245" s="92"/>
      <c r="AC1245" s="92"/>
      <c r="AD1245" s="92"/>
      <c r="AE1245" s="92"/>
      <c r="AF1245" s="92"/>
      <c r="AG1245" s="92"/>
    </row>
    <row r="1246" hidden="1">
      <c r="A1246" s="86"/>
      <c r="B1246" s="39"/>
      <c r="C1246" s="80" t="s">
        <v>78</v>
      </c>
      <c r="D1246" s="97"/>
      <c r="E1246" s="98"/>
      <c r="F1246" s="98"/>
      <c r="G1246" s="41"/>
      <c r="H1246" s="98"/>
      <c r="I1246" s="98"/>
      <c r="J1246" s="98"/>
      <c r="K1246" s="91"/>
      <c r="L1246" s="91"/>
      <c r="M1246" s="91"/>
      <c r="N1246" s="96" t="b">
        <v>0</v>
      </c>
      <c r="O1246" s="96" t="b">
        <v>0</v>
      </c>
      <c r="P1246" s="92"/>
      <c r="Q1246" s="92"/>
      <c r="R1246" s="92"/>
      <c r="S1246" s="92"/>
      <c r="T1246" s="92"/>
      <c r="U1246" s="92"/>
      <c r="V1246" s="92"/>
      <c r="W1246" s="92"/>
      <c r="X1246" s="92"/>
      <c r="Y1246" s="92"/>
      <c r="Z1246" s="92"/>
      <c r="AA1246" s="92"/>
      <c r="AB1246" s="92"/>
      <c r="AC1246" s="92"/>
      <c r="AD1246" s="92"/>
      <c r="AE1246" s="92"/>
      <c r="AF1246" s="92"/>
      <c r="AG1246" s="92"/>
    </row>
    <row r="1247" hidden="1">
      <c r="A1247" s="86"/>
      <c r="B1247" s="166"/>
      <c r="C1247" s="88">
        <v>44463.0</v>
      </c>
      <c r="D1247" s="97"/>
      <c r="E1247" s="98"/>
      <c r="F1247" s="98"/>
      <c r="G1247" s="41"/>
      <c r="H1247" s="98"/>
      <c r="I1247" s="98"/>
      <c r="J1247" s="98"/>
      <c r="K1247" s="91"/>
      <c r="L1247" s="91"/>
      <c r="M1247" s="91"/>
      <c r="N1247" s="96" t="b">
        <v>0</v>
      </c>
      <c r="O1247" s="96" t="b">
        <v>0</v>
      </c>
      <c r="P1247" s="92"/>
      <c r="Q1247" s="92"/>
      <c r="R1247" s="92"/>
      <c r="S1247" s="92"/>
      <c r="T1247" s="92"/>
      <c r="U1247" s="92"/>
      <c r="V1247" s="92"/>
      <c r="W1247" s="92"/>
      <c r="X1247" s="92"/>
      <c r="Y1247" s="92"/>
      <c r="Z1247" s="92"/>
      <c r="AA1247" s="92"/>
      <c r="AB1247" s="92"/>
      <c r="AC1247" s="92"/>
      <c r="AD1247" s="92"/>
      <c r="AE1247" s="92"/>
      <c r="AF1247" s="92"/>
      <c r="AG1247" s="92"/>
    </row>
    <row r="1248" hidden="1">
      <c r="A1248" s="86"/>
      <c r="B1248" s="18" t="s">
        <v>1668</v>
      </c>
      <c r="C1248" s="234"/>
      <c r="D1248" s="97"/>
      <c r="E1248" s="98"/>
      <c r="F1248" s="98"/>
      <c r="G1248" s="41"/>
      <c r="H1248" s="98"/>
      <c r="I1248" s="98"/>
      <c r="J1248" s="98"/>
      <c r="K1248" s="91"/>
      <c r="L1248" s="91"/>
      <c r="M1248" s="91"/>
      <c r="N1248" s="96" t="b">
        <v>0</v>
      </c>
      <c r="O1248" s="96" t="b">
        <v>0</v>
      </c>
      <c r="P1248" s="92"/>
      <c r="Q1248" s="92"/>
      <c r="R1248" s="92"/>
      <c r="S1248" s="92"/>
      <c r="T1248" s="92"/>
      <c r="U1248" s="92"/>
      <c r="V1248" s="92"/>
      <c r="W1248" s="92"/>
      <c r="X1248" s="92"/>
      <c r="Y1248" s="92"/>
      <c r="Z1248" s="92"/>
      <c r="AA1248" s="92"/>
      <c r="AB1248" s="92"/>
      <c r="AC1248" s="92"/>
      <c r="AD1248" s="92"/>
      <c r="AE1248" s="92"/>
      <c r="AF1248" s="92"/>
      <c r="AG1248" s="92"/>
    </row>
    <row r="1249" hidden="1">
      <c r="A1249" s="86"/>
      <c r="B1249" s="25"/>
      <c r="C1249" s="78" t="s">
        <v>78</v>
      </c>
      <c r="D1249" s="181"/>
      <c r="E1249" s="43"/>
      <c r="F1249" s="43"/>
      <c r="G1249" s="43"/>
      <c r="H1249" s="43"/>
      <c r="I1249" s="43"/>
      <c r="J1249" s="43"/>
      <c r="K1249" s="91"/>
      <c r="L1249" s="91"/>
      <c r="M1249" s="91"/>
      <c r="N1249" s="96" t="b">
        <v>0</v>
      </c>
      <c r="O1249" s="96" t="b">
        <v>0</v>
      </c>
      <c r="P1249" s="92"/>
      <c r="Q1249" s="92"/>
      <c r="R1249" s="92"/>
      <c r="S1249" s="92"/>
      <c r="T1249" s="92"/>
      <c r="U1249" s="92"/>
      <c r="V1249" s="92"/>
      <c r="W1249" s="92"/>
      <c r="X1249" s="92"/>
      <c r="Y1249" s="92"/>
      <c r="Z1249" s="92"/>
      <c r="AA1249" s="92"/>
      <c r="AB1249" s="92"/>
      <c r="AC1249" s="92"/>
      <c r="AD1249" s="92"/>
      <c r="AE1249" s="92"/>
      <c r="AF1249" s="92"/>
      <c r="AG1249" s="92"/>
    </row>
    <row r="1250" hidden="1">
      <c r="A1250" s="86"/>
      <c r="B1250" s="25"/>
      <c r="C1250" s="80" t="s">
        <v>78</v>
      </c>
      <c r="D1250" s="97" t="s">
        <v>79</v>
      </c>
      <c r="E1250" s="184" t="s">
        <v>2594</v>
      </c>
      <c r="F1250" s="184" t="s">
        <v>2595</v>
      </c>
      <c r="G1250" s="108">
        <v>0.4583333333333333</v>
      </c>
      <c r="H1250" s="109" t="s">
        <v>2596</v>
      </c>
      <c r="I1250" s="109" t="s">
        <v>2597</v>
      </c>
      <c r="J1250" s="184" t="s">
        <v>2598</v>
      </c>
      <c r="K1250" s="91"/>
      <c r="L1250" s="91"/>
      <c r="M1250" s="91"/>
      <c r="N1250" s="96" t="b">
        <v>0</v>
      </c>
      <c r="O1250" s="96" t="b">
        <v>0</v>
      </c>
      <c r="P1250" s="92"/>
      <c r="Q1250" s="92"/>
      <c r="R1250" s="92"/>
      <c r="S1250" s="92"/>
      <c r="T1250" s="92"/>
      <c r="U1250" s="92"/>
      <c r="V1250" s="92"/>
      <c r="W1250" s="92"/>
      <c r="X1250" s="92"/>
      <c r="Y1250" s="92"/>
      <c r="Z1250" s="92"/>
      <c r="AA1250" s="92"/>
      <c r="AB1250" s="92"/>
      <c r="AC1250" s="92"/>
      <c r="AD1250" s="92"/>
      <c r="AE1250" s="92"/>
      <c r="AF1250" s="92"/>
      <c r="AG1250" s="92"/>
    </row>
    <row r="1251" hidden="1">
      <c r="A1251" s="86"/>
      <c r="B1251" s="25"/>
      <c r="C1251" s="80" t="s">
        <v>78</v>
      </c>
      <c r="D1251" s="97" t="s">
        <v>79</v>
      </c>
      <c r="E1251" s="183" t="s">
        <v>2599</v>
      </c>
      <c r="F1251" s="183" t="s">
        <v>2600</v>
      </c>
      <c r="G1251" s="249">
        <v>0.5</v>
      </c>
      <c r="H1251" s="242" t="s">
        <v>2601</v>
      </c>
      <c r="I1251" s="250" t="s">
        <v>2602</v>
      </c>
      <c r="J1251" s="183" t="s">
        <v>2603</v>
      </c>
      <c r="K1251" s="91"/>
      <c r="L1251" s="91"/>
      <c r="M1251" s="91"/>
      <c r="N1251" s="96" t="b">
        <v>0</v>
      </c>
      <c r="O1251" s="96" t="b">
        <v>0</v>
      </c>
      <c r="P1251" s="92"/>
      <c r="Q1251" s="92"/>
      <c r="R1251" s="92"/>
      <c r="S1251" s="92"/>
      <c r="T1251" s="92"/>
      <c r="U1251" s="92"/>
      <c r="V1251" s="92"/>
      <c r="W1251" s="92"/>
      <c r="X1251" s="92"/>
      <c r="Y1251" s="92"/>
      <c r="Z1251" s="92"/>
      <c r="AA1251" s="92"/>
      <c r="AB1251" s="92"/>
      <c r="AC1251" s="92"/>
      <c r="AD1251" s="92"/>
      <c r="AE1251" s="92"/>
      <c r="AF1251" s="92"/>
      <c r="AG1251" s="92"/>
    </row>
    <row r="1252" hidden="1">
      <c r="A1252" s="86"/>
      <c r="B1252" s="25"/>
      <c r="C1252" s="80" t="s">
        <v>78</v>
      </c>
      <c r="D1252" s="97" t="s">
        <v>79</v>
      </c>
      <c r="E1252" s="183" t="s">
        <v>2604</v>
      </c>
      <c r="F1252" s="183" t="s">
        <v>2605</v>
      </c>
      <c r="G1252" s="99">
        <v>0.5833333333333334</v>
      </c>
      <c r="H1252" s="98" t="s">
        <v>1498</v>
      </c>
      <c r="I1252" s="98" t="s">
        <v>2606</v>
      </c>
      <c r="J1252" s="183" t="s">
        <v>2607</v>
      </c>
      <c r="K1252" s="91"/>
      <c r="L1252" s="91"/>
      <c r="M1252" s="91"/>
      <c r="N1252" s="96" t="b">
        <v>0</v>
      </c>
      <c r="O1252" s="96" t="b">
        <v>0</v>
      </c>
      <c r="P1252" s="92"/>
      <c r="Q1252" s="92"/>
      <c r="R1252" s="92"/>
      <c r="S1252" s="92"/>
      <c r="T1252" s="92"/>
      <c r="U1252" s="92"/>
      <c r="V1252" s="92"/>
      <c r="W1252" s="92"/>
      <c r="X1252" s="92"/>
      <c r="Y1252" s="92"/>
      <c r="Z1252" s="92"/>
      <c r="AA1252" s="92"/>
      <c r="AB1252" s="92"/>
      <c r="AC1252" s="92"/>
      <c r="AD1252" s="92"/>
      <c r="AE1252" s="92"/>
      <c r="AF1252" s="92"/>
      <c r="AG1252" s="92"/>
    </row>
    <row r="1253" hidden="1">
      <c r="A1253" s="86"/>
      <c r="B1253" s="39"/>
      <c r="C1253" s="80" t="s">
        <v>78</v>
      </c>
      <c r="D1253" s="97" t="s">
        <v>79</v>
      </c>
      <c r="E1253" s="184" t="s">
        <v>1535</v>
      </c>
      <c r="F1253" s="184" t="s">
        <v>1536</v>
      </c>
      <c r="G1253" s="108">
        <v>0.6666666666666666</v>
      </c>
      <c r="H1253" s="109" t="s">
        <v>1537</v>
      </c>
      <c r="I1253" s="109" t="s">
        <v>2608</v>
      </c>
      <c r="J1253" s="109" t="s">
        <v>1539</v>
      </c>
      <c r="K1253" s="91"/>
      <c r="L1253" s="91"/>
      <c r="M1253" s="91"/>
      <c r="N1253" s="96" t="b">
        <v>0</v>
      </c>
      <c r="O1253" s="96" t="b">
        <v>0</v>
      </c>
      <c r="P1253" s="92"/>
      <c r="Q1253" s="92"/>
      <c r="R1253" s="92"/>
      <c r="S1253" s="92"/>
      <c r="T1253" s="92"/>
      <c r="U1253" s="92"/>
      <c r="V1253" s="92"/>
      <c r="W1253" s="92"/>
      <c r="X1253" s="92"/>
      <c r="Y1253" s="92"/>
      <c r="Z1253" s="92"/>
      <c r="AA1253" s="92"/>
      <c r="AB1253" s="92"/>
      <c r="AC1253" s="92"/>
      <c r="AD1253" s="92"/>
      <c r="AE1253" s="92"/>
      <c r="AF1253" s="92"/>
      <c r="AG1253" s="92"/>
    </row>
    <row r="1254" hidden="1">
      <c r="A1254" s="86"/>
      <c r="B1254" s="18" t="s">
        <v>1971</v>
      </c>
      <c r="C1254" s="80"/>
      <c r="D1254" s="97"/>
      <c r="E1254" s="98"/>
      <c r="F1254" s="98"/>
      <c r="G1254" s="41"/>
      <c r="H1254" s="98"/>
      <c r="I1254" s="98"/>
      <c r="J1254" s="98"/>
      <c r="K1254" s="91"/>
      <c r="L1254" s="91"/>
      <c r="M1254" s="91"/>
      <c r="N1254" s="96" t="b">
        <v>0</v>
      </c>
      <c r="O1254" s="96" t="b">
        <v>0</v>
      </c>
      <c r="P1254" s="92"/>
      <c r="Q1254" s="92"/>
      <c r="R1254" s="92"/>
      <c r="S1254" s="92"/>
      <c r="T1254" s="92"/>
      <c r="U1254" s="92"/>
      <c r="V1254" s="92"/>
      <c r="W1254" s="92"/>
      <c r="X1254" s="92"/>
      <c r="Y1254" s="92"/>
      <c r="Z1254" s="92"/>
      <c r="AA1254" s="92"/>
      <c r="AB1254" s="92"/>
      <c r="AC1254" s="92"/>
      <c r="AD1254" s="92"/>
      <c r="AE1254" s="92"/>
      <c r="AF1254" s="92"/>
      <c r="AG1254" s="92"/>
    </row>
    <row r="1255" hidden="1">
      <c r="A1255" s="86"/>
      <c r="B1255" s="25"/>
      <c r="C1255" s="80" t="s">
        <v>78</v>
      </c>
      <c r="D1255" s="97" t="s">
        <v>79</v>
      </c>
      <c r="E1255" s="183" t="s">
        <v>41</v>
      </c>
      <c r="F1255" s="183" t="s">
        <v>42</v>
      </c>
      <c r="G1255" s="99">
        <v>0.5416666666666666</v>
      </c>
      <c r="H1255" s="98" t="s">
        <v>424</v>
      </c>
      <c r="I1255" s="98" t="s">
        <v>2609</v>
      </c>
      <c r="J1255" s="98" t="s">
        <v>45</v>
      </c>
      <c r="K1255" s="98" t="s">
        <v>1145</v>
      </c>
      <c r="L1255" s="91"/>
      <c r="M1255" s="91"/>
      <c r="N1255" s="96" t="b">
        <v>0</v>
      </c>
      <c r="O1255" s="96" t="b">
        <v>0</v>
      </c>
      <c r="P1255" s="92"/>
      <c r="Q1255" s="92"/>
      <c r="R1255" s="92"/>
      <c r="S1255" s="92"/>
      <c r="T1255" s="92"/>
      <c r="U1255" s="92"/>
      <c r="V1255" s="92"/>
      <c r="W1255" s="92"/>
      <c r="X1255" s="92"/>
      <c r="Y1255" s="92"/>
      <c r="Z1255" s="92"/>
      <c r="AA1255" s="92"/>
      <c r="AB1255" s="92"/>
      <c r="AC1255" s="92"/>
      <c r="AD1255" s="92"/>
      <c r="AE1255" s="92"/>
      <c r="AF1255" s="92"/>
      <c r="AG1255" s="92"/>
    </row>
    <row r="1256" hidden="1">
      <c r="A1256" s="86"/>
      <c r="B1256" s="25"/>
      <c r="C1256" s="78" t="s">
        <v>78</v>
      </c>
      <c r="D1256" s="97" t="s">
        <v>79</v>
      </c>
      <c r="E1256" s="183" t="s">
        <v>2352</v>
      </c>
      <c r="F1256" s="183" t="s">
        <v>2353</v>
      </c>
      <c r="G1256" s="99">
        <v>0.5833333333333334</v>
      </c>
      <c r="H1256" s="98" t="s">
        <v>211</v>
      </c>
      <c r="I1256" s="98" t="s">
        <v>2610</v>
      </c>
      <c r="J1256" s="98" t="s">
        <v>2355</v>
      </c>
      <c r="K1256" s="91"/>
      <c r="L1256" s="91"/>
      <c r="M1256" s="91"/>
      <c r="N1256" s="96" t="b">
        <v>0</v>
      </c>
      <c r="O1256" s="96" t="b">
        <v>0</v>
      </c>
      <c r="P1256" s="92"/>
      <c r="Q1256" s="92"/>
      <c r="R1256" s="92"/>
      <c r="S1256" s="92"/>
      <c r="T1256" s="92"/>
      <c r="U1256" s="92"/>
      <c r="V1256" s="92"/>
      <c r="W1256" s="92"/>
      <c r="X1256" s="92"/>
      <c r="Y1256" s="92"/>
      <c r="Z1256" s="92"/>
      <c r="AA1256" s="92"/>
      <c r="AB1256" s="92"/>
      <c r="AC1256" s="92"/>
      <c r="AD1256" s="92"/>
      <c r="AE1256" s="92"/>
      <c r="AF1256" s="92"/>
      <c r="AG1256" s="92"/>
    </row>
    <row r="1257" hidden="1">
      <c r="A1257" s="86"/>
      <c r="B1257" s="25"/>
      <c r="C1257" s="80" t="s">
        <v>78</v>
      </c>
      <c r="D1257" s="97" t="s">
        <v>79</v>
      </c>
      <c r="E1257" s="186" t="s">
        <v>1621</v>
      </c>
      <c r="F1257" s="186" t="s">
        <v>1622</v>
      </c>
      <c r="G1257" s="99">
        <v>0.6666666666666666</v>
      </c>
      <c r="H1257" s="98" t="s">
        <v>82</v>
      </c>
      <c r="I1257" s="186" t="s">
        <v>2611</v>
      </c>
      <c r="J1257" s="186" t="s">
        <v>1624</v>
      </c>
      <c r="K1257" s="98" t="s">
        <v>1145</v>
      </c>
      <c r="L1257" s="91"/>
      <c r="M1257" s="91"/>
      <c r="N1257" s="96" t="b">
        <v>0</v>
      </c>
      <c r="O1257" s="96" t="b">
        <v>0</v>
      </c>
      <c r="P1257" s="92"/>
      <c r="Q1257" s="92"/>
      <c r="R1257" s="92"/>
      <c r="S1257" s="92"/>
      <c r="T1257" s="92"/>
      <c r="U1257" s="92"/>
      <c r="V1257" s="92"/>
      <c r="W1257" s="92"/>
      <c r="X1257" s="92"/>
      <c r="Y1257" s="92"/>
      <c r="Z1257" s="92"/>
      <c r="AA1257" s="92"/>
      <c r="AB1257" s="92"/>
      <c r="AC1257" s="92"/>
      <c r="AD1257" s="92"/>
      <c r="AE1257" s="92"/>
      <c r="AF1257" s="92"/>
      <c r="AG1257" s="92"/>
    </row>
    <row r="1258" hidden="1">
      <c r="A1258" s="86"/>
      <c r="B1258" s="25"/>
      <c r="C1258" s="80" t="s">
        <v>78</v>
      </c>
      <c r="D1258" s="97"/>
      <c r="E1258" s="98"/>
      <c r="F1258" s="98"/>
      <c r="G1258" s="41"/>
      <c r="H1258" s="98"/>
      <c r="I1258" s="98"/>
      <c r="J1258" s="98"/>
      <c r="K1258" s="91"/>
      <c r="L1258" s="91"/>
      <c r="M1258" s="91"/>
      <c r="N1258" s="96" t="b">
        <v>0</v>
      </c>
      <c r="O1258" s="96" t="b">
        <v>0</v>
      </c>
      <c r="P1258" s="92"/>
      <c r="Q1258" s="92"/>
      <c r="R1258" s="92"/>
      <c r="S1258" s="92"/>
      <c r="T1258" s="92"/>
      <c r="U1258" s="92"/>
      <c r="V1258" s="92"/>
      <c r="W1258" s="92"/>
      <c r="X1258" s="92"/>
      <c r="Y1258" s="92"/>
      <c r="Z1258" s="92"/>
      <c r="AA1258" s="92"/>
      <c r="AB1258" s="92"/>
      <c r="AC1258" s="92"/>
      <c r="AD1258" s="92"/>
      <c r="AE1258" s="92"/>
      <c r="AF1258" s="92"/>
      <c r="AG1258" s="92"/>
    </row>
    <row r="1259" hidden="1">
      <c r="A1259" s="86"/>
      <c r="B1259" s="39"/>
      <c r="C1259" s="80" t="s">
        <v>78</v>
      </c>
      <c r="D1259" s="97"/>
      <c r="E1259" s="98"/>
      <c r="F1259" s="98"/>
      <c r="G1259" s="41"/>
      <c r="H1259" s="98"/>
      <c r="I1259" s="98"/>
      <c r="J1259" s="98"/>
      <c r="K1259" s="91"/>
      <c r="L1259" s="91"/>
      <c r="M1259" s="91"/>
      <c r="N1259" s="96" t="b">
        <v>0</v>
      </c>
      <c r="O1259" s="96" t="b">
        <v>0</v>
      </c>
      <c r="P1259" s="92"/>
      <c r="Q1259" s="92"/>
      <c r="R1259" s="92"/>
      <c r="S1259" s="92"/>
      <c r="T1259" s="92"/>
      <c r="U1259" s="92"/>
      <c r="V1259" s="92"/>
      <c r="W1259" s="92"/>
      <c r="X1259" s="92"/>
      <c r="Y1259" s="92"/>
      <c r="Z1259" s="92"/>
      <c r="AA1259" s="92"/>
      <c r="AB1259" s="92"/>
      <c r="AC1259" s="92"/>
      <c r="AD1259" s="92"/>
      <c r="AE1259" s="92"/>
      <c r="AF1259" s="92"/>
      <c r="AG1259" s="92"/>
    </row>
    <row r="1260" hidden="1">
      <c r="A1260" s="86"/>
      <c r="B1260" s="166"/>
      <c r="C1260" s="88">
        <v>44466.0</v>
      </c>
      <c r="D1260" s="97"/>
      <c r="E1260" s="98"/>
      <c r="F1260" s="98"/>
      <c r="G1260" s="41"/>
      <c r="H1260" s="98"/>
      <c r="I1260" s="98"/>
      <c r="J1260" s="98"/>
      <c r="K1260" s="91"/>
      <c r="L1260" s="91"/>
      <c r="M1260" s="91"/>
      <c r="N1260" s="96" t="b">
        <v>0</v>
      </c>
      <c r="O1260" s="96" t="b">
        <v>0</v>
      </c>
      <c r="P1260" s="92"/>
      <c r="Q1260" s="92"/>
      <c r="R1260" s="92"/>
      <c r="S1260" s="92"/>
      <c r="T1260" s="92"/>
      <c r="U1260" s="92"/>
      <c r="V1260" s="92"/>
      <c r="W1260" s="92"/>
      <c r="X1260" s="92"/>
      <c r="Y1260" s="92"/>
      <c r="Z1260" s="92"/>
      <c r="AA1260" s="92"/>
      <c r="AB1260" s="92"/>
      <c r="AC1260" s="92"/>
      <c r="AD1260" s="92"/>
      <c r="AE1260" s="92"/>
      <c r="AF1260" s="92"/>
      <c r="AG1260" s="92"/>
    </row>
    <row r="1261" hidden="1">
      <c r="A1261" s="86"/>
      <c r="B1261" s="18" t="s">
        <v>1668</v>
      </c>
      <c r="C1261" s="234"/>
      <c r="D1261" s="97"/>
      <c r="E1261" s="98"/>
      <c r="F1261" s="98"/>
      <c r="G1261" s="41"/>
      <c r="H1261" s="98"/>
      <c r="I1261" s="98"/>
      <c r="J1261" s="98"/>
      <c r="K1261" s="91"/>
      <c r="L1261" s="91"/>
      <c r="M1261" s="91"/>
      <c r="N1261" s="96" t="b">
        <v>0</v>
      </c>
      <c r="O1261" s="96" t="b">
        <v>0</v>
      </c>
      <c r="P1261" s="92"/>
      <c r="Q1261" s="92"/>
      <c r="R1261" s="92"/>
      <c r="S1261" s="92"/>
      <c r="T1261" s="92"/>
      <c r="U1261" s="92"/>
      <c r="V1261" s="92"/>
      <c r="W1261" s="92"/>
      <c r="X1261" s="92"/>
      <c r="Y1261" s="92"/>
      <c r="Z1261" s="92"/>
      <c r="AA1261" s="92"/>
      <c r="AB1261" s="92"/>
      <c r="AC1261" s="92"/>
      <c r="AD1261" s="92"/>
      <c r="AE1261" s="92"/>
      <c r="AF1261" s="92"/>
      <c r="AG1261" s="92"/>
    </row>
    <row r="1262" hidden="1">
      <c r="A1262" s="86"/>
      <c r="B1262" s="25"/>
      <c r="C1262" s="78" t="s">
        <v>78</v>
      </c>
      <c r="D1262" s="97"/>
      <c r="E1262" s="98"/>
      <c r="F1262" s="98"/>
      <c r="G1262" s="41"/>
      <c r="H1262" s="98"/>
      <c r="I1262" s="98"/>
      <c r="J1262" s="98"/>
      <c r="K1262" s="91"/>
      <c r="L1262" s="91"/>
      <c r="M1262" s="91"/>
      <c r="N1262" s="96" t="b">
        <v>0</v>
      </c>
      <c r="O1262" s="96" t="b">
        <v>0</v>
      </c>
      <c r="P1262" s="92"/>
      <c r="Q1262" s="92"/>
      <c r="R1262" s="92"/>
      <c r="S1262" s="92"/>
      <c r="T1262" s="92"/>
      <c r="U1262" s="92"/>
      <c r="V1262" s="92"/>
      <c r="W1262" s="92"/>
      <c r="X1262" s="92"/>
      <c r="Y1262" s="92"/>
      <c r="Z1262" s="92"/>
      <c r="AA1262" s="92"/>
      <c r="AB1262" s="92"/>
      <c r="AC1262" s="92"/>
      <c r="AD1262" s="92"/>
      <c r="AE1262" s="92"/>
      <c r="AF1262" s="92"/>
      <c r="AG1262" s="92"/>
    </row>
    <row r="1263" hidden="1">
      <c r="A1263" s="86"/>
      <c r="B1263" s="25"/>
      <c r="C1263" s="80" t="s">
        <v>78</v>
      </c>
      <c r="D1263" s="97" t="s">
        <v>2582</v>
      </c>
      <c r="E1263" s="183" t="s">
        <v>2612</v>
      </c>
      <c r="F1263" s="183" t="s">
        <v>2613</v>
      </c>
      <c r="G1263" s="41" t="s">
        <v>417</v>
      </c>
      <c r="H1263" s="98" t="s">
        <v>2614</v>
      </c>
      <c r="I1263" s="98" t="s">
        <v>2615</v>
      </c>
      <c r="J1263" s="98" t="s">
        <v>2616</v>
      </c>
      <c r="K1263" s="91"/>
      <c r="L1263" s="91"/>
      <c r="M1263" s="91"/>
      <c r="N1263" s="96" t="b">
        <v>0</v>
      </c>
      <c r="O1263" s="96" t="b">
        <v>0</v>
      </c>
      <c r="P1263" s="92"/>
      <c r="Q1263" s="92"/>
      <c r="R1263" s="92"/>
      <c r="S1263" s="92"/>
      <c r="T1263" s="92"/>
      <c r="U1263" s="92"/>
      <c r="V1263" s="92"/>
      <c r="W1263" s="92"/>
      <c r="X1263" s="92"/>
      <c r="Y1263" s="92"/>
      <c r="Z1263" s="92"/>
      <c r="AA1263" s="92"/>
      <c r="AB1263" s="92"/>
      <c r="AC1263" s="92"/>
      <c r="AD1263" s="92"/>
      <c r="AE1263" s="92"/>
      <c r="AF1263" s="92"/>
      <c r="AG1263" s="92"/>
    </row>
    <row r="1264" hidden="1">
      <c r="A1264" s="86"/>
      <c r="B1264" s="25"/>
      <c r="C1264" s="80" t="s">
        <v>78</v>
      </c>
      <c r="D1264" s="97" t="s">
        <v>2582</v>
      </c>
      <c r="E1264" s="183" t="s">
        <v>2617</v>
      </c>
      <c r="F1264" s="183" t="s">
        <v>2618</v>
      </c>
      <c r="G1264" s="41" t="s">
        <v>449</v>
      </c>
      <c r="H1264" s="98" t="s">
        <v>2619</v>
      </c>
      <c r="I1264" s="98" t="s">
        <v>2620</v>
      </c>
      <c r="J1264" s="98" t="s">
        <v>2621</v>
      </c>
      <c r="K1264" s="91"/>
      <c r="L1264" s="91"/>
      <c r="M1264" s="91"/>
      <c r="N1264" s="96" t="b">
        <v>0</v>
      </c>
      <c r="O1264" s="96" t="b">
        <v>0</v>
      </c>
      <c r="P1264" s="92"/>
      <c r="Q1264" s="92"/>
      <c r="R1264" s="92"/>
      <c r="S1264" s="92"/>
      <c r="T1264" s="92"/>
      <c r="U1264" s="92"/>
      <c r="V1264" s="92"/>
      <c r="W1264" s="92"/>
      <c r="X1264" s="92"/>
      <c r="Y1264" s="92"/>
      <c r="Z1264" s="92"/>
      <c r="AA1264" s="92"/>
      <c r="AB1264" s="92"/>
      <c r="AC1264" s="92"/>
      <c r="AD1264" s="92"/>
      <c r="AE1264" s="92"/>
      <c r="AF1264" s="92"/>
      <c r="AG1264" s="92"/>
    </row>
    <row r="1265" hidden="1">
      <c r="A1265" s="86"/>
      <c r="B1265" s="25"/>
      <c r="C1265" s="80" t="s">
        <v>78</v>
      </c>
      <c r="D1265" s="97" t="s">
        <v>2582</v>
      </c>
      <c r="E1265" s="183" t="s">
        <v>2622</v>
      </c>
      <c r="F1265" s="183" t="s">
        <v>2623</v>
      </c>
      <c r="G1265" s="99">
        <v>0.6666666666666666</v>
      </c>
      <c r="H1265" s="98" t="s">
        <v>2624</v>
      </c>
      <c r="I1265" s="98" t="s">
        <v>2625</v>
      </c>
      <c r="J1265" s="98" t="s">
        <v>2626</v>
      </c>
      <c r="K1265" s="91"/>
      <c r="L1265" s="91"/>
      <c r="M1265" s="91"/>
      <c r="N1265" s="96" t="b">
        <v>0</v>
      </c>
      <c r="O1265" s="96" t="b">
        <v>0</v>
      </c>
      <c r="P1265" s="92"/>
      <c r="Q1265" s="92"/>
      <c r="R1265" s="92"/>
      <c r="S1265" s="92"/>
      <c r="T1265" s="92"/>
      <c r="U1265" s="92"/>
      <c r="V1265" s="92"/>
      <c r="W1265" s="92"/>
      <c r="X1265" s="92"/>
      <c r="Y1265" s="92"/>
      <c r="Z1265" s="92"/>
      <c r="AA1265" s="92"/>
      <c r="AB1265" s="92"/>
      <c r="AC1265" s="92"/>
      <c r="AD1265" s="92"/>
      <c r="AE1265" s="92"/>
      <c r="AF1265" s="92"/>
      <c r="AG1265" s="92"/>
    </row>
    <row r="1266" hidden="1">
      <c r="A1266" s="86"/>
      <c r="B1266" s="39"/>
      <c r="C1266" s="80" t="s">
        <v>78</v>
      </c>
      <c r="D1266" s="97" t="s">
        <v>2582</v>
      </c>
      <c r="E1266" s="183" t="s">
        <v>2627</v>
      </c>
      <c r="F1266" s="183" t="s">
        <v>2628</v>
      </c>
      <c r="G1266" s="41" t="s">
        <v>283</v>
      </c>
      <c r="H1266" s="98" t="s">
        <v>2624</v>
      </c>
      <c r="I1266" s="98" t="s">
        <v>2629</v>
      </c>
      <c r="J1266" s="98" t="s">
        <v>2630</v>
      </c>
      <c r="K1266" s="91"/>
      <c r="L1266" s="91"/>
      <c r="M1266" s="91"/>
      <c r="N1266" s="96" t="b">
        <v>0</v>
      </c>
      <c r="O1266" s="96" t="b">
        <v>0</v>
      </c>
      <c r="P1266" s="92"/>
      <c r="Q1266" s="92"/>
      <c r="R1266" s="92"/>
      <c r="S1266" s="92"/>
      <c r="T1266" s="92"/>
      <c r="U1266" s="92"/>
      <c r="V1266" s="92"/>
      <c r="W1266" s="92"/>
      <c r="X1266" s="92"/>
      <c r="Y1266" s="92"/>
      <c r="Z1266" s="92"/>
      <c r="AA1266" s="92"/>
      <c r="AB1266" s="92"/>
      <c r="AC1266" s="92"/>
      <c r="AD1266" s="92"/>
      <c r="AE1266" s="92"/>
      <c r="AF1266" s="92"/>
      <c r="AG1266" s="92"/>
    </row>
    <row r="1267" hidden="1">
      <c r="A1267" s="86"/>
      <c r="B1267" s="18" t="s">
        <v>1971</v>
      </c>
      <c r="C1267" s="80"/>
      <c r="D1267" s="97"/>
      <c r="E1267" s="98"/>
      <c r="F1267" s="98"/>
      <c r="G1267" s="41"/>
      <c r="H1267" s="98"/>
      <c r="I1267" s="98"/>
      <c r="J1267" s="98"/>
      <c r="K1267" s="91"/>
      <c r="L1267" s="91"/>
      <c r="M1267" s="91"/>
      <c r="N1267" s="96" t="b">
        <v>0</v>
      </c>
      <c r="O1267" s="96" t="b">
        <v>0</v>
      </c>
      <c r="P1267" s="92"/>
      <c r="Q1267" s="92"/>
      <c r="R1267" s="92"/>
      <c r="S1267" s="92"/>
      <c r="T1267" s="92"/>
      <c r="U1267" s="92"/>
      <c r="V1267" s="92"/>
      <c r="W1267" s="92"/>
      <c r="X1267" s="92"/>
      <c r="Y1267" s="92"/>
      <c r="Z1267" s="92"/>
      <c r="AA1267" s="92"/>
      <c r="AB1267" s="92"/>
      <c r="AC1267" s="92"/>
      <c r="AD1267" s="92"/>
      <c r="AE1267" s="92"/>
      <c r="AF1267" s="92"/>
      <c r="AG1267" s="92"/>
    </row>
    <row r="1268" hidden="1">
      <c r="A1268" s="86"/>
      <c r="B1268" s="25"/>
      <c r="C1268" s="80" t="s">
        <v>78</v>
      </c>
      <c r="D1268" s="97" t="s">
        <v>2576</v>
      </c>
      <c r="E1268" s="183" t="s">
        <v>2631</v>
      </c>
      <c r="F1268" s="183" t="s">
        <v>2632</v>
      </c>
      <c r="G1268" s="99">
        <v>0.4583333333333333</v>
      </c>
      <c r="H1268" s="98" t="s">
        <v>2633</v>
      </c>
      <c r="I1268" s="98" t="s">
        <v>2634</v>
      </c>
      <c r="J1268" s="183" t="s">
        <v>2635</v>
      </c>
      <c r="K1268" s="91"/>
      <c r="L1268" s="91"/>
      <c r="M1268" s="91"/>
      <c r="N1268" s="96" t="b">
        <v>0</v>
      </c>
      <c r="O1268" s="96" t="b">
        <v>0</v>
      </c>
      <c r="P1268" s="92"/>
      <c r="Q1268" s="92"/>
      <c r="R1268" s="92"/>
      <c r="S1268" s="92"/>
      <c r="T1268" s="92"/>
      <c r="U1268" s="92"/>
      <c r="V1268" s="92"/>
      <c r="W1268" s="92"/>
      <c r="X1268" s="92"/>
      <c r="Y1268" s="92"/>
      <c r="Z1268" s="92"/>
      <c r="AA1268" s="92"/>
      <c r="AB1268" s="92"/>
      <c r="AC1268" s="92"/>
      <c r="AD1268" s="92"/>
      <c r="AE1268" s="92"/>
      <c r="AF1268" s="92"/>
      <c r="AG1268" s="92"/>
    </row>
    <row r="1269" hidden="1">
      <c r="A1269" s="86"/>
      <c r="B1269" s="25"/>
      <c r="C1269" s="78" t="s">
        <v>78</v>
      </c>
      <c r="D1269" s="97" t="s">
        <v>2576</v>
      </c>
      <c r="E1269" s="251" t="s">
        <v>1752</v>
      </c>
      <c r="F1269" s="251" t="s">
        <v>1753</v>
      </c>
      <c r="G1269" s="99">
        <v>0.5416666666666666</v>
      </c>
      <c r="H1269" s="189" t="s">
        <v>2636</v>
      </c>
      <c r="I1269" s="98" t="s">
        <v>2637</v>
      </c>
      <c r="J1269" s="183" t="s">
        <v>1755</v>
      </c>
      <c r="K1269" s="91"/>
      <c r="L1269" s="91"/>
      <c r="M1269" s="91"/>
      <c r="N1269" s="96" t="b">
        <v>0</v>
      </c>
      <c r="O1269" s="96" t="b">
        <v>0</v>
      </c>
      <c r="P1269" s="92"/>
      <c r="Q1269" s="92"/>
      <c r="R1269" s="92"/>
      <c r="S1269" s="92"/>
      <c r="T1269" s="92"/>
      <c r="U1269" s="92"/>
      <c r="V1269" s="92"/>
      <c r="W1269" s="92"/>
      <c r="X1269" s="92"/>
      <c r="Y1269" s="92"/>
      <c r="Z1269" s="92"/>
      <c r="AA1269" s="92"/>
      <c r="AB1269" s="92"/>
      <c r="AC1269" s="92"/>
      <c r="AD1269" s="92"/>
      <c r="AE1269" s="92"/>
      <c r="AF1269" s="92"/>
      <c r="AG1269" s="92"/>
    </row>
    <row r="1270" hidden="1">
      <c r="A1270" s="86"/>
      <c r="B1270" s="25"/>
      <c r="C1270" s="80" t="s">
        <v>78</v>
      </c>
      <c r="D1270" s="97" t="s">
        <v>2576</v>
      </c>
      <c r="E1270" s="251" t="s">
        <v>2638</v>
      </c>
      <c r="F1270" s="251" t="s">
        <v>2639</v>
      </c>
      <c r="G1270" s="99">
        <v>0.625</v>
      </c>
      <c r="H1270" s="98" t="s">
        <v>2633</v>
      </c>
      <c r="I1270" s="98" t="s">
        <v>2640</v>
      </c>
      <c r="J1270" s="183" t="s">
        <v>2641</v>
      </c>
      <c r="K1270" s="91"/>
      <c r="L1270" s="91"/>
      <c r="M1270" s="91"/>
      <c r="N1270" s="96" t="b">
        <v>0</v>
      </c>
      <c r="O1270" s="96" t="b">
        <v>0</v>
      </c>
      <c r="P1270" s="92"/>
      <c r="Q1270" s="92"/>
      <c r="R1270" s="92"/>
      <c r="S1270" s="92"/>
      <c r="T1270" s="92"/>
      <c r="U1270" s="92"/>
      <c r="V1270" s="92"/>
      <c r="W1270" s="92"/>
      <c r="X1270" s="92"/>
      <c r="Y1270" s="92"/>
      <c r="Z1270" s="92"/>
      <c r="AA1270" s="92"/>
      <c r="AB1270" s="92"/>
      <c r="AC1270" s="92"/>
      <c r="AD1270" s="92"/>
      <c r="AE1270" s="92"/>
      <c r="AF1270" s="92"/>
      <c r="AG1270" s="92"/>
    </row>
    <row r="1271" hidden="1">
      <c r="A1271" s="86"/>
      <c r="B1271" s="25"/>
      <c r="C1271" s="80" t="s">
        <v>78</v>
      </c>
      <c r="D1271" s="97"/>
      <c r="E1271" s="98"/>
      <c r="F1271" s="98"/>
      <c r="G1271" s="99"/>
      <c r="H1271" s="98"/>
      <c r="I1271" s="98"/>
      <c r="J1271" s="98"/>
      <c r="K1271" s="91"/>
      <c r="L1271" s="91"/>
      <c r="M1271" s="91"/>
      <c r="N1271" s="96" t="b">
        <v>0</v>
      </c>
      <c r="O1271" s="96" t="b">
        <v>0</v>
      </c>
      <c r="P1271" s="92"/>
      <c r="Q1271" s="92"/>
      <c r="R1271" s="92"/>
      <c r="S1271" s="92"/>
      <c r="T1271" s="92"/>
      <c r="U1271" s="92"/>
      <c r="V1271" s="92"/>
      <c r="W1271" s="92"/>
      <c r="X1271" s="92"/>
      <c r="Y1271" s="92"/>
      <c r="Z1271" s="92"/>
      <c r="AA1271" s="92"/>
      <c r="AB1271" s="92"/>
      <c r="AC1271" s="92"/>
      <c r="AD1271" s="92"/>
      <c r="AE1271" s="92"/>
      <c r="AF1271" s="92"/>
      <c r="AG1271" s="92"/>
    </row>
    <row r="1272" hidden="1">
      <c r="A1272" s="86"/>
      <c r="B1272" s="39"/>
      <c r="C1272" s="80" t="s">
        <v>78</v>
      </c>
      <c r="D1272" s="97"/>
      <c r="E1272" s="98"/>
      <c r="F1272" s="98"/>
      <c r="G1272" s="41"/>
      <c r="H1272" s="98"/>
      <c r="I1272" s="98"/>
      <c r="J1272" s="98"/>
      <c r="K1272" s="91"/>
      <c r="L1272" s="91"/>
      <c r="M1272" s="91"/>
      <c r="N1272" s="96" t="b">
        <v>0</v>
      </c>
      <c r="O1272" s="96" t="b">
        <v>0</v>
      </c>
      <c r="P1272" s="92"/>
      <c r="Q1272" s="92"/>
      <c r="R1272" s="92"/>
      <c r="S1272" s="92"/>
      <c r="T1272" s="92"/>
      <c r="U1272" s="92"/>
      <c r="V1272" s="92"/>
      <c r="W1272" s="92"/>
      <c r="X1272" s="92"/>
      <c r="Y1272" s="92"/>
      <c r="Z1272" s="92"/>
      <c r="AA1272" s="92"/>
      <c r="AB1272" s="92"/>
      <c r="AC1272" s="92"/>
      <c r="AD1272" s="92"/>
      <c r="AE1272" s="92"/>
      <c r="AF1272" s="92"/>
      <c r="AG1272" s="92"/>
    </row>
    <row r="1273" hidden="1">
      <c r="A1273" s="86"/>
      <c r="B1273" s="166"/>
      <c r="C1273" s="88">
        <v>44467.0</v>
      </c>
      <c r="D1273" s="97"/>
      <c r="E1273" s="98"/>
      <c r="F1273" s="98"/>
      <c r="G1273" s="41"/>
      <c r="H1273" s="98"/>
      <c r="I1273" s="98"/>
      <c r="J1273" s="98"/>
      <c r="K1273" s="91"/>
      <c r="L1273" s="91"/>
      <c r="M1273" s="91"/>
      <c r="N1273" s="96" t="b">
        <v>0</v>
      </c>
      <c r="O1273" s="96" t="b">
        <v>0</v>
      </c>
      <c r="P1273" s="92"/>
      <c r="Q1273" s="92"/>
      <c r="R1273" s="92"/>
      <c r="S1273" s="92"/>
      <c r="T1273" s="92"/>
      <c r="U1273" s="92"/>
      <c r="V1273" s="92"/>
      <c r="W1273" s="92"/>
      <c r="X1273" s="92"/>
      <c r="Y1273" s="92"/>
      <c r="Z1273" s="92"/>
      <c r="AA1273" s="92"/>
      <c r="AB1273" s="92"/>
      <c r="AC1273" s="92"/>
      <c r="AD1273" s="92"/>
      <c r="AE1273" s="92"/>
      <c r="AF1273" s="92"/>
      <c r="AG1273" s="92"/>
    </row>
    <row r="1274" hidden="1">
      <c r="A1274" s="86"/>
      <c r="B1274" s="18" t="s">
        <v>1668</v>
      </c>
      <c r="C1274" s="234"/>
      <c r="D1274" s="97"/>
      <c r="E1274" s="98"/>
      <c r="F1274" s="98"/>
      <c r="G1274" s="41"/>
      <c r="H1274" s="98"/>
      <c r="I1274" s="98"/>
      <c r="J1274" s="98"/>
      <c r="K1274" s="91"/>
      <c r="L1274" s="91"/>
      <c r="M1274" s="91"/>
      <c r="N1274" s="96" t="b">
        <v>0</v>
      </c>
      <c r="O1274" s="96" t="b">
        <v>0</v>
      </c>
      <c r="P1274" s="92"/>
      <c r="Q1274" s="92"/>
      <c r="R1274" s="92"/>
      <c r="S1274" s="92"/>
      <c r="T1274" s="92"/>
      <c r="U1274" s="92"/>
      <c r="V1274" s="92"/>
      <c r="W1274" s="92"/>
      <c r="X1274" s="92"/>
      <c r="Y1274" s="92"/>
      <c r="Z1274" s="92"/>
      <c r="AA1274" s="92"/>
      <c r="AB1274" s="92"/>
      <c r="AC1274" s="92"/>
      <c r="AD1274" s="92"/>
      <c r="AE1274" s="92"/>
      <c r="AF1274" s="92"/>
      <c r="AG1274" s="92"/>
    </row>
    <row r="1275" hidden="1">
      <c r="A1275" s="86"/>
      <c r="B1275" s="25"/>
      <c r="C1275" s="78" t="s">
        <v>78</v>
      </c>
      <c r="D1275" s="97"/>
      <c r="E1275" s="98"/>
      <c r="F1275" s="41"/>
      <c r="G1275" s="98"/>
      <c r="H1275" s="98"/>
      <c r="I1275" s="98"/>
      <c r="J1275" s="91"/>
      <c r="K1275" s="91"/>
      <c r="L1275" s="91"/>
      <c r="M1275" s="91"/>
      <c r="N1275" s="96" t="b">
        <v>0</v>
      </c>
      <c r="O1275" s="96" t="b">
        <v>0</v>
      </c>
      <c r="P1275" s="92"/>
      <c r="Q1275" s="92"/>
      <c r="R1275" s="92"/>
      <c r="S1275" s="92"/>
      <c r="T1275" s="92"/>
      <c r="U1275" s="92"/>
      <c r="V1275" s="92"/>
      <c r="W1275" s="92"/>
      <c r="X1275" s="92"/>
      <c r="Y1275" s="92"/>
      <c r="Z1275" s="92"/>
      <c r="AA1275" s="92"/>
      <c r="AB1275" s="92"/>
      <c r="AC1275" s="92"/>
      <c r="AD1275" s="92"/>
      <c r="AE1275" s="92"/>
      <c r="AF1275" s="92"/>
      <c r="AG1275" s="92"/>
    </row>
    <row r="1276" hidden="1">
      <c r="A1276" s="86"/>
      <c r="B1276" s="25"/>
      <c r="C1276" s="80" t="s">
        <v>78</v>
      </c>
      <c r="D1276" s="252" t="s">
        <v>2582</v>
      </c>
      <c r="E1276" s="183" t="s">
        <v>2642</v>
      </c>
      <c r="F1276" s="183" t="s">
        <v>2643</v>
      </c>
      <c r="G1276" s="98" t="s">
        <v>2644</v>
      </c>
      <c r="H1276" s="98" t="s">
        <v>211</v>
      </c>
      <c r="I1276" s="98" t="s">
        <v>2645</v>
      </c>
      <c r="J1276" s="183" t="s">
        <v>2646</v>
      </c>
      <c r="K1276" s="91"/>
      <c r="L1276" s="91"/>
      <c r="M1276" s="91"/>
      <c r="N1276" s="96" t="b">
        <v>0</v>
      </c>
      <c r="O1276" s="96" t="b">
        <v>0</v>
      </c>
      <c r="P1276" s="92"/>
      <c r="Q1276" s="92"/>
      <c r="R1276" s="92"/>
      <c r="S1276" s="92"/>
      <c r="T1276" s="92"/>
      <c r="U1276" s="92"/>
      <c r="V1276" s="92"/>
      <c r="W1276" s="92"/>
      <c r="X1276" s="92"/>
      <c r="Y1276" s="92"/>
      <c r="Z1276" s="92"/>
      <c r="AA1276" s="92"/>
      <c r="AB1276" s="92"/>
      <c r="AC1276" s="92"/>
      <c r="AD1276" s="92"/>
      <c r="AE1276" s="92"/>
      <c r="AF1276" s="92"/>
      <c r="AG1276" s="92"/>
    </row>
    <row r="1277" hidden="1">
      <c r="A1277" s="86"/>
      <c r="B1277" s="25"/>
      <c r="C1277" s="80" t="s">
        <v>78</v>
      </c>
      <c r="D1277" s="252" t="s">
        <v>2576</v>
      </c>
      <c r="E1277" s="183" t="s">
        <v>963</v>
      </c>
      <c r="F1277" s="183" t="s">
        <v>964</v>
      </c>
      <c r="G1277" s="249">
        <v>0.5833333333333334</v>
      </c>
      <c r="H1277" s="242" t="s">
        <v>2647</v>
      </c>
      <c r="I1277" s="242" t="s">
        <v>2648</v>
      </c>
      <c r="J1277" s="183" t="s">
        <v>966</v>
      </c>
      <c r="K1277" s="91"/>
      <c r="L1277" s="91"/>
      <c r="M1277" s="91"/>
      <c r="N1277" s="96" t="b">
        <v>0</v>
      </c>
      <c r="O1277" s="96" t="b">
        <v>0</v>
      </c>
      <c r="P1277" s="92"/>
      <c r="Q1277" s="92"/>
      <c r="R1277" s="92"/>
      <c r="S1277" s="92"/>
      <c r="T1277" s="92"/>
      <c r="U1277" s="92"/>
      <c r="V1277" s="92"/>
      <c r="W1277" s="92"/>
      <c r="X1277" s="92"/>
      <c r="Y1277" s="92"/>
      <c r="Z1277" s="92"/>
      <c r="AA1277" s="92"/>
      <c r="AB1277" s="92"/>
      <c r="AC1277" s="92"/>
      <c r="AD1277" s="92"/>
      <c r="AE1277" s="92"/>
      <c r="AF1277" s="92"/>
      <c r="AG1277" s="92"/>
    </row>
    <row r="1278" hidden="1">
      <c r="A1278" s="86"/>
      <c r="B1278" s="25"/>
      <c r="C1278" s="80" t="s">
        <v>78</v>
      </c>
      <c r="D1278" s="252" t="s">
        <v>2582</v>
      </c>
      <c r="E1278" s="183" t="s">
        <v>2649</v>
      </c>
      <c r="F1278" s="183" t="s">
        <v>2650</v>
      </c>
      <c r="G1278" s="242" t="s">
        <v>2651</v>
      </c>
      <c r="H1278" s="242" t="s">
        <v>82</v>
      </c>
      <c r="I1278" s="242" t="s">
        <v>2652</v>
      </c>
      <c r="J1278" s="242" t="s">
        <v>2653</v>
      </c>
      <c r="K1278" s="173"/>
      <c r="L1278" s="91"/>
      <c r="M1278" s="91"/>
      <c r="N1278" s="96" t="b">
        <v>0</v>
      </c>
      <c r="O1278" s="96" t="b">
        <v>0</v>
      </c>
      <c r="P1278" s="92"/>
      <c r="Q1278" s="92"/>
      <c r="R1278" s="92"/>
      <c r="S1278" s="92"/>
      <c r="T1278" s="92"/>
      <c r="U1278" s="92"/>
      <c r="V1278" s="92"/>
      <c r="W1278" s="92"/>
      <c r="X1278" s="92"/>
      <c r="Y1278" s="92"/>
      <c r="Z1278" s="92"/>
      <c r="AA1278" s="92"/>
      <c r="AB1278" s="92"/>
      <c r="AC1278" s="92"/>
      <c r="AD1278" s="92"/>
      <c r="AE1278" s="92"/>
      <c r="AF1278" s="92"/>
      <c r="AG1278" s="92"/>
    </row>
    <row r="1279" hidden="1">
      <c r="A1279" s="86"/>
      <c r="B1279" s="39"/>
      <c r="C1279" s="80" t="s">
        <v>78</v>
      </c>
      <c r="D1279" s="253" t="s">
        <v>2582</v>
      </c>
      <c r="E1279" s="184" t="s">
        <v>2654</v>
      </c>
      <c r="F1279" s="184" t="s">
        <v>2655</v>
      </c>
      <c r="G1279" s="241" t="s">
        <v>2656</v>
      </c>
      <c r="H1279" s="241" t="s">
        <v>118</v>
      </c>
      <c r="I1279" s="241" t="s">
        <v>2657</v>
      </c>
      <c r="J1279" s="241" t="s">
        <v>2658</v>
      </c>
      <c r="K1279" s="173"/>
      <c r="L1279" s="91"/>
      <c r="M1279" s="91"/>
      <c r="N1279" s="96" t="b">
        <v>0</v>
      </c>
      <c r="O1279" s="96" t="b">
        <v>0</v>
      </c>
      <c r="P1279" s="92"/>
      <c r="Q1279" s="92"/>
      <c r="R1279" s="92"/>
      <c r="S1279" s="92"/>
      <c r="T1279" s="92"/>
      <c r="U1279" s="92"/>
      <c r="V1279" s="92"/>
      <c r="W1279" s="92"/>
      <c r="X1279" s="92"/>
      <c r="Y1279" s="92"/>
      <c r="Z1279" s="92"/>
      <c r="AA1279" s="92"/>
      <c r="AB1279" s="92"/>
      <c r="AC1279" s="92"/>
      <c r="AD1279" s="92"/>
      <c r="AE1279" s="92"/>
      <c r="AF1279" s="92"/>
      <c r="AG1279" s="92"/>
    </row>
    <row r="1280" hidden="1">
      <c r="A1280" s="86"/>
      <c r="B1280" s="18" t="s">
        <v>1971</v>
      </c>
      <c r="C1280" s="80"/>
      <c r="D1280" s="176"/>
      <c r="E1280" s="179"/>
      <c r="F1280" s="179"/>
      <c r="G1280" s="179"/>
      <c r="H1280" s="179"/>
      <c r="I1280" s="179"/>
      <c r="J1280" s="179"/>
      <c r="K1280" s="173"/>
      <c r="L1280" s="91"/>
      <c r="M1280" s="91"/>
      <c r="N1280" s="96" t="b">
        <v>0</v>
      </c>
      <c r="O1280" s="96" t="b">
        <v>0</v>
      </c>
      <c r="P1280" s="92"/>
      <c r="Q1280" s="92"/>
      <c r="R1280" s="92"/>
      <c r="S1280" s="92"/>
      <c r="T1280" s="92"/>
      <c r="U1280" s="92"/>
      <c r="V1280" s="92"/>
      <c r="W1280" s="92"/>
      <c r="X1280" s="92"/>
      <c r="Y1280" s="92"/>
      <c r="Z1280" s="92"/>
      <c r="AA1280" s="92"/>
      <c r="AB1280" s="92"/>
      <c r="AC1280" s="92"/>
      <c r="AD1280" s="92"/>
      <c r="AE1280" s="92"/>
      <c r="AF1280" s="92"/>
      <c r="AG1280" s="92"/>
    </row>
    <row r="1281" hidden="1">
      <c r="A1281" s="86"/>
      <c r="B1281" s="25"/>
      <c r="C1281" s="80" t="s">
        <v>78</v>
      </c>
      <c r="D1281" s="252" t="s">
        <v>2576</v>
      </c>
      <c r="E1281" s="251" t="s">
        <v>2659</v>
      </c>
      <c r="F1281" s="251" t="s">
        <v>2660</v>
      </c>
      <c r="G1281" s="249">
        <v>0.5</v>
      </c>
      <c r="H1281" s="242" t="s">
        <v>2661</v>
      </c>
      <c r="I1281" s="242" t="s">
        <v>2662</v>
      </c>
      <c r="J1281" s="242" t="s">
        <v>2663</v>
      </c>
      <c r="K1281" s="173"/>
      <c r="L1281" s="91"/>
      <c r="M1281" s="91"/>
      <c r="N1281" s="96" t="b">
        <v>0</v>
      </c>
      <c r="O1281" s="96" t="b">
        <v>0</v>
      </c>
      <c r="P1281" s="92"/>
      <c r="Q1281" s="92"/>
      <c r="R1281" s="92"/>
      <c r="S1281" s="92"/>
      <c r="T1281" s="92"/>
      <c r="U1281" s="92"/>
      <c r="V1281" s="92"/>
      <c r="W1281" s="92"/>
      <c r="X1281" s="92"/>
      <c r="Y1281" s="92"/>
      <c r="Z1281" s="92"/>
      <c r="AA1281" s="92"/>
      <c r="AB1281" s="92"/>
      <c r="AC1281" s="92"/>
      <c r="AD1281" s="92"/>
      <c r="AE1281" s="92"/>
      <c r="AF1281" s="92"/>
      <c r="AG1281" s="92"/>
    </row>
    <row r="1282" hidden="1">
      <c r="A1282" s="86"/>
      <c r="B1282" s="25"/>
      <c r="C1282" s="78" t="s">
        <v>78</v>
      </c>
      <c r="D1282" s="252" t="s">
        <v>2576</v>
      </c>
      <c r="E1282" s="189" t="s">
        <v>2664</v>
      </c>
      <c r="F1282" s="189" t="s">
        <v>2665</v>
      </c>
      <c r="G1282" s="254">
        <v>0.5</v>
      </c>
      <c r="H1282" s="189" t="s">
        <v>2661</v>
      </c>
      <c r="I1282" s="189" t="s">
        <v>2662</v>
      </c>
      <c r="J1282" s="189" t="s">
        <v>2663</v>
      </c>
      <c r="K1282" s="173"/>
      <c r="L1282" s="91"/>
      <c r="M1282" s="91"/>
      <c r="N1282" s="96" t="b">
        <v>0</v>
      </c>
      <c r="O1282" s="96" t="b">
        <v>0</v>
      </c>
      <c r="P1282" s="92"/>
      <c r="Q1282" s="92"/>
      <c r="R1282" s="92"/>
      <c r="S1282" s="92"/>
      <c r="T1282" s="92"/>
      <c r="U1282" s="92"/>
      <c r="V1282" s="92"/>
      <c r="W1282" s="92"/>
      <c r="X1282" s="92"/>
      <c r="Y1282" s="92"/>
      <c r="Z1282" s="92"/>
      <c r="AA1282" s="92"/>
      <c r="AB1282" s="92"/>
      <c r="AC1282" s="92"/>
      <c r="AD1282" s="92"/>
      <c r="AE1282" s="92"/>
      <c r="AF1282" s="92"/>
      <c r="AG1282" s="92"/>
    </row>
    <row r="1283" hidden="1">
      <c r="A1283" s="86"/>
      <c r="B1283" s="25"/>
      <c r="C1283" s="80" t="s">
        <v>78</v>
      </c>
      <c r="D1283" s="252" t="s">
        <v>2582</v>
      </c>
      <c r="E1283" s="183" t="s">
        <v>2666</v>
      </c>
      <c r="F1283" s="183" t="s">
        <v>2667</v>
      </c>
      <c r="G1283" s="242" t="s">
        <v>2668</v>
      </c>
      <c r="H1283" s="242" t="s">
        <v>568</v>
      </c>
      <c r="I1283" s="242" t="s">
        <v>2669</v>
      </c>
      <c r="J1283" s="242" t="s">
        <v>2670</v>
      </c>
      <c r="K1283" s="242" t="s">
        <v>2671</v>
      </c>
      <c r="L1283" s="91"/>
      <c r="M1283" s="91"/>
      <c r="N1283" s="96" t="b">
        <v>0</v>
      </c>
      <c r="O1283" s="96" t="b">
        <v>0</v>
      </c>
      <c r="P1283" s="92"/>
      <c r="Q1283" s="92"/>
      <c r="R1283" s="92"/>
      <c r="S1283" s="92"/>
      <c r="T1283" s="92"/>
      <c r="U1283" s="92"/>
      <c r="V1283" s="92"/>
      <c r="W1283" s="92"/>
      <c r="X1283" s="92"/>
      <c r="Y1283" s="92"/>
      <c r="Z1283" s="92"/>
      <c r="AA1283" s="92"/>
      <c r="AB1283" s="92"/>
      <c r="AC1283" s="92"/>
      <c r="AD1283" s="92"/>
      <c r="AE1283" s="92"/>
      <c r="AF1283" s="92"/>
      <c r="AG1283" s="92"/>
    </row>
    <row r="1284" hidden="1">
      <c r="A1284" s="86"/>
      <c r="B1284" s="25"/>
      <c r="C1284" s="80" t="s">
        <v>78</v>
      </c>
      <c r="D1284" s="252" t="s">
        <v>2582</v>
      </c>
      <c r="E1284" s="183" t="s">
        <v>2672</v>
      </c>
      <c r="F1284" s="183" t="s">
        <v>2673</v>
      </c>
      <c r="G1284" s="242" t="s">
        <v>2674</v>
      </c>
      <c r="H1284" s="242" t="s">
        <v>458</v>
      </c>
      <c r="I1284" s="242" t="s">
        <v>2675</v>
      </c>
      <c r="J1284" s="255" t="s">
        <v>2676</v>
      </c>
      <c r="K1284" s="173"/>
      <c r="L1284" s="91"/>
      <c r="M1284" s="91"/>
      <c r="N1284" s="96" t="b">
        <v>0</v>
      </c>
      <c r="O1284" s="96" t="b">
        <v>0</v>
      </c>
      <c r="P1284" s="92"/>
      <c r="Q1284" s="92"/>
      <c r="R1284" s="92"/>
      <c r="S1284" s="92"/>
      <c r="T1284" s="92"/>
      <c r="U1284" s="92"/>
      <c r="V1284" s="92"/>
      <c r="W1284" s="92"/>
      <c r="X1284" s="92"/>
      <c r="Y1284" s="92"/>
      <c r="Z1284" s="92"/>
      <c r="AA1284" s="92"/>
      <c r="AB1284" s="92"/>
      <c r="AC1284" s="92"/>
      <c r="AD1284" s="92"/>
      <c r="AE1284" s="92"/>
      <c r="AF1284" s="92"/>
      <c r="AG1284" s="92"/>
    </row>
    <row r="1285" hidden="1">
      <c r="A1285" s="86"/>
      <c r="B1285" s="39"/>
      <c r="C1285" s="80" t="s">
        <v>78</v>
      </c>
      <c r="D1285" s="97"/>
      <c r="E1285" s="98"/>
      <c r="F1285" s="98"/>
      <c r="G1285" s="41"/>
      <c r="H1285" s="98"/>
      <c r="I1285" s="98"/>
      <c r="J1285" s="98"/>
      <c r="K1285" s="91"/>
      <c r="L1285" s="91"/>
      <c r="M1285" s="91"/>
      <c r="N1285" s="96" t="b">
        <v>0</v>
      </c>
      <c r="O1285" s="96" t="b">
        <v>0</v>
      </c>
      <c r="P1285" s="92"/>
      <c r="Q1285" s="92"/>
      <c r="R1285" s="92"/>
      <c r="S1285" s="92"/>
      <c r="T1285" s="92"/>
      <c r="U1285" s="92"/>
      <c r="V1285" s="92"/>
      <c r="W1285" s="92"/>
      <c r="X1285" s="92"/>
      <c r="Y1285" s="92"/>
      <c r="Z1285" s="92"/>
      <c r="AA1285" s="92"/>
      <c r="AB1285" s="92"/>
      <c r="AC1285" s="92"/>
      <c r="AD1285" s="92"/>
      <c r="AE1285" s="92"/>
      <c r="AF1285" s="92"/>
      <c r="AG1285" s="92"/>
    </row>
    <row r="1286" hidden="1">
      <c r="A1286" s="86"/>
      <c r="B1286" s="166"/>
      <c r="C1286" s="88">
        <v>44468.0</v>
      </c>
      <c r="D1286" s="97"/>
      <c r="E1286" s="98"/>
      <c r="F1286" s="98"/>
      <c r="G1286" s="41"/>
      <c r="H1286" s="98"/>
      <c r="I1286" s="98"/>
      <c r="J1286" s="98"/>
      <c r="K1286" s="91"/>
      <c r="L1286" s="91"/>
      <c r="M1286" s="91"/>
      <c r="N1286" s="96" t="b">
        <v>0</v>
      </c>
      <c r="O1286" s="96" t="b">
        <v>0</v>
      </c>
      <c r="P1286" s="92"/>
      <c r="Q1286" s="92"/>
      <c r="R1286" s="92"/>
      <c r="S1286" s="92"/>
      <c r="T1286" s="92"/>
      <c r="U1286" s="92"/>
      <c r="V1286" s="92"/>
      <c r="W1286" s="92"/>
      <c r="X1286" s="92"/>
      <c r="Y1286" s="92"/>
      <c r="Z1286" s="92"/>
      <c r="AA1286" s="92"/>
      <c r="AB1286" s="92"/>
      <c r="AC1286" s="92"/>
      <c r="AD1286" s="92"/>
      <c r="AE1286" s="92"/>
      <c r="AF1286" s="92"/>
      <c r="AG1286" s="92"/>
    </row>
    <row r="1287" hidden="1">
      <c r="A1287" s="86"/>
      <c r="B1287" s="18" t="s">
        <v>1668</v>
      </c>
      <c r="C1287" s="234"/>
      <c r="D1287" s="97"/>
      <c r="E1287" s="98"/>
      <c r="F1287" s="98"/>
      <c r="G1287" s="41"/>
      <c r="H1287" s="98"/>
      <c r="I1287" s="98"/>
      <c r="J1287" s="98"/>
      <c r="K1287" s="91"/>
      <c r="L1287" s="91"/>
      <c r="M1287" s="91"/>
      <c r="N1287" s="96" t="b">
        <v>0</v>
      </c>
      <c r="O1287" s="96" t="b">
        <v>0</v>
      </c>
      <c r="P1287" s="92"/>
      <c r="Q1287" s="92"/>
      <c r="R1287" s="92"/>
      <c r="S1287" s="92"/>
      <c r="T1287" s="92"/>
      <c r="U1287" s="92"/>
      <c r="V1287" s="92"/>
      <c r="W1287" s="92"/>
      <c r="X1287" s="92"/>
      <c r="Y1287" s="92"/>
      <c r="Z1287" s="92"/>
      <c r="AA1287" s="92"/>
      <c r="AB1287" s="92"/>
      <c r="AC1287" s="92"/>
      <c r="AD1287" s="92"/>
      <c r="AE1287" s="92"/>
      <c r="AF1287" s="92"/>
      <c r="AG1287" s="92"/>
    </row>
    <row r="1288" hidden="1">
      <c r="A1288" s="86"/>
      <c r="B1288" s="25"/>
      <c r="C1288" s="78" t="s">
        <v>78</v>
      </c>
      <c r="D1288" s="97"/>
      <c r="E1288" s="98"/>
      <c r="F1288" s="98"/>
      <c r="G1288" s="99"/>
      <c r="H1288" s="98"/>
      <c r="I1288" s="98"/>
      <c r="J1288" s="98"/>
      <c r="K1288" s="91"/>
      <c r="L1288" s="91"/>
      <c r="M1288" s="91"/>
      <c r="N1288" s="96" t="b">
        <v>0</v>
      </c>
      <c r="O1288" s="96" t="b">
        <v>0</v>
      </c>
      <c r="P1288" s="92"/>
      <c r="Q1288" s="92"/>
      <c r="R1288" s="92"/>
      <c r="S1288" s="92"/>
      <c r="T1288" s="92"/>
      <c r="U1288" s="92"/>
      <c r="V1288" s="92"/>
      <c r="W1288" s="92"/>
      <c r="X1288" s="92"/>
      <c r="Y1288" s="92"/>
      <c r="Z1288" s="92"/>
      <c r="AA1288" s="92"/>
      <c r="AB1288" s="92"/>
      <c r="AC1288" s="92"/>
      <c r="AD1288" s="92"/>
      <c r="AE1288" s="92"/>
      <c r="AF1288" s="92"/>
      <c r="AG1288" s="92"/>
    </row>
    <row r="1289" hidden="1">
      <c r="A1289" s="86"/>
      <c r="B1289" s="25"/>
      <c r="C1289" s="80" t="s">
        <v>78</v>
      </c>
      <c r="D1289" s="97" t="s">
        <v>2192</v>
      </c>
      <c r="E1289" s="32" t="s">
        <v>1958</v>
      </c>
      <c r="F1289" s="32" t="s">
        <v>1959</v>
      </c>
      <c r="G1289" s="33">
        <v>0.5625</v>
      </c>
      <c r="H1289" s="32" t="s">
        <v>1575</v>
      </c>
      <c r="I1289" s="32" t="s">
        <v>2677</v>
      </c>
      <c r="J1289" s="32" t="s">
        <v>1962</v>
      </c>
      <c r="K1289" s="98" t="s">
        <v>2678</v>
      </c>
      <c r="L1289" s="91"/>
      <c r="M1289" s="91"/>
      <c r="N1289" s="96" t="b">
        <v>0</v>
      </c>
      <c r="O1289" s="96" t="b">
        <v>0</v>
      </c>
      <c r="P1289" s="92"/>
      <c r="Q1289" s="92"/>
      <c r="R1289" s="92"/>
      <c r="S1289" s="92"/>
      <c r="T1289" s="92"/>
      <c r="U1289" s="92"/>
      <c r="V1289" s="92"/>
      <c r="W1289" s="92"/>
      <c r="X1289" s="92"/>
      <c r="Y1289" s="92"/>
      <c r="Z1289" s="92"/>
      <c r="AA1289" s="92"/>
      <c r="AB1289" s="92"/>
      <c r="AC1289" s="92"/>
      <c r="AD1289" s="92"/>
      <c r="AE1289" s="92"/>
      <c r="AF1289" s="92"/>
      <c r="AG1289" s="92"/>
    </row>
    <row r="1290" hidden="1">
      <c r="A1290" s="86"/>
      <c r="B1290" s="25"/>
      <c r="C1290" s="80" t="s">
        <v>78</v>
      </c>
      <c r="D1290" s="97" t="s">
        <v>2192</v>
      </c>
      <c r="E1290" s="35" t="s">
        <v>320</v>
      </c>
      <c r="F1290" s="35" t="s">
        <v>321</v>
      </c>
      <c r="G1290" s="99">
        <v>0.6041666666666666</v>
      </c>
      <c r="H1290" s="35" t="s">
        <v>996</v>
      </c>
      <c r="I1290" s="35" t="s">
        <v>2679</v>
      </c>
      <c r="J1290" s="35" t="s">
        <v>323</v>
      </c>
      <c r="K1290" s="91"/>
      <c r="L1290" s="91"/>
      <c r="M1290" s="91"/>
      <c r="N1290" s="96" t="b">
        <v>0</v>
      </c>
      <c r="O1290" s="96" t="b">
        <v>0</v>
      </c>
      <c r="P1290" s="92"/>
      <c r="Q1290" s="92"/>
      <c r="R1290" s="92"/>
      <c r="S1290" s="92"/>
      <c r="T1290" s="92"/>
      <c r="U1290" s="92"/>
      <c r="V1290" s="92"/>
      <c r="W1290" s="92"/>
      <c r="X1290" s="92"/>
      <c r="Y1290" s="92"/>
      <c r="Z1290" s="92"/>
      <c r="AA1290" s="92"/>
      <c r="AB1290" s="92"/>
      <c r="AC1290" s="92"/>
      <c r="AD1290" s="92"/>
      <c r="AE1290" s="92"/>
      <c r="AF1290" s="92"/>
      <c r="AG1290" s="92"/>
    </row>
    <row r="1291" hidden="1">
      <c r="A1291" s="86"/>
      <c r="B1291" s="25"/>
      <c r="C1291" s="80" t="s">
        <v>78</v>
      </c>
      <c r="D1291" s="97" t="s">
        <v>2192</v>
      </c>
      <c r="E1291" s="32" t="s">
        <v>2680</v>
      </c>
      <c r="F1291" s="32" t="s">
        <v>2681</v>
      </c>
      <c r="G1291" s="178">
        <v>0.6666666666666666</v>
      </c>
      <c r="H1291" s="32" t="s">
        <v>996</v>
      </c>
      <c r="I1291" s="32" t="s">
        <v>2682</v>
      </c>
      <c r="J1291" s="32" t="s">
        <v>2683</v>
      </c>
      <c r="K1291" s="91"/>
      <c r="L1291" s="91"/>
      <c r="M1291" s="91"/>
      <c r="N1291" s="96" t="b">
        <v>0</v>
      </c>
      <c r="O1291" s="96" t="b">
        <v>0</v>
      </c>
      <c r="P1291" s="92"/>
      <c r="Q1291" s="92"/>
      <c r="R1291" s="92"/>
      <c r="S1291" s="92"/>
      <c r="T1291" s="92"/>
      <c r="U1291" s="92"/>
      <c r="V1291" s="92"/>
      <c r="W1291" s="92"/>
      <c r="X1291" s="92"/>
      <c r="Y1291" s="92"/>
      <c r="Z1291" s="92"/>
      <c r="AA1291" s="92"/>
      <c r="AB1291" s="92"/>
      <c r="AC1291" s="92"/>
      <c r="AD1291" s="92"/>
      <c r="AE1291" s="92"/>
      <c r="AF1291" s="92"/>
      <c r="AG1291" s="92"/>
    </row>
    <row r="1292" hidden="1">
      <c r="A1292" s="86"/>
      <c r="B1292" s="39"/>
      <c r="C1292" s="80" t="s">
        <v>78</v>
      </c>
      <c r="D1292" s="97" t="s">
        <v>2192</v>
      </c>
      <c r="E1292" s="32" t="s">
        <v>2684</v>
      </c>
      <c r="F1292" s="32" t="s">
        <v>2685</v>
      </c>
      <c r="G1292" s="99">
        <v>0.7291666666666666</v>
      </c>
      <c r="H1292" s="32" t="s">
        <v>996</v>
      </c>
      <c r="I1292" s="98" t="s">
        <v>2686</v>
      </c>
      <c r="J1292" s="32" t="s">
        <v>2687</v>
      </c>
      <c r="K1292" s="91"/>
      <c r="L1292" s="91"/>
      <c r="M1292" s="91"/>
      <c r="N1292" s="96" t="b">
        <v>0</v>
      </c>
      <c r="O1292" s="96" t="b">
        <v>0</v>
      </c>
      <c r="P1292" s="92"/>
      <c r="Q1292" s="92"/>
      <c r="R1292" s="92"/>
      <c r="S1292" s="92"/>
      <c r="T1292" s="92"/>
      <c r="U1292" s="92"/>
      <c r="V1292" s="92"/>
      <c r="W1292" s="92"/>
      <c r="X1292" s="92"/>
      <c r="Y1292" s="92"/>
      <c r="Z1292" s="92"/>
      <c r="AA1292" s="92"/>
      <c r="AB1292" s="92"/>
      <c r="AC1292" s="92"/>
      <c r="AD1292" s="92"/>
      <c r="AE1292" s="92"/>
      <c r="AF1292" s="92"/>
      <c r="AG1292" s="92"/>
    </row>
    <row r="1293" hidden="1">
      <c r="A1293" s="86"/>
      <c r="B1293" s="18" t="s">
        <v>1971</v>
      </c>
      <c r="C1293" s="80"/>
      <c r="D1293" s="97"/>
      <c r="E1293" s="98"/>
      <c r="F1293" s="98"/>
      <c r="G1293" s="41"/>
      <c r="H1293" s="98"/>
      <c r="I1293" s="98"/>
      <c r="J1293" s="98"/>
      <c r="K1293" s="91"/>
      <c r="L1293" s="91"/>
      <c r="M1293" s="91"/>
      <c r="N1293" s="96" t="b">
        <v>0</v>
      </c>
      <c r="O1293" s="96" t="b">
        <v>0</v>
      </c>
      <c r="P1293" s="92"/>
      <c r="Q1293" s="92"/>
      <c r="R1293" s="92"/>
      <c r="S1293" s="92"/>
      <c r="T1293" s="92"/>
      <c r="U1293" s="92"/>
      <c r="V1293" s="92"/>
      <c r="W1293" s="92"/>
      <c r="X1293" s="92"/>
      <c r="Y1293" s="92"/>
      <c r="Z1293" s="92"/>
      <c r="AA1293" s="92"/>
      <c r="AB1293" s="92"/>
      <c r="AC1293" s="92"/>
      <c r="AD1293" s="92"/>
      <c r="AE1293" s="92"/>
      <c r="AF1293" s="92"/>
      <c r="AG1293" s="92"/>
    </row>
    <row r="1294" hidden="1">
      <c r="A1294" s="86"/>
      <c r="B1294" s="25"/>
      <c r="C1294" s="80" t="s">
        <v>78</v>
      </c>
      <c r="D1294" s="97"/>
      <c r="E1294" s="98"/>
      <c r="F1294" s="98"/>
      <c r="G1294" s="237"/>
      <c r="H1294" s="98"/>
      <c r="I1294" s="98"/>
      <c r="J1294" s="98"/>
      <c r="K1294" s="91"/>
      <c r="L1294" s="91"/>
      <c r="M1294" s="91"/>
      <c r="N1294" s="96" t="b">
        <v>0</v>
      </c>
      <c r="O1294" s="96" t="b">
        <v>0</v>
      </c>
      <c r="P1294" s="92"/>
      <c r="Q1294" s="92"/>
      <c r="R1294" s="92"/>
      <c r="S1294" s="92"/>
      <c r="T1294" s="92"/>
      <c r="U1294" s="92"/>
      <c r="V1294" s="92"/>
      <c r="W1294" s="92"/>
      <c r="X1294" s="92"/>
      <c r="Y1294" s="92"/>
      <c r="Z1294" s="92"/>
      <c r="AA1294" s="92"/>
      <c r="AB1294" s="92"/>
      <c r="AC1294" s="92"/>
      <c r="AD1294" s="92"/>
      <c r="AE1294" s="92"/>
      <c r="AF1294" s="92"/>
      <c r="AG1294" s="92"/>
    </row>
    <row r="1295" hidden="1">
      <c r="A1295" s="86"/>
      <c r="B1295" s="25"/>
      <c r="C1295" s="78" t="s">
        <v>78</v>
      </c>
      <c r="D1295" s="97"/>
      <c r="E1295" s="98"/>
      <c r="F1295" s="98"/>
      <c r="G1295" s="237"/>
      <c r="H1295" s="98"/>
      <c r="I1295" s="98"/>
      <c r="J1295" s="98"/>
      <c r="K1295" s="91"/>
      <c r="L1295" s="91"/>
      <c r="M1295" s="91"/>
      <c r="N1295" s="96" t="b">
        <v>0</v>
      </c>
      <c r="O1295" s="96" t="b">
        <v>0</v>
      </c>
      <c r="P1295" s="92"/>
      <c r="Q1295" s="92"/>
      <c r="R1295" s="92"/>
      <c r="S1295" s="92"/>
      <c r="T1295" s="92"/>
      <c r="U1295" s="92"/>
      <c r="V1295" s="92"/>
      <c r="W1295" s="92"/>
      <c r="X1295" s="92"/>
      <c r="Y1295" s="92"/>
      <c r="Z1295" s="92"/>
      <c r="AA1295" s="92"/>
      <c r="AB1295" s="92"/>
      <c r="AC1295" s="92"/>
      <c r="AD1295" s="92"/>
      <c r="AE1295" s="92"/>
      <c r="AF1295" s="92"/>
      <c r="AG1295" s="92"/>
    </row>
    <row r="1296" hidden="1">
      <c r="A1296" s="86"/>
      <c r="B1296" s="25"/>
      <c r="C1296" s="80" t="s">
        <v>78</v>
      </c>
      <c r="D1296" s="97" t="s">
        <v>2576</v>
      </c>
      <c r="E1296" s="183" t="s">
        <v>2688</v>
      </c>
      <c r="F1296" s="183" t="s">
        <v>2689</v>
      </c>
      <c r="G1296" s="178">
        <v>0.5833333333333334</v>
      </c>
      <c r="H1296" s="98" t="s">
        <v>2690</v>
      </c>
      <c r="I1296" s="36" t="s">
        <v>2691</v>
      </c>
      <c r="J1296" s="183" t="s">
        <v>2692</v>
      </c>
      <c r="K1296" s="91"/>
      <c r="L1296" s="91"/>
      <c r="M1296" s="91"/>
      <c r="N1296" s="96" t="b">
        <v>0</v>
      </c>
      <c r="O1296" s="96" t="b">
        <v>0</v>
      </c>
      <c r="P1296" s="92"/>
      <c r="Q1296" s="92"/>
      <c r="R1296" s="92"/>
      <c r="S1296" s="92"/>
      <c r="T1296" s="92"/>
      <c r="U1296" s="92"/>
      <c r="V1296" s="92"/>
      <c r="W1296" s="92"/>
      <c r="X1296" s="92"/>
      <c r="Y1296" s="92"/>
      <c r="Z1296" s="92"/>
      <c r="AA1296" s="92"/>
      <c r="AB1296" s="92"/>
      <c r="AC1296" s="92"/>
      <c r="AD1296" s="92"/>
      <c r="AE1296" s="92"/>
      <c r="AF1296" s="92"/>
      <c r="AG1296" s="92"/>
    </row>
    <row r="1297" hidden="1">
      <c r="A1297" s="86"/>
      <c r="B1297" s="25"/>
      <c r="C1297" s="80" t="s">
        <v>78</v>
      </c>
      <c r="D1297" s="252" t="s">
        <v>2582</v>
      </c>
      <c r="E1297" s="183" t="s">
        <v>2666</v>
      </c>
      <c r="F1297" s="183" t="s">
        <v>2667</v>
      </c>
      <c r="G1297" s="242" t="s">
        <v>2693</v>
      </c>
      <c r="H1297" s="242" t="s">
        <v>568</v>
      </c>
      <c r="I1297" s="242" t="s">
        <v>2669</v>
      </c>
      <c r="J1297" s="242" t="s">
        <v>2670</v>
      </c>
      <c r="K1297" s="91"/>
      <c r="L1297" s="91"/>
      <c r="M1297" s="91"/>
      <c r="N1297" s="96" t="b">
        <v>0</v>
      </c>
      <c r="O1297" s="96" t="b">
        <v>0</v>
      </c>
      <c r="P1297" s="92"/>
      <c r="Q1297" s="92"/>
      <c r="R1297" s="92"/>
      <c r="S1297" s="92"/>
      <c r="T1297" s="92"/>
      <c r="U1297" s="92"/>
      <c r="V1297" s="92"/>
      <c r="W1297" s="92"/>
      <c r="X1297" s="92"/>
      <c r="Y1297" s="92"/>
      <c r="Z1297" s="92"/>
      <c r="AA1297" s="92"/>
      <c r="AB1297" s="92"/>
      <c r="AC1297" s="92"/>
      <c r="AD1297" s="92"/>
      <c r="AE1297" s="92"/>
      <c r="AF1297" s="92"/>
      <c r="AG1297" s="92"/>
    </row>
    <row r="1298" hidden="1">
      <c r="A1298" s="86"/>
      <c r="B1298" s="39"/>
      <c r="C1298" s="80" t="s">
        <v>78</v>
      </c>
      <c r="D1298" s="97" t="s">
        <v>2192</v>
      </c>
      <c r="E1298" s="32" t="s">
        <v>2694</v>
      </c>
      <c r="F1298" s="32" t="s">
        <v>2695</v>
      </c>
      <c r="G1298" s="99">
        <v>0.7291666666666666</v>
      </c>
      <c r="H1298" s="32" t="s">
        <v>1419</v>
      </c>
      <c r="I1298" s="32" t="s">
        <v>2696</v>
      </c>
      <c r="J1298" s="32" t="s">
        <v>2697</v>
      </c>
      <c r="K1298" s="91"/>
      <c r="L1298" s="91"/>
      <c r="M1298" s="91"/>
      <c r="N1298" s="96" t="b">
        <v>0</v>
      </c>
      <c r="O1298" s="96" t="b">
        <v>0</v>
      </c>
      <c r="P1298" s="92"/>
      <c r="Q1298" s="92"/>
      <c r="R1298" s="92"/>
      <c r="S1298" s="92"/>
      <c r="T1298" s="92"/>
      <c r="U1298" s="92"/>
      <c r="V1298" s="92"/>
      <c r="W1298" s="92"/>
      <c r="X1298" s="92"/>
      <c r="Y1298" s="92"/>
      <c r="Z1298" s="92"/>
      <c r="AA1298" s="92"/>
      <c r="AB1298" s="92"/>
      <c r="AC1298" s="92"/>
      <c r="AD1298" s="92"/>
      <c r="AE1298" s="92"/>
      <c r="AF1298" s="92"/>
      <c r="AG1298" s="92"/>
    </row>
    <row r="1299" hidden="1">
      <c r="A1299" s="86"/>
      <c r="B1299" s="166"/>
      <c r="C1299" s="88">
        <v>44469.0</v>
      </c>
      <c r="D1299" s="97"/>
      <c r="E1299" s="98"/>
      <c r="F1299" s="98"/>
      <c r="G1299" s="41"/>
      <c r="H1299" s="98"/>
      <c r="I1299" s="98"/>
      <c r="J1299" s="98"/>
      <c r="K1299" s="91"/>
      <c r="L1299" s="91"/>
      <c r="M1299" s="91"/>
      <c r="N1299" s="96" t="b">
        <v>0</v>
      </c>
      <c r="O1299" s="96" t="b">
        <v>0</v>
      </c>
      <c r="P1299" s="92"/>
      <c r="Q1299" s="92"/>
      <c r="R1299" s="92"/>
      <c r="S1299" s="92"/>
      <c r="T1299" s="92"/>
      <c r="U1299" s="92"/>
      <c r="V1299" s="92"/>
      <c r="W1299" s="92"/>
      <c r="X1299" s="92"/>
      <c r="Y1299" s="92"/>
      <c r="Z1299" s="92"/>
      <c r="AA1299" s="92"/>
      <c r="AB1299" s="92"/>
      <c r="AC1299" s="92"/>
      <c r="AD1299" s="92"/>
      <c r="AE1299" s="92"/>
      <c r="AF1299" s="92"/>
      <c r="AG1299" s="92"/>
    </row>
    <row r="1300" hidden="1">
      <c r="A1300" s="86"/>
      <c r="B1300" s="18" t="s">
        <v>1668</v>
      </c>
      <c r="C1300" s="234"/>
      <c r="D1300" s="97"/>
      <c r="E1300" s="98"/>
      <c r="F1300" s="98"/>
      <c r="G1300" s="41"/>
      <c r="H1300" s="98"/>
      <c r="I1300" s="98"/>
      <c r="J1300" s="98"/>
      <c r="K1300" s="91"/>
      <c r="L1300" s="91"/>
      <c r="M1300" s="91"/>
      <c r="N1300" s="96" t="b">
        <v>0</v>
      </c>
      <c r="O1300" s="96" t="b">
        <v>0</v>
      </c>
      <c r="P1300" s="92"/>
      <c r="Q1300" s="92"/>
      <c r="R1300" s="92"/>
      <c r="S1300" s="92"/>
      <c r="T1300" s="92"/>
      <c r="U1300" s="92"/>
      <c r="V1300" s="92"/>
      <c r="W1300" s="92"/>
      <c r="X1300" s="92"/>
      <c r="Y1300" s="92"/>
      <c r="Z1300" s="92"/>
      <c r="AA1300" s="92"/>
      <c r="AB1300" s="92"/>
      <c r="AC1300" s="92"/>
      <c r="AD1300" s="92"/>
      <c r="AE1300" s="92"/>
      <c r="AF1300" s="92"/>
      <c r="AG1300" s="92"/>
    </row>
    <row r="1301" hidden="1">
      <c r="A1301" s="86"/>
      <c r="B1301" s="25"/>
      <c r="C1301" s="78" t="s">
        <v>78</v>
      </c>
      <c r="D1301" s="97"/>
      <c r="E1301" s="98"/>
      <c r="F1301" s="98"/>
      <c r="G1301" s="41"/>
      <c r="H1301" s="98"/>
      <c r="I1301" s="98"/>
      <c r="J1301" s="98"/>
      <c r="K1301" s="91"/>
      <c r="L1301" s="91"/>
      <c r="M1301" s="91"/>
      <c r="N1301" s="96" t="b">
        <v>0</v>
      </c>
      <c r="O1301" s="96" t="b">
        <v>0</v>
      </c>
      <c r="P1301" s="92"/>
      <c r="Q1301" s="92"/>
      <c r="R1301" s="92"/>
      <c r="S1301" s="92"/>
      <c r="T1301" s="92"/>
      <c r="U1301" s="92"/>
      <c r="V1301" s="92"/>
      <c r="W1301" s="92"/>
      <c r="X1301" s="92"/>
      <c r="Y1301" s="92"/>
      <c r="Z1301" s="92"/>
      <c r="AA1301" s="92"/>
      <c r="AB1301" s="92"/>
      <c r="AC1301" s="92"/>
      <c r="AD1301" s="92"/>
      <c r="AE1301" s="92"/>
      <c r="AF1301" s="92"/>
      <c r="AG1301" s="92"/>
    </row>
    <row r="1302" hidden="1">
      <c r="A1302" s="86"/>
      <c r="B1302" s="25"/>
      <c r="C1302" s="80" t="s">
        <v>78</v>
      </c>
      <c r="D1302" s="97"/>
      <c r="E1302" s="256" t="s">
        <v>77</v>
      </c>
      <c r="F1302" s="55"/>
      <c r="G1302" s="41"/>
      <c r="H1302" s="98"/>
      <c r="I1302" s="98"/>
      <c r="J1302" s="98"/>
      <c r="K1302" s="91"/>
      <c r="L1302" s="91"/>
      <c r="M1302" s="91"/>
      <c r="N1302" s="96" t="b">
        <v>0</v>
      </c>
      <c r="O1302" s="96" t="b">
        <v>0</v>
      </c>
      <c r="P1302" s="92"/>
      <c r="Q1302" s="92"/>
      <c r="R1302" s="92"/>
      <c r="S1302" s="92"/>
      <c r="T1302" s="92"/>
      <c r="U1302" s="92"/>
      <c r="V1302" s="92"/>
      <c r="W1302" s="92"/>
      <c r="X1302" s="92"/>
      <c r="Y1302" s="92"/>
      <c r="Z1302" s="92"/>
      <c r="AA1302" s="92"/>
      <c r="AB1302" s="92"/>
      <c r="AC1302" s="92"/>
      <c r="AD1302" s="92"/>
      <c r="AE1302" s="92"/>
      <c r="AF1302" s="92"/>
      <c r="AG1302" s="92"/>
    </row>
    <row r="1303" hidden="1">
      <c r="A1303" s="86"/>
      <c r="B1303" s="25"/>
      <c r="C1303" s="80" t="s">
        <v>78</v>
      </c>
      <c r="D1303" s="97"/>
      <c r="E1303" s="56"/>
      <c r="F1303" s="57"/>
      <c r="G1303" s="41"/>
      <c r="H1303" s="98"/>
      <c r="I1303" s="98"/>
      <c r="J1303" s="98"/>
      <c r="K1303" s="91"/>
      <c r="L1303" s="91"/>
      <c r="M1303" s="91"/>
      <c r="N1303" s="96" t="b">
        <v>0</v>
      </c>
      <c r="O1303" s="96" t="b">
        <v>0</v>
      </c>
      <c r="P1303" s="92"/>
      <c r="Q1303" s="92"/>
      <c r="R1303" s="92"/>
      <c r="S1303" s="92"/>
      <c r="T1303" s="92"/>
      <c r="U1303" s="92"/>
      <c r="V1303" s="92"/>
      <c r="W1303" s="92"/>
      <c r="X1303" s="92"/>
      <c r="Y1303" s="92"/>
      <c r="Z1303" s="92"/>
      <c r="AA1303" s="92"/>
      <c r="AB1303" s="92"/>
      <c r="AC1303" s="92"/>
      <c r="AD1303" s="92"/>
      <c r="AE1303" s="92"/>
      <c r="AF1303" s="92"/>
      <c r="AG1303" s="92"/>
    </row>
    <row r="1304" hidden="1">
      <c r="A1304" s="86"/>
      <c r="B1304" s="25"/>
      <c r="C1304" s="80" t="s">
        <v>78</v>
      </c>
      <c r="D1304" s="97"/>
      <c r="E1304" s="56"/>
      <c r="F1304" s="57"/>
      <c r="G1304" s="41"/>
      <c r="H1304" s="98"/>
      <c r="I1304" s="98"/>
      <c r="J1304" s="98"/>
      <c r="K1304" s="91"/>
      <c r="L1304" s="91"/>
      <c r="M1304" s="91"/>
      <c r="N1304" s="96" t="b">
        <v>0</v>
      </c>
      <c r="O1304" s="96" t="b">
        <v>0</v>
      </c>
      <c r="P1304" s="92"/>
      <c r="Q1304" s="92"/>
      <c r="R1304" s="92"/>
      <c r="S1304" s="92"/>
      <c r="T1304" s="92"/>
      <c r="U1304" s="92"/>
      <c r="V1304" s="92"/>
      <c r="W1304" s="92"/>
      <c r="X1304" s="92"/>
      <c r="Y1304" s="92"/>
      <c r="Z1304" s="92"/>
      <c r="AA1304" s="92"/>
      <c r="AB1304" s="92"/>
      <c r="AC1304" s="92"/>
      <c r="AD1304" s="92"/>
      <c r="AE1304" s="92"/>
      <c r="AF1304" s="92"/>
      <c r="AG1304" s="92"/>
    </row>
    <row r="1305" hidden="1">
      <c r="A1305" s="86"/>
      <c r="B1305" s="39"/>
      <c r="C1305" s="80" t="s">
        <v>78</v>
      </c>
      <c r="D1305" s="97"/>
      <c r="E1305" s="59"/>
      <c r="F1305" s="60"/>
      <c r="G1305" s="41"/>
      <c r="H1305" s="98"/>
      <c r="I1305" s="98"/>
      <c r="J1305" s="98"/>
      <c r="K1305" s="91"/>
      <c r="L1305" s="91"/>
      <c r="M1305" s="91"/>
      <c r="N1305" s="96" t="b">
        <v>0</v>
      </c>
      <c r="O1305" s="96" t="b">
        <v>0</v>
      </c>
      <c r="P1305" s="92"/>
      <c r="Q1305" s="92"/>
      <c r="R1305" s="92"/>
      <c r="S1305" s="92"/>
      <c r="T1305" s="92"/>
      <c r="U1305" s="92"/>
      <c r="V1305" s="92"/>
      <c r="W1305" s="92"/>
      <c r="X1305" s="92"/>
      <c r="Y1305" s="92"/>
      <c r="Z1305" s="92"/>
      <c r="AA1305" s="92"/>
      <c r="AB1305" s="92"/>
      <c r="AC1305" s="92"/>
      <c r="AD1305" s="92"/>
      <c r="AE1305" s="92"/>
      <c r="AF1305" s="92"/>
      <c r="AG1305" s="92"/>
    </row>
    <row r="1306" hidden="1">
      <c r="A1306" s="86"/>
      <c r="B1306" s="18" t="s">
        <v>1971</v>
      </c>
      <c r="C1306" s="80"/>
      <c r="D1306" s="97"/>
      <c r="E1306" s="98"/>
      <c r="F1306" s="98"/>
      <c r="G1306" s="41"/>
      <c r="H1306" s="98"/>
      <c r="I1306" s="98"/>
      <c r="J1306" s="98"/>
      <c r="K1306" s="91"/>
      <c r="L1306" s="91"/>
      <c r="M1306" s="91"/>
      <c r="N1306" s="96" t="b">
        <v>0</v>
      </c>
      <c r="O1306" s="96" t="b">
        <v>0</v>
      </c>
      <c r="P1306" s="92"/>
      <c r="Q1306" s="92"/>
      <c r="R1306" s="92"/>
      <c r="S1306" s="92"/>
      <c r="T1306" s="92"/>
      <c r="U1306" s="92"/>
      <c r="V1306" s="92"/>
      <c r="W1306" s="92"/>
      <c r="X1306" s="92"/>
      <c r="Y1306" s="92"/>
      <c r="Z1306" s="92"/>
      <c r="AA1306" s="92"/>
      <c r="AB1306" s="92"/>
      <c r="AC1306" s="92"/>
      <c r="AD1306" s="92"/>
      <c r="AE1306" s="92"/>
      <c r="AF1306" s="92"/>
      <c r="AG1306" s="92"/>
    </row>
    <row r="1307" hidden="1">
      <c r="A1307" s="86"/>
      <c r="B1307" s="25"/>
      <c r="C1307" s="80" t="s">
        <v>78</v>
      </c>
      <c r="D1307" s="97"/>
      <c r="E1307" s="98"/>
      <c r="F1307" s="98"/>
      <c r="G1307" s="41"/>
      <c r="H1307" s="98"/>
      <c r="I1307" s="98"/>
      <c r="J1307" s="98"/>
      <c r="K1307" s="91"/>
      <c r="L1307" s="91"/>
      <c r="M1307" s="91"/>
      <c r="N1307" s="96" t="b">
        <v>0</v>
      </c>
      <c r="O1307" s="96" t="b">
        <v>0</v>
      </c>
      <c r="P1307" s="92"/>
      <c r="Q1307" s="92"/>
      <c r="R1307" s="92"/>
      <c r="S1307" s="92"/>
      <c r="T1307" s="92"/>
      <c r="U1307" s="92"/>
      <c r="V1307" s="92"/>
      <c r="W1307" s="92"/>
      <c r="X1307" s="92"/>
      <c r="Y1307" s="92"/>
      <c r="Z1307" s="92"/>
      <c r="AA1307" s="92"/>
      <c r="AB1307" s="92"/>
      <c r="AC1307" s="92"/>
      <c r="AD1307" s="92"/>
      <c r="AE1307" s="92"/>
      <c r="AF1307" s="92"/>
      <c r="AG1307" s="92"/>
    </row>
    <row r="1308" hidden="1">
      <c r="A1308" s="86"/>
      <c r="B1308" s="25"/>
      <c r="C1308" s="78" t="s">
        <v>78</v>
      </c>
      <c r="D1308" s="97"/>
      <c r="E1308" s="256" t="s">
        <v>77</v>
      </c>
      <c r="F1308" s="55"/>
      <c r="G1308" s="41"/>
      <c r="H1308" s="98"/>
      <c r="I1308" s="98"/>
      <c r="J1308" s="98"/>
      <c r="K1308" s="91"/>
      <c r="L1308" s="91"/>
      <c r="M1308" s="91"/>
      <c r="N1308" s="96" t="b">
        <v>0</v>
      </c>
      <c r="O1308" s="96" t="b">
        <v>0</v>
      </c>
      <c r="P1308" s="92"/>
      <c r="Q1308" s="92"/>
      <c r="R1308" s="92"/>
      <c r="S1308" s="92"/>
      <c r="T1308" s="92"/>
      <c r="U1308" s="92"/>
      <c r="V1308" s="92"/>
      <c r="W1308" s="92"/>
      <c r="X1308" s="92"/>
      <c r="Y1308" s="92"/>
      <c r="Z1308" s="92"/>
      <c r="AA1308" s="92"/>
      <c r="AB1308" s="92"/>
      <c r="AC1308" s="92"/>
      <c r="AD1308" s="92"/>
      <c r="AE1308" s="92"/>
      <c r="AF1308" s="92"/>
      <c r="AG1308" s="92"/>
    </row>
    <row r="1309" hidden="1">
      <c r="A1309" s="86"/>
      <c r="B1309" s="25"/>
      <c r="C1309" s="80" t="s">
        <v>78</v>
      </c>
      <c r="D1309" s="97"/>
      <c r="E1309" s="56"/>
      <c r="F1309" s="57"/>
      <c r="G1309" s="41"/>
      <c r="H1309" s="98"/>
      <c r="I1309" s="98"/>
      <c r="J1309" s="98"/>
      <c r="K1309" s="91"/>
      <c r="L1309" s="91"/>
      <c r="M1309" s="91"/>
      <c r="N1309" s="96" t="b">
        <v>0</v>
      </c>
      <c r="O1309" s="96" t="b">
        <v>0</v>
      </c>
      <c r="P1309" s="92"/>
      <c r="Q1309" s="92"/>
      <c r="R1309" s="92"/>
      <c r="S1309" s="92"/>
      <c r="T1309" s="92"/>
      <c r="U1309" s="92"/>
      <c r="V1309" s="92"/>
      <c r="W1309" s="92"/>
      <c r="X1309" s="92"/>
      <c r="Y1309" s="92"/>
      <c r="Z1309" s="92"/>
      <c r="AA1309" s="92"/>
      <c r="AB1309" s="92"/>
      <c r="AC1309" s="92"/>
      <c r="AD1309" s="92"/>
      <c r="AE1309" s="92"/>
      <c r="AF1309" s="92"/>
      <c r="AG1309" s="92"/>
    </row>
    <row r="1310" hidden="1">
      <c r="A1310" s="86"/>
      <c r="B1310" s="25"/>
      <c r="C1310" s="80" t="s">
        <v>78</v>
      </c>
      <c r="D1310" s="97"/>
      <c r="E1310" s="56"/>
      <c r="F1310" s="57"/>
      <c r="G1310" s="41"/>
      <c r="H1310" s="98"/>
      <c r="I1310" s="98"/>
      <c r="J1310" s="98"/>
      <c r="K1310" s="91"/>
      <c r="L1310" s="91"/>
      <c r="M1310" s="91"/>
      <c r="N1310" s="96" t="b">
        <v>0</v>
      </c>
      <c r="O1310" s="96" t="b">
        <v>0</v>
      </c>
      <c r="P1310" s="92"/>
      <c r="Q1310" s="92"/>
      <c r="R1310" s="92"/>
      <c r="S1310" s="92"/>
      <c r="T1310" s="92"/>
      <c r="U1310" s="92"/>
      <c r="V1310" s="92"/>
      <c r="W1310" s="92"/>
      <c r="X1310" s="92"/>
      <c r="Y1310" s="92"/>
      <c r="Z1310" s="92"/>
      <c r="AA1310" s="92"/>
      <c r="AB1310" s="92"/>
      <c r="AC1310" s="92"/>
      <c r="AD1310" s="92"/>
      <c r="AE1310" s="92"/>
      <c r="AF1310" s="92"/>
      <c r="AG1310" s="92"/>
    </row>
    <row r="1311" hidden="1">
      <c r="A1311" s="86"/>
      <c r="B1311" s="39"/>
      <c r="C1311" s="80" t="s">
        <v>78</v>
      </c>
      <c r="D1311" s="97"/>
      <c r="E1311" s="59"/>
      <c r="F1311" s="60"/>
      <c r="G1311" s="41"/>
      <c r="H1311" s="98"/>
      <c r="I1311" s="98"/>
      <c r="J1311" s="98"/>
      <c r="K1311" s="91"/>
      <c r="L1311" s="91"/>
      <c r="M1311" s="91"/>
      <c r="N1311" s="96" t="b">
        <v>0</v>
      </c>
      <c r="O1311" s="96" t="b">
        <v>0</v>
      </c>
      <c r="P1311" s="92"/>
      <c r="Q1311" s="92"/>
      <c r="R1311" s="92"/>
      <c r="S1311" s="92"/>
      <c r="T1311" s="92"/>
      <c r="U1311" s="92"/>
      <c r="V1311" s="92"/>
      <c r="W1311" s="92"/>
      <c r="X1311" s="92"/>
      <c r="Y1311" s="92"/>
      <c r="Z1311" s="92"/>
      <c r="AA1311" s="92"/>
      <c r="AB1311" s="92"/>
      <c r="AC1311" s="92"/>
      <c r="AD1311" s="92"/>
      <c r="AE1311" s="92"/>
      <c r="AF1311" s="92"/>
      <c r="AG1311" s="92"/>
    </row>
    <row r="1312" hidden="1">
      <c r="A1312" s="86"/>
      <c r="B1312" s="166"/>
      <c r="C1312" s="88">
        <v>44470.0</v>
      </c>
      <c r="D1312" s="97"/>
      <c r="E1312" s="98"/>
      <c r="F1312" s="98"/>
      <c r="G1312" s="41"/>
      <c r="H1312" s="98"/>
      <c r="I1312" s="98"/>
      <c r="J1312" s="98"/>
      <c r="K1312" s="91"/>
      <c r="L1312" s="91"/>
      <c r="M1312" s="91"/>
      <c r="N1312" s="96" t="b">
        <v>0</v>
      </c>
      <c r="O1312" s="96" t="b">
        <v>0</v>
      </c>
      <c r="P1312" s="92"/>
      <c r="Q1312" s="92"/>
      <c r="R1312" s="92"/>
      <c r="S1312" s="92"/>
      <c r="T1312" s="92"/>
      <c r="U1312" s="92"/>
      <c r="V1312" s="92"/>
      <c r="W1312" s="92"/>
      <c r="X1312" s="92"/>
      <c r="Y1312" s="92"/>
      <c r="Z1312" s="92"/>
      <c r="AA1312" s="92"/>
      <c r="AB1312" s="92"/>
      <c r="AC1312" s="92"/>
      <c r="AD1312" s="92"/>
      <c r="AE1312" s="92"/>
      <c r="AF1312" s="92"/>
      <c r="AG1312" s="92"/>
    </row>
    <row r="1313" hidden="1">
      <c r="A1313" s="86"/>
      <c r="B1313" s="18" t="s">
        <v>1668</v>
      </c>
      <c r="C1313" s="234"/>
      <c r="D1313" s="97"/>
      <c r="E1313" s="98"/>
      <c r="F1313" s="98"/>
      <c r="G1313" s="41"/>
      <c r="H1313" s="98"/>
      <c r="I1313" s="98"/>
      <c r="J1313" s="98"/>
      <c r="K1313" s="91"/>
      <c r="L1313" s="91"/>
      <c r="M1313" s="91"/>
      <c r="N1313" s="96" t="b">
        <v>0</v>
      </c>
      <c r="O1313" s="96" t="b">
        <v>0</v>
      </c>
      <c r="P1313" s="92"/>
      <c r="Q1313" s="92"/>
      <c r="R1313" s="92"/>
      <c r="S1313" s="92"/>
      <c r="T1313" s="92"/>
      <c r="U1313" s="92"/>
      <c r="V1313" s="92"/>
      <c r="W1313" s="92"/>
      <c r="X1313" s="92"/>
      <c r="Y1313" s="92"/>
      <c r="Z1313" s="92"/>
      <c r="AA1313" s="92"/>
      <c r="AB1313" s="92"/>
      <c r="AC1313" s="92"/>
      <c r="AD1313" s="92"/>
      <c r="AE1313" s="92"/>
      <c r="AF1313" s="92"/>
      <c r="AG1313" s="92"/>
    </row>
    <row r="1314" hidden="1">
      <c r="A1314" s="86"/>
      <c r="B1314" s="25"/>
      <c r="C1314" s="78" t="s">
        <v>78</v>
      </c>
      <c r="D1314" s="97" t="s">
        <v>2282</v>
      </c>
      <c r="E1314" s="257" t="s">
        <v>2551</v>
      </c>
      <c r="F1314" s="183" t="s">
        <v>643</v>
      </c>
      <c r="G1314" s="99">
        <v>0.4583333333333333</v>
      </c>
      <c r="H1314" s="98" t="s">
        <v>996</v>
      </c>
      <c r="I1314" s="98" t="s">
        <v>2698</v>
      </c>
      <c r="J1314" s="183" t="s">
        <v>645</v>
      </c>
      <c r="K1314" s="91"/>
      <c r="L1314" s="91"/>
      <c r="M1314" s="91"/>
      <c r="N1314" s="96" t="b">
        <v>0</v>
      </c>
      <c r="O1314" s="96" t="b">
        <v>0</v>
      </c>
      <c r="P1314" s="92"/>
      <c r="Q1314" s="92"/>
      <c r="R1314" s="92"/>
      <c r="S1314" s="92"/>
      <c r="T1314" s="92"/>
      <c r="U1314" s="92"/>
      <c r="V1314" s="92"/>
      <c r="W1314" s="92"/>
      <c r="X1314" s="92"/>
      <c r="Y1314" s="92"/>
      <c r="Z1314" s="92"/>
      <c r="AA1314" s="92"/>
      <c r="AB1314" s="92"/>
      <c r="AC1314" s="92"/>
      <c r="AD1314" s="92"/>
      <c r="AE1314" s="92"/>
      <c r="AF1314" s="92"/>
      <c r="AG1314" s="92"/>
    </row>
    <row r="1315" hidden="1">
      <c r="A1315" s="86"/>
      <c r="B1315" s="25"/>
      <c r="C1315" s="80" t="s">
        <v>78</v>
      </c>
      <c r="D1315" s="157" t="s">
        <v>2282</v>
      </c>
      <c r="E1315" s="183" t="s">
        <v>1819</v>
      </c>
      <c r="F1315" s="183" t="s">
        <v>1820</v>
      </c>
      <c r="G1315" s="99">
        <v>0.5416666666666666</v>
      </c>
      <c r="H1315" s="98" t="s">
        <v>498</v>
      </c>
      <c r="I1315" s="98" t="s">
        <v>2699</v>
      </c>
      <c r="J1315" s="183" t="s">
        <v>2700</v>
      </c>
      <c r="K1315" s="183" t="s">
        <v>838</v>
      </c>
      <c r="L1315" s="91"/>
      <c r="M1315" s="91"/>
      <c r="N1315" s="96" t="b">
        <v>0</v>
      </c>
      <c r="O1315" s="96" t="b">
        <v>0</v>
      </c>
      <c r="P1315" s="92"/>
      <c r="Q1315" s="92"/>
      <c r="R1315" s="92"/>
      <c r="S1315" s="92"/>
      <c r="T1315" s="92"/>
      <c r="U1315" s="92"/>
      <c r="V1315" s="92"/>
      <c r="W1315" s="92"/>
      <c r="X1315" s="92"/>
      <c r="Y1315" s="92"/>
      <c r="Z1315" s="92"/>
      <c r="AA1315" s="92"/>
      <c r="AB1315" s="92"/>
      <c r="AC1315" s="92"/>
      <c r="AD1315" s="92"/>
      <c r="AE1315" s="92"/>
      <c r="AF1315" s="92"/>
      <c r="AG1315" s="92"/>
    </row>
    <row r="1316" hidden="1">
      <c r="A1316" s="86"/>
      <c r="B1316" s="25"/>
      <c r="C1316" s="80" t="s">
        <v>78</v>
      </c>
      <c r="D1316" s="157" t="s">
        <v>2282</v>
      </c>
      <c r="E1316" s="183" t="s">
        <v>2701</v>
      </c>
      <c r="F1316" s="183" t="s">
        <v>2702</v>
      </c>
      <c r="G1316" s="99">
        <v>0.625</v>
      </c>
      <c r="H1316" s="98" t="s">
        <v>233</v>
      </c>
      <c r="I1316" s="98" t="s">
        <v>2703</v>
      </c>
      <c r="J1316" s="183" t="s">
        <v>2704</v>
      </c>
      <c r="K1316" s="91"/>
      <c r="L1316" s="91"/>
      <c r="M1316" s="91"/>
      <c r="N1316" s="96" t="b">
        <v>0</v>
      </c>
      <c r="O1316" s="96" t="b">
        <v>0</v>
      </c>
      <c r="P1316" s="92"/>
      <c r="Q1316" s="92"/>
      <c r="R1316" s="92"/>
      <c r="S1316" s="92"/>
      <c r="T1316" s="92"/>
      <c r="U1316" s="92"/>
      <c r="V1316" s="92"/>
      <c r="W1316" s="92"/>
      <c r="X1316" s="92"/>
      <c r="Y1316" s="92"/>
      <c r="Z1316" s="92"/>
      <c r="AA1316" s="92"/>
      <c r="AB1316" s="92"/>
      <c r="AC1316" s="92"/>
      <c r="AD1316" s="92"/>
      <c r="AE1316" s="92"/>
      <c r="AF1316" s="92"/>
      <c r="AG1316" s="92"/>
    </row>
    <row r="1317" hidden="1">
      <c r="A1317" s="86"/>
      <c r="B1317" s="25"/>
      <c r="C1317" s="80" t="s">
        <v>78</v>
      </c>
      <c r="D1317" s="157" t="s">
        <v>2282</v>
      </c>
      <c r="E1317" s="183" t="s">
        <v>1743</v>
      </c>
      <c r="F1317" s="183" t="s">
        <v>1744</v>
      </c>
      <c r="G1317" s="99">
        <v>0.7083333333333334</v>
      </c>
      <c r="H1317" s="98" t="s">
        <v>739</v>
      </c>
      <c r="I1317" s="98" t="s">
        <v>2705</v>
      </c>
      <c r="J1317" s="183" t="s">
        <v>1746</v>
      </c>
      <c r="K1317" s="183" t="s">
        <v>838</v>
      </c>
      <c r="L1317" s="91"/>
      <c r="M1317" s="91"/>
      <c r="N1317" s="96" t="b">
        <v>0</v>
      </c>
      <c r="O1317" s="96" t="b">
        <v>0</v>
      </c>
      <c r="P1317" s="92"/>
      <c r="Q1317" s="92"/>
      <c r="R1317" s="92"/>
      <c r="S1317" s="92"/>
      <c r="T1317" s="92"/>
      <c r="U1317" s="92"/>
      <c r="V1317" s="92"/>
      <c r="W1317" s="92"/>
      <c r="X1317" s="92"/>
      <c r="Y1317" s="92"/>
      <c r="Z1317" s="92"/>
      <c r="AA1317" s="92"/>
      <c r="AB1317" s="92"/>
      <c r="AC1317" s="92"/>
      <c r="AD1317" s="92"/>
      <c r="AE1317" s="92"/>
      <c r="AF1317" s="92"/>
      <c r="AG1317" s="92"/>
    </row>
    <row r="1318" hidden="1">
      <c r="A1318" s="86"/>
      <c r="B1318" s="39"/>
      <c r="C1318" s="80" t="s">
        <v>78</v>
      </c>
      <c r="D1318" s="157"/>
      <c r="E1318" s="183"/>
      <c r="F1318" s="183"/>
      <c r="G1318" s="99"/>
      <c r="H1318" s="98"/>
      <c r="I1318" s="98"/>
      <c r="J1318" s="203"/>
      <c r="K1318" s="91"/>
      <c r="L1318" s="91"/>
      <c r="M1318" s="91"/>
      <c r="N1318" s="96" t="b">
        <v>0</v>
      </c>
      <c r="O1318" s="96" t="b">
        <v>0</v>
      </c>
      <c r="P1318" s="92"/>
      <c r="Q1318" s="92"/>
      <c r="R1318" s="92"/>
      <c r="S1318" s="92"/>
      <c r="T1318" s="92"/>
      <c r="U1318" s="92"/>
      <c r="V1318" s="92"/>
      <c r="W1318" s="92"/>
      <c r="X1318" s="92"/>
      <c r="Y1318" s="92"/>
      <c r="Z1318" s="92"/>
      <c r="AA1318" s="92"/>
      <c r="AB1318" s="92"/>
      <c r="AC1318" s="92"/>
      <c r="AD1318" s="92"/>
      <c r="AE1318" s="92"/>
      <c r="AF1318" s="92"/>
      <c r="AG1318" s="92"/>
    </row>
    <row r="1319" hidden="1">
      <c r="A1319" s="86"/>
      <c r="B1319" s="18" t="s">
        <v>1971</v>
      </c>
      <c r="C1319" s="80"/>
      <c r="D1319" s="97"/>
      <c r="E1319" s="98"/>
      <c r="F1319" s="98"/>
      <c r="G1319" s="41"/>
      <c r="H1319" s="98"/>
      <c r="I1319" s="98"/>
      <c r="J1319" s="98"/>
      <c r="K1319" s="91"/>
      <c r="L1319" s="91"/>
      <c r="M1319" s="91"/>
      <c r="N1319" s="96" t="b">
        <v>0</v>
      </c>
      <c r="O1319" s="96" t="b">
        <v>0</v>
      </c>
      <c r="P1319" s="92"/>
      <c r="Q1319" s="92"/>
      <c r="R1319" s="92"/>
      <c r="S1319" s="92"/>
      <c r="T1319" s="92"/>
      <c r="U1319" s="92"/>
      <c r="V1319" s="92"/>
      <c r="W1319" s="92"/>
      <c r="X1319" s="92"/>
      <c r="Y1319" s="92"/>
      <c r="Z1319" s="92"/>
      <c r="AA1319" s="92"/>
      <c r="AB1319" s="92"/>
      <c r="AC1319" s="92"/>
      <c r="AD1319" s="92"/>
      <c r="AE1319" s="92"/>
      <c r="AF1319" s="92"/>
      <c r="AG1319" s="92"/>
    </row>
    <row r="1320" hidden="1">
      <c r="A1320" s="86"/>
      <c r="B1320" s="25"/>
      <c r="C1320" s="80" t="s">
        <v>78</v>
      </c>
      <c r="D1320" s="157" t="s">
        <v>2706</v>
      </c>
      <c r="E1320" s="183" t="s">
        <v>942</v>
      </c>
      <c r="F1320" s="183" t="s">
        <v>943</v>
      </c>
      <c r="G1320" s="41" t="s">
        <v>417</v>
      </c>
      <c r="H1320" s="98" t="s">
        <v>2707</v>
      </c>
      <c r="I1320" s="98" t="s">
        <v>2708</v>
      </c>
      <c r="J1320" s="50" t="s">
        <v>946</v>
      </c>
      <c r="K1320" s="91"/>
      <c r="L1320" s="91"/>
      <c r="M1320" s="91"/>
      <c r="N1320" s="96" t="b">
        <v>0</v>
      </c>
      <c r="O1320" s="96" t="b">
        <v>0</v>
      </c>
      <c r="P1320" s="92"/>
      <c r="Q1320" s="92"/>
      <c r="R1320" s="92"/>
      <c r="S1320" s="92"/>
      <c r="T1320" s="92"/>
      <c r="U1320" s="92"/>
      <c r="V1320" s="92"/>
      <c r="W1320" s="92"/>
      <c r="X1320" s="92"/>
      <c r="Y1320" s="92"/>
      <c r="Z1320" s="92"/>
      <c r="AA1320" s="92"/>
      <c r="AB1320" s="92"/>
      <c r="AC1320" s="92"/>
      <c r="AD1320" s="92"/>
      <c r="AE1320" s="92"/>
      <c r="AF1320" s="92"/>
      <c r="AG1320" s="92"/>
    </row>
    <row r="1321" hidden="1">
      <c r="A1321" s="86"/>
      <c r="B1321" s="25"/>
      <c r="C1321" s="78" t="s">
        <v>78</v>
      </c>
      <c r="D1321" s="157" t="s">
        <v>2706</v>
      </c>
      <c r="E1321" s="183" t="s">
        <v>2709</v>
      </c>
      <c r="F1321" s="183" t="s">
        <v>2710</v>
      </c>
      <c r="G1321" s="41" t="s">
        <v>449</v>
      </c>
      <c r="H1321" s="98" t="s">
        <v>2711</v>
      </c>
      <c r="I1321" s="98" t="s">
        <v>2712</v>
      </c>
      <c r="J1321" s="203" t="s">
        <v>2713</v>
      </c>
      <c r="K1321" s="91"/>
      <c r="L1321" s="91"/>
      <c r="M1321" s="91"/>
      <c r="N1321" s="96" t="b">
        <v>0</v>
      </c>
      <c r="O1321" s="96" t="b">
        <v>0</v>
      </c>
      <c r="P1321" s="92"/>
      <c r="Q1321" s="92"/>
      <c r="R1321" s="92"/>
      <c r="S1321" s="92"/>
      <c r="T1321" s="92"/>
      <c r="U1321" s="92"/>
      <c r="V1321" s="92"/>
      <c r="W1321" s="92"/>
      <c r="X1321" s="92"/>
      <c r="Y1321" s="92"/>
      <c r="Z1321" s="92"/>
      <c r="AA1321" s="92"/>
      <c r="AB1321" s="92"/>
      <c r="AC1321" s="92"/>
      <c r="AD1321" s="92"/>
      <c r="AE1321" s="92"/>
      <c r="AF1321" s="92"/>
      <c r="AG1321" s="92"/>
    </row>
    <row r="1322" hidden="1">
      <c r="A1322" s="86"/>
      <c r="B1322" s="25"/>
      <c r="C1322" s="80" t="s">
        <v>78</v>
      </c>
      <c r="D1322" s="157" t="s">
        <v>2706</v>
      </c>
      <c r="E1322" s="183" t="s">
        <v>2714</v>
      </c>
      <c r="F1322" s="183" t="s">
        <v>2715</v>
      </c>
      <c r="G1322" s="41" t="s">
        <v>180</v>
      </c>
      <c r="H1322" s="98" t="s">
        <v>2716</v>
      </c>
      <c r="I1322" s="98" t="s">
        <v>2717</v>
      </c>
      <c r="J1322" s="50" t="s">
        <v>2718</v>
      </c>
      <c r="K1322" s="91"/>
      <c r="L1322" s="91"/>
      <c r="M1322" s="91"/>
      <c r="N1322" s="96" t="b">
        <v>0</v>
      </c>
      <c r="O1322" s="96" t="b">
        <v>0</v>
      </c>
      <c r="P1322" s="92"/>
      <c r="Q1322" s="92"/>
      <c r="R1322" s="92"/>
      <c r="S1322" s="92"/>
      <c r="T1322" s="92"/>
      <c r="U1322" s="92"/>
      <c r="V1322" s="92"/>
      <c r="W1322" s="92"/>
      <c r="X1322" s="92"/>
      <c r="Y1322" s="92"/>
      <c r="Z1322" s="92"/>
      <c r="AA1322" s="92"/>
      <c r="AB1322" s="92"/>
      <c r="AC1322" s="92"/>
      <c r="AD1322" s="92"/>
      <c r="AE1322" s="92"/>
      <c r="AF1322" s="92"/>
      <c r="AG1322" s="92"/>
    </row>
    <row r="1323" hidden="1">
      <c r="A1323" s="86"/>
      <c r="B1323" s="25"/>
      <c r="C1323" s="80" t="s">
        <v>78</v>
      </c>
      <c r="D1323" s="157" t="s">
        <v>2706</v>
      </c>
      <c r="E1323" s="183" t="s">
        <v>2719</v>
      </c>
      <c r="F1323" s="183" t="s">
        <v>2720</v>
      </c>
      <c r="G1323" s="41" t="s">
        <v>305</v>
      </c>
      <c r="H1323" s="98" t="s">
        <v>1419</v>
      </c>
      <c r="I1323" s="98" t="s">
        <v>2721</v>
      </c>
      <c r="J1323" s="203" t="s">
        <v>2722</v>
      </c>
      <c r="K1323" s="91"/>
      <c r="L1323" s="91"/>
      <c r="M1323" s="91"/>
      <c r="N1323" s="96" t="b">
        <v>0</v>
      </c>
      <c r="O1323" s="96" t="b">
        <v>0</v>
      </c>
      <c r="P1323" s="92"/>
      <c r="Q1323" s="92"/>
      <c r="R1323" s="92"/>
      <c r="S1323" s="92"/>
      <c r="T1323" s="92"/>
      <c r="U1323" s="92"/>
      <c r="V1323" s="92"/>
      <c r="W1323" s="92"/>
      <c r="X1323" s="92"/>
      <c r="Y1323" s="92"/>
      <c r="Z1323" s="92"/>
      <c r="AA1323" s="92"/>
      <c r="AB1323" s="92"/>
      <c r="AC1323" s="92"/>
      <c r="AD1323" s="92"/>
      <c r="AE1323" s="92"/>
      <c r="AF1323" s="92"/>
      <c r="AG1323" s="92"/>
    </row>
    <row r="1324" hidden="1">
      <c r="A1324" s="86"/>
      <c r="B1324" s="39"/>
      <c r="C1324" s="80" t="s">
        <v>78</v>
      </c>
      <c r="D1324" s="97"/>
      <c r="E1324" s="98"/>
      <c r="F1324" s="98"/>
      <c r="G1324" s="41"/>
      <c r="H1324" s="98"/>
      <c r="I1324" s="98"/>
      <c r="J1324" s="98"/>
      <c r="K1324" s="91"/>
      <c r="L1324" s="91"/>
      <c r="M1324" s="91"/>
      <c r="N1324" s="96" t="b">
        <v>0</v>
      </c>
      <c r="O1324" s="96" t="b">
        <v>0</v>
      </c>
      <c r="P1324" s="92"/>
      <c r="Q1324" s="92"/>
      <c r="R1324" s="92"/>
      <c r="S1324" s="92"/>
      <c r="T1324" s="92"/>
      <c r="U1324" s="92"/>
      <c r="V1324" s="92"/>
      <c r="W1324" s="92"/>
      <c r="X1324" s="92"/>
      <c r="Y1324" s="92"/>
      <c r="Z1324" s="92"/>
      <c r="AA1324" s="92"/>
      <c r="AB1324" s="92"/>
      <c r="AC1324" s="92"/>
      <c r="AD1324" s="92"/>
      <c r="AE1324" s="92"/>
      <c r="AF1324" s="92"/>
      <c r="AG1324" s="92"/>
    </row>
    <row r="1325" hidden="1">
      <c r="A1325" s="86"/>
      <c r="B1325" s="166"/>
      <c r="C1325" s="88">
        <v>44473.0</v>
      </c>
      <c r="D1325" s="97"/>
      <c r="E1325" s="98"/>
      <c r="F1325" s="98"/>
      <c r="G1325" s="41"/>
      <c r="H1325" s="98"/>
      <c r="I1325" s="98"/>
      <c r="J1325" s="98"/>
      <c r="K1325" s="91"/>
      <c r="L1325" s="91"/>
      <c r="M1325" s="91"/>
      <c r="N1325" s="96" t="b">
        <v>0</v>
      </c>
      <c r="O1325" s="96" t="b">
        <v>0</v>
      </c>
      <c r="P1325" s="92"/>
      <c r="Q1325" s="92"/>
      <c r="R1325" s="92"/>
      <c r="S1325" s="92"/>
      <c r="T1325" s="92"/>
      <c r="U1325" s="92"/>
      <c r="V1325" s="92"/>
      <c r="W1325" s="92"/>
      <c r="X1325" s="92"/>
      <c r="Y1325" s="92"/>
      <c r="Z1325" s="92"/>
      <c r="AA1325" s="92"/>
      <c r="AB1325" s="92"/>
      <c r="AC1325" s="92"/>
      <c r="AD1325" s="92"/>
      <c r="AE1325" s="92"/>
      <c r="AF1325" s="92"/>
      <c r="AG1325" s="92"/>
    </row>
    <row r="1326" hidden="1">
      <c r="A1326" s="86"/>
      <c r="B1326" s="18" t="s">
        <v>1668</v>
      </c>
      <c r="C1326" s="234"/>
      <c r="D1326" s="97"/>
      <c r="E1326" s="98"/>
      <c r="F1326" s="98"/>
      <c r="G1326" s="41"/>
      <c r="H1326" s="98"/>
      <c r="I1326" s="98"/>
      <c r="J1326" s="98"/>
      <c r="K1326" s="91"/>
      <c r="L1326" s="91"/>
      <c r="M1326" s="91"/>
      <c r="N1326" s="96" t="b">
        <v>0</v>
      </c>
      <c r="O1326" s="96" t="b">
        <v>0</v>
      </c>
      <c r="P1326" s="92"/>
      <c r="Q1326" s="92"/>
      <c r="R1326" s="92"/>
      <c r="S1326" s="92"/>
      <c r="T1326" s="92"/>
      <c r="U1326" s="92"/>
      <c r="V1326" s="92"/>
      <c r="W1326" s="92"/>
      <c r="X1326" s="92"/>
      <c r="Y1326" s="92"/>
      <c r="Z1326" s="92"/>
      <c r="AA1326" s="92"/>
      <c r="AB1326" s="92"/>
      <c r="AC1326" s="92"/>
      <c r="AD1326" s="92"/>
      <c r="AE1326" s="92"/>
      <c r="AF1326" s="92"/>
      <c r="AG1326" s="92"/>
    </row>
    <row r="1327" hidden="1">
      <c r="A1327" s="86"/>
      <c r="B1327" s="25"/>
      <c r="C1327" s="78" t="s">
        <v>78</v>
      </c>
      <c r="D1327" s="97" t="s">
        <v>79</v>
      </c>
      <c r="E1327" s="183" t="s">
        <v>1636</v>
      </c>
      <c r="F1327" s="183" t="s">
        <v>1637</v>
      </c>
      <c r="G1327" s="99">
        <v>0.4166666666666667</v>
      </c>
      <c r="H1327" s="98" t="s">
        <v>1784</v>
      </c>
      <c r="I1327" s="98" t="s">
        <v>2723</v>
      </c>
      <c r="J1327" s="98" t="s">
        <v>1640</v>
      </c>
      <c r="K1327" s="91"/>
      <c r="L1327" s="91"/>
      <c r="M1327" s="91"/>
      <c r="N1327" s="96" t="b">
        <v>0</v>
      </c>
      <c r="O1327" s="96" t="b">
        <v>0</v>
      </c>
      <c r="P1327" s="92"/>
      <c r="Q1327" s="92"/>
      <c r="R1327" s="92"/>
      <c r="S1327" s="92"/>
      <c r="T1327" s="92"/>
      <c r="U1327" s="92"/>
      <c r="V1327" s="92"/>
      <c r="W1327" s="92"/>
      <c r="X1327" s="92"/>
      <c r="Y1327" s="92"/>
      <c r="Z1327" s="92"/>
      <c r="AA1327" s="92"/>
      <c r="AB1327" s="92"/>
      <c r="AC1327" s="92"/>
      <c r="AD1327" s="92"/>
      <c r="AE1327" s="92"/>
      <c r="AF1327" s="92"/>
      <c r="AG1327" s="92"/>
    </row>
    <row r="1328" hidden="1">
      <c r="A1328" s="86"/>
      <c r="B1328" s="25"/>
      <c r="C1328" s="80" t="s">
        <v>78</v>
      </c>
      <c r="D1328" s="97" t="s">
        <v>79</v>
      </c>
      <c r="E1328" s="183" t="s">
        <v>2724</v>
      </c>
      <c r="F1328" s="183" t="s">
        <v>2725</v>
      </c>
      <c r="G1328" s="99">
        <v>0.5208333333333334</v>
      </c>
      <c r="H1328" s="98" t="s">
        <v>2726</v>
      </c>
      <c r="I1328" s="98" t="s">
        <v>2727</v>
      </c>
      <c r="J1328" s="98" t="s">
        <v>2728</v>
      </c>
      <c r="K1328" s="91"/>
      <c r="L1328" s="91"/>
      <c r="M1328" s="91"/>
      <c r="N1328" s="96" t="b">
        <v>0</v>
      </c>
      <c r="O1328" s="96" t="b">
        <v>0</v>
      </c>
      <c r="P1328" s="92"/>
      <c r="Q1328" s="92"/>
      <c r="R1328" s="92"/>
      <c r="S1328" s="92"/>
      <c r="T1328" s="92"/>
      <c r="U1328" s="92"/>
      <c r="V1328" s="92"/>
      <c r="W1328" s="92"/>
      <c r="X1328" s="92"/>
      <c r="Y1328" s="92"/>
      <c r="Z1328" s="92"/>
      <c r="AA1328" s="92"/>
      <c r="AB1328" s="92"/>
      <c r="AC1328" s="92"/>
      <c r="AD1328" s="92"/>
      <c r="AE1328" s="92"/>
      <c r="AF1328" s="92"/>
      <c r="AG1328" s="92"/>
    </row>
    <row r="1329" hidden="1">
      <c r="A1329" s="86"/>
      <c r="B1329" s="25"/>
      <c r="C1329" s="80" t="s">
        <v>78</v>
      </c>
      <c r="D1329" s="97" t="s">
        <v>79</v>
      </c>
      <c r="E1329" s="183" t="s">
        <v>2729</v>
      </c>
      <c r="F1329" s="183" t="s">
        <v>2730</v>
      </c>
      <c r="G1329" s="99">
        <v>0.5625</v>
      </c>
      <c r="H1329" s="98" t="s">
        <v>2082</v>
      </c>
      <c r="I1329" s="98" t="s">
        <v>2731</v>
      </c>
      <c r="J1329" s="98" t="s">
        <v>2732</v>
      </c>
      <c r="K1329" s="91"/>
      <c r="L1329" s="91"/>
      <c r="M1329" s="91"/>
      <c r="N1329" s="96" t="b">
        <v>0</v>
      </c>
      <c r="O1329" s="96" t="b">
        <v>0</v>
      </c>
      <c r="P1329" s="92"/>
      <c r="Q1329" s="92"/>
      <c r="R1329" s="92"/>
      <c r="S1329" s="92"/>
      <c r="T1329" s="92"/>
      <c r="U1329" s="92"/>
      <c r="V1329" s="92"/>
      <c r="W1329" s="92"/>
      <c r="X1329" s="92"/>
      <c r="Y1329" s="92"/>
      <c r="Z1329" s="92"/>
      <c r="AA1329" s="92"/>
      <c r="AB1329" s="92"/>
      <c r="AC1329" s="92"/>
      <c r="AD1329" s="92"/>
      <c r="AE1329" s="92"/>
      <c r="AF1329" s="92"/>
      <c r="AG1329" s="92"/>
    </row>
    <row r="1330" hidden="1">
      <c r="A1330" s="86"/>
      <c r="B1330" s="25"/>
      <c r="C1330" s="80" t="s">
        <v>78</v>
      </c>
      <c r="D1330" s="97"/>
      <c r="E1330" s="183"/>
      <c r="F1330" s="183"/>
      <c r="G1330" s="188"/>
      <c r="H1330" s="43"/>
      <c r="I1330" s="43"/>
      <c r="J1330" s="183"/>
      <c r="K1330" s="91"/>
      <c r="L1330" s="91"/>
      <c r="M1330" s="91"/>
      <c r="N1330" s="96" t="b">
        <v>0</v>
      </c>
      <c r="O1330" s="96" t="b">
        <v>0</v>
      </c>
      <c r="P1330" s="92"/>
      <c r="Q1330" s="92"/>
      <c r="R1330" s="92"/>
      <c r="S1330" s="92"/>
      <c r="T1330" s="92"/>
      <c r="U1330" s="92"/>
      <c r="V1330" s="92"/>
      <c r="W1330" s="92"/>
      <c r="X1330" s="92"/>
      <c r="Y1330" s="92"/>
      <c r="Z1330" s="92"/>
      <c r="AA1330" s="92"/>
      <c r="AB1330" s="92"/>
      <c r="AC1330" s="92"/>
      <c r="AD1330" s="92"/>
      <c r="AE1330" s="92"/>
      <c r="AF1330" s="92"/>
      <c r="AG1330" s="92"/>
    </row>
    <row r="1331" hidden="1">
      <c r="A1331" s="86"/>
      <c r="B1331" s="39"/>
      <c r="C1331" s="80" t="s">
        <v>78</v>
      </c>
      <c r="D1331" s="97"/>
      <c r="E1331" s="98"/>
      <c r="F1331" s="98"/>
      <c r="G1331" s="41"/>
      <c r="H1331" s="98"/>
      <c r="I1331" s="98"/>
      <c r="J1331" s="98"/>
      <c r="K1331" s="91"/>
      <c r="L1331" s="91"/>
      <c r="M1331" s="91"/>
      <c r="N1331" s="96" t="b">
        <v>0</v>
      </c>
      <c r="O1331" s="96" t="b">
        <v>0</v>
      </c>
      <c r="P1331" s="92"/>
      <c r="Q1331" s="92"/>
      <c r="R1331" s="92"/>
      <c r="S1331" s="92"/>
      <c r="T1331" s="92"/>
      <c r="U1331" s="92"/>
      <c r="V1331" s="92"/>
      <c r="W1331" s="92"/>
      <c r="X1331" s="92"/>
      <c r="Y1331" s="92"/>
      <c r="Z1331" s="92"/>
      <c r="AA1331" s="92"/>
      <c r="AB1331" s="92"/>
      <c r="AC1331" s="92"/>
      <c r="AD1331" s="92"/>
      <c r="AE1331" s="92"/>
      <c r="AF1331" s="92"/>
      <c r="AG1331" s="92"/>
    </row>
    <row r="1332" hidden="1">
      <c r="A1332" s="86"/>
      <c r="B1332" s="18" t="s">
        <v>1971</v>
      </c>
      <c r="C1332" s="80"/>
      <c r="D1332" s="97"/>
      <c r="E1332" s="98"/>
      <c r="F1332" s="98"/>
      <c r="G1332" s="41"/>
      <c r="H1332" s="98"/>
      <c r="I1332" s="98"/>
      <c r="J1332" s="98"/>
      <c r="K1332" s="91"/>
      <c r="L1332" s="91"/>
      <c r="M1332" s="91"/>
      <c r="N1332" s="96" t="b">
        <v>0</v>
      </c>
      <c r="O1332" s="96" t="b">
        <v>0</v>
      </c>
      <c r="P1332" s="92"/>
      <c r="Q1332" s="92"/>
      <c r="R1332" s="92"/>
      <c r="S1332" s="92"/>
      <c r="T1332" s="92"/>
      <c r="U1332" s="92"/>
      <c r="V1332" s="92"/>
      <c r="W1332" s="92"/>
      <c r="X1332" s="92"/>
      <c r="Y1332" s="92"/>
      <c r="Z1332" s="92"/>
      <c r="AA1332" s="92"/>
      <c r="AB1332" s="92"/>
      <c r="AC1332" s="92"/>
      <c r="AD1332" s="92"/>
      <c r="AE1332" s="92"/>
      <c r="AF1332" s="92"/>
      <c r="AG1332" s="92"/>
    </row>
    <row r="1333" hidden="1">
      <c r="A1333" s="86"/>
      <c r="B1333" s="25"/>
      <c r="C1333" s="80" t="s">
        <v>78</v>
      </c>
      <c r="D1333" s="181"/>
      <c r="E1333" s="43"/>
      <c r="F1333" s="43"/>
      <c r="G1333" s="188"/>
      <c r="H1333" s="43"/>
      <c r="I1333" s="43"/>
      <c r="J1333" s="43"/>
      <c r="K1333" s="43"/>
      <c r="L1333" s="91"/>
      <c r="M1333" s="91"/>
      <c r="N1333" s="96" t="b">
        <v>0</v>
      </c>
      <c r="O1333" s="96" t="b">
        <v>0</v>
      </c>
      <c r="P1333" s="92"/>
      <c r="Q1333" s="92"/>
      <c r="R1333" s="92"/>
      <c r="S1333" s="92"/>
      <c r="T1333" s="92"/>
      <c r="U1333" s="92"/>
      <c r="V1333" s="92"/>
      <c r="W1333" s="92"/>
      <c r="X1333" s="92"/>
      <c r="Y1333" s="92"/>
      <c r="Z1333" s="92"/>
      <c r="AA1333" s="92"/>
      <c r="AB1333" s="92"/>
      <c r="AC1333" s="92"/>
      <c r="AD1333" s="92"/>
      <c r="AE1333" s="92"/>
      <c r="AF1333" s="92"/>
      <c r="AG1333" s="92"/>
    </row>
    <row r="1334" hidden="1">
      <c r="A1334" s="86"/>
      <c r="B1334" s="25"/>
      <c r="C1334" s="78" t="s">
        <v>78</v>
      </c>
      <c r="D1334" s="97" t="s">
        <v>79</v>
      </c>
      <c r="E1334" s="183" t="s">
        <v>902</v>
      </c>
      <c r="F1334" s="183" t="s">
        <v>903</v>
      </c>
      <c r="G1334" s="99">
        <v>0.5833333333333334</v>
      </c>
      <c r="H1334" s="98" t="s">
        <v>205</v>
      </c>
      <c r="I1334" s="98" t="s">
        <v>2733</v>
      </c>
      <c r="J1334" s="183" t="s">
        <v>905</v>
      </c>
      <c r="K1334" s="91"/>
      <c r="L1334" s="91"/>
      <c r="M1334" s="91"/>
      <c r="N1334" s="96" t="b">
        <v>0</v>
      </c>
      <c r="O1334" s="96" t="b">
        <v>0</v>
      </c>
      <c r="P1334" s="92"/>
      <c r="Q1334" s="92"/>
      <c r="R1334" s="92"/>
      <c r="S1334" s="92"/>
      <c r="T1334" s="92"/>
      <c r="U1334" s="92"/>
      <c r="V1334" s="92"/>
      <c r="W1334" s="92"/>
      <c r="X1334" s="92"/>
      <c r="Y1334" s="92"/>
      <c r="Z1334" s="92"/>
      <c r="AA1334" s="92"/>
      <c r="AB1334" s="92"/>
      <c r="AC1334" s="92"/>
      <c r="AD1334" s="92"/>
      <c r="AE1334" s="92"/>
      <c r="AF1334" s="92"/>
      <c r="AG1334" s="92"/>
    </row>
    <row r="1335" hidden="1">
      <c r="A1335" s="86"/>
      <c r="B1335" s="25"/>
      <c r="C1335" s="80" t="s">
        <v>78</v>
      </c>
      <c r="D1335" s="97" t="s">
        <v>79</v>
      </c>
      <c r="E1335" s="183" t="s">
        <v>2734</v>
      </c>
      <c r="F1335" s="183" t="s">
        <v>2735</v>
      </c>
      <c r="G1335" s="99">
        <v>0.6666666666666666</v>
      </c>
      <c r="H1335" s="98" t="s">
        <v>909</v>
      </c>
      <c r="I1335" s="98" t="s">
        <v>2736</v>
      </c>
      <c r="J1335" s="98" t="s">
        <v>2737</v>
      </c>
      <c r="K1335" s="91"/>
      <c r="L1335" s="91"/>
      <c r="M1335" s="91"/>
      <c r="N1335" s="96" t="b">
        <v>0</v>
      </c>
      <c r="O1335" s="96" t="b">
        <v>0</v>
      </c>
      <c r="P1335" s="92"/>
      <c r="Q1335" s="92"/>
      <c r="R1335" s="92"/>
      <c r="S1335" s="92"/>
      <c r="T1335" s="92"/>
      <c r="U1335" s="92"/>
      <c r="V1335" s="92"/>
      <c r="W1335" s="92"/>
      <c r="X1335" s="92"/>
      <c r="Y1335" s="92"/>
      <c r="Z1335" s="92"/>
      <c r="AA1335" s="92"/>
      <c r="AB1335" s="92"/>
      <c r="AC1335" s="92"/>
      <c r="AD1335" s="92"/>
      <c r="AE1335" s="92"/>
      <c r="AF1335" s="92"/>
      <c r="AG1335" s="92"/>
    </row>
    <row r="1336" hidden="1">
      <c r="A1336" s="86"/>
      <c r="B1336" s="25"/>
      <c r="C1336" s="80" t="s">
        <v>78</v>
      </c>
      <c r="D1336" s="97" t="s">
        <v>79</v>
      </c>
      <c r="E1336" s="183" t="s">
        <v>925</v>
      </c>
      <c r="F1336" s="183" t="s">
        <v>926</v>
      </c>
      <c r="G1336" s="99">
        <v>0.7291666666666666</v>
      </c>
      <c r="H1336" s="98" t="s">
        <v>118</v>
      </c>
      <c r="I1336" s="98" t="s">
        <v>2738</v>
      </c>
      <c r="J1336" s="183" t="s">
        <v>928</v>
      </c>
      <c r="K1336" s="98" t="s">
        <v>1145</v>
      </c>
      <c r="L1336" s="91"/>
      <c r="M1336" s="91"/>
      <c r="N1336" s="96" t="b">
        <v>0</v>
      </c>
      <c r="O1336" s="96" t="b">
        <v>0</v>
      </c>
      <c r="P1336" s="92"/>
      <c r="Q1336" s="92"/>
      <c r="R1336" s="92"/>
      <c r="S1336" s="92"/>
      <c r="T1336" s="92"/>
      <c r="U1336" s="92"/>
      <c r="V1336" s="92"/>
      <c r="W1336" s="92"/>
      <c r="X1336" s="92"/>
      <c r="Y1336" s="92"/>
      <c r="Z1336" s="92"/>
      <c r="AA1336" s="92"/>
      <c r="AB1336" s="92"/>
      <c r="AC1336" s="92"/>
      <c r="AD1336" s="92"/>
      <c r="AE1336" s="92"/>
      <c r="AF1336" s="92"/>
      <c r="AG1336" s="92"/>
    </row>
    <row r="1337" hidden="1">
      <c r="A1337" s="86"/>
      <c r="B1337" s="39"/>
      <c r="C1337" s="80" t="s">
        <v>78</v>
      </c>
      <c r="D1337" s="97" t="s">
        <v>79</v>
      </c>
      <c r="E1337" s="183" t="s">
        <v>2739</v>
      </c>
      <c r="F1337" s="183" t="s">
        <v>2740</v>
      </c>
      <c r="G1337" s="99">
        <v>0.7708333333333334</v>
      </c>
      <c r="H1337" s="98" t="s">
        <v>349</v>
      </c>
      <c r="I1337" s="98" t="s">
        <v>2741</v>
      </c>
      <c r="J1337" s="183" t="s">
        <v>2742</v>
      </c>
      <c r="K1337" s="91"/>
      <c r="L1337" s="91"/>
      <c r="M1337" s="91"/>
      <c r="N1337" s="96" t="b">
        <v>0</v>
      </c>
      <c r="O1337" s="96" t="b">
        <v>0</v>
      </c>
      <c r="P1337" s="92"/>
      <c r="Q1337" s="92"/>
      <c r="R1337" s="92"/>
      <c r="S1337" s="92"/>
      <c r="T1337" s="92"/>
      <c r="U1337" s="92"/>
      <c r="V1337" s="92"/>
      <c r="W1337" s="92"/>
      <c r="X1337" s="92"/>
      <c r="Y1337" s="92"/>
      <c r="Z1337" s="92"/>
      <c r="AA1337" s="92"/>
      <c r="AB1337" s="92"/>
      <c r="AC1337" s="92"/>
      <c r="AD1337" s="92"/>
      <c r="AE1337" s="92"/>
      <c r="AF1337" s="92"/>
      <c r="AG1337" s="92"/>
    </row>
    <row r="1338" hidden="1">
      <c r="A1338" s="86"/>
      <c r="B1338" s="166"/>
      <c r="C1338" s="88">
        <v>44474.0</v>
      </c>
      <c r="D1338" s="97"/>
      <c r="E1338" s="98"/>
      <c r="F1338" s="98"/>
      <c r="G1338" s="41"/>
      <c r="H1338" s="98"/>
      <c r="I1338" s="98"/>
      <c r="J1338" s="98"/>
      <c r="K1338" s="91"/>
      <c r="L1338" s="91"/>
      <c r="M1338" s="91"/>
      <c r="N1338" s="96" t="b">
        <v>0</v>
      </c>
      <c r="O1338" s="96" t="b">
        <v>0</v>
      </c>
      <c r="P1338" s="92"/>
      <c r="Q1338" s="92"/>
      <c r="R1338" s="92"/>
      <c r="S1338" s="92"/>
      <c r="T1338" s="92"/>
      <c r="U1338" s="92"/>
      <c r="V1338" s="92"/>
      <c r="W1338" s="92"/>
      <c r="X1338" s="92"/>
      <c r="Y1338" s="92"/>
      <c r="Z1338" s="92"/>
      <c r="AA1338" s="92"/>
      <c r="AB1338" s="92"/>
      <c r="AC1338" s="92"/>
      <c r="AD1338" s="92"/>
      <c r="AE1338" s="92"/>
      <c r="AF1338" s="92"/>
      <c r="AG1338" s="92"/>
    </row>
    <row r="1339" hidden="1">
      <c r="A1339" s="86"/>
      <c r="B1339" s="18" t="s">
        <v>1668</v>
      </c>
      <c r="C1339" s="234"/>
      <c r="D1339" s="181"/>
      <c r="E1339" s="43"/>
      <c r="F1339" s="43"/>
      <c r="G1339" s="43"/>
      <c r="H1339" s="43"/>
      <c r="I1339" s="43"/>
      <c r="J1339" s="43"/>
      <c r="K1339" s="91"/>
      <c r="L1339" s="91"/>
      <c r="M1339" s="91"/>
      <c r="N1339" s="96" t="b">
        <v>0</v>
      </c>
      <c r="O1339" s="96" t="b">
        <v>0</v>
      </c>
      <c r="P1339" s="92"/>
      <c r="Q1339" s="92"/>
      <c r="R1339" s="92"/>
      <c r="S1339" s="92"/>
      <c r="T1339" s="92"/>
      <c r="U1339" s="92"/>
      <c r="V1339" s="92"/>
      <c r="W1339" s="92"/>
      <c r="X1339" s="92"/>
      <c r="Y1339" s="92"/>
      <c r="Z1339" s="92"/>
      <c r="AA1339" s="92"/>
      <c r="AB1339" s="92"/>
      <c r="AC1339" s="92"/>
      <c r="AD1339" s="92"/>
      <c r="AE1339" s="92"/>
      <c r="AF1339" s="92"/>
      <c r="AG1339" s="92"/>
    </row>
    <row r="1340" hidden="1">
      <c r="A1340" s="86"/>
      <c r="B1340" s="25"/>
      <c r="C1340" s="78" t="s">
        <v>78</v>
      </c>
      <c r="D1340" s="97" t="s">
        <v>79</v>
      </c>
      <c r="E1340" s="183" t="s">
        <v>583</v>
      </c>
      <c r="F1340" s="183" t="s">
        <v>584</v>
      </c>
      <c r="G1340" s="99">
        <v>0.4166666666666667</v>
      </c>
      <c r="H1340" s="98" t="s">
        <v>585</v>
      </c>
      <c r="I1340" s="98" t="s">
        <v>586</v>
      </c>
      <c r="J1340" s="183" t="s">
        <v>587</v>
      </c>
      <c r="K1340" s="91"/>
      <c r="L1340" s="91"/>
      <c r="M1340" s="91"/>
      <c r="N1340" s="96" t="b">
        <v>0</v>
      </c>
      <c r="O1340" s="96" t="b">
        <v>0</v>
      </c>
      <c r="P1340" s="92"/>
      <c r="Q1340" s="92"/>
      <c r="R1340" s="92"/>
      <c r="S1340" s="92"/>
      <c r="T1340" s="92"/>
      <c r="U1340" s="92"/>
      <c r="V1340" s="92"/>
      <c r="W1340" s="92"/>
      <c r="X1340" s="92"/>
      <c r="Y1340" s="92"/>
      <c r="Z1340" s="92"/>
      <c r="AA1340" s="92"/>
      <c r="AB1340" s="92"/>
      <c r="AC1340" s="92"/>
      <c r="AD1340" s="92"/>
      <c r="AE1340" s="92"/>
      <c r="AF1340" s="92"/>
      <c r="AG1340" s="92"/>
    </row>
    <row r="1341" hidden="1">
      <c r="A1341" s="86"/>
      <c r="B1341" s="25"/>
      <c r="C1341" s="80" t="s">
        <v>78</v>
      </c>
      <c r="D1341" s="97" t="s">
        <v>79</v>
      </c>
      <c r="E1341" s="183" t="s">
        <v>2511</v>
      </c>
      <c r="F1341" s="183" t="s">
        <v>2512</v>
      </c>
      <c r="G1341" s="99">
        <v>0.4583333333333333</v>
      </c>
      <c r="H1341" s="98" t="s">
        <v>439</v>
      </c>
      <c r="I1341" s="98" t="s">
        <v>2743</v>
      </c>
      <c r="J1341" s="98" t="s">
        <v>2515</v>
      </c>
      <c r="K1341" s="91"/>
      <c r="L1341" s="91"/>
      <c r="M1341" s="91"/>
      <c r="N1341" s="96" t="b">
        <v>0</v>
      </c>
      <c r="O1341" s="96" t="b">
        <v>0</v>
      </c>
      <c r="P1341" s="92"/>
      <c r="Q1341" s="92"/>
      <c r="R1341" s="92"/>
      <c r="S1341" s="92"/>
      <c r="T1341" s="92"/>
      <c r="U1341" s="92"/>
      <c r="V1341" s="92"/>
      <c r="W1341" s="92"/>
      <c r="X1341" s="92"/>
      <c r="Y1341" s="92"/>
      <c r="Z1341" s="92"/>
      <c r="AA1341" s="92"/>
      <c r="AB1341" s="92"/>
      <c r="AC1341" s="92"/>
      <c r="AD1341" s="92"/>
      <c r="AE1341" s="92"/>
      <c r="AF1341" s="92"/>
      <c r="AG1341" s="92"/>
    </row>
    <row r="1342" hidden="1">
      <c r="A1342" s="86"/>
      <c r="B1342" s="25"/>
      <c r="C1342" s="80" t="s">
        <v>78</v>
      </c>
      <c r="D1342" s="97" t="s">
        <v>2744</v>
      </c>
      <c r="E1342" s="183" t="s">
        <v>2745</v>
      </c>
      <c r="F1342" s="183" t="s">
        <v>2746</v>
      </c>
      <c r="G1342" s="41" t="s">
        <v>2120</v>
      </c>
      <c r="H1342" s="98" t="s">
        <v>439</v>
      </c>
      <c r="I1342" s="98" t="s">
        <v>2747</v>
      </c>
      <c r="J1342" s="98" t="s">
        <v>2748</v>
      </c>
      <c r="K1342" s="91"/>
      <c r="L1342" s="91"/>
      <c r="M1342" s="91"/>
      <c r="N1342" s="96" t="b">
        <v>0</v>
      </c>
      <c r="O1342" s="96" t="b">
        <v>0</v>
      </c>
      <c r="P1342" s="92"/>
      <c r="Q1342" s="92"/>
      <c r="R1342" s="92"/>
      <c r="S1342" s="92"/>
      <c r="T1342" s="92"/>
      <c r="U1342" s="92"/>
      <c r="V1342" s="92"/>
      <c r="W1342" s="92"/>
      <c r="X1342" s="92"/>
      <c r="Y1342" s="92"/>
      <c r="Z1342" s="92"/>
      <c r="AA1342" s="92"/>
      <c r="AB1342" s="92"/>
      <c r="AC1342" s="92"/>
      <c r="AD1342" s="92"/>
      <c r="AE1342" s="92"/>
      <c r="AF1342" s="92"/>
      <c r="AG1342" s="92"/>
    </row>
    <row r="1343" hidden="1">
      <c r="A1343" s="86"/>
      <c r="B1343" s="25"/>
      <c r="C1343" s="80" t="s">
        <v>78</v>
      </c>
      <c r="D1343" s="97" t="s">
        <v>79</v>
      </c>
      <c r="E1343" s="186" t="s">
        <v>842</v>
      </c>
      <c r="F1343" s="186" t="s">
        <v>843</v>
      </c>
      <c r="G1343" s="99">
        <v>0.5833333333333334</v>
      </c>
      <c r="H1343" s="98" t="s">
        <v>755</v>
      </c>
      <c r="I1343" s="98" t="s">
        <v>844</v>
      </c>
      <c r="J1343" s="186" t="s">
        <v>845</v>
      </c>
      <c r="K1343" s="91"/>
      <c r="L1343" s="91"/>
      <c r="M1343" s="91"/>
      <c r="N1343" s="96" t="b">
        <v>0</v>
      </c>
      <c r="O1343" s="96" t="b">
        <v>0</v>
      </c>
      <c r="P1343" s="92"/>
      <c r="Q1343" s="92"/>
      <c r="R1343" s="92"/>
      <c r="S1343" s="92"/>
      <c r="T1343" s="92"/>
      <c r="U1343" s="92"/>
      <c r="V1343" s="92"/>
      <c r="W1343" s="92"/>
      <c r="X1343" s="92"/>
      <c r="Y1343" s="92"/>
      <c r="Z1343" s="92"/>
      <c r="AA1343" s="92"/>
      <c r="AB1343" s="92"/>
      <c r="AC1343" s="92"/>
      <c r="AD1343" s="92"/>
      <c r="AE1343" s="92"/>
      <c r="AF1343" s="92"/>
      <c r="AG1343" s="92"/>
    </row>
    <row r="1344" hidden="1">
      <c r="A1344" s="86"/>
      <c r="B1344" s="39"/>
      <c r="C1344" s="80" t="s">
        <v>78</v>
      </c>
      <c r="D1344" s="97"/>
      <c r="E1344" s="98"/>
      <c r="F1344" s="98"/>
      <c r="G1344" s="41"/>
      <c r="H1344" s="98"/>
      <c r="I1344" s="98"/>
      <c r="J1344" s="98"/>
      <c r="K1344" s="91"/>
      <c r="L1344" s="91"/>
      <c r="M1344" s="91"/>
      <c r="N1344" s="96" t="b">
        <v>0</v>
      </c>
      <c r="O1344" s="96" t="b">
        <v>0</v>
      </c>
      <c r="P1344" s="92"/>
      <c r="Q1344" s="92"/>
      <c r="R1344" s="92"/>
      <c r="S1344" s="92"/>
      <c r="T1344" s="92"/>
      <c r="U1344" s="92"/>
      <c r="V1344" s="92"/>
      <c r="W1344" s="92"/>
      <c r="X1344" s="92"/>
      <c r="Y1344" s="92"/>
      <c r="Z1344" s="92"/>
      <c r="AA1344" s="92"/>
      <c r="AB1344" s="92"/>
      <c r="AC1344" s="92"/>
      <c r="AD1344" s="92"/>
      <c r="AE1344" s="92"/>
      <c r="AF1344" s="92"/>
      <c r="AG1344" s="92"/>
    </row>
    <row r="1345" hidden="1">
      <c r="A1345" s="86"/>
      <c r="B1345" s="18" t="s">
        <v>1971</v>
      </c>
      <c r="C1345" s="80"/>
      <c r="D1345" s="97"/>
      <c r="E1345" s="98"/>
      <c r="F1345" s="98"/>
      <c r="G1345" s="41"/>
      <c r="H1345" s="98"/>
      <c r="I1345" s="98"/>
      <c r="J1345" s="98"/>
      <c r="K1345" s="91"/>
      <c r="L1345" s="91"/>
      <c r="M1345" s="91"/>
      <c r="N1345" s="96" t="b">
        <v>0</v>
      </c>
      <c r="O1345" s="96" t="b">
        <v>0</v>
      </c>
      <c r="P1345" s="92"/>
      <c r="Q1345" s="92"/>
      <c r="R1345" s="92"/>
      <c r="S1345" s="92"/>
      <c r="T1345" s="92"/>
      <c r="U1345" s="92"/>
      <c r="V1345" s="92"/>
      <c r="W1345" s="92"/>
      <c r="X1345" s="92"/>
      <c r="Y1345" s="92"/>
      <c r="Z1345" s="92"/>
      <c r="AA1345" s="92"/>
      <c r="AB1345" s="92"/>
      <c r="AC1345" s="92"/>
      <c r="AD1345" s="92"/>
      <c r="AE1345" s="92"/>
      <c r="AF1345" s="92"/>
      <c r="AG1345" s="92"/>
    </row>
    <row r="1346" hidden="1">
      <c r="A1346" s="86"/>
      <c r="B1346" s="25"/>
      <c r="C1346" s="80" t="s">
        <v>78</v>
      </c>
      <c r="D1346" s="97"/>
      <c r="E1346" s="258"/>
      <c r="F1346" s="98"/>
      <c r="G1346" s="99"/>
      <c r="H1346" s="98"/>
      <c r="I1346" s="98"/>
      <c r="J1346" s="98"/>
      <c r="K1346" s="91"/>
      <c r="L1346" s="91"/>
      <c r="M1346" s="91"/>
      <c r="N1346" s="96" t="b">
        <v>0</v>
      </c>
      <c r="O1346" s="96" t="b">
        <v>0</v>
      </c>
      <c r="P1346" s="92"/>
      <c r="Q1346" s="92"/>
      <c r="R1346" s="92"/>
      <c r="S1346" s="92"/>
      <c r="T1346" s="92"/>
      <c r="U1346" s="92"/>
      <c r="V1346" s="92"/>
      <c r="W1346" s="92"/>
      <c r="X1346" s="92"/>
      <c r="Y1346" s="92"/>
      <c r="Z1346" s="92"/>
      <c r="AA1346" s="92"/>
      <c r="AB1346" s="92"/>
      <c r="AC1346" s="92"/>
      <c r="AD1346" s="92"/>
      <c r="AE1346" s="92"/>
      <c r="AF1346" s="92"/>
      <c r="AG1346" s="92"/>
    </row>
    <row r="1347" hidden="1">
      <c r="A1347" s="86"/>
      <c r="B1347" s="25"/>
      <c r="C1347" s="78" t="s">
        <v>78</v>
      </c>
      <c r="D1347" s="97" t="s">
        <v>2744</v>
      </c>
      <c r="E1347" s="183" t="s">
        <v>2749</v>
      </c>
      <c r="F1347" s="183" t="s">
        <v>2750</v>
      </c>
      <c r="G1347" s="41" t="s">
        <v>417</v>
      </c>
      <c r="H1347" s="98" t="s">
        <v>424</v>
      </c>
      <c r="I1347" s="98" t="s">
        <v>2751</v>
      </c>
      <c r="J1347" s="98" t="s">
        <v>2752</v>
      </c>
      <c r="K1347" s="91"/>
      <c r="L1347" s="91"/>
      <c r="M1347" s="91"/>
      <c r="N1347" s="96" t="b">
        <v>0</v>
      </c>
      <c r="O1347" s="96" t="b">
        <v>0</v>
      </c>
      <c r="P1347" s="92"/>
      <c r="Q1347" s="92"/>
      <c r="R1347" s="92"/>
      <c r="S1347" s="92"/>
      <c r="T1347" s="92"/>
      <c r="U1347" s="92"/>
      <c r="V1347" s="92"/>
      <c r="W1347" s="92"/>
      <c r="X1347" s="92"/>
      <c r="Y1347" s="92"/>
      <c r="Z1347" s="92"/>
      <c r="AA1347" s="92"/>
      <c r="AB1347" s="92"/>
      <c r="AC1347" s="92"/>
      <c r="AD1347" s="92"/>
      <c r="AE1347" s="92"/>
      <c r="AF1347" s="92"/>
      <c r="AG1347" s="92"/>
    </row>
    <row r="1348" hidden="1">
      <c r="A1348" s="86"/>
      <c r="B1348" s="25"/>
      <c r="C1348" s="80" t="s">
        <v>78</v>
      </c>
      <c r="D1348" s="97" t="s">
        <v>2744</v>
      </c>
      <c r="E1348" s="183" t="s">
        <v>2753</v>
      </c>
      <c r="F1348" s="183" t="s">
        <v>2754</v>
      </c>
      <c r="G1348" s="41" t="s">
        <v>449</v>
      </c>
      <c r="H1348" s="98" t="s">
        <v>349</v>
      </c>
      <c r="I1348" s="98" t="s">
        <v>2755</v>
      </c>
      <c r="J1348" s="98" t="s">
        <v>779</v>
      </c>
      <c r="K1348" s="91"/>
      <c r="L1348" s="91"/>
      <c r="M1348" s="91"/>
      <c r="N1348" s="96" t="b">
        <v>0</v>
      </c>
      <c r="O1348" s="96" t="b">
        <v>0</v>
      </c>
      <c r="P1348" s="92"/>
      <c r="Q1348" s="92"/>
      <c r="R1348" s="92"/>
      <c r="S1348" s="92"/>
      <c r="T1348" s="92"/>
      <c r="U1348" s="92"/>
      <c r="V1348" s="92"/>
      <c r="W1348" s="92"/>
      <c r="X1348" s="92"/>
      <c r="Y1348" s="92"/>
      <c r="Z1348" s="92"/>
      <c r="AA1348" s="92"/>
      <c r="AB1348" s="92"/>
      <c r="AC1348" s="92"/>
      <c r="AD1348" s="92"/>
      <c r="AE1348" s="92"/>
      <c r="AF1348" s="92"/>
      <c r="AG1348" s="92"/>
    </row>
    <row r="1349" hidden="1">
      <c r="A1349" s="86"/>
      <c r="B1349" s="25"/>
      <c r="C1349" s="80" t="s">
        <v>78</v>
      </c>
      <c r="D1349" s="97" t="s">
        <v>79</v>
      </c>
      <c r="E1349" s="183" t="s">
        <v>1992</v>
      </c>
      <c r="F1349" s="183" t="s">
        <v>1993</v>
      </c>
      <c r="G1349" s="41" t="s">
        <v>180</v>
      </c>
      <c r="H1349" s="98" t="s">
        <v>1118</v>
      </c>
      <c r="I1349" s="98" t="s">
        <v>2756</v>
      </c>
      <c r="J1349" s="98" t="s">
        <v>1995</v>
      </c>
      <c r="K1349" s="91"/>
      <c r="L1349" s="91"/>
      <c r="M1349" s="91"/>
      <c r="N1349" s="96" t="b">
        <v>0</v>
      </c>
      <c r="O1349" s="96" t="b">
        <v>0</v>
      </c>
      <c r="P1349" s="92"/>
      <c r="Q1349" s="92"/>
      <c r="R1349" s="92"/>
      <c r="S1349" s="92"/>
      <c r="T1349" s="92"/>
      <c r="U1349" s="92"/>
      <c r="V1349" s="92"/>
      <c r="W1349" s="92"/>
      <c r="X1349" s="92"/>
      <c r="Y1349" s="92"/>
      <c r="Z1349" s="92"/>
      <c r="AA1349" s="92"/>
      <c r="AB1349" s="92"/>
      <c r="AC1349" s="92"/>
      <c r="AD1349" s="92"/>
      <c r="AE1349" s="92"/>
      <c r="AF1349" s="92"/>
      <c r="AG1349" s="92"/>
    </row>
    <row r="1350" hidden="1">
      <c r="A1350" s="86"/>
      <c r="B1350" s="39"/>
      <c r="C1350" s="80" t="s">
        <v>78</v>
      </c>
      <c r="D1350" s="97" t="s">
        <v>79</v>
      </c>
      <c r="E1350" s="183" t="s">
        <v>2757</v>
      </c>
      <c r="F1350" s="183" t="s">
        <v>2758</v>
      </c>
      <c r="G1350" s="99">
        <v>0.7708333333333334</v>
      </c>
      <c r="H1350" s="98" t="s">
        <v>258</v>
      </c>
      <c r="I1350" s="98" t="s">
        <v>2759</v>
      </c>
      <c r="J1350" s="183" t="s">
        <v>2760</v>
      </c>
      <c r="K1350" s="91"/>
      <c r="L1350" s="91"/>
      <c r="M1350" s="91"/>
      <c r="N1350" s="96" t="b">
        <v>0</v>
      </c>
      <c r="O1350" s="96" t="b">
        <v>0</v>
      </c>
      <c r="P1350" s="92"/>
      <c r="Q1350" s="92"/>
      <c r="R1350" s="92"/>
      <c r="S1350" s="92"/>
      <c r="T1350" s="92"/>
      <c r="U1350" s="92"/>
      <c r="V1350" s="92"/>
      <c r="W1350" s="92"/>
      <c r="X1350" s="92"/>
      <c r="Y1350" s="92"/>
      <c r="Z1350" s="92"/>
      <c r="AA1350" s="92"/>
      <c r="AB1350" s="92"/>
      <c r="AC1350" s="92"/>
      <c r="AD1350" s="92"/>
      <c r="AE1350" s="92"/>
      <c r="AF1350" s="92"/>
      <c r="AG1350" s="92"/>
    </row>
    <row r="1351" hidden="1">
      <c r="A1351" s="86"/>
      <c r="B1351" s="166"/>
      <c r="C1351" s="88">
        <v>44475.0</v>
      </c>
      <c r="D1351" s="97"/>
      <c r="E1351" s="259"/>
      <c r="F1351" s="259"/>
      <c r="G1351" s="259"/>
      <c r="H1351" s="98"/>
      <c r="I1351" s="98"/>
      <c r="J1351" s="98"/>
      <c r="K1351" s="91"/>
      <c r="L1351" s="91"/>
      <c r="M1351" s="91"/>
      <c r="N1351" s="96" t="b">
        <v>0</v>
      </c>
      <c r="O1351" s="96" t="b">
        <v>0</v>
      </c>
      <c r="P1351" s="92"/>
      <c r="Q1351" s="92"/>
      <c r="R1351" s="92"/>
      <c r="S1351" s="92"/>
      <c r="T1351" s="92"/>
      <c r="U1351" s="92"/>
      <c r="V1351" s="92"/>
      <c r="W1351" s="92"/>
      <c r="X1351" s="92"/>
      <c r="Y1351" s="92"/>
      <c r="Z1351" s="92"/>
      <c r="AA1351" s="92"/>
      <c r="AB1351" s="92"/>
      <c r="AC1351" s="92"/>
      <c r="AD1351" s="92"/>
      <c r="AE1351" s="92"/>
      <c r="AF1351" s="92"/>
      <c r="AG1351" s="92"/>
    </row>
    <row r="1352" hidden="1">
      <c r="A1352" s="86"/>
      <c r="B1352" s="18" t="s">
        <v>1668</v>
      </c>
      <c r="C1352" s="234"/>
      <c r="D1352" s="97"/>
      <c r="E1352" s="260"/>
      <c r="F1352" s="260"/>
      <c r="G1352" s="260"/>
      <c r="H1352" s="98"/>
      <c r="I1352" s="98"/>
      <c r="J1352" s="98"/>
      <c r="K1352" s="91"/>
      <c r="L1352" s="91"/>
      <c r="M1352" s="91"/>
      <c r="N1352" s="96" t="b">
        <v>0</v>
      </c>
      <c r="O1352" s="96" t="b">
        <v>0</v>
      </c>
      <c r="P1352" s="92"/>
      <c r="Q1352" s="92"/>
      <c r="R1352" s="92"/>
      <c r="S1352" s="92"/>
      <c r="T1352" s="92"/>
      <c r="U1352" s="92"/>
      <c r="V1352" s="92"/>
      <c r="W1352" s="92"/>
      <c r="X1352" s="92"/>
      <c r="Y1352" s="92"/>
      <c r="Z1352" s="92"/>
      <c r="AA1352" s="92"/>
      <c r="AB1352" s="92"/>
      <c r="AC1352" s="92"/>
      <c r="AD1352" s="92"/>
      <c r="AE1352" s="92"/>
      <c r="AF1352" s="92"/>
      <c r="AG1352" s="92"/>
    </row>
    <row r="1353" hidden="1">
      <c r="A1353" s="86"/>
      <c r="B1353" s="25"/>
      <c r="C1353" s="78" t="s">
        <v>78</v>
      </c>
      <c r="D1353" s="97"/>
      <c r="E1353" s="260"/>
      <c r="F1353" s="260" t="s">
        <v>77</v>
      </c>
      <c r="G1353" s="260"/>
      <c r="H1353" s="98"/>
      <c r="I1353" s="98"/>
      <c r="J1353" s="98"/>
      <c r="K1353" s="91"/>
      <c r="L1353" s="91"/>
      <c r="M1353" s="91"/>
      <c r="N1353" s="96" t="b">
        <v>0</v>
      </c>
      <c r="O1353" s="96" t="b">
        <v>0</v>
      </c>
      <c r="P1353" s="92"/>
      <c r="Q1353" s="92"/>
      <c r="R1353" s="92"/>
      <c r="S1353" s="92"/>
      <c r="T1353" s="92"/>
      <c r="U1353" s="92"/>
      <c r="V1353" s="92"/>
      <c r="W1353" s="92"/>
      <c r="X1353" s="92"/>
      <c r="Y1353" s="92"/>
      <c r="Z1353" s="92"/>
      <c r="AA1353" s="92"/>
      <c r="AB1353" s="92"/>
      <c r="AC1353" s="92"/>
      <c r="AD1353" s="92"/>
      <c r="AE1353" s="92"/>
      <c r="AF1353" s="92"/>
      <c r="AG1353" s="92"/>
    </row>
    <row r="1354" hidden="1">
      <c r="A1354" s="86"/>
      <c r="B1354" s="25"/>
      <c r="C1354" s="80" t="s">
        <v>78</v>
      </c>
      <c r="D1354" s="97"/>
      <c r="E1354" s="260"/>
      <c r="F1354" s="260"/>
      <c r="G1354" s="260"/>
      <c r="H1354" s="98"/>
      <c r="I1354" s="98"/>
      <c r="J1354" s="98"/>
      <c r="K1354" s="91"/>
      <c r="L1354" s="91"/>
      <c r="M1354" s="91"/>
      <c r="N1354" s="96" t="b">
        <v>0</v>
      </c>
      <c r="O1354" s="96" t="b">
        <v>0</v>
      </c>
      <c r="P1354" s="92"/>
      <c r="Q1354" s="92"/>
      <c r="R1354" s="92"/>
      <c r="S1354" s="92"/>
      <c r="T1354" s="92"/>
      <c r="U1354" s="92"/>
      <c r="V1354" s="92"/>
      <c r="W1354" s="92"/>
      <c r="X1354" s="92"/>
      <c r="Y1354" s="92"/>
      <c r="Z1354" s="92"/>
      <c r="AA1354" s="92"/>
      <c r="AB1354" s="92"/>
      <c r="AC1354" s="92"/>
      <c r="AD1354" s="92"/>
      <c r="AE1354" s="92"/>
      <c r="AF1354" s="92"/>
      <c r="AG1354" s="92"/>
    </row>
    <row r="1355" hidden="1">
      <c r="A1355" s="86"/>
      <c r="B1355" s="25"/>
      <c r="C1355" s="80" t="s">
        <v>78</v>
      </c>
      <c r="D1355" s="97"/>
      <c r="E1355" s="260"/>
      <c r="F1355" s="260"/>
      <c r="G1355" s="260"/>
      <c r="H1355" s="98"/>
      <c r="I1355" s="98"/>
      <c r="J1355" s="98"/>
      <c r="K1355" s="91"/>
      <c r="L1355" s="91"/>
      <c r="M1355" s="91"/>
      <c r="N1355" s="96" t="b">
        <v>0</v>
      </c>
      <c r="O1355" s="96" t="b">
        <v>0</v>
      </c>
      <c r="P1355" s="92"/>
      <c r="Q1355" s="92"/>
      <c r="R1355" s="92"/>
      <c r="S1355" s="92"/>
      <c r="T1355" s="92"/>
      <c r="U1355" s="92"/>
      <c r="V1355" s="92"/>
      <c r="W1355" s="92"/>
      <c r="X1355" s="92"/>
      <c r="Y1355" s="92"/>
      <c r="Z1355" s="92"/>
      <c r="AA1355" s="92"/>
      <c r="AB1355" s="92"/>
      <c r="AC1355" s="92"/>
      <c r="AD1355" s="92"/>
      <c r="AE1355" s="92"/>
      <c r="AF1355" s="92"/>
      <c r="AG1355" s="92"/>
    </row>
    <row r="1356" hidden="1">
      <c r="A1356" s="86"/>
      <c r="B1356" s="25"/>
      <c r="C1356" s="80" t="s">
        <v>78</v>
      </c>
      <c r="D1356" s="97"/>
      <c r="E1356" s="98"/>
      <c r="F1356" s="98"/>
      <c r="G1356" s="41"/>
      <c r="H1356" s="98"/>
      <c r="I1356" s="98"/>
      <c r="J1356" s="98"/>
      <c r="K1356" s="91"/>
      <c r="L1356" s="91"/>
      <c r="M1356" s="91"/>
      <c r="N1356" s="96" t="b">
        <v>0</v>
      </c>
      <c r="O1356" s="96" t="b">
        <v>0</v>
      </c>
      <c r="P1356" s="92"/>
      <c r="Q1356" s="92"/>
      <c r="R1356" s="92"/>
      <c r="S1356" s="92"/>
      <c r="T1356" s="92"/>
      <c r="U1356" s="92"/>
      <c r="V1356" s="92"/>
      <c r="W1356" s="92"/>
      <c r="X1356" s="92"/>
      <c r="Y1356" s="92"/>
      <c r="Z1356" s="92"/>
      <c r="AA1356" s="92"/>
      <c r="AB1356" s="92"/>
      <c r="AC1356" s="92"/>
      <c r="AD1356" s="92"/>
      <c r="AE1356" s="92"/>
      <c r="AF1356" s="92"/>
      <c r="AG1356" s="92"/>
    </row>
    <row r="1357" hidden="1">
      <c r="A1357" s="86"/>
      <c r="B1357" s="39"/>
      <c r="C1357" s="80" t="s">
        <v>78</v>
      </c>
      <c r="D1357" s="97" t="s">
        <v>2744</v>
      </c>
      <c r="E1357" s="183" t="s">
        <v>2761</v>
      </c>
      <c r="F1357" s="183" t="s">
        <v>2762</v>
      </c>
      <c r="G1357" s="41" t="s">
        <v>880</v>
      </c>
      <c r="H1357" s="183" t="s">
        <v>2763</v>
      </c>
      <c r="I1357" s="183" t="s">
        <v>2764</v>
      </c>
      <c r="J1357" s="183" t="s">
        <v>2765</v>
      </c>
      <c r="K1357" s="183"/>
      <c r="L1357" s="91"/>
      <c r="M1357" s="91"/>
      <c r="N1357" s="96" t="b">
        <v>0</v>
      </c>
      <c r="O1357" s="96" t="b">
        <v>0</v>
      </c>
      <c r="P1357" s="92"/>
      <c r="Q1357" s="92"/>
      <c r="R1357" s="92"/>
      <c r="S1357" s="92"/>
      <c r="T1357" s="92"/>
      <c r="U1357" s="92"/>
      <c r="V1357" s="92"/>
      <c r="W1357" s="92"/>
      <c r="X1357" s="92"/>
      <c r="Y1357" s="92"/>
      <c r="Z1357" s="92"/>
      <c r="AA1357" s="92"/>
      <c r="AB1357" s="92"/>
      <c r="AC1357" s="92"/>
      <c r="AD1357" s="92"/>
      <c r="AE1357" s="92"/>
      <c r="AF1357" s="92"/>
      <c r="AG1357" s="92"/>
    </row>
    <row r="1358" hidden="1">
      <c r="A1358" s="86"/>
      <c r="B1358" s="18" t="s">
        <v>1971</v>
      </c>
      <c r="C1358" s="80"/>
      <c r="D1358" s="97" t="s">
        <v>2744</v>
      </c>
      <c r="E1358" s="183" t="s">
        <v>2766</v>
      </c>
      <c r="F1358" s="183" t="s">
        <v>2767</v>
      </c>
      <c r="G1358" s="41" t="s">
        <v>880</v>
      </c>
      <c r="H1358" s="183" t="s">
        <v>2768</v>
      </c>
      <c r="I1358" s="183" t="s">
        <v>2769</v>
      </c>
      <c r="J1358" s="183" t="s">
        <v>2770</v>
      </c>
      <c r="K1358" s="183"/>
      <c r="L1358" s="91"/>
      <c r="M1358" s="91"/>
      <c r="N1358" s="96" t="b">
        <v>0</v>
      </c>
      <c r="O1358" s="96" t="b">
        <v>0</v>
      </c>
      <c r="P1358" s="92"/>
      <c r="Q1358" s="92"/>
      <c r="R1358" s="92"/>
      <c r="S1358" s="92"/>
      <c r="T1358" s="92"/>
      <c r="U1358" s="92"/>
      <c r="V1358" s="92"/>
      <c r="W1358" s="92"/>
      <c r="X1358" s="92"/>
      <c r="Y1358" s="92"/>
      <c r="Z1358" s="92"/>
      <c r="AA1358" s="92"/>
      <c r="AB1358" s="92"/>
      <c r="AC1358" s="92"/>
      <c r="AD1358" s="92"/>
      <c r="AE1358" s="92"/>
      <c r="AF1358" s="92"/>
      <c r="AG1358" s="92"/>
    </row>
    <row r="1359" hidden="1">
      <c r="A1359" s="86"/>
      <c r="B1359" s="25"/>
      <c r="C1359" s="80" t="s">
        <v>78</v>
      </c>
      <c r="D1359" s="97" t="s">
        <v>79</v>
      </c>
      <c r="E1359" s="183" t="s">
        <v>2771</v>
      </c>
      <c r="F1359" s="183" t="s">
        <v>2772</v>
      </c>
      <c r="G1359" s="99">
        <v>0.5</v>
      </c>
      <c r="H1359" s="98" t="s">
        <v>635</v>
      </c>
      <c r="I1359" s="98" t="s">
        <v>2773</v>
      </c>
      <c r="J1359" s="98" t="s">
        <v>2774</v>
      </c>
      <c r="K1359" s="91"/>
      <c r="L1359" s="91"/>
      <c r="M1359" s="91"/>
      <c r="N1359" s="96" t="b">
        <v>0</v>
      </c>
      <c r="O1359" s="96" t="b">
        <v>0</v>
      </c>
      <c r="P1359" s="92"/>
      <c r="Q1359" s="92"/>
      <c r="R1359" s="92"/>
      <c r="S1359" s="92"/>
      <c r="T1359" s="92"/>
      <c r="U1359" s="92"/>
      <c r="V1359" s="92"/>
      <c r="W1359" s="92"/>
      <c r="X1359" s="92"/>
      <c r="Y1359" s="92"/>
      <c r="Z1359" s="92"/>
      <c r="AA1359" s="92"/>
      <c r="AB1359" s="92"/>
      <c r="AC1359" s="92"/>
      <c r="AD1359" s="92"/>
      <c r="AE1359" s="92"/>
      <c r="AF1359" s="92"/>
      <c r="AG1359" s="92"/>
    </row>
    <row r="1360" hidden="1">
      <c r="A1360" s="86"/>
      <c r="B1360" s="25"/>
      <c r="C1360" s="78" t="s">
        <v>78</v>
      </c>
      <c r="D1360" s="97" t="s">
        <v>2744</v>
      </c>
      <c r="E1360" s="183" t="s">
        <v>1221</v>
      </c>
      <c r="F1360" s="183" t="s">
        <v>1222</v>
      </c>
      <c r="G1360" s="41" t="s">
        <v>449</v>
      </c>
      <c r="H1360" s="183" t="s">
        <v>568</v>
      </c>
      <c r="I1360" s="183" t="s">
        <v>2775</v>
      </c>
      <c r="J1360" s="98" t="s">
        <v>1224</v>
      </c>
      <c r="K1360" s="91"/>
      <c r="L1360" s="91"/>
      <c r="M1360" s="91"/>
      <c r="N1360" s="96" t="b">
        <v>0</v>
      </c>
      <c r="O1360" s="96" t="b">
        <v>0</v>
      </c>
      <c r="P1360" s="92"/>
      <c r="Q1360" s="92"/>
      <c r="R1360" s="92"/>
      <c r="S1360" s="92"/>
      <c r="T1360" s="92"/>
      <c r="U1360" s="92"/>
      <c r="V1360" s="92"/>
      <c r="W1360" s="92"/>
      <c r="X1360" s="92"/>
      <c r="Y1360" s="92"/>
      <c r="Z1360" s="92"/>
      <c r="AA1360" s="92"/>
      <c r="AB1360" s="92"/>
      <c r="AC1360" s="92"/>
      <c r="AD1360" s="92"/>
      <c r="AE1360" s="92"/>
      <c r="AF1360" s="92"/>
      <c r="AG1360" s="92"/>
    </row>
    <row r="1361" hidden="1">
      <c r="A1361" s="86"/>
      <c r="B1361" s="25"/>
      <c r="C1361" s="80" t="s">
        <v>78</v>
      </c>
      <c r="D1361" s="97" t="s">
        <v>79</v>
      </c>
      <c r="E1361" s="183" t="s">
        <v>2776</v>
      </c>
      <c r="F1361" s="183" t="s">
        <v>2777</v>
      </c>
      <c r="G1361" s="188">
        <v>0.6666666666666666</v>
      </c>
      <c r="H1361" s="189" t="s">
        <v>2778</v>
      </c>
      <c r="I1361" s="189" t="s">
        <v>2779</v>
      </c>
      <c r="J1361" s="189" t="s">
        <v>2780</v>
      </c>
      <c r="K1361" s="91"/>
      <c r="L1361" s="91"/>
      <c r="M1361" s="91"/>
      <c r="N1361" s="96" t="b">
        <v>0</v>
      </c>
      <c r="O1361" s="96" t="b">
        <v>0</v>
      </c>
      <c r="P1361" s="92"/>
      <c r="Q1361" s="92"/>
      <c r="R1361" s="92"/>
      <c r="S1361" s="92"/>
      <c r="T1361" s="92"/>
      <c r="U1361" s="92"/>
      <c r="V1361" s="92"/>
      <c r="W1361" s="92"/>
      <c r="X1361" s="92"/>
      <c r="Y1361" s="92"/>
      <c r="Z1361" s="92"/>
      <c r="AA1361" s="92"/>
      <c r="AB1361" s="92"/>
      <c r="AC1361" s="92"/>
      <c r="AD1361" s="92"/>
      <c r="AE1361" s="92"/>
      <c r="AF1361" s="92"/>
      <c r="AG1361" s="92"/>
    </row>
    <row r="1362" hidden="1">
      <c r="A1362" s="86"/>
      <c r="B1362" s="25"/>
      <c r="C1362" s="80" t="s">
        <v>78</v>
      </c>
      <c r="D1362" s="97" t="s">
        <v>79</v>
      </c>
      <c r="E1362" s="183" t="s">
        <v>2287</v>
      </c>
      <c r="F1362" s="183" t="s">
        <v>2288</v>
      </c>
      <c r="G1362" s="99">
        <v>0.7291666666666666</v>
      </c>
      <c r="H1362" s="98" t="s">
        <v>755</v>
      </c>
      <c r="I1362" s="98" t="s">
        <v>2781</v>
      </c>
      <c r="J1362" s="98" t="s">
        <v>2290</v>
      </c>
      <c r="K1362" s="91"/>
      <c r="L1362" s="91"/>
      <c r="M1362" s="91"/>
      <c r="N1362" s="96" t="b">
        <v>0</v>
      </c>
      <c r="O1362" s="96" t="b">
        <v>0</v>
      </c>
      <c r="P1362" s="92"/>
      <c r="Q1362" s="92"/>
      <c r="R1362" s="92"/>
      <c r="S1362" s="92"/>
      <c r="T1362" s="92"/>
      <c r="U1362" s="92"/>
      <c r="V1362" s="92"/>
      <c r="W1362" s="92"/>
      <c r="X1362" s="92"/>
      <c r="Y1362" s="92"/>
      <c r="Z1362" s="92"/>
      <c r="AA1362" s="92"/>
      <c r="AB1362" s="92"/>
      <c r="AC1362" s="92"/>
      <c r="AD1362" s="92"/>
      <c r="AE1362" s="92"/>
      <c r="AF1362" s="92"/>
      <c r="AG1362" s="92"/>
    </row>
    <row r="1363" hidden="1">
      <c r="A1363" s="86"/>
      <c r="B1363" s="39"/>
      <c r="C1363" s="80" t="s">
        <v>78</v>
      </c>
      <c r="D1363" s="97"/>
      <c r="E1363" s="98"/>
      <c r="F1363" s="98"/>
      <c r="G1363" s="41"/>
      <c r="H1363" s="98"/>
      <c r="I1363" s="98"/>
      <c r="J1363" s="98"/>
      <c r="K1363" s="91"/>
      <c r="L1363" s="91"/>
      <c r="M1363" s="91"/>
      <c r="N1363" s="96" t="b">
        <v>0</v>
      </c>
      <c r="O1363" s="96" t="b">
        <v>0</v>
      </c>
      <c r="P1363" s="92"/>
      <c r="Q1363" s="92"/>
      <c r="R1363" s="92"/>
      <c r="S1363" s="92"/>
      <c r="T1363" s="92"/>
      <c r="U1363" s="92"/>
      <c r="V1363" s="92"/>
      <c r="W1363" s="92"/>
      <c r="X1363" s="92"/>
      <c r="Y1363" s="92"/>
      <c r="Z1363" s="92"/>
      <c r="AA1363" s="92"/>
      <c r="AB1363" s="92"/>
      <c r="AC1363" s="92"/>
      <c r="AD1363" s="92"/>
      <c r="AE1363" s="92"/>
      <c r="AF1363" s="92"/>
      <c r="AG1363" s="92"/>
    </row>
    <row r="1364" hidden="1">
      <c r="A1364" s="86"/>
      <c r="B1364" s="166"/>
      <c r="C1364" s="88">
        <v>44476.0</v>
      </c>
      <c r="D1364" s="97"/>
      <c r="E1364" s="98"/>
      <c r="F1364" s="98"/>
      <c r="G1364" s="41"/>
      <c r="H1364" s="98"/>
      <c r="I1364" s="98"/>
      <c r="J1364" s="98"/>
      <c r="K1364" s="91"/>
      <c r="L1364" s="91"/>
      <c r="M1364" s="91"/>
      <c r="N1364" s="96" t="b">
        <v>0</v>
      </c>
      <c r="O1364" s="96" t="b">
        <v>0</v>
      </c>
      <c r="P1364" s="92"/>
      <c r="Q1364" s="92"/>
      <c r="R1364" s="92"/>
      <c r="S1364" s="92"/>
      <c r="T1364" s="92"/>
      <c r="U1364" s="92"/>
      <c r="V1364" s="92"/>
      <c r="W1364" s="92"/>
      <c r="X1364" s="92"/>
      <c r="Y1364" s="92"/>
      <c r="Z1364" s="92"/>
      <c r="AA1364" s="92"/>
      <c r="AB1364" s="92"/>
      <c r="AC1364" s="92"/>
      <c r="AD1364" s="92"/>
      <c r="AE1364" s="92"/>
      <c r="AF1364" s="92"/>
      <c r="AG1364" s="92"/>
    </row>
    <row r="1365" hidden="1">
      <c r="A1365" s="86"/>
      <c r="B1365" s="18" t="s">
        <v>1668</v>
      </c>
      <c r="C1365" s="234"/>
      <c r="D1365" s="97"/>
      <c r="E1365" s="98"/>
      <c r="F1365" s="98"/>
      <c r="G1365" s="41"/>
      <c r="H1365" s="98"/>
      <c r="I1365" s="98"/>
      <c r="J1365" s="98"/>
      <c r="K1365" s="91"/>
      <c r="L1365" s="91"/>
      <c r="M1365" s="91"/>
      <c r="N1365" s="96" t="b">
        <v>0</v>
      </c>
      <c r="O1365" s="96" t="b">
        <v>0</v>
      </c>
      <c r="P1365" s="92"/>
      <c r="Q1365" s="92"/>
      <c r="R1365" s="92"/>
      <c r="S1365" s="92"/>
      <c r="T1365" s="92"/>
      <c r="U1365" s="92"/>
      <c r="V1365" s="92"/>
      <c r="W1365" s="92"/>
      <c r="X1365" s="92"/>
      <c r="Y1365" s="92"/>
      <c r="Z1365" s="92"/>
      <c r="AA1365" s="92"/>
      <c r="AB1365" s="92"/>
      <c r="AC1365" s="92"/>
      <c r="AD1365" s="92"/>
      <c r="AE1365" s="92"/>
      <c r="AF1365" s="92"/>
      <c r="AG1365" s="92"/>
    </row>
    <row r="1366" hidden="1">
      <c r="A1366" s="86"/>
      <c r="B1366" s="25"/>
      <c r="C1366" s="78" t="s">
        <v>78</v>
      </c>
      <c r="D1366" s="97"/>
      <c r="E1366" s="98"/>
      <c r="F1366" s="98"/>
      <c r="G1366" s="99"/>
      <c r="H1366" s="98"/>
      <c r="I1366" s="98"/>
      <c r="J1366" s="98"/>
      <c r="K1366" s="91"/>
      <c r="L1366" s="91"/>
      <c r="M1366" s="91"/>
      <c r="N1366" s="96" t="b">
        <v>0</v>
      </c>
      <c r="O1366" s="96" t="b">
        <v>0</v>
      </c>
      <c r="P1366" s="92"/>
      <c r="Q1366" s="92"/>
      <c r="R1366" s="92"/>
      <c r="S1366" s="92"/>
      <c r="T1366" s="92"/>
      <c r="U1366" s="92"/>
      <c r="V1366" s="92"/>
      <c r="W1366" s="92"/>
      <c r="X1366" s="92"/>
      <c r="Y1366" s="92"/>
      <c r="Z1366" s="92"/>
      <c r="AA1366" s="92"/>
      <c r="AB1366" s="92"/>
      <c r="AC1366" s="92"/>
      <c r="AD1366" s="92"/>
      <c r="AE1366" s="92"/>
      <c r="AF1366" s="92"/>
      <c r="AG1366" s="92"/>
    </row>
    <row r="1367" hidden="1">
      <c r="A1367" s="86"/>
      <c r="B1367" s="25"/>
      <c r="C1367" s="80" t="s">
        <v>78</v>
      </c>
      <c r="D1367" s="97" t="s">
        <v>2192</v>
      </c>
      <c r="E1367" s="32" t="s">
        <v>2782</v>
      </c>
      <c r="F1367" s="32" t="s">
        <v>2783</v>
      </c>
      <c r="G1367" s="99">
        <v>0.5416666666666666</v>
      </c>
      <c r="H1367" s="32" t="s">
        <v>2784</v>
      </c>
      <c r="I1367" s="32" t="s">
        <v>2785</v>
      </c>
      <c r="J1367" s="32" t="s">
        <v>2786</v>
      </c>
      <c r="K1367" s="98" t="s">
        <v>2787</v>
      </c>
      <c r="L1367" s="91"/>
      <c r="M1367" s="91"/>
      <c r="N1367" s="96" t="b">
        <v>0</v>
      </c>
      <c r="O1367" s="96" t="b">
        <v>0</v>
      </c>
      <c r="P1367" s="92"/>
      <c r="Q1367" s="92"/>
      <c r="R1367" s="92"/>
      <c r="S1367" s="92"/>
      <c r="T1367" s="92"/>
      <c r="U1367" s="92"/>
      <c r="V1367" s="92"/>
      <c r="W1367" s="92"/>
      <c r="X1367" s="92"/>
      <c r="Y1367" s="92"/>
      <c r="Z1367" s="92"/>
      <c r="AA1367" s="92"/>
      <c r="AB1367" s="92"/>
      <c r="AC1367" s="92"/>
      <c r="AD1367" s="92"/>
      <c r="AE1367" s="92"/>
      <c r="AF1367" s="92"/>
      <c r="AG1367" s="92"/>
    </row>
    <row r="1368" hidden="1">
      <c r="A1368" s="86"/>
      <c r="B1368" s="25"/>
      <c r="C1368" s="80" t="s">
        <v>78</v>
      </c>
      <c r="D1368" s="97" t="s">
        <v>2192</v>
      </c>
      <c r="E1368" s="32" t="s">
        <v>1787</v>
      </c>
      <c r="F1368" s="32" t="s">
        <v>1788</v>
      </c>
      <c r="G1368" s="99">
        <v>0.625</v>
      </c>
      <c r="H1368" s="32" t="s">
        <v>1638</v>
      </c>
      <c r="I1368" s="32" t="s">
        <v>2788</v>
      </c>
      <c r="J1368" s="32" t="s">
        <v>1791</v>
      </c>
      <c r="K1368" s="98" t="s">
        <v>1679</v>
      </c>
      <c r="L1368" s="91"/>
      <c r="M1368" s="91"/>
      <c r="N1368" s="96" t="b">
        <v>0</v>
      </c>
      <c r="O1368" s="96" t="b">
        <v>0</v>
      </c>
      <c r="P1368" s="92"/>
      <c r="Q1368" s="92"/>
      <c r="R1368" s="92"/>
      <c r="S1368" s="92"/>
      <c r="T1368" s="92"/>
      <c r="U1368" s="92"/>
      <c r="V1368" s="92"/>
      <c r="W1368" s="92"/>
      <c r="X1368" s="92"/>
      <c r="Y1368" s="92"/>
      <c r="Z1368" s="92"/>
      <c r="AA1368" s="92"/>
      <c r="AB1368" s="92"/>
      <c r="AC1368" s="92"/>
      <c r="AD1368" s="92"/>
      <c r="AE1368" s="92"/>
      <c r="AF1368" s="92"/>
      <c r="AG1368" s="92"/>
    </row>
    <row r="1369" hidden="1">
      <c r="A1369" s="86"/>
      <c r="B1369" s="25"/>
      <c r="C1369" s="80" t="s">
        <v>78</v>
      </c>
      <c r="D1369" s="97" t="s">
        <v>2192</v>
      </c>
      <c r="E1369" s="32" t="s">
        <v>1647</v>
      </c>
      <c r="F1369" s="32" t="s">
        <v>1648</v>
      </c>
      <c r="G1369" s="99">
        <v>0.7083333333333334</v>
      </c>
      <c r="H1369" s="32" t="s">
        <v>1638</v>
      </c>
      <c r="I1369" s="32" t="s">
        <v>2789</v>
      </c>
      <c r="J1369" s="32" t="s">
        <v>1650</v>
      </c>
      <c r="K1369" s="91"/>
      <c r="L1369" s="91"/>
      <c r="M1369" s="91"/>
      <c r="N1369" s="96" t="b">
        <v>0</v>
      </c>
      <c r="O1369" s="96" t="b">
        <v>0</v>
      </c>
      <c r="P1369" s="92"/>
      <c r="Q1369" s="92"/>
      <c r="R1369" s="92"/>
      <c r="S1369" s="92"/>
      <c r="T1369" s="92"/>
      <c r="U1369" s="92"/>
      <c r="V1369" s="92"/>
      <c r="W1369" s="92"/>
      <c r="X1369" s="92"/>
      <c r="Y1369" s="92"/>
      <c r="Z1369" s="92"/>
      <c r="AA1369" s="92"/>
      <c r="AB1369" s="92"/>
      <c r="AC1369" s="92"/>
      <c r="AD1369" s="92"/>
      <c r="AE1369" s="92"/>
      <c r="AF1369" s="92"/>
      <c r="AG1369" s="92"/>
    </row>
    <row r="1370" hidden="1">
      <c r="A1370" s="86"/>
      <c r="B1370" s="39"/>
      <c r="C1370" s="80" t="s">
        <v>78</v>
      </c>
      <c r="D1370" s="97" t="s">
        <v>399</v>
      </c>
      <c r="E1370" s="186" t="s">
        <v>188</v>
      </c>
      <c r="F1370" s="186" t="s">
        <v>189</v>
      </c>
      <c r="G1370" s="99">
        <v>0.7916666666666666</v>
      </c>
      <c r="H1370" s="186" t="s">
        <v>190</v>
      </c>
      <c r="I1370" s="98" t="s">
        <v>2790</v>
      </c>
      <c r="J1370" s="186" t="s">
        <v>192</v>
      </c>
      <c r="K1370" s="98" t="s">
        <v>838</v>
      </c>
      <c r="L1370" s="91"/>
      <c r="M1370" s="91"/>
      <c r="N1370" s="96" t="b">
        <v>0</v>
      </c>
      <c r="O1370" s="96" t="b">
        <v>0</v>
      </c>
      <c r="P1370" s="92"/>
      <c r="Q1370" s="92"/>
      <c r="R1370" s="92"/>
      <c r="S1370" s="92"/>
      <c r="T1370" s="92"/>
      <c r="U1370" s="92"/>
      <c r="V1370" s="92"/>
      <c r="W1370" s="92"/>
      <c r="X1370" s="92"/>
      <c r="Y1370" s="92"/>
      <c r="Z1370" s="92"/>
      <c r="AA1370" s="92"/>
      <c r="AB1370" s="92"/>
      <c r="AC1370" s="92"/>
      <c r="AD1370" s="92"/>
      <c r="AE1370" s="92"/>
      <c r="AF1370" s="92"/>
      <c r="AG1370" s="92"/>
    </row>
    <row r="1371" hidden="1">
      <c r="A1371" s="86"/>
      <c r="B1371" s="166"/>
      <c r="C1371" s="88">
        <v>44477.0</v>
      </c>
      <c r="D1371" s="97"/>
      <c r="E1371" s="98"/>
      <c r="F1371" s="98"/>
      <c r="G1371" s="41"/>
      <c r="H1371" s="98"/>
      <c r="I1371" s="98"/>
      <c r="J1371" s="98"/>
      <c r="K1371" s="91"/>
      <c r="L1371" s="91"/>
      <c r="M1371" s="91"/>
      <c r="N1371" s="96" t="b">
        <v>0</v>
      </c>
      <c r="O1371" s="96" t="b">
        <v>0</v>
      </c>
      <c r="P1371" s="92"/>
      <c r="Q1371" s="92"/>
      <c r="R1371" s="92"/>
      <c r="S1371" s="92"/>
      <c r="T1371" s="92"/>
      <c r="U1371" s="92"/>
      <c r="V1371" s="92"/>
      <c r="W1371" s="92"/>
      <c r="X1371" s="92"/>
      <c r="Y1371" s="92"/>
      <c r="Z1371" s="92"/>
      <c r="AA1371" s="92"/>
      <c r="AB1371" s="92"/>
      <c r="AC1371" s="92"/>
      <c r="AD1371" s="92"/>
      <c r="AE1371" s="92"/>
      <c r="AF1371" s="92"/>
      <c r="AG1371" s="92"/>
    </row>
    <row r="1372" hidden="1">
      <c r="A1372" s="86"/>
      <c r="B1372" s="18" t="s">
        <v>1668</v>
      </c>
      <c r="C1372" s="234"/>
      <c r="D1372" s="97"/>
      <c r="E1372" s="98"/>
      <c r="F1372" s="98"/>
      <c r="G1372" s="41"/>
      <c r="H1372" s="98"/>
      <c r="I1372" s="98"/>
      <c r="J1372" s="98"/>
      <c r="K1372" s="91"/>
      <c r="L1372" s="91"/>
      <c r="M1372" s="91"/>
      <c r="N1372" s="96" t="b">
        <v>0</v>
      </c>
      <c r="O1372" s="96" t="b">
        <v>0</v>
      </c>
      <c r="P1372" s="92"/>
      <c r="Q1372" s="92"/>
      <c r="R1372" s="92"/>
      <c r="S1372" s="92"/>
      <c r="T1372" s="92"/>
      <c r="U1372" s="92"/>
      <c r="V1372" s="92"/>
      <c r="W1372" s="92"/>
      <c r="X1372" s="92"/>
      <c r="Y1372" s="92"/>
      <c r="Z1372" s="92"/>
      <c r="AA1372" s="92"/>
      <c r="AB1372" s="92"/>
      <c r="AC1372" s="92"/>
      <c r="AD1372" s="92"/>
      <c r="AE1372" s="92"/>
      <c r="AF1372" s="92"/>
      <c r="AG1372" s="92"/>
    </row>
    <row r="1373" hidden="1">
      <c r="A1373" s="86"/>
      <c r="B1373" s="25"/>
      <c r="C1373" s="78" t="s">
        <v>78</v>
      </c>
      <c r="D1373" s="97"/>
      <c r="E1373" s="98"/>
      <c r="F1373" s="98"/>
      <c r="G1373" s="41"/>
      <c r="H1373" s="98"/>
      <c r="I1373" s="98"/>
      <c r="J1373" s="98"/>
      <c r="K1373" s="91"/>
      <c r="L1373" s="91"/>
      <c r="M1373" s="91"/>
      <c r="N1373" s="96" t="b">
        <v>0</v>
      </c>
      <c r="O1373" s="96" t="b">
        <v>0</v>
      </c>
      <c r="P1373" s="92"/>
      <c r="Q1373" s="92"/>
      <c r="R1373" s="92"/>
      <c r="S1373" s="92"/>
      <c r="T1373" s="92"/>
      <c r="U1373" s="92"/>
      <c r="V1373" s="92"/>
      <c r="W1373" s="92"/>
      <c r="X1373" s="92"/>
      <c r="Y1373" s="92"/>
      <c r="Z1373" s="92"/>
      <c r="AA1373" s="92"/>
      <c r="AB1373" s="92"/>
      <c r="AC1373" s="92"/>
      <c r="AD1373" s="92"/>
      <c r="AE1373" s="92"/>
      <c r="AF1373" s="92"/>
      <c r="AG1373" s="92"/>
    </row>
    <row r="1374" hidden="1">
      <c r="A1374" s="86"/>
      <c r="B1374" s="25"/>
      <c r="C1374" s="80" t="s">
        <v>78</v>
      </c>
      <c r="D1374" s="97" t="s">
        <v>79</v>
      </c>
      <c r="E1374" s="183" t="s">
        <v>1208</v>
      </c>
      <c r="F1374" s="183" t="s">
        <v>1209</v>
      </c>
      <c r="G1374" s="99">
        <v>0.5208333333333334</v>
      </c>
      <c r="H1374" s="98" t="s">
        <v>949</v>
      </c>
      <c r="I1374" s="98" t="s">
        <v>2791</v>
      </c>
      <c r="J1374" s="98" t="s">
        <v>1211</v>
      </c>
      <c r="K1374" s="98" t="s">
        <v>1145</v>
      </c>
      <c r="L1374" s="91"/>
      <c r="M1374" s="91"/>
      <c r="N1374" s="96" t="b">
        <v>0</v>
      </c>
      <c r="O1374" s="96" t="b">
        <v>0</v>
      </c>
      <c r="P1374" s="92"/>
      <c r="Q1374" s="92"/>
      <c r="R1374" s="92"/>
      <c r="S1374" s="92"/>
      <c r="T1374" s="92"/>
      <c r="U1374" s="92"/>
      <c r="V1374" s="92"/>
      <c r="W1374" s="92"/>
      <c r="X1374" s="92"/>
      <c r="Y1374" s="92"/>
      <c r="Z1374" s="92"/>
      <c r="AA1374" s="92"/>
      <c r="AB1374" s="92"/>
      <c r="AC1374" s="92"/>
      <c r="AD1374" s="92"/>
      <c r="AE1374" s="92"/>
      <c r="AF1374" s="92"/>
      <c r="AG1374" s="92"/>
    </row>
    <row r="1375" hidden="1">
      <c r="A1375" s="86"/>
      <c r="B1375" s="25"/>
      <c r="C1375" s="80" t="s">
        <v>78</v>
      </c>
      <c r="D1375" s="97" t="s">
        <v>79</v>
      </c>
      <c r="E1375" s="183" t="s">
        <v>405</v>
      </c>
      <c r="F1375" s="183" t="s">
        <v>406</v>
      </c>
      <c r="G1375" s="99">
        <v>0.5833333333333334</v>
      </c>
      <c r="H1375" s="98" t="s">
        <v>568</v>
      </c>
      <c r="I1375" s="98" t="s">
        <v>2792</v>
      </c>
      <c r="J1375" s="98" t="s">
        <v>2793</v>
      </c>
      <c r="K1375" s="91"/>
      <c r="L1375" s="91"/>
      <c r="M1375" s="91"/>
      <c r="N1375" s="96" t="b">
        <v>0</v>
      </c>
      <c r="O1375" s="96" t="b">
        <v>0</v>
      </c>
      <c r="P1375" s="92"/>
      <c r="Q1375" s="92"/>
      <c r="R1375" s="92"/>
      <c r="S1375" s="92"/>
      <c r="T1375" s="92"/>
      <c r="U1375" s="92"/>
      <c r="V1375" s="92"/>
      <c r="W1375" s="92"/>
      <c r="X1375" s="92"/>
      <c r="Y1375" s="92"/>
      <c r="Z1375" s="92"/>
      <c r="AA1375" s="92"/>
      <c r="AB1375" s="92"/>
      <c r="AC1375" s="92"/>
      <c r="AD1375" s="92"/>
      <c r="AE1375" s="92"/>
      <c r="AF1375" s="92"/>
      <c r="AG1375" s="92"/>
    </row>
    <row r="1376" hidden="1">
      <c r="A1376" s="86"/>
      <c r="B1376" s="25"/>
      <c r="C1376" s="80" t="s">
        <v>78</v>
      </c>
      <c r="D1376" s="97" t="s">
        <v>79</v>
      </c>
      <c r="E1376" s="183" t="s">
        <v>2794</v>
      </c>
      <c r="F1376" s="183" t="s">
        <v>2795</v>
      </c>
      <c r="G1376" s="99">
        <v>0.6666666666666666</v>
      </c>
      <c r="H1376" s="98" t="s">
        <v>755</v>
      </c>
      <c r="I1376" s="98" t="s">
        <v>2796</v>
      </c>
      <c r="J1376" s="183" t="s">
        <v>2797</v>
      </c>
      <c r="K1376" s="91"/>
      <c r="L1376" s="91"/>
      <c r="M1376" s="91"/>
      <c r="N1376" s="96" t="b">
        <v>0</v>
      </c>
      <c r="O1376" s="96" t="b">
        <v>0</v>
      </c>
      <c r="P1376" s="92"/>
      <c r="Q1376" s="92"/>
      <c r="R1376" s="92"/>
      <c r="S1376" s="92"/>
      <c r="T1376" s="92"/>
      <c r="U1376" s="92"/>
      <c r="V1376" s="92"/>
      <c r="W1376" s="92"/>
      <c r="X1376" s="92"/>
      <c r="Y1376" s="92"/>
      <c r="Z1376" s="92"/>
      <c r="AA1376" s="92"/>
      <c r="AB1376" s="92"/>
      <c r="AC1376" s="92"/>
      <c r="AD1376" s="92"/>
      <c r="AE1376" s="92"/>
      <c r="AF1376" s="92"/>
      <c r="AG1376" s="92"/>
    </row>
    <row r="1377" hidden="1">
      <c r="A1377" s="86"/>
      <c r="B1377" s="39"/>
      <c r="C1377" s="80" t="s">
        <v>78</v>
      </c>
      <c r="D1377" s="97" t="s">
        <v>79</v>
      </c>
      <c r="E1377" s="183" t="s">
        <v>1044</v>
      </c>
      <c r="F1377" s="183" t="s">
        <v>1045</v>
      </c>
      <c r="G1377" s="99">
        <v>0.75</v>
      </c>
      <c r="H1377" s="98" t="s">
        <v>755</v>
      </c>
      <c r="I1377" s="98" t="s">
        <v>2798</v>
      </c>
      <c r="J1377" s="183" t="s">
        <v>2799</v>
      </c>
      <c r="K1377" s="98" t="s">
        <v>1145</v>
      </c>
      <c r="L1377" s="91"/>
      <c r="M1377" s="91"/>
      <c r="N1377" s="96" t="b">
        <v>0</v>
      </c>
      <c r="O1377" s="96" t="b">
        <v>0</v>
      </c>
      <c r="P1377" s="92"/>
      <c r="Q1377" s="92"/>
      <c r="R1377" s="92"/>
      <c r="S1377" s="92"/>
      <c r="T1377" s="92"/>
      <c r="U1377" s="92"/>
      <c r="V1377" s="92"/>
      <c r="W1377" s="92"/>
      <c r="X1377" s="92"/>
      <c r="Y1377" s="92"/>
      <c r="Z1377" s="92"/>
      <c r="AA1377" s="92"/>
      <c r="AB1377" s="92"/>
      <c r="AC1377" s="92"/>
      <c r="AD1377" s="92"/>
      <c r="AE1377" s="92"/>
      <c r="AF1377" s="92"/>
      <c r="AG1377" s="92"/>
    </row>
    <row r="1378" hidden="1">
      <c r="A1378" s="86"/>
      <c r="B1378" s="166"/>
      <c r="C1378" s="88">
        <v>44480.0</v>
      </c>
      <c r="D1378" s="97"/>
      <c r="E1378" s="98"/>
      <c r="F1378" s="98"/>
      <c r="G1378" s="41"/>
      <c r="H1378" s="98"/>
      <c r="I1378" s="98"/>
      <c r="J1378" s="98"/>
      <c r="K1378" s="91"/>
      <c r="L1378" s="91"/>
      <c r="M1378" s="91"/>
      <c r="N1378" s="96" t="b">
        <v>0</v>
      </c>
      <c r="O1378" s="96" t="b">
        <v>0</v>
      </c>
      <c r="P1378" s="92"/>
      <c r="Q1378" s="92"/>
      <c r="R1378" s="92"/>
      <c r="S1378" s="92"/>
      <c r="T1378" s="92"/>
      <c r="U1378" s="92"/>
      <c r="V1378" s="92"/>
      <c r="W1378" s="92"/>
      <c r="X1378" s="92"/>
      <c r="Y1378" s="92"/>
      <c r="Z1378" s="92"/>
      <c r="AA1378" s="92"/>
      <c r="AB1378" s="92"/>
      <c r="AC1378" s="92"/>
      <c r="AD1378" s="92"/>
      <c r="AE1378" s="92"/>
      <c r="AF1378" s="92"/>
      <c r="AG1378" s="92"/>
    </row>
    <row r="1379" hidden="1">
      <c r="A1379" s="86"/>
      <c r="B1379" s="18" t="s">
        <v>1668</v>
      </c>
      <c r="C1379" s="234"/>
      <c r="D1379" s="97"/>
      <c r="E1379" s="98"/>
      <c r="F1379" s="98"/>
      <c r="G1379" s="41"/>
      <c r="H1379" s="98"/>
      <c r="I1379" s="98"/>
      <c r="J1379" s="98"/>
      <c r="K1379" s="91"/>
      <c r="L1379" s="91"/>
      <c r="M1379" s="91"/>
      <c r="N1379" s="96" t="b">
        <v>0</v>
      </c>
      <c r="O1379" s="96" t="b">
        <v>0</v>
      </c>
      <c r="P1379" s="92"/>
      <c r="Q1379" s="92"/>
      <c r="R1379" s="92"/>
      <c r="S1379" s="92"/>
      <c r="T1379" s="92"/>
      <c r="U1379" s="92"/>
      <c r="V1379" s="92"/>
      <c r="W1379" s="92"/>
      <c r="X1379" s="92"/>
      <c r="Y1379" s="92"/>
      <c r="Z1379" s="92"/>
      <c r="AA1379" s="92"/>
      <c r="AB1379" s="92"/>
      <c r="AC1379" s="92"/>
      <c r="AD1379" s="92"/>
      <c r="AE1379" s="92"/>
      <c r="AF1379" s="92"/>
      <c r="AG1379" s="92"/>
    </row>
    <row r="1380" hidden="1">
      <c r="A1380" s="86"/>
      <c r="B1380" s="25"/>
      <c r="C1380" s="78" t="s">
        <v>78</v>
      </c>
      <c r="D1380" s="97" t="s">
        <v>2418</v>
      </c>
      <c r="E1380" s="257" t="s">
        <v>2800</v>
      </c>
      <c r="F1380" s="257" t="s">
        <v>2801</v>
      </c>
      <c r="G1380" s="99">
        <v>0.5625</v>
      </c>
      <c r="H1380" s="98" t="s">
        <v>2802</v>
      </c>
      <c r="I1380" s="98" t="s">
        <v>2803</v>
      </c>
      <c r="J1380" s="98" t="s">
        <v>2804</v>
      </c>
      <c r="K1380" s="91"/>
      <c r="L1380" s="91"/>
      <c r="M1380" s="91"/>
      <c r="N1380" s="96" t="b">
        <v>0</v>
      </c>
      <c r="O1380" s="96" t="b">
        <v>0</v>
      </c>
      <c r="P1380" s="92"/>
      <c r="Q1380" s="92"/>
      <c r="R1380" s="92"/>
      <c r="S1380" s="92"/>
      <c r="T1380" s="92"/>
      <c r="U1380" s="92"/>
      <c r="V1380" s="92"/>
      <c r="W1380" s="92"/>
      <c r="X1380" s="92"/>
      <c r="Y1380" s="92"/>
      <c r="Z1380" s="92"/>
      <c r="AA1380" s="92"/>
      <c r="AB1380" s="92"/>
      <c r="AC1380" s="92"/>
      <c r="AD1380" s="92"/>
      <c r="AE1380" s="92"/>
      <c r="AF1380" s="92"/>
      <c r="AG1380" s="92"/>
    </row>
    <row r="1381" hidden="1">
      <c r="A1381" s="86"/>
      <c r="B1381" s="25"/>
      <c r="C1381" s="80" t="s">
        <v>78</v>
      </c>
      <c r="D1381" s="97" t="s">
        <v>2418</v>
      </c>
      <c r="E1381" s="257" t="s">
        <v>1217</v>
      </c>
      <c r="F1381" s="257" t="s">
        <v>1218</v>
      </c>
      <c r="G1381" s="99">
        <v>0.625</v>
      </c>
      <c r="H1381" s="98" t="s">
        <v>2805</v>
      </c>
      <c r="I1381" s="98" t="s">
        <v>2806</v>
      </c>
      <c r="J1381" s="98" t="s">
        <v>1220</v>
      </c>
      <c r="K1381" s="91"/>
      <c r="L1381" s="91"/>
      <c r="M1381" s="91"/>
      <c r="N1381" s="96" t="b">
        <v>0</v>
      </c>
      <c r="O1381" s="96" t="b">
        <v>0</v>
      </c>
      <c r="P1381" s="92"/>
      <c r="Q1381" s="92"/>
      <c r="R1381" s="92"/>
      <c r="S1381" s="92"/>
      <c r="T1381" s="92"/>
      <c r="U1381" s="92"/>
      <c r="V1381" s="92"/>
      <c r="W1381" s="92"/>
      <c r="X1381" s="92"/>
      <c r="Y1381" s="92"/>
      <c r="Z1381" s="92"/>
      <c r="AA1381" s="92"/>
      <c r="AB1381" s="92"/>
      <c r="AC1381" s="92"/>
      <c r="AD1381" s="92"/>
      <c r="AE1381" s="92"/>
      <c r="AF1381" s="92"/>
      <c r="AG1381" s="92"/>
    </row>
    <row r="1382" hidden="1">
      <c r="A1382" s="86"/>
      <c r="B1382" s="25"/>
      <c r="C1382" s="80" t="s">
        <v>78</v>
      </c>
      <c r="D1382" s="134" t="s">
        <v>2418</v>
      </c>
      <c r="E1382" s="261" t="s">
        <v>1901</v>
      </c>
      <c r="F1382" s="261" t="s">
        <v>1902</v>
      </c>
      <c r="G1382" s="136" t="s">
        <v>180</v>
      </c>
      <c r="H1382" s="137" t="s">
        <v>2807</v>
      </c>
      <c r="I1382" s="137" t="s">
        <v>2808</v>
      </c>
      <c r="J1382" s="137" t="s">
        <v>1904</v>
      </c>
      <c r="K1382" s="137" t="s">
        <v>2809</v>
      </c>
      <c r="L1382" s="91"/>
      <c r="M1382" s="91"/>
      <c r="N1382" s="96" t="b">
        <v>0</v>
      </c>
      <c r="O1382" s="96" t="b">
        <v>0</v>
      </c>
      <c r="P1382" s="92"/>
      <c r="Q1382" s="92"/>
      <c r="R1382" s="92"/>
      <c r="S1382" s="92"/>
      <c r="T1382" s="92"/>
      <c r="U1382" s="92"/>
      <c r="V1382" s="92"/>
      <c r="W1382" s="92"/>
      <c r="X1382" s="92"/>
      <c r="Y1382" s="92"/>
      <c r="Z1382" s="92"/>
      <c r="AA1382" s="92"/>
      <c r="AB1382" s="92"/>
      <c r="AC1382" s="92"/>
      <c r="AD1382" s="92"/>
      <c r="AE1382" s="92"/>
      <c r="AF1382" s="92"/>
      <c r="AG1382" s="92"/>
    </row>
    <row r="1383" hidden="1">
      <c r="A1383" s="262"/>
      <c r="B1383" s="25"/>
      <c r="C1383" s="80" t="s">
        <v>78</v>
      </c>
      <c r="D1383" s="107" t="s">
        <v>2418</v>
      </c>
      <c r="E1383" s="263" t="s">
        <v>1981</v>
      </c>
      <c r="F1383" s="263" t="s">
        <v>1982</v>
      </c>
      <c r="G1383" s="108">
        <v>0.7291666666666666</v>
      </c>
      <c r="H1383" s="109" t="s">
        <v>2810</v>
      </c>
      <c r="I1383" s="109" t="s">
        <v>2811</v>
      </c>
      <c r="J1383" s="109" t="s">
        <v>1985</v>
      </c>
      <c r="K1383" s="98" t="s">
        <v>2809</v>
      </c>
      <c r="L1383" s="264" t="s">
        <v>2812</v>
      </c>
      <c r="M1383" s="265"/>
      <c r="N1383" s="96" t="b">
        <v>0</v>
      </c>
      <c r="O1383" s="96" t="b">
        <v>0</v>
      </c>
      <c r="P1383" s="92"/>
      <c r="Q1383" s="92"/>
      <c r="R1383" s="92"/>
      <c r="S1383" s="92"/>
      <c r="T1383" s="92"/>
      <c r="U1383" s="92"/>
      <c r="V1383" s="92"/>
      <c r="W1383" s="92"/>
      <c r="X1383" s="92"/>
      <c r="Y1383" s="92"/>
      <c r="Z1383" s="92"/>
      <c r="AA1383" s="92"/>
      <c r="AB1383" s="92"/>
      <c r="AC1383" s="92"/>
      <c r="AD1383" s="92"/>
      <c r="AE1383" s="92"/>
      <c r="AF1383" s="92"/>
      <c r="AG1383" s="92"/>
    </row>
    <row r="1384" hidden="1">
      <c r="A1384" s="262"/>
      <c r="B1384" s="39"/>
      <c r="C1384" s="80" t="s">
        <v>78</v>
      </c>
      <c r="D1384" s="97"/>
      <c r="E1384" s="98"/>
      <c r="F1384" s="98"/>
      <c r="G1384" s="99"/>
      <c r="H1384" s="98"/>
      <c r="I1384" s="98"/>
      <c r="J1384" s="98"/>
      <c r="K1384" s="91"/>
      <c r="L1384" s="91"/>
      <c r="M1384" s="91"/>
      <c r="N1384" s="96" t="b">
        <v>0</v>
      </c>
      <c r="O1384" s="96" t="b">
        <v>0</v>
      </c>
      <c r="P1384" s="92"/>
      <c r="Q1384" s="92"/>
      <c r="R1384" s="92"/>
      <c r="S1384" s="92"/>
      <c r="T1384" s="92"/>
      <c r="U1384" s="92"/>
      <c r="V1384" s="92"/>
      <c r="W1384" s="92"/>
      <c r="X1384" s="92"/>
      <c r="Y1384" s="92"/>
      <c r="Z1384" s="92"/>
      <c r="AA1384" s="92"/>
      <c r="AB1384" s="92"/>
      <c r="AC1384" s="92"/>
      <c r="AD1384" s="92"/>
      <c r="AE1384" s="92"/>
      <c r="AF1384" s="92"/>
      <c r="AG1384" s="92"/>
    </row>
    <row r="1385" hidden="1">
      <c r="A1385" s="262"/>
      <c r="B1385" s="166"/>
      <c r="C1385" s="88">
        <v>44481.0</v>
      </c>
      <c r="D1385" s="97"/>
      <c r="E1385" s="98"/>
      <c r="F1385" s="98"/>
      <c r="G1385" s="41"/>
      <c r="H1385" s="98"/>
      <c r="I1385" s="98"/>
      <c r="J1385" s="98"/>
      <c r="K1385" s="91"/>
      <c r="L1385" s="91"/>
      <c r="M1385" s="91"/>
      <c r="N1385" s="96" t="b">
        <v>0</v>
      </c>
      <c r="O1385" s="96" t="b">
        <v>0</v>
      </c>
      <c r="P1385" s="92"/>
      <c r="Q1385" s="92"/>
      <c r="R1385" s="92"/>
      <c r="S1385" s="92"/>
      <c r="T1385" s="92"/>
      <c r="U1385" s="92"/>
      <c r="V1385" s="92"/>
      <c r="W1385" s="92"/>
      <c r="X1385" s="92"/>
      <c r="Y1385" s="92"/>
      <c r="Z1385" s="92"/>
      <c r="AA1385" s="92"/>
      <c r="AB1385" s="92"/>
      <c r="AC1385" s="92"/>
      <c r="AD1385" s="92"/>
      <c r="AE1385" s="92"/>
      <c r="AF1385" s="92"/>
      <c r="AG1385" s="92"/>
    </row>
    <row r="1386" hidden="1">
      <c r="A1386" s="262"/>
      <c r="B1386" s="18" t="s">
        <v>1668</v>
      </c>
      <c r="C1386" s="234"/>
      <c r="D1386" s="97" t="s">
        <v>2813</v>
      </c>
      <c r="E1386" s="257" t="s">
        <v>2814</v>
      </c>
      <c r="F1386" s="257" t="s">
        <v>2815</v>
      </c>
      <c r="G1386" s="41" t="s">
        <v>713</v>
      </c>
      <c r="H1386" s="98" t="s">
        <v>909</v>
      </c>
      <c r="I1386" s="98" t="s">
        <v>2816</v>
      </c>
      <c r="J1386" s="98" t="s">
        <v>2817</v>
      </c>
      <c r="K1386" s="91"/>
      <c r="L1386" s="91"/>
      <c r="M1386" s="91"/>
      <c r="N1386" s="96" t="b">
        <v>0</v>
      </c>
      <c r="O1386" s="96" t="b">
        <v>0</v>
      </c>
      <c r="P1386" s="92"/>
      <c r="Q1386" s="92"/>
      <c r="R1386" s="92"/>
      <c r="S1386" s="92"/>
      <c r="T1386" s="92"/>
      <c r="U1386" s="92"/>
      <c r="V1386" s="92"/>
      <c r="W1386" s="92"/>
      <c r="X1386" s="92"/>
      <c r="Y1386" s="92"/>
      <c r="Z1386" s="92"/>
      <c r="AA1386" s="92"/>
      <c r="AB1386" s="92"/>
      <c r="AC1386" s="92"/>
      <c r="AD1386" s="92"/>
      <c r="AE1386" s="92"/>
      <c r="AF1386" s="92"/>
      <c r="AG1386" s="92"/>
    </row>
    <row r="1387" hidden="1">
      <c r="A1387" s="262"/>
      <c r="B1387" s="25"/>
      <c r="C1387" s="78" t="s">
        <v>78</v>
      </c>
      <c r="D1387" s="97" t="s">
        <v>2813</v>
      </c>
      <c r="E1387" s="266" t="s">
        <v>347</v>
      </c>
      <c r="F1387" s="266" t="s">
        <v>348</v>
      </c>
      <c r="G1387" s="41" t="s">
        <v>384</v>
      </c>
      <c r="H1387" s="98" t="s">
        <v>349</v>
      </c>
      <c r="I1387" s="98" t="s">
        <v>350</v>
      </c>
      <c r="J1387" s="98" t="s">
        <v>351</v>
      </c>
      <c r="K1387" s="98" t="s">
        <v>2809</v>
      </c>
      <c r="L1387" s="91"/>
      <c r="M1387" s="91"/>
      <c r="N1387" s="96" t="b">
        <v>0</v>
      </c>
      <c r="O1387" s="96" t="b">
        <v>0</v>
      </c>
      <c r="P1387" s="92"/>
      <c r="Q1387" s="92"/>
      <c r="R1387" s="92"/>
      <c r="S1387" s="92"/>
      <c r="T1387" s="92"/>
      <c r="U1387" s="92"/>
      <c r="V1387" s="92"/>
      <c r="W1387" s="92"/>
      <c r="X1387" s="92"/>
      <c r="Y1387" s="92"/>
      <c r="Z1387" s="92"/>
      <c r="AA1387" s="92"/>
      <c r="AB1387" s="92"/>
      <c r="AC1387" s="92"/>
      <c r="AD1387" s="92"/>
      <c r="AE1387" s="92"/>
      <c r="AF1387" s="92"/>
      <c r="AG1387" s="92"/>
    </row>
    <row r="1388" hidden="1">
      <c r="A1388" s="262"/>
      <c r="B1388" s="25"/>
      <c r="C1388" s="80" t="s">
        <v>78</v>
      </c>
      <c r="D1388" s="97" t="s">
        <v>79</v>
      </c>
      <c r="E1388" s="257" t="s">
        <v>2638</v>
      </c>
      <c r="F1388" s="257" t="s">
        <v>2639</v>
      </c>
      <c r="G1388" s="99">
        <v>0.625</v>
      </c>
      <c r="H1388" s="98" t="s">
        <v>258</v>
      </c>
      <c r="I1388" s="98" t="s">
        <v>2818</v>
      </c>
      <c r="J1388" s="257" t="s">
        <v>2641</v>
      </c>
      <c r="K1388" s="98" t="s">
        <v>2819</v>
      </c>
      <c r="L1388" s="91"/>
      <c r="M1388" s="91"/>
      <c r="N1388" s="96" t="b">
        <v>0</v>
      </c>
      <c r="O1388" s="96" t="b">
        <v>0</v>
      </c>
      <c r="P1388" s="92"/>
      <c r="Q1388" s="92"/>
      <c r="R1388" s="92"/>
      <c r="S1388" s="92"/>
      <c r="T1388" s="92"/>
      <c r="U1388" s="92"/>
      <c r="V1388" s="92"/>
      <c r="W1388" s="92"/>
      <c r="X1388" s="92"/>
      <c r="Y1388" s="92"/>
      <c r="Z1388" s="92"/>
      <c r="AA1388" s="92"/>
      <c r="AB1388" s="92"/>
      <c r="AC1388" s="92"/>
      <c r="AD1388" s="92"/>
      <c r="AE1388" s="92"/>
      <c r="AF1388" s="92"/>
      <c r="AG1388" s="92"/>
    </row>
    <row r="1389" hidden="1">
      <c r="A1389" s="262"/>
      <c r="B1389" s="25"/>
      <c r="C1389" s="80" t="s">
        <v>78</v>
      </c>
      <c r="D1389" s="97" t="s">
        <v>2813</v>
      </c>
      <c r="E1389" s="257" t="s">
        <v>2820</v>
      </c>
      <c r="F1389" s="257" t="s">
        <v>2821</v>
      </c>
      <c r="G1389" s="41" t="s">
        <v>2042</v>
      </c>
      <c r="H1389" s="98" t="s">
        <v>258</v>
      </c>
      <c r="I1389" s="98" t="s">
        <v>2822</v>
      </c>
      <c r="J1389" s="98" t="s">
        <v>2823</v>
      </c>
      <c r="K1389" s="91"/>
      <c r="L1389" s="91"/>
      <c r="M1389" s="91"/>
      <c r="N1389" s="96" t="b">
        <v>0</v>
      </c>
      <c r="O1389" s="96" t="b">
        <v>0</v>
      </c>
      <c r="P1389" s="92"/>
      <c r="Q1389" s="92"/>
      <c r="R1389" s="92"/>
      <c r="S1389" s="92"/>
      <c r="T1389" s="92"/>
      <c r="U1389" s="92"/>
      <c r="V1389" s="92"/>
      <c r="W1389" s="92"/>
      <c r="X1389" s="92"/>
      <c r="Y1389" s="92"/>
      <c r="Z1389" s="92"/>
      <c r="AA1389" s="92"/>
      <c r="AB1389" s="92"/>
      <c r="AC1389" s="92"/>
      <c r="AD1389" s="92"/>
      <c r="AE1389" s="92"/>
      <c r="AF1389" s="92"/>
      <c r="AG1389" s="92"/>
    </row>
    <row r="1390" hidden="1">
      <c r="A1390" s="262"/>
      <c r="B1390" s="25"/>
      <c r="C1390" s="80" t="s">
        <v>78</v>
      </c>
      <c r="D1390" s="97"/>
      <c r="E1390" s="257"/>
      <c r="F1390" s="257"/>
      <c r="G1390" s="41" t="s">
        <v>1426</v>
      </c>
      <c r="H1390" s="98"/>
      <c r="I1390" s="98"/>
      <c r="J1390" s="257"/>
      <c r="K1390" s="98"/>
      <c r="L1390" s="91"/>
      <c r="M1390" s="91"/>
      <c r="N1390" s="96" t="b">
        <v>0</v>
      </c>
      <c r="O1390" s="96" t="b">
        <v>0</v>
      </c>
      <c r="P1390" s="92"/>
      <c r="Q1390" s="92"/>
      <c r="R1390" s="92"/>
      <c r="S1390" s="92"/>
      <c r="T1390" s="92"/>
      <c r="U1390" s="92"/>
      <c r="V1390" s="92"/>
      <c r="W1390" s="92"/>
      <c r="X1390" s="92"/>
      <c r="Y1390" s="92"/>
      <c r="Z1390" s="92"/>
      <c r="AA1390" s="92"/>
      <c r="AB1390" s="92"/>
      <c r="AC1390" s="92"/>
      <c r="AD1390" s="92"/>
      <c r="AE1390" s="92"/>
      <c r="AF1390" s="92"/>
      <c r="AG1390" s="92"/>
    </row>
    <row r="1391" hidden="1">
      <c r="A1391" s="262"/>
      <c r="B1391" s="39"/>
      <c r="C1391" s="80" t="s">
        <v>78</v>
      </c>
      <c r="D1391" s="97"/>
      <c r="L1391" s="91"/>
      <c r="M1391" s="91"/>
      <c r="N1391" s="96" t="b">
        <v>0</v>
      </c>
      <c r="O1391" s="96" t="b">
        <v>0</v>
      </c>
      <c r="P1391" s="92"/>
      <c r="Q1391" s="92"/>
      <c r="R1391" s="92"/>
      <c r="S1391" s="92"/>
      <c r="T1391" s="92"/>
      <c r="U1391" s="92"/>
      <c r="V1391" s="92"/>
      <c r="W1391" s="92"/>
      <c r="X1391" s="92"/>
      <c r="Y1391" s="92"/>
      <c r="Z1391" s="92"/>
      <c r="AA1391" s="92"/>
      <c r="AB1391" s="92"/>
      <c r="AC1391" s="92"/>
      <c r="AD1391" s="92"/>
      <c r="AE1391" s="92"/>
      <c r="AF1391" s="92"/>
      <c r="AG1391" s="92"/>
    </row>
    <row r="1392" hidden="1">
      <c r="A1392" s="262"/>
      <c r="B1392" s="166"/>
      <c r="C1392" s="88">
        <v>44482.0</v>
      </c>
      <c r="D1392" s="97"/>
      <c r="E1392" s="98"/>
      <c r="F1392" s="98"/>
      <c r="G1392" s="41"/>
      <c r="H1392" s="98"/>
      <c r="I1392" s="98"/>
      <c r="J1392" s="98"/>
      <c r="K1392" s="91"/>
      <c r="L1392" s="91"/>
      <c r="M1392" s="91"/>
      <c r="N1392" s="96" t="b">
        <v>0</v>
      </c>
      <c r="O1392" s="96" t="b">
        <v>0</v>
      </c>
      <c r="P1392" s="92"/>
      <c r="Q1392" s="92"/>
      <c r="R1392" s="92"/>
      <c r="S1392" s="92"/>
      <c r="T1392" s="92"/>
      <c r="U1392" s="92"/>
      <c r="V1392" s="92"/>
      <c r="W1392" s="92"/>
      <c r="X1392" s="92"/>
      <c r="Y1392" s="92"/>
      <c r="Z1392" s="92"/>
      <c r="AA1392" s="92"/>
      <c r="AB1392" s="92"/>
      <c r="AC1392" s="92"/>
      <c r="AD1392" s="92"/>
      <c r="AE1392" s="92"/>
      <c r="AF1392" s="92"/>
      <c r="AG1392" s="92"/>
    </row>
    <row r="1393" hidden="1">
      <c r="A1393" s="262"/>
      <c r="B1393" s="18" t="s">
        <v>1668</v>
      </c>
      <c r="C1393" s="234"/>
      <c r="D1393" s="97"/>
      <c r="E1393" s="98"/>
      <c r="F1393" s="98"/>
      <c r="G1393" s="41"/>
      <c r="H1393" s="98"/>
      <c r="I1393" s="98"/>
      <c r="J1393" s="98"/>
      <c r="K1393" s="91"/>
      <c r="L1393" s="91"/>
      <c r="M1393" s="91"/>
      <c r="N1393" s="96" t="b">
        <v>0</v>
      </c>
      <c r="O1393" s="96" t="b">
        <v>0</v>
      </c>
      <c r="P1393" s="92"/>
      <c r="Q1393" s="92"/>
      <c r="R1393" s="92"/>
      <c r="S1393" s="92"/>
      <c r="T1393" s="92"/>
      <c r="U1393" s="92"/>
      <c r="V1393" s="92"/>
      <c r="W1393" s="92"/>
      <c r="X1393" s="92"/>
      <c r="Y1393" s="92"/>
      <c r="Z1393" s="92"/>
      <c r="AA1393" s="92"/>
      <c r="AB1393" s="92"/>
      <c r="AC1393" s="92"/>
      <c r="AD1393" s="92"/>
      <c r="AE1393" s="92"/>
      <c r="AF1393" s="92"/>
      <c r="AG1393" s="92"/>
    </row>
    <row r="1394" hidden="1">
      <c r="A1394" s="262"/>
      <c r="B1394" s="25"/>
      <c r="C1394" s="78" t="s">
        <v>78</v>
      </c>
      <c r="D1394" s="97" t="s">
        <v>2744</v>
      </c>
      <c r="E1394" s="257" t="s">
        <v>1335</v>
      </c>
      <c r="F1394" s="257" t="s">
        <v>1336</v>
      </c>
      <c r="G1394" s="41" t="s">
        <v>713</v>
      </c>
      <c r="H1394" s="98" t="s">
        <v>2195</v>
      </c>
      <c r="I1394" s="98" t="s">
        <v>2824</v>
      </c>
      <c r="J1394" s="98" t="s">
        <v>2197</v>
      </c>
      <c r="K1394" s="98" t="s">
        <v>838</v>
      </c>
      <c r="L1394" s="91"/>
      <c r="M1394" s="91"/>
      <c r="N1394" s="96" t="b">
        <v>0</v>
      </c>
      <c r="O1394" s="96" t="b">
        <v>0</v>
      </c>
      <c r="P1394" s="92"/>
      <c r="Q1394" s="92"/>
      <c r="R1394" s="92"/>
      <c r="S1394" s="92"/>
      <c r="T1394" s="92"/>
      <c r="U1394" s="92"/>
      <c r="V1394" s="92"/>
      <c r="W1394" s="92"/>
      <c r="X1394" s="92"/>
      <c r="Y1394" s="92"/>
      <c r="Z1394" s="92"/>
      <c r="AA1394" s="92"/>
      <c r="AB1394" s="92"/>
      <c r="AC1394" s="92"/>
      <c r="AD1394" s="92"/>
      <c r="AE1394" s="92"/>
      <c r="AF1394" s="92"/>
      <c r="AG1394" s="92"/>
    </row>
    <row r="1395" hidden="1">
      <c r="A1395" s="262"/>
      <c r="B1395" s="25"/>
      <c r="C1395" s="80" t="s">
        <v>78</v>
      </c>
      <c r="D1395" s="97" t="s">
        <v>2744</v>
      </c>
      <c r="E1395" s="257" t="s">
        <v>2825</v>
      </c>
      <c r="F1395" s="257" t="s">
        <v>2826</v>
      </c>
      <c r="G1395" s="41" t="s">
        <v>384</v>
      </c>
      <c r="H1395" s="98" t="s">
        <v>881</v>
      </c>
      <c r="I1395" s="98" t="s">
        <v>2827</v>
      </c>
      <c r="J1395" s="98" t="s">
        <v>2828</v>
      </c>
      <c r="K1395" s="91"/>
      <c r="L1395" s="91"/>
      <c r="M1395" s="91"/>
      <c r="N1395" s="96" t="b">
        <v>0</v>
      </c>
      <c r="O1395" s="96" t="b">
        <v>0</v>
      </c>
      <c r="P1395" s="92"/>
      <c r="Q1395" s="92"/>
      <c r="R1395" s="92"/>
      <c r="S1395" s="92"/>
      <c r="T1395" s="92"/>
      <c r="U1395" s="92"/>
      <c r="V1395" s="92"/>
      <c r="W1395" s="92"/>
      <c r="X1395" s="92"/>
      <c r="Y1395" s="92"/>
      <c r="Z1395" s="92"/>
      <c r="AA1395" s="92"/>
      <c r="AB1395" s="92"/>
      <c r="AC1395" s="92"/>
      <c r="AD1395" s="92"/>
      <c r="AE1395" s="92"/>
      <c r="AF1395" s="92"/>
      <c r="AG1395" s="92"/>
    </row>
    <row r="1396" hidden="1">
      <c r="A1396" s="262"/>
      <c r="B1396" s="25"/>
      <c r="C1396" s="80" t="s">
        <v>78</v>
      </c>
      <c r="D1396" s="97" t="s">
        <v>2744</v>
      </c>
      <c r="E1396" s="257" t="s">
        <v>2829</v>
      </c>
      <c r="F1396" s="257" t="s">
        <v>2830</v>
      </c>
      <c r="G1396" s="41" t="s">
        <v>567</v>
      </c>
      <c r="H1396" s="98" t="s">
        <v>290</v>
      </c>
      <c r="I1396" s="98" t="s">
        <v>2831</v>
      </c>
      <c r="J1396" s="98" t="s">
        <v>2832</v>
      </c>
      <c r="K1396" s="91"/>
      <c r="L1396" s="91"/>
      <c r="M1396" s="91"/>
      <c r="N1396" s="96" t="b">
        <v>0</v>
      </c>
      <c r="O1396" s="96" t="b">
        <v>0</v>
      </c>
      <c r="P1396" s="92"/>
      <c r="Q1396" s="92"/>
      <c r="R1396" s="92"/>
      <c r="S1396" s="92"/>
      <c r="T1396" s="92"/>
      <c r="U1396" s="92"/>
      <c r="V1396" s="92"/>
      <c r="W1396" s="92"/>
      <c r="X1396" s="92"/>
      <c r="Y1396" s="92"/>
      <c r="Z1396" s="92"/>
      <c r="AA1396" s="92"/>
      <c r="AB1396" s="92"/>
      <c r="AC1396" s="92"/>
      <c r="AD1396" s="92"/>
      <c r="AE1396" s="92"/>
      <c r="AF1396" s="92"/>
      <c r="AG1396" s="92"/>
    </row>
    <row r="1397" hidden="1">
      <c r="A1397" s="262"/>
      <c r="B1397" s="25"/>
      <c r="C1397" s="80" t="s">
        <v>78</v>
      </c>
      <c r="D1397" s="97" t="s">
        <v>2744</v>
      </c>
      <c r="E1397" s="257" t="s">
        <v>2833</v>
      </c>
      <c r="F1397" s="257" t="s">
        <v>2834</v>
      </c>
      <c r="G1397" s="41" t="s">
        <v>283</v>
      </c>
      <c r="H1397" s="98" t="s">
        <v>568</v>
      </c>
      <c r="I1397" s="98" t="s">
        <v>2835</v>
      </c>
      <c r="J1397" s="98" t="s">
        <v>2836</v>
      </c>
      <c r="K1397" s="91"/>
      <c r="L1397" s="91"/>
      <c r="M1397" s="91"/>
      <c r="N1397" s="96" t="b">
        <v>0</v>
      </c>
      <c r="O1397" s="96" t="b">
        <v>0</v>
      </c>
      <c r="P1397" s="92"/>
      <c r="Q1397" s="92"/>
      <c r="R1397" s="92"/>
      <c r="S1397" s="92"/>
      <c r="T1397" s="92"/>
      <c r="U1397" s="92"/>
      <c r="V1397" s="92"/>
      <c r="W1397" s="92"/>
      <c r="X1397" s="92"/>
      <c r="Y1397" s="92"/>
      <c r="Z1397" s="92"/>
      <c r="AA1397" s="92"/>
      <c r="AB1397" s="92"/>
      <c r="AC1397" s="92"/>
      <c r="AD1397" s="92"/>
      <c r="AE1397" s="92"/>
      <c r="AF1397" s="92"/>
      <c r="AG1397" s="92"/>
    </row>
    <row r="1398" hidden="1">
      <c r="A1398" s="262"/>
      <c r="B1398" s="39"/>
      <c r="C1398" s="80" t="s">
        <v>78</v>
      </c>
      <c r="D1398" s="97"/>
      <c r="E1398" s="98"/>
      <c r="F1398" s="98"/>
      <c r="G1398" s="41"/>
      <c r="H1398" s="98"/>
      <c r="I1398" s="98"/>
      <c r="J1398" s="98"/>
      <c r="K1398" s="91"/>
      <c r="L1398" s="91"/>
      <c r="M1398" s="91"/>
      <c r="N1398" s="96" t="b">
        <v>0</v>
      </c>
      <c r="O1398" s="96" t="b">
        <v>0</v>
      </c>
      <c r="P1398" s="92"/>
      <c r="Q1398" s="92"/>
      <c r="R1398" s="92"/>
      <c r="S1398" s="92"/>
      <c r="T1398" s="92"/>
      <c r="U1398" s="92"/>
      <c r="V1398" s="92"/>
      <c r="W1398" s="92"/>
      <c r="X1398" s="92"/>
      <c r="Y1398" s="92"/>
      <c r="Z1398" s="92"/>
      <c r="AA1398" s="92"/>
      <c r="AB1398" s="92"/>
      <c r="AC1398" s="92"/>
      <c r="AD1398" s="92"/>
      <c r="AE1398" s="92"/>
      <c r="AF1398" s="92"/>
      <c r="AG1398" s="92"/>
    </row>
    <row r="1399" hidden="1">
      <c r="A1399" s="262"/>
      <c r="B1399" s="166"/>
      <c r="C1399" s="88">
        <v>44483.0</v>
      </c>
      <c r="D1399" s="97"/>
      <c r="K1399" s="91"/>
      <c r="L1399" s="91"/>
      <c r="M1399" s="91"/>
      <c r="N1399" s="96" t="b">
        <v>0</v>
      </c>
      <c r="O1399" s="96" t="b">
        <v>0</v>
      </c>
      <c r="P1399" s="92"/>
      <c r="Q1399" s="92"/>
      <c r="R1399" s="92"/>
      <c r="S1399" s="92"/>
      <c r="T1399" s="92"/>
      <c r="U1399" s="92"/>
      <c r="V1399" s="92"/>
      <c r="W1399" s="92"/>
      <c r="X1399" s="92"/>
      <c r="Y1399" s="92"/>
      <c r="Z1399" s="92"/>
      <c r="AA1399" s="92"/>
      <c r="AB1399" s="92"/>
      <c r="AC1399" s="92"/>
      <c r="AD1399" s="92"/>
      <c r="AE1399" s="92"/>
      <c r="AF1399" s="92"/>
      <c r="AG1399" s="92"/>
    </row>
    <row r="1400" hidden="1">
      <c r="A1400" s="262"/>
      <c r="B1400" s="18" t="s">
        <v>1668</v>
      </c>
      <c r="C1400" s="234"/>
      <c r="D1400" s="97" t="s">
        <v>79</v>
      </c>
      <c r="E1400" s="257" t="s">
        <v>2487</v>
      </c>
      <c r="F1400" s="257" t="s">
        <v>2488</v>
      </c>
      <c r="G1400" s="99">
        <v>0.4166666666666667</v>
      </c>
      <c r="H1400" s="98" t="s">
        <v>258</v>
      </c>
      <c r="I1400" s="98" t="s">
        <v>2837</v>
      </c>
      <c r="J1400" s="98" t="s">
        <v>2490</v>
      </c>
      <c r="K1400" s="91"/>
      <c r="L1400" s="91"/>
      <c r="M1400" s="91"/>
      <c r="N1400" s="96" t="b">
        <v>0</v>
      </c>
      <c r="O1400" s="96" t="b">
        <v>0</v>
      </c>
      <c r="P1400" s="92"/>
      <c r="Q1400" s="92"/>
      <c r="R1400" s="92"/>
      <c r="S1400" s="92"/>
      <c r="T1400" s="92"/>
      <c r="U1400" s="92"/>
      <c r="V1400" s="92"/>
      <c r="W1400" s="92"/>
      <c r="X1400" s="92"/>
      <c r="Y1400" s="92"/>
      <c r="Z1400" s="92"/>
      <c r="AA1400" s="92"/>
      <c r="AB1400" s="92"/>
      <c r="AC1400" s="92"/>
      <c r="AD1400" s="92"/>
      <c r="AE1400" s="92"/>
      <c r="AF1400" s="92"/>
      <c r="AG1400" s="92"/>
    </row>
    <row r="1401" hidden="1">
      <c r="A1401" s="262"/>
      <c r="B1401" s="25"/>
      <c r="C1401" s="78" t="s">
        <v>78</v>
      </c>
      <c r="D1401" s="97" t="s">
        <v>2744</v>
      </c>
      <c r="E1401" s="257" t="s">
        <v>615</v>
      </c>
      <c r="F1401" s="257" t="s">
        <v>616</v>
      </c>
      <c r="G1401" s="267" t="s">
        <v>2838</v>
      </c>
      <c r="H1401" s="267" t="s">
        <v>82</v>
      </c>
      <c r="I1401" s="267" t="s">
        <v>2839</v>
      </c>
      <c r="J1401" s="267" t="s">
        <v>618</v>
      </c>
      <c r="K1401" s="98"/>
      <c r="L1401" s="91"/>
      <c r="M1401" s="91"/>
      <c r="N1401" s="96" t="b">
        <v>0</v>
      </c>
      <c r="O1401" s="96" t="b">
        <v>0</v>
      </c>
      <c r="P1401" s="92"/>
      <c r="Q1401" s="92"/>
      <c r="R1401" s="92"/>
      <c r="S1401" s="92"/>
      <c r="T1401" s="92"/>
      <c r="U1401" s="92"/>
      <c r="V1401" s="92"/>
      <c r="W1401" s="92"/>
      <c r="X1401" s="92"/>
      <c r="Y1401" s="92"/>
      <c r="Z1401" s="92"/>
      <c r="AA1401" s="92"/>
      <c r="AB1401" s="92"/>
      <c r="AC1401" s="92"/>
      <c r="AD1401" s="92"/>
      <c r="AE1401" s="92"/>
      <c r="AF1401" s="92"/>
      <c r="AG1401" s="92"/>
    </row>
    <row r="1402" hidden="1">
      <c r="A1402" s="262"/>
      <c r="B1402" s="25"/>
      <c r="C1402" s="80" t="s">
        <v>78</v>
      </c>
      <c r="D1402" s="97" t="s">
        <v>2744</v>
      </c>
      <c r="E1402" s="257" t="s">
        <v>2840</v>
      </c>
      <c r="F1402" s="257" t="s">
        <v>2841</v>
      </c>
      <c r="G1402" s="41" t="s">
        <v>2553</v>
      </c>
      <c r="H1402" s="98" t="s">
        <v>909</v>
      </c>
      <c r="I1402" s="98" t="s">
        <v>2842</v>
      </c>
      <c r="J1402" s="98" t="s">
        <v>1143</v>
      </c>
      <c r="K1402" s="91"/>
      <c r="L1402" s="91"/>
      <c r="M1402" s="91"/>
      <c r="N1402" s="96" t="b">
        <v>0</v>
      </c>
      <c r="O1402" s="96" t="b">
        <v>0</v>
      </c>
      <c r="P1402" s="92"/>
      <c r="Q1402" s="92"/>
      <c r="R1402" s="92"/>
      <c r="S1402" s="92"/>
      <c r="T1402" s="92"/>
      <c r="U1402" s="92"/>
      <c r="V1402" s="92"/>
      <c r="W1402" s="92"/>
      <c r="X1402" s="92"/>
      <c r="Y1402" s="92"/>
      <c r="Z1402" s="92"/>
      <c r="AA1402" s="92"/>
      <c r="AB1402" s="92"/>
      <c r="AC1402" s="92"/>
      <c r="AD1402" s="92"/>
      <c r="AE1402" s="92"/>
      <c r="AF1402" s="92"/>
      <c r="AG1402" s="92"/>
    </row>
    <row r="1403" hidden="1">
      <c r="A1403" s="262"/>
      <c r="B1403" s="25"/>
      <c r="C1403" s="80" t="s">
        <v>78</v>
      </c>
      <c r="D1403" s="97" t="s">
        <v>2744</v>
      </c>
      <c r="E1403" s="266" t="s">
        <v>422</v>
      </c>
      <c r="F1403" s="266" t="s">
        <v>423</v>
      </c>
      <c r="G1403" s="41" t="s">
        <v>2843</v>
      </c>
      <c r="H1403" s="98" t="s">
        <v>424</v>
      </c>
      <c r="I1403" s="98" t="s">
        <v>425</v>
      </c>
      <c r="J1403" s="98" t="s">
        <v>426</v>
      </c>
      <c r="K1403" s="91"/>
      <c r="L1403" s="91"/>
      <c r="M1403" s="91"/>
      <c r="N1403" s="96" t="b">
        <v>0</v>
      </c>
      <c r="O1403" s="96" t="b">
        <v>0</v>
      </c>
      <c r="P1403" s="92"/>
      <c r="Q1403" s="92"/>
      <c r="R1403" s="92"/>
      <c r="S1403" s="92"/>
      <c r="T1403" s="92"/>
      <c r="U1403" s="92"/>
      <c r="V1403" s="92"/>
      <c r="W1403" s="92"/>
      <c r="X1403" s="92"/>
      <c r="Y1403" s="92"/>
      <c r="Z1403" s="92"/>
      <c r="AA1403" s="92"/>
      <c r="AB1403" s="92"/>
      <c r="AC1403" s="92"/>
      <c r="AD1403" s="92"/>
      <c r="AE1403" s="92"/>
      <c r="AF1403" s="92"/>
      <c r="AG1403" s="92"/>
    </row>
    <row r="1404" hidden="1">
      <c r="A1404" s="262"/>
      <c r="B1404" s="25"/>
      <c r="C1404" s="80" t="s">
        <v>78</v>
      </c>
      <c r="D1404" s="97"/>
      <c r="E1404" s="98"/>
      <c r="F1404" s="98"/>
      <c r="G1404" s="41"/>
      <c r="H1404" s="98"/>
      <c r="I1404" s="98"/>
      <c r="J1404" s="98"/>
      <c r="K1404" s="91"/>
      <c r="L1404" s="91"/>
      <c r="M1404" s="91"/>
      <c r="N1404" s="96" t="b">
        <v>0</v>
      </c>
      <c r="O1404" s="96" t="b">
        <v>0</v>
      </c>
      <c r="P1404" s="92"/>
      <c r="Q1404" s="92"/>
      <c r="R1404" s="92"/>
      <c r="S1404" s="92"/>
      <c r="T1404" s="92"/>
      <c r="U1404" s="92"/>
      <c r="V1404" s="92"/>
      <c r="W1404" s="92"/>
      <c r="X1404" s="92"/>
      <c r="Y1404" s="92"/>
      <c r="Z1404" s="92"/>
      <c r="AA1404" s="92"/>
      <c r="AB1404" s="92"/>
      <c r="AC1404" s="92"/>
      <c r="AD1404" s="92"/>
      <c r="AE1404" s="92"/>
      <c r="AF1404" s="92"/>
      <c r="AG1404" s="92"/>
    </row>
    <row r="1405" hidden="1">
      <c r="A1405" s="262"/>
      <c r="B1405" s="39"/>
      <c r="C1405" s="80" t="s">
        <v>78</v>
      </c>
      <c r="D1405" s="97"/>
      <c r="E1405" s="98"/>
      <c r="F1405" s="98"/>
      <c r="G1405" s="99"/>
      <c r="H1405" s="98"/>
      <c r="I1405" s="98"/>
      <c r="J1405" s="98"/>
      <c r="K1405" s="91"/>
      <c r="L1405" s="91"/>
      <c r="M1405" s="91"/>
      <c r="N1405" s="96" t="b">
        <v>0</v>
      </c>
      <c r="O1405" s="96" t="b">
        <v>0</v>
      </c>
      <c r="P1405" s="92"/>
      <c r="Q1405" s="92"/>
      <c r="R1405" s="92"/>
      <c r="S1405" s="92"/>
      <c r="T1405" s="92"/>
      <c r="U1405" s="92"/>
      <c r="V1405" s="92"/>
      <c r="W1405" s="92"/>
      <c r="X1405" s="92"/>
      <c r="Y1405" s="92"/>
      <c r="Z1405" s="92"/>
      <c r="AA1405" s="92"/>
      <c r="AB1405" s="92"/>
      <c r="AC1405" s="92"/>
      <c r="AD1405" s="92"/>
      <c r="AE1405" s="92"/>
      <c r="AF1405" s="92"/>
      <c r="AG1405" s="92"/>
    </row>
    <row r="1406" hidden="1">
      <c r="A1406" s="262"/>
      <c r="B1406" s="166"/>
      <c r="C1406" s="88">
        <v>44484.0</v>
      </c>
      <c r="D1406" s="97"/>
      <c r="E1406" s="98"/>
      <c r="F1406" s="98"/>
      <c r="G1406" s="41"/>
      <c r="H1406" s="98"/>
      <c r="I1406" s="98"/>
      <c r="J1406" s="98"/>
      <c r="K1406" s="91"/>
      <c r="L1406" s="91"/>
      <c r="M1406" s="91"/>
      <c r="N1406" s="96" t="b">
        <v>0</v>
      </c>
      <c r="O1406" s="96" t="b">
        <v>0</v>
      </c>
      <c r="P1406" s="92"/>
      <c r="Q1406" s="92"/>
      <c r="R1406" s="92"/>
      <c r="S1406" s="92"/>
      <c r="T1406" s="92"/>
      <c r="U1406" s="92"/>
      <c r="V1406" s="92"/>
      <c r="W1406" s="92"/>
      <c r="X1406" s="92"/>
      <c r="Y1406" s="92"/>
      <c r="Z1406" s="92"/>
      <c r="AA1406" s="92"/>
      <c r="AB1406" s="92"/>
      <c r="AC1406" s="92"/>
      <c r="AD1406" s="92"/>
      <c r="AE1406" s="92"/>
      <c r="AF1406" s="92"/>
      <c r="AG1406" s="92"/>
    </row>
    <row r="1407" hidden="1">
      <c r="A1407" s="262"/>
      <c r="B1407" s="18" t="s">
        <v>1668</v>
      </c>
      <c r="C1407" s="234"/>
      <c r="D1407" s="97"/>
      <c r="E1407" s="98"/>
      <c r="F1407" s="98"/>
      <c r="G1407" s="41"/>
      <c r="H1407" s="98"/>
      <c r="I1407" s="98"/>
      <c r="J1407" s="98"/>
      <c r="K1407" s="91"/>
      <c r="L1407" s="91"/>
      <c r="M1407" s="91"/>
      <c r="N1407" s="96" t="b">
        <v>0</v>
      </c>
      <c r="O1407" s="96" t="b">
        <v>0</v>
      </c>
      <c r="P1407" s="92"/>
      <c r="Q1407" s="92"/>
      <c r="R1407" s="92"/>
      <c r="S1407" s="92"/>
      <c r="T1407" s="92"/>
      <c r="U1407" s="92"/>
      <c r="V1407" s="92"/>
      <c r="W1407" s="92"/>
      <c r="X1407" s="92"/>
      <c r="Y1407" s="92"/>
      <c r="Z1407" s="92"/>
      <c r="AA1407" s="92"/>
      <c r="AB1407" s="92"/>
      <c r="AC1407" s="92"/>
      <c r="AD1407" s="92"/>
      <c r="AE1407" s="92"/>
      <c r="AF1407" s="92"/>
      <c r="AG1407" s="92"/>
    </row>
    <row r="1408" hidden="1">
      <c r="A1408" s="262"/>
      <c r="B1408" s="25"/>
      <c r="C1408" s="78" t="s">
        <v>78</v>
      </c>
      <c r="D1408" s="268"/>
      <c r="K1408" s="91"/>
      <c r="L1408" s="91"/>
      <c r="M1408" s="91"/>
      <c r="N1408" s="96" t="b">
        <v>0</v>
      </c>
      <c r="O1408" s="96" t="b">
        <v>0</v>
      </c>
      <c r="P1408" s="92"/>
      <c r="Q1408" s="92"/>
      <c r="R1408" s="92"/>
      <c r="S1408" s="92"/>
      <c r="T1408" s="92"/>
      <c r="U1408" s="92"/>
      <c r="V1408" s="92"/>
      <c r="W1408" s="92"/>
      <c r="X1408" s="92"/>
      <c r="Y1408" s="92"/>
      <c r="Z1408" s="92"/>
      <c r="AA1408" s="92"/>
      <c r="AB1408" s="92"/>
      <c r="AC1408" s="92"/>
      <c r="AD1408" s="92"/>
      <c r="AE1408" s="92"/>
      <c r="AF1408" s="92"/>
      <c r="AG1408" s="92"/>
    </row>
    <row r="1409" hidden="1">
      <c r="A1409" s="262"/>
      <c r="B1409" s="25"/>
      <c r="C1409" s="80" t="s">
        <v>78</v>
      </c>
      <c r="D1409" s="97"/>
      <c r="E1409" s="98"/>
      <c r="F1409" s="98"/>
      <c r="G1409" s="41"/>
      <c r="H1409" s="98"/>
      <c r="I1409" s="98"/>
      <c r="J1409" s="98"/>
      <c r="K1409" s="91"/>
      <c r="L1409" s="91"/>
      <c r="M1409" s="91"/>
      <c r="N1409" s="96" t="b">
        <v>0</v>
      </c>
      <c r="O1409" s="96" t="b">
        <v>0</v>
      </c>
      <c r="P1409" s="92"/>
      <c r="Q1409" s="92"/>
      <c r="R1409" s="92"/>
      <c r="S1409" s="92"/>
      <c r="T1409" s="92"/>
      <c r="U1409" s="92"/>
      <c r="V1409" s="92"/>
      <c r="W1409" s="92"/>
      <c r="X1409" s="92"/>
      <c r="Y1409" s="92"/>
      <c r="Z1409" s="92"/>
      <c r="AA1409" s="92"/>
      <c r="AB1409" s="92"/>
      <c r="AC1409" s="92"/>
      <c r="AD1409" s="92"/>
      <c r="AE1409" s="92"/>
      <c r="AF1409" s="92"/>
      <c r="AG1409" s="92"/>
    </row>
    <row r="1410" hidden="1">
      <c r="A1410" s="262"/>
      <c r="B1410" s="25"/>
      <c r="C1410" s="80" t="s">
        <v>78</v>
      </c>
      <c r="D1410" s="97" t="s">
        <v>2582</v>
      </c>
      <c r="E1410" s="257" t="s">
        <v>2844</v>
      </c>
      <c r="F1410" s="257" t="s">
        <v>2845</v>
      </c>
      <c r="G1410" s="41" t="s">
        <v>417</v>
      </c>
      <c r="H1410" s="98" t="s">
        <v>82</v>
      </c>
      <c r="I1410" s="98" t="s">
        <v>2846</v>
      </c>
      <c r="J1410" s="98" t="s">
        <v>2847</v>
      </c>
      <c r="K1410" s="91"/>
      <c r="L1410" s="91"/>
      <c r="M1410" s="91"/>
      <c r="N1410" s="96" t="b">
        <v>0</v>
      </c>
      <c r="O1410" s="96" t="b">
        <v>0</v>
      </c>
      <c r="P1410" s="92"/>
      <c r="Q1410" s="92"/>
      <c r="R1410" s="92"/>
      <c r="S1410" s="92"/>
      <c r="T1410" s="92"/>
      <c r="U1410" s="92"/>
      <c r="V1410" s="92"/>
      <c r="W1410" s="92"/>
      <c r="X1410" s="92"/>
      <c r="Y1410" s="92"/>
      <c r="Z1410" s="92"/>
      <c r="AA1410" s="92"/>
      <c r="AB1410" s="92"/>
      <c r="AC1410" s="92"/>
      <c r="AD1410" s="92"/>
      <c r="AE1410" s="92"/>
      <c r="AF1410" s="92"/>
      <c r="AG1410" s="92"/>
    </row>
    <row r="1411" hidden="1">
      <c r="A1411" s="262"/>
      <c r="B1411" s="25"/>
      <c r="C1411" s="80" t="s">
        <v>78</v>
      </c>
      <c r="D1411" s="159" t="s">
        <v>2582</v>
      </c>
      <c r="E1411" s="269" t="s">
        <v>2848</v>
      </c>
      <c r="F1411" s="269" t="s">
        <v>2849</v>
      </c>
      <c r="G1411" s="270" t="s">
        <v>449</v>
      </c>
      <c r="H1411" s="162" t="s">
        <v>1118</v>
      </c>
      <c r="I1411" s="162" t="s">
        <v>2850</v>
      </c>
      <c r="J1411" s="162" t="s">
        <v>2851</v>
      </c>
      <c r="K1411" s="271"/>
      <c r="L1411" s="98" t="s">
        <v>2852</v>
      </c>
      <c r="M1411" s="91"/>
      <c r="N1411" s="96" t="b">
        <v>0</v>
      </c>
      <c r="O1411" s="96" t="b">
        <v>0</v>
      </c>
      <c r="P1411" s="92"/>
      <c r="Q1411" s="92"/>
      <c r="R1411" s="92"/>
      <c r="S1411" s="92"/>
      <c r="T1411" s="92"/>
      <c r="U1411" s="92"/>
      <c r="V1411" s="92"/>
      <c r="W1411" s="92"/>
      <c r="X1411" s="92"/>
      <c r="Y1411" s="92"/>
      <c r="Z1411" s="92"/>
      <c r="AA1411" s="92"/>
      <c r="AB1411" s="92"/>
      <c r="AC1411" s="92"/>
      <c r="AD1411" s="92"/>
      <c r="AE1411" s="92"/>
      <c r="AF1411" s="92"/>
      <c r="AG1411" s="92"/>
    </row>
    <row r="1412" hidden="1">
      <c r="A1412" s="262"/>
      <c r="B1412" s="39"/>
      <c r="C1412" s="80" t="s">
        <v>78</v>
      </c>
      <c r="D1412" s="97" t="s">
        <v>2582</v>
      </c>
      <c r="E1412" s="257" t="s">
        <v>2853</v>
      </c>
      <c r="F1412" s="257" t="s">
        <v>2854</v>
      </c>
      <c r="G1412" s="41" t="s">
        <v>180</v>
      </c>
      <c r="H1412" s="98" t="s">
        <v>349</v>
      </c>
      <c r="I1412" s="98" t="s">
        <v>2855</v>
      </c>
      <c r="J1412" s="98" t="s">
        <v>160</v>
      </c>
      <c r="K1412" s="98" t="s">
        <v>2856</v>
      </c>
      <c r="L1412" s="91"/>
      <c r="M1412" s="91"/>
      <c r="N1412" s="96" t="b">
        <v>0</v>
      </c>
      <c r="O1412" s="96" t="b">
        <v>0</v>
      </c>
      <c r="P1412" s="92"/>
      <c r="Q1412" s="92"/>
      <c r="R1412" s="92"/>
      <c r="S1412" s="92"/>
      <c r="T1412" s="92"/>
      <c r="U1412" s="92"/>
      <c r="V1412" s="92"/>
      <c r="W1412" s="92"/>
      <c r="X1412" s="92"/>
      <c r="Y1412" s="92"/>
      <c r="Z1412" s="92"/>
      <c r="AA1412" s="92"/>
      <c r="AB1412" s="92"/>
      <c r="AC1412" s="92"/>
      <c r="AD1412" s="92"/>
      <c r="AE1412" s="92"/>
      <c r="AF1412" s="92"/>
      <c r="AG1412" s="92"/>
    </row>
    <row r="1413" hidden="1">
      <c r="A1413" s="262"/>
      <c r="B1413" s="166"/>
      <c r="C1413" s="88">
        <v>44487.0</v>
      </c>
      <c r="D1413" s="97" t="s">
        <v>2582</v>
      </c>
      <c r="E1413" s="269" t="s">
        <v>2857</v>
      </c>
      <c r="F1413" s="269" t="s">
        <v>2858</v>
      </c>
      <c r="G1413" s="270" t="s">
        <v>248</v>
      </c>
      <c r="H1413" s="162" t="s">
        <v>2398</v>
      </c>
      <c r="I1413" s="162" t="s">
        <v>2859</v>
      </c>
      <c r="J1413" s="162" t="s">
        <v>2860</v>
      </c>
      <c r="K1413" s="91"/>
      <c r="L1413" s="91"/>
      <c r="M1413" s="91"/>
      <c r="N1413" s="96" t="b">
        <v>0</v>
      </c>
      <c r="O1413" s="96" t="b">
        <v>0</v>
      </c>
      <c r="P1413" s="92"/>
      <c r="Q1413" s="92"/>
      <c r="R1413" s="92"/>
      <c r="S1413" s="92"/>
      <c r="T1413" s="92"/>
      <c r="U1413" s="92"/>
      <c r="V1413" s="92"/>
      <c r="W1413" s="92"/>
      <c r="X1413" s="92"/>
      <c r="Y1413" s="92"/>
      <c r="Z1413" s="92"/>
      <c r="AA1413" s="92"/>
      <c r="AB1413" s="92"/>
      <c r="AC1413" s="92"/>
      <c r="AD1413" s="92"/>
      <c r="AE1413" s="92"/>
      <c r="AF1413" s="92"/>
      <c r="AG1413" s="92"/>
    </row>
    <row r="1414" hidden="1">
      <c r="A1414" s="262"/>
      <c r="B1414" s="18" t="s">
        <v>1668</v>
      </c>
      <c r="C1414" s="234"/>
      <c r="D1414" s="97"/>
      <c r="E1414" s="98"/>
      <c r="F1414" s="98"/>
      <c r="G1414" s="41"/>
      <c r="H1414" s="98"/>
      <c r="I1414" s="98"/>
      <c r="J1414" s="98"/>
      <c r="K1414" s="91"/>
      <c r="L1414" s="91"/>
      <c r="M1414" s="91"/>
      <c r="N1414" s="96" t="b">
        <v>0</v>
      </c>
      <c r="O1414" s="96" t="b">
        <v>0</v>
      </c>
      <c r="P1414" s="92"/>
      <c r="Q1414" s="92"/>
      <c r="R1414" s="92"/>
      <c r="S1414" s="92"/>
      <c r="T1414" s="92"/>
      <c r="U1414" s="92"/>
      <c r="V1414" s="92"/>
      <c r="W1414" s="92"/>
      <c r="X1414" s="92"/>
      <c r="Y1414" s="92"/>
      <c r="Z1414" s="92"/>
      <c r="AA1414" s="92"/>
      <c r="AB1414" s="92"/>
      <c r="AC1414" s="92"/>
      <c r="AD1414" s="92"/>
      <c r="AE1414" s="92"/>
      <c r="AF1414" s="92"/>
      <c r="AG1414" s="92"/>
    </row>
    <row r="1415" hidden="1">
      <c r="A1415" s="262"/>
      <c r="B1415" s="25"/>
      <c r="C1415" s="78" t="s">
        <v>78</v>
      </c>
      <c r="D1415" s="97"/>
      <c r="E1415" s="98"/>
      <c r="F1415" s="98"/>
      <c r="G1415" s="99"/>
      <c r="H1415" s="98"/>
      <c r="I1415" s="98"/>
      <c r="J1415" s="98"/>
      <c r="K1415" s="91"/>
      <c r="L1415" s="91"/>
      <c r="M1415" s="91"/>
      <c r="N1415" s="96" t="b">
        <v>0</v>
      </c>
      <c r="O1415" s="96" t="b">
        <v>0</v>
      </c>
      <c r="P1415" s="92"/>
      <c r="Q1415" s="92"/>
      <c r="R1415" s="92"/>
      <c r="S1415" s="92"/>
      <c r="T1415" s="92"/>
      <c r="U1415" s="92"/>
      <c r="V1415" s="92"/>
      <c r="W1415" s="92"/>
      <c r="X1415" s="92"/>
      <c r="Y1415" s="92"/>
      <c r="Z1415" s="92"/>
      <c r="AA1415" s="92"/>
      <c r="AB1415" s="92"/>
      <c r="AC1415" s="92"/>
      <c r="AD1415" s="92"/>
      <c r="AE1415" s="92"/>
      <c r="AF1415" s="92"/>
      <c r="AG1415" s="92"/>
    </row>
    <row r="1416" hidden="1">
      <c r="A1416" s="262"/>
      <c r="B1416" s="25"/>
      <c r="C1416" s="80" t="s">
        <v>78</v>
      </c>
      <c r="D1416" s="97" t="s">
        <v>2582</v>
      </c>
      <c r="E1416" s="257" t="s">
        <v>1876</v>
      </c>
      <c r="F1416" s="257" t="s">
        <v>1877</v>
      </c>
      <c r="G1416" s="41" t="s">
        <v>2553</v>
      </c>
      <c r="H1416" s="98" t="s">
        <v>1878</v>
      </c>
      <c r="I1416" s="98" t="s">
        <v>2861</v>
      </c>
      <c r="J1416" s="98" t="s">
        <v>1880</v>
      </c>
      <c r="K1416" s="91"/>
      <c r="L1416" s="91"/>
      <c r="M1416" s="91"/>
      <c r="N1416" s="96" t="b">
        <v>0</v>
      </c>
      <c r="O1416" s="96" t="b">
        <v>0</v>
      </c>
      <c r="P1416" s="92"/>
      <c r="Q1416" s="92"/>
      <c r="R1416" s="92"/>
      <c r="S1416" s="92"/>
      <c r="T1416" s="92"/>
      <c r="U1416" s="92"/>
      <c r="V1416" s="92"/>
      <c r="W1416" s="92"/>
      <c r="X1416" s="92"/>
      <c r="Y1416" s="92"/>
      <c r="Z1416" s="92"/>
      <c r="AA1416" s="92"/>
      <c r="AB1416" s="92"/>
      <c r="AC1416" s="92"/>
      <c r="AD1416" s="92"/>
      <c r="AE1416" s="92"/>
      <c r="AF1416" s="92"/>
      <c r="AG1416" s="92"/>
    </row>
    <row r="1417" hidden="1">
      <c r="A1417" s="262"/>
      <c r="B1417" s="25"/>
      <c r="C1417" s="80" t="s">
        <v>78</v>
      </c>
      <c r="D1417" s="97" t="s">
        <v>79</v>
      </c>
      <c r="E1417" s="98" t="s">
        <v>2862</v>
      </c>
      <c r="F1417" s="98" t="s">
        <v>2863</v>
      </c>
      <c r="G1417" s="99">
        <v>0.625</v>
      </c>
      <c r="H1417" s="98" t="s">
        <v>2864</v>
      </c>
      <c r="I1417" s="98" t="s">
        <v>2865</v>
      </c>
      <c r="J1417" s="98" t="s">
        <v>2866</v>
      </c>
      <c r="K1417" s="91"/>
      <c r="L1417" s="91"/>
      <c r="M1417" s="91"/>
      <c r="N1417" s="96" t="b">
        <v>0</v>
      </c>
      <c r="O1417" s="96" t="b">
        <v>0</v>
      </c>
      <c r="P1417" s="92"/>
      <c r="Q1417" s="92"/>
      <c r="R1417" s="92"/>
      <c r="S1417" s="92"/>
      <c r="T1417" s="92"/>
      <c r="U1417" s="92"/>
      <c r="V1417" s="92"/>
      <c r="W1417" s="92"/>
      <c r="X1417" s="92"/>
      <c r="Y1417" s="92"/>
      <c r="Z1417" s="92"/>
      <c r="AA1417" s="92"/>
      <c r="AB1417" s="92"/>
      <c r="AC1417" s="92"/>
      <c r="AD1417" s="92"/>
      <c r="AE1417" s="92"/>
      <c r="AF1417" s="92"/>
      <c r="AG1417" s="92"/>
    </row>
    <row r="1418" hidden="1">
      <c r="A1418" s="262"/>
      <c r="B1418" s="25"/>
      <c r="C1418" s="80" t="s">
        <v>78</v>
      </c>
      <c r="D1418" s="97" t="s">
        <v>2582</v>
      </c>
      <c r="E1418" s="257" t="s">
        <v>2867</v>
      </c>
      <c r="F1418" s="257" t="s">
        <v>2868</v>
      </c>
      <c r="G1418" s="41" t="s">
        <v>283</v>
      </c>
      <c r="H1418" s="98" t="s">
        <v>755</v>
      </c>
      <c r="I1418" s="98" t="s">
        <v>2869</v>
      </c>
      <c r="J1418" s="98" t="s">
        <v>2870</v>
      </c>
      <c r="K1418" s="91"/>
      <c r="L1418" s="91"/>
      <c r="M1418" s="91"/>
      <c r="N1418" s="96" t="b">
        <v>0</v>
      </c>
      <c r="O1418" s="96" t="b">
        <v>0</v>
      </c>
      <c r="P1418" s="92"/>
      <c r="Q1418" s="92"/>
      <c r="R1418" s="92"/>
      <c r="S1418" s="92"/>
      <c r="T1418" s="92"/>
      <c r="U1418" s="92"/>
      <c r="V1418" s="92"/>
      <c r="W1418" s="92"/>
      <c r="X1418" s="92"/>
      <c r="Y1418" s="92"/>
      <c r="Z1418" s="92"/>
      <c r="AA1418" s="92"/>
      <c r="AB1418" s="92"/>
      <c r="AC1418" s="92"/>
      <c r="AD1418" s="92"/>
      <c r="AE1418" s="92"/>
      <c r="AF1418" s="92"/>
      <c r="AG1418" s="92"/>
    </row>
    <row r="1419" hidden="1">
      <c r="A1419" s="262"/>
      <c r="B1419" s="39"/>
      <c r="C1419" s="80" t="s">
        <v>78</v>
      </c>
      <c r="D1419" s="97" t="s">
        <v>2582</v>
      </c>
      <c r="E1419" s="261" t="s">
        <v>2871</v>
      </c>
      <c r="F1419" s="261" t="s">
        <v>2872</v>
      </c>
      <c r="G1419" s="136" t="s">
        <v>43</v>
      </c>
      <c r="H1419" s="137" t="s">
        <v>290</v>
      </c>
      <c r="I1419" s="137" t="s">
        <v>2873</v>
      </c>
      <c r="J1419" s="137" t="s">
        <v>2874</v>
      </c>
      <c r="K1419" s="91"/>
      <c r="L1419" s="91"/>
      <c r="M1419" s="91"/>
      <c r="N1419" s="96" t="b">
        <v>0</v>
      </c>
      <c r="O1419" s="96" t="b">
        <v>0</v>
      </c>
      <c r="P1419" s="92"/>
      <c r="Q1419" s="92"/>
      <c r="R1419" s="92"/>
      <c r="S1419" s="92"/>
      <c r="T1419" s="92"/>
      <c r="U1419" s="92"/>
      <c r="V1419" s="92"/>
      <c r="W1419" s="92"/>
      <c r="X1419" s="92"/>
      <c r="Y1419" s="92"/>
      <c r="Z1419" s="92"/>
      <c r="AA1419" s="92"/>
      <c r="AB1419" s="92"/>
      <c r="AC1419" s="92"/>
      <c r="AD1419" s="92"/>
      <c r="AE1419" s="92"/>
      <c r="AF1419" s="92"/>
      <c r="AG1419" s="92"/>
    </row>
    <row r="1420" hidden="1">
      <c r="A1420" s="262"/>
      <c r="B1420" s="166"/>
      <c r="C1420" s="88">
        <v>44488.0</v>
      </c>
      <c r="D1420" s="97"/>
      <c r="E1420" s="98"/>
      <c r="F1420" s="98"/>
      <c r="G1420" s="41"/>
      <c r="H1420" s="98"/>
      <c r="I1420" s="98"/>
      <c r="J1420" s="98"/>
      <c r="K1420" s="91"/>
      <c r="L1420" s="91"/>
      <c r="M1420" s="91"/>
      <c r="N1420" s="96" t="b">
        <v>0</v>
      </c>
      <c r="O1420" s="96" t="b">
        <v>0</v>
      </c>
      <c r="P1420" s="92"/>
      <c r="Q1420" s="92"/>
      <c r="R1420" s="92"/>
      <c r="S1420" s="92"/>
      <c r="T1420" s="92"/>
      <c r="U1420" s="92"/>
      <c r="V1420" s="92"/>
      <c r="W1420" s="92"/>
      <c r="X1420" s="92"/>
      <c r="Y1420" s="92"/>
      <c r="Z1420" s="92"/>
      <c r="AA1420" s="92"/>
      <c r="AB1420" s="92"/>
      <c r="AC1420" s="92"/>
      <c r="AD1420" s="92"/>
      <c r="AE1420" s="92"/>
      <c r="AF1420" s="92"/>
      <c r="AG1420" s="92"/>
    </row>
    <row r="1421" hidden="1">
      <c r="A1421" s="262"/>
      <c r="B1421" s="18" t="s">
        <v>1668</v>
      </c>
      <c r="C1421" s="234"/>
      <c r="D1421" s="97"/>
      <c r="E1421" s="98"/>
      <c r="F1421" s="98"/>
      <c r="G1421" s="41"/>
      <c r="H1421" s="98"/>
      <c r="I1421" s="98"/>
      <c r="J1421" s="98"/>
      <c r="K1421" s="91"/>
      <c r="L1421" s="91"/>
      <c r="M1421" s="91"/>
      <c r="N1421" s="96" t="b">
        <v>0</v>
      </c>
      <c r="O1421" s="96" t="b">
        <v>0</v>
      </c>
      <c r="P1421" s="92"/>
      <c r="Q1421" s="92"/>
      <c r="R1421" s="92"/>
      <c r="S1421" s="92"/>
      <c r="T1421" s="92"/>
      <c r="U1421" s="92"/>
      <c r="V1421" s="92"/>
      <c r="W1421" s="92"/>
      <c r="X1421" s="92"/>
      <c r="Y1421" s="92"/>
      <c r="Z1421" s="92"/>
      <c r="AA1421" s="92"/>
      <c r="AB1421" s="92"/>
      <c r="AC1421" s="92"/>
      <c r="AD1421" s="92"/>
      <c r="AE1421" s="92"/>
      <c r="AF1421" s="92"/>
      <c r="AG1421" s="92"/>
    </row>
    <row r="1422" hidden="1">
      <c r="A1422" s="262"/>
      <c r="B1422" s="25"/>
      <c r="C1422" s="78" t="s">
        <v>78</v>
      </c>
      <c r="D1422" s="97"/>
      <c r="E1422" s="98"/>
      <c r="F1422" s="98"/>
      <c r="G1422" s="41"/>
      <c r="H1422" s="98"/>
      <c r="I1422" s="98"/>
      <c r="J1422" s="98"/>
      <c r="K1422" s="91"/>
      <c r="L1422" s="91"/>
      <c r="M1422" s="91"/>
      <c r="N1422" s="96" t="b">
        <v>0</v>
      </c>
      <c r="O1422" s="96" t="b">
        <v>0</v>
      </c>
      <c r="P1422" s="92"/>
      <c r="Q1422" s="92"/>
      <c r="R1422" s="92"/>
      <c r="S1422" s="92"/>
      <c r="T1422" s="92"/>
      <c r="U1422" s="92"/>
      <c r="V1422" s="92"/>
      <c r="W1422" s="92"/>
      <c r="X1422" s="92"/>
      <c r="Y1422" s="92"/>
      <c r="Z1422" s="92"/>
      <c r="AA1422" s="92"/>
      <c r="AB1422" s="92"/>
      <c r="AC1422" s="92"/>
      <c r="AD1422" s="92"/>
      <c r="AE1422" s="92"/>
      <c r="AF1422" s="92"/>
      <c r="AG1422" s="92"/>
    </row>
    <row r="1423" hidden="1">
      <c r="A1423" s="262"/>
      <c r="B1423" s="25"/>
      <c r="C1423" s="80" t="s">
        <v>78</v>
      </c>
      <c r="D1423" s="97" t="s">
        <v>2744</v>
      </c>
      <c r="E1423" s="257" t="s">
        <v>1056</v>
      </c>
      <c r="F1423" s="257" t="s">
        <v>1057</v>
      </c>
      <c r="G1423" s="41" t="s">
        <v>417</v>
      </c>
      <c r="H1423" s="98" t="s">
        <v>211</v>
      </c>
      <c r="I1423" s="98" t="s">
        <v>2875</v>
      </c>
      <c r="J1423" s="98" t="s">
        <v>2876</v>
      </c>
      <c r="K1423" s="98" t="s">
        <v>2856</v>
      </c>
      <c r="L1423" s="91"/>
      <c r="M1423" s="91"/>
      <c r="N1423" s="96" t="b">
        <v>0</v>
      </c>
      <c r="O1423" s="96" t="b">
        <v>0</v>
      </c>
      <c r="P1423" s="92"/>
      <c r="Q1423" s="92"/>
      <c r="R1423" s="92"/>
      <c r="S1423" s="92"/>
      <c r="T1423" s="92"/>
      <c r="U1423" s="92"/>
      <c r="V1423" s="92"/>
      <c r="W1423" s="92"/>
      <c r="X1423" s="92"/>
      <c r="Y1423" s="92"/>
      <c r="Z1423" s="92"/>
      <c r="AA1423" s="92"/>
      <c r="AB1423" s="92"/>
      <c r="AC1423" s="92"/>
      <c r="AD1423" s="92"/>
      <c r="AE1423" s="92"/>
      <c r="AF1423" s="92"/>
      <c r="AG1423" s="92"/>
    </row>
    <row r="1424" hidden="1">
      <c r="A1424" s="262"/>
      <c r="B1424" s="25"/>
      <c r="C1424" s="80" t="s">
        <v>78</v>
      </c>
      <c r="D1424" s="159" t="s">
        <v>2744</v>
      </c>
      <c r="E1424" s="269" t="s">
        <v>2877</v>
      </c>
      <c r="F1424" s="269" t="s">
        <v>2878</v>
      </c>
      <c r="G1424" s="270" t="s">
        <v>449</v>
      </c>
      <c r="H1424" s="162" t="s">
        <v>82</v>
      </c>
      <c r="I1424" s="162" t="s">
        <v>2879</v>
      </c>
      <c r="J1424" s="162" t="s">
        <v>2880</v>
      </c>
      <c r="K1424" s="91"/>
      <c r="L1424" s="91"/>
      <c r="M1424" s="91"/>
      <c r="N1424" s="96" t="b">
        <v>0</v>
      </c>
      <c r="O1424" s="96" t="b">
        <v>0</v>
      </c>
      <c r="P1424" s="92"/>
      <c r="Q1424" s="92"/>
      <c r="R1424" s="92"/>
      <c r="S1424" s="92"/>
      <c r="T1424" s="92"/>
      <c r="U1424" s="92"/>
      <c r="V1424" s="92"/>
      <c r="W1424" s="92"/>
      <c r="X1424" s="92"/>
      <c r="Y1424" s="92"/>
      <c r="Z1424" s="92"/>
      <c r="AA1424" s="92"/>
      <c r="AB1424" s="92"/>
      <c r="AC1424" s="92"/>
      <c r="AD1424" s="92"/>
      <c r="AE1424" s="92"/>
      <c r="AF1424" s="92"/>
      <c r="AG1424" s="92"/>
    </row>
    <row r="1425" hidden="1">
      <c r="A1425" s="262"/>
      <c r="B1425" s="25"/>
      <c r="C1425" s="80" t="s">
        <v>78</v>
      </c>
      <c r="D1425" s="159" t="s">
        <v>2744</v>
      </c>
      <c r="E1425" s="269" t="s">
        <v>2881</v>
      </c>
      <c r="F1425" s="269" t="s">
        <v>2882</v>
      </c>
      <c r="G1425" s="270" t="s">
        <v>180</v>
      </c>
      <c r="H1425" s="162" t="s">
        <v>82</v>
      </c>
      <c r="I1425" s="162" t="s">
        <v>2883</v>
      </c>
      <c r="J1425" s="162" t="s">
        <v>2884</v>
      </c>
      <c r="K1425" s="98"/>
      <c r="L1425" s="91"/>
      <c r="M1425" s="91"/>
      <c r="N1425" s="96" t="b">
        <v>0</v>
      </c>
      <c r="O1425" s="96" t="b">
        <v>0</v>
      </c>
      <c r="P1425" s="92"/>
      <c r="Q1425" s="92"/>
      <c r="R1425" s="92"/>
      <c r="S1425" s="92"/>
      <c r="T1425" s="92"/>
      <c r="U1425" s="92"/>
      <c r="V1425" s="92"/>
      <c r="W1425" s="92"/>
      <c r="X1425" s="92"/>
      <c r="Y1425" s="92"/>
      <c r="Z1425" s="92"/>
      <c r="AA1425" s="92"/>
      <c r="AB1425" s="92"/>
      <c r="AC1425" s="92"/>
      <c r="AD1425" s="92"/>
      <c r="AE1425" s="92"/>
      <c r="AF1425" s="92"/>
      <c r="AG1425" s="92"/>
    </row>
    <row r="1426" hidden="1">
      <c r="A1426" s="262"/>
      <c r="B1426" s="39"/>
      <c r="C1426" s="80" t="s">
        <v>78</v>
      </c>
      <c r="D1426" s="97" t="s">
        <v>2744</v>
      </c>
      <c r="E1426" s="257" t="s">
        <v>2885</v>
      </c>
      <c r="F1426" s="257" t="s">
        <v>2886</v>
      </c>
      <c r="G1426" s="41" t="s">
        <v>248</v>
      </c>
      <c r="H1426" s="98" t="s">
        <v>211</v>
      </c>
      <c r="I1426" s="98" t="s">
        <v>2887</v>
      </c>
      <c r="J1426" s="98" t="s">
        <v>2888</v>
      </c>
      <c r="K1426" s="98" t="s">
        <v>2889</v>
      </c>
      <c r="L1426" s="91"/>
      <c r="M1426" s="91"/>
      <c r="N1426" s="96" t="b">
        <v>0</v>
      </c>
      <c r="O1426" s="96" t="b">
        <v>0</v>
      </c>
      <c r="P1426" s="92"/>
      <c r="Q1426" s="92"/>
      <c r="R1426" s="92"/>
      <c r="S1426" s="92"/>
      <c r="T1426" s="92"/>
      <c r="U1426" s="92"/>
      <c r="V1426" s="92"/>
      <c r="W1426" s="92"/>
      <c r="X1426" s="92"/>
      <c r="Y1426" s="92"/>
      <c r="Z1426" s="92"/>
      <c r="AA1426" s="92"/>
      <c r="AB1426" s="92"/>
      <c r="AC1426" s="92"/>
      <c r="AD1426" s="92"/>
      <c r="AE1426" s="92"/>
      <c r="AF1426" s="92"/>
      <c r="AG1426" s="92"/>
    </row>
    <row r="1427" hidden="1">
      <c r="A1427" s="262"/>
      <c r="B1427" s="166"/>
      <c r="C1427" s="88">
        <v>44489.0</v>
      </c>
      <c r="D1427" s="97"/>
      <c r="E1427" s="98"/>
      <c r="F1427" s="98"/>
      <c r="G1427" s="41"/>
      <c r="H1427" s="98"/>
      <c r="I1427" s="98"/>
      <c r="J1427" s="98"/>
      <c r="K1427" s="91"/>
      <c r="L1427" s="91"/>
      <c r="M1427" s="91"/>
      <c r="N1427" s="96" t="b">
        <v>0</v>
      </c>
      <c r="O1427" s="96" t="b">
        <v>0</v>
      </c>
      <c r="P1427" s="92"/>
      <c r="Q1427" s="92"/>
      <c r="R1427" s="92"/>
      <c r="S1427" s="92"/>
      <c r="T1427" s="92"/>
      <c r="U1427" s="92"/>
      <c r="V1427" s="92"/>
      <c r="W1427" s="92"/>
      <c r="X1427" s="92"/>
      <c r="Y1427" s="92"/>
      <c r="Z1427" s="92"/>
      <c r="AA1427" s="92"/>
      <c r="AB1427" s="92"/>
      <c r="AC1427" s="92"/>
      <c r="AD1427" s="92"/>
      <c r="AE1427" s="92"/>
      <c r="AF1427" s="92"/>
      <c r="AG1427" s="92"/>
    </row>
    <row r="1428" hidden="1">
      <c r="A1428" s="262"/>
      <c r="B1428" s="18" t="s">
        <v>1668</v>
      </c>
      <c r="C1428" s="234"/>
      <c r="D1428" s="97"/>
      <c r="E1428" s="98"/>
      <c r="F1428" s="98"/>
      <c r="G1428" s="41"/>
      <c r="H1428" s="98"/>
      <c r="I1428" s="98"/>
      <c r="J1428" s="98"/>
      <c r="K1428" s="91"/>
      <c r="L1428" s="91"/>
      <c r="M1428" s="91"/>
      <c r="N1428" s="96" t="b">
        <v>0</v>
      </c>
      <c r="O1428" s="96" t="b">
        <v>0</v>
      </c>
      <c r="P1428" s="92"/>
      <c r="Q1428" s="92"/>
      <c r="R1428" s="92"/>
      <c r="S1428" s="92"/>
      <c r="T1428" s="92"/>
      <c r="U1428" s="92"/>
      <c r="V1428" s="92"/>
      <c r="W1428" s="92"/>
      <c r="X1428" s="92"/>
      <c r="Y1428" s="92"/>
      <c r="Z1428" s="92"/>
      <c r="AA1428" s="92"/>
      <c r="AB1428" s="92"/>
      <c r="AC1428" s="92"/>
      <c r="AD1428" s="92"/>
      <c r="AE1428" s="92"/>
      <c r="AF1428" s="92"/>
      <c r="AG1428" s="92"/>
    </row>
    <row r="1429" hidden="1">
      <c r="A1429" s="262"/>
      <c r="B1429" s="25"/>
      <c r="C1429" s="78" t="s">
        <v>78</v>
      </c>
      <c r="D1429" s="97"/>
      <c r="E1429" s="98"/>
      <c r="F1429" s="98"/>
      <c r="G1429" s="41"/>
      <c r="H1429" s="98"/>
      <c r="I1429" s="98"/>
      <c r="J1429" s="98"/>
      <c r="K1429" s="91"/>
      <c r="L1429" s="91"/>
      <c r="M1429" s="91"/>
      <c r="N1429" s="96" t="b">
        <v>0</v>
      </c>
      <c r="O1429" s="96" t="b">
        <v>0</v>
      </c>
      <c r="P1429" s="92"/>
      <c r="Q1429" s="92"/>
      <c r="R1429" s="92"/>
      <c r="S1429" s="92"/>
      <c r="T1429" s="92"/>
      <c r="U1429" s="92"/>
      <c r="V1429" s="92"/>
      <c r="W1429" s="92"/>
      <c r="X1429" s="92"/>
      <c r="Y1429" s="92"/>
      <c r="Z1429" s="92"/>
      <c r="AA1429" s="92"/>
      <c r="AB1429" s="92"/>
      <c r="AC1429" s="92"/>
      <c r="AD1429" s="92"/>
      <c r="AE1429" s="92"/>
      <c r="AF1429" s="92"/>
      <c r="AG1429" s="92"/>
    </row>
    <row r="1430" hidden="1">
      <c r="A1430" s="262"/>
      <c r="B1430" s="25"/>
      <c r="C1430" s="80" t="s">
        <v>78</v>
      </c>
      <c r="D1430" s="97" t="s">
        <v>2890</v>
      </c>
      <c r="E1430" s="257" t="s">
        <v>2891</v>
      </c>
      <c r="F1430" s="257" t="s">
        <v>2892</v>
      </c>
      <c r="G1430" s="41" t="s">
        <v>449</v>
      </c>
      <c r="H1430" s="98" t="s">
        <v>439</v>
      </c>
      <c r="I1430" s="98" t="s">
        <v>2893</v>
      </c>
      <c r="J1430" s="98" t="s">
        <v>2894</v>
      </c>
      <c r="K1430" s="91"/>
      <c r="L1430" s="91"/>
      <c r="M1430" s="91"/>
      <c r="N1430" s="96" t="b">
        <v>0</v>
      </c>
      <c r="O1430" s="96" t="b">
        <v>0</v>
      </c>
      <c r="P1430" s="92"/>
      <c r="Q1430" s="92"/>
      <c r="R1430" s="92"/>
      <c r="S1430" s="92"/>
      <c r="T1430" s="92"/>
      <c r="U1430" s="92"/>
      <c r="V1430" s="92"/>
      <c r="W1430" s="92"/>
      <c r="X1430" s="92"/>
      <c r="Y1430" s="92"/>
      <c r="Z1430" s="92"/>
      <c r="AA1430" s="92"/>
      <c r="AB1430" s="92"/>
      <c r="AC1430" s="92"/>
      <c r="AD1430" s="92"/>
      <c r="AE1430" s="92"/>
      <c r="AF1430" s="92"/>
      <c r="AG1430" s="92"/>
    </row>
    <row r="1431" hidden="1">
      <c r="A1431" s="262"/>
      <c r="B1431" s="25"/>
      <c r="C1431" s="80" t="s">
        <v>78</v>
      </c>
      <c r="D1431" s="97" t="s">
        <v>2890</v>
      </c>
      <c r="E1431" s="263" t="s">
        <v>2895</v>
      </c>
      <c r="F1431" s="263" t="s">
        <v>2896</v>
      </c>
      <c r="G1431" s="112" t="s">
        <v>180</v>
      </c>
      <c r="H1431" s="109" t="s">
        <v>439</v>
      </c>
      <c r="I1431" s="109" t="s">
        <v>2897</v>
      </c>
      <c r="J1431" s="109" t="s">
        <v>2898</v>
      </c>
      <c r="K1431" s="91"/>
      <c r="L1431" s="91"/>
      <c r="M1431" s="91"/>
      <c r="N1431" s="96" t="b">
        <v>0</v>
      </c>
      <c r="O1431" s="96" t="b">
        <v>0</v>
      </c>
      <c r="P1431" s="92"/>
      <c r="Q1431" s="92"/>
      <c r="R1431" s="92"/>
      <c r="S1431" s="92"/>
      <c r="T1431" s="92"/>
      <c r="U1431" s="92"/>
      <c r="V1431" s="92"/>
      <c r="W1431" s="92"/>
      <c r="X1431" s="92"/>
      <c r="Y1431" s="92"/>
      <c r="Z1431" s="92"/>
      <c r="AA1431" s="92"/>
      <c r="AB1431" s="92"/>
      <c r="AC1431" s="92"/>
      <c r="AD1431" s="92"/>
      <c r="AE1431" s="92"/>
      <c r="AF1431" s="92"/>
      <c r="AG1431" s="92"/>
    </row>
    <row r="1432" hidden="1">
      <c r="A1432" s="262"/>
      <c r="B1432" s="25"/>
      <c r="C1432" s="80" t="s">
        <v>78</v>
      </c>
      <c r="D1432" s="97" t="s">
        <v>2890</v>
      </c>
      <c r="E1432" s="257" t="s">
        <v>2899</v>
      </c>
      <c r="F1432" s="257" t="s">
        <v>2900</v>
      </c>
      <c r="G1432" s="41" t="s">
        <v>248</v>
      </c>
      <c r="H1432" s="98" t="s">
        <v>1275</v>
      </c>
      <c r="I1432" s="98" t="s">
        <v>2901</v>
      </c>
      <c r="J1432" s="257" t="s">
        <v>2902</v>
      </c>
      <c r="K1432" s="91"/>
      <c r="L1432" s="91"/>
      <c r="M1432" s="91"/>
      <c r="N1432" s="96" t="b">
        <v>0</v>
      </c>
      <c r="O1432" s="96" t="b">
        <v>0</v>
      </c>
      <c r="P1432" s="92"/>
      <c r="Q1432" s="92"/>
      <c r="R1432" s="92"/>
      <c r="S1432" s="92"/>
      <c r="T1432" s="92"/>
      <c r="U1432" s="92"/>
      <c r="V1432" s="92"/>
      <c r="W1432" s="92"/>
      <c r="X1432" s="92"/>
      <c r="Y1432" s="92"/>
      <c r="Z1432" s="92"/>
      <c r="AA1432" s="92"/>
      <c r="AB1432" s="92"/>
      <c r="AC1432" s="92"/>
      <c r="AD1432" s="92"/>
      <c r="AE1432" s="92"/>
      <c r="AF1432" s="92"/>
      <c r="AG1432" s="92"/>
    </row>
    <row r="1433" hidden="1">
      <c r="A1433" s="262"/>
      <c r="B1433" s="39"/>
      <c r="C1433" s="80" t="s">
        <v>78</v>
      </c>
      <c r="D1433" s="97"/>
      <c r="E1433" s="257"/>
      <c r="F1433" s="257"/>
      <c r="G1433" s="41"/>
      <c r="H1433" s="98"/>
      <c r="I1433" s="98"/>
      <c r="J1433" s="98"/>
      <c r="K1433" s="91"/>
      <c r="L1433" s="91"/>
      <c r="M1433" s="91"/>
      <c r="N1433" s="96" t="b">
        <v>0</v>
      </c>
      <c r="O1433" s="96" t="b">
        <v>0</v>
      </c>
      <c r="P1433" s="92"/>
      <c r="Q1433" s="92"/>
      <c r="R1433" s="92"/>
      <c r="S1433" s="92"/>
      <c r="T1433" s="92"/>
      <c r="U1433" s="92"/>
      <c r="V1433" s="92"/>
      <c r="W1433" s="92"/>
      <c r="X1433" s="92"/>
      <c r="Y1433" s="92"/>
      <c r="Z1433" s="92"/>
      <c r="AA1433" s="92"/>
      <c r="AB1433" s="92"/>
      <c r="AC1433" s="92"/>
      <c r="AD1433" s="92"/>
      <c r="AE1433" s="92"/>
      <c r="AF1433" s="92"/>
      <c r="AG1433" s="92"/>
    </row>
    <row r="1434" hidden="1">
      <c r="A1434" s="262"/>
      <c r="B1434" s="166"/>
      <c r="C1434" s="88">
        <v>44490.0</v>
      </c>
      <c r="D1434" s="97"/>
      <c r="E1434" s="98"/>
      <c r="F1434" s="98"/>
      <c r="G1434" s="41"/>
      <c r="H1434" s="98"/>
      <c r="I1434" s="98"/>
      <c r="J1434" s="98"/>
      <c r="K1434" s="91"/>
      <c r="L1434" s="91"/>
      <c r="M1434" s="91"/>
      <c r="N1434" s="96" t="b">
        <v>0</v>
      </c>
      <c r="O1434" s="96" t="b">
        <v>0</v>
      </c>
      <c r="P1434" s="92"/>
      <c r="Q1434" s="92"/>
      <c r="R1434" s="92"/>
      <c r="S1434" s="92"/>
      <c r="T1434" s="92"/>
      <c r="U1434" s="92"/>
      <c r="V1434" s="92"/>
      <c r="W1434" s="92"/>
      <c r="X1434" s="92"/>
      <c r="Y1434" s="92"/>
      <c r="Z1434" s="92"/>
      <c r="AA1434" s="92"/>
      <c r="AB1434" s="92"/>
      <c r="AC1434" s="92"/>
      <c r="AD1434" s="92"/>
      <c r="AE1434" s="92"/>
      <c r="AF1434" s="92"/>
      <c r="AG1434" s="92"/>
    </row>
    <row r="1435" hidden="1">
      <c r="A1435" s="262"/>
      <c r="B1435" s="18" t="s">
        <v>1668</v>
      </c>
      <c r="C1435" s="234"/>
      <c r="D1435" s="97"/>
      <c r="E1435" s="98"/>
      <c r="F1435" s="98"/>
      <c r="G1435" s="99"/>
      <c r="H1435" s="98"/>
      <c r="I1435" s="98"/>
      <c r="J1435" s="98"/>
      <c r="K1435" s="91"/>
      <c r="L1435" s="91"/>
      <c r="M1435" s="91"/>
      <c r="N1435" s="96" t="b">
        <v>0</v>
      </c>
      <c r="O1435" s="96" t="b">
        <v>0</v>
      </c>
      <c r="P1435" s="92"/>
      <c r="Q1435" s="92"/>
      <c r="R1435" s="92"/>
      <c r="S1435" s="92"/>
      <c r="T1435" s="92"/>
      <c r="U1435" s="92"/>
      <c r="V1435" s="92"/>
      <c r="W1435" s="92"/>
      <c r="X1435" s="92"/>
      <c r="Y1435" s="92"/>
      <c r="Z1435" s="92"/>
      <c r="AA1435" s="92"/>
      <c r="AB1435" s="92"/>
      <c r="AC1435" s="92"/>
      <c r="AD1435" s="92"/>
      <c r="AE1435" s="92"/>
      <c r="AF1435" s="92"/>
      <c r="AG1435" s="92"/>
    </row>
    <row r="1436" hidden="1">
      <c r="A1436" s="262"/>
      <c r="B1436" s="25"/>
      <c r="C1436" s="78" t="s">
        <v>78</v>
      </c>
      <c r="D1436" s="102" t="s">
        <v>79</v>
      </c>
      <c r="E1436" s="269" t="s">
        <v>2638</v>
      </c>
      <c r="F1436" s="269" t="s">
        <v>2639</v>
      </c>
      <c r="G1436" s="161">
        <v>0.5833333333333334</v>
      </c>
      <c r="H1436" s="162" t="s">
        <v>258</v>
      </c>
      <c r="I1436" s="162" t="s">
        <v>2903</v>
      </c>
      <c r="J1436" s="269" t="s">
        <v>2641</v>
      </c>
      <c r="K1436" s="91"/>
      <c r="L1436" s="91"/>
      <c r="M1436" s="91"/>
      <c r="N1436" s="96" t="b">
        <v>0</v>
      </c>
      <c r="O1436" s="96" t="b">
        <v>0</v>
      </c>
      <c r="P1436" s="92"/>
      <c r="Q1436" s="92"/>
      <c r="R1436" s="92"/>
      <c r="S1436" s="92"/>
      <c r="T1436" s="92"/>
      <c r="U1436" s="92"/>
      <c r="V1436" s="92"/>
      <c r="W1436" s="92"/>
      <c r="X1436" s="92"/>
      <c r="Y1436" s="92"/>
      <c r="Z1436" s="92"/>
      <c r="AA1436" s="92"/>
      <c r="AB1436" s="92"/>
      <c r="AC1436" s="92"/>
      <c r="AD1436" s="92"/>
      <c r="AE1436" s="92"/>
      <c r="AF1436" s="92"/>
      <c r="AG1436" s="92"/>
    </row>
    <row r="1437" hidden="1">
      <c r="A1437" s="262"/>
      <c r="B1437" s="25"/>
      <c r="C1437" s="80" t="s">
        <v>78</v>
      </c>
      <c r="D1437" s="97" t="s">
        <v>79</v>
      </c>
      <c r="E1437" s="257" t="s">
        <v>2904</v>
      </c>
      <c r="F1437" s="257" t="s">
        <v>2905</v>
      </c>
      <c r="G1437" s="99">
        <v>0.6666666666666666</v>
      </c>
      <c r="H1437" s="98" t="s">
        <v>258</v>
      </c>
      <c r="I1437" s="98" t="s">
        <v>2906</v>
      </c>
      <c r="J1437" s="98" t="s">
        <v>2490</v>
      </c>
      <c r="K1437" s="98" t="s">
        <v>2856</v>
      </c>
      <c r="L1437" s="91"/>
      <c r="M1437" s="91"/>
      <c r="N1437" s="96" t="b">
        <v>0</v>
      </c>
      <c r="O1437" s="96" t="b">
        <v>0</v>
      </c>
      <c r="P1437" s="92"/>
      <c r="Q1437" s="92"/>
      <c r="R1437" s="92"/>
      <c r="S1437" s="92"/>
      <c r="T1437" s="92"/>
      <c r="U1437" s="92"/>
      <c r="V1437" s="92"/>
      <c r="W1437" s="92"/>
      <c r="X1437" s="92"/>
      <c r="Y1437" s="92"/>
      <c r="Z1437" s="92"/>
      <c r="AA1437" s="92"/>
      <c r="AB1437" s="92"/>
      <c r="AC1437" s="92"/>
      <c r="AD1437" s="92"/>
      <c r="AE1437" s="92"/>
      <c r="AF1437" s="92"/>
      <c r="AG1437" s="92"/>
    </row>
    <row r="1438" hidden="1">
      <c r="A1438" s="262"/>
      <c r="B1438" s="25"/>
      <c r="C1438" s="80" t="s">
        <v>78</v>
      </c>
      <c r="D1438" s="97" t="s">
        <v>79</v>
      </c>
      <c r="E1438" s="257" t="s">
        <v>1017</v>
      </c>
      <c r="F1438" s="257" t="s">
        <v>1018</v>
      </c>
      <c r="G1438" s="99">
        <v>0.75</v>
      </c>
      <c r="H1438" s="98" t="s">
        <v>424</v>
      </c>
      <c r="I1438" s="98" t="s">
        <v>2907</v>
      </c>
      <c r="J1438" s="257" t="s">
        <v>1020</v>
      </c>
      <c r="K1438" s="98" t="s">
        <v>2856</v>
      </c>
      <c r="L1438" s="91"/>
      <c r="M1438" s="91"/>
      <c r="N1438" s="96" t="b">
        <v>0</v>
      </c>
      <c r="O1438" s="96" t="b">
        <v>0</v>
      </c>
      <c r="P1438" s="92"/>
      <c r="Q1438" s="92"/>
      <c r="R1438" s="92"/>
      <c r="S1438" s="92"/>
      <c r="T1438" s="92"/>
      <c r="U1438" s="92"/>
      <c r="V1438" s="92"/>
      <c r="W1438" s="92"/>
      <c r="X1438" s="92"/>
      <c r="Y1438" s="92"/>
      <c r="Z1438" s="92"/>
      <c r="AA1438" s="92"/>
      <c r="AB1438" s="92"/>
      <c r="AC1438" s="92"/>
      <c r="AD1438" s="92"/>
      <c r="AE1438" s="92"/>
      <c r="AF1438" s="92"/>
      <c r="AG1438" s="92"/>
    </row>
    <row r="1439" hidden="1">
      <c r="A1439" s="262"/>
      <c r="B1439" s="25"/>
      <c r="C1439" s="80" t="s">
        <v>78</v>
      </c>
      <c r="D1439" s="97" t="s">
        <v>79</v>
      </c>
      <c r="E1439" s="269" t="s">
        <v>41</v>
      </c>
      <c r="F1439" s="269" t="s">
        <v>42</v>
      </c>
      <c r="G1439" s="161">
        <v>0.8125</v>
      </c>
      <c r="H1439" s="162" t="s">
        <v>424</v>
      </c>
      <c r="I1439" s="162" t="s">
        <v>2908</v>
      </c>
      <c r="J1439" s="269" t="s">
        <v>45</v>
      </c>
      <c r="K1439" s="91"/>
      <c r="L1439" s="91"/>
      <c r="M1439" s="91"/>
      <c r="N1439" s="96" t="b">
        <v>0</v>
      </c>
      <c r="O1439" s="96" t="b">
        <v>0</v>
      </c>
      <c r="P1439" s="92"/>
      <c r="Q1439" s="92"/>
      <c r="R1439" s="92"/>
      <c r="S1439" s="92"/>
      <c r="T1439" s="92"/>
      <c r="U1439" s="92"/>
      <c r="V1439" s="92"/>
      <c r="W1439" s="92"/>
      <c r="X1439" s="92"/>
      <c r="Y1439" s="92"/>
      <c r="Z1439" s="92"/>
      <c r="AA1439" s="92"/>
      <c r="AB1439" s="92"/>
      <c r="AC1439" s="92"/>
      <c r="AD1439" s="92"/>
      <c r="AE1439" s="92"/>
      <c r="AF1439" s="92"/>
      <c r="AG1439" s="92"/>
    </row>
    <row r="1440" hidden="1">
      <c r="A1440" s="262"/>
      <c r="B1440" s="39"/>
      <c r="C1440" s="80" t="s">
        <v>78</v>
      </c>
      <c r="D1440" s="97"/>
      <c r="E1440" s="98"/>
      <c r="F1440" s="98"/>
      <c r="G1440" s="41"/>
      <c r="H1440" s="98"/>
      <c r="I1440" s="98"/>
      <c r="J1440" s="98"/>
      <c r="K1440" s="91"/>
      <c r="L1440" s="91"/>
      <c r="M1440" s="91"/>
      <c r="N1440" s="96" t="b">
        <v>0</v>
      </c>
      <c r="O1440" s="96" t="b">
        <v>0</v>
      </c>
      <c r="P1440" s="92"/>
      <c r="Q1440" s="92"/>
      <c r="R1440" s="92"/>
      <c r="S1440" s="92"/>
      <c r="T1440" s="92"/>
      <c r="U1440" s="92"/>
      <c r="V1440" s="92"/>
      <c r="W1440" s="92"/>
      <c r="X1440" s="92"/>
      <c r="Y1440" s="92"/>
      <c r="Z1440" s="92"/>
      <c r="AA1440" s="92"/>
      <c r="AB1440" s="92"/>
      <c r="AC1440" s="92"/>
      <c r="AD1440" s="92"/>
      <c r="AE1440" s="92"/>
      <c r="AF1440" s="92"/>
      <c r="AG1440" s="92"/>
    </row>
    <row r="1441" hidden="1">
      <c r="A1441" s="262"/>
      <c r="B1441" s="166"/>
      <c r="C1441" s="88">
        <v>44491.0</v>
      </c>
      <c r="D1441" s="97"/>
      <c r="E1441" s="98"/>
      <c r="F1441" s="98"/>
      <c r="G1441" s="41"/>
      <c r="H1441" s="98"/>
      <c r="I1441" s="98"/>
      <c r="J1441" s="98"/>
      <c r="K1441" s="91"/>
      <c r="L1441" s="91"/>
      <c r="M1441" s="91"/>
      <c r="N1441" s="96" t="b">
        <v>0</v>
      </c>
      <c r="O1441" s="96" t="b">
        <v>0</v>
      </c>
      <c r="P1441" s="92"/>
      <c r="Q1441" s="92"/>
      <c r="R1441" s="92"/>
      <c r="S1441" s="92"/>
      <c r="T1441" s="92"/>
      <c r="U1441" s="92"/>
      <c r="V1441" s="92"/>
      <c r="W1441" s="92"/>
      <c r="X1441" s="92"/>
      <c r="Y1441" s="92"/>
      <c r="Z1441" s="92"/>
      <c r="AA1441" s="92"/>
      <c r="AB1441" s="92"/>
      <c r="AC1441" s="92"/>
      <c r="AD1441" s="92"/>
      <c r="AE1441" s="92"/>
      <c r="AF1441" s="92"/>
      <c r="AG1441" s="92"/>
    </row>
    <row r="1442" hidden="1">
      <c r="A1442" s="262"/>
      <c r="B1442" s="18" t="s">
        <v>1668</v>
      </c>
      <c r="C1442" s="234"/>
      <c r="D1442" s="97"/>
      <c r="E1442" s="98"/>
      <c r="F1442" s="98"/>
      <c r="G1442" s="41"/>
      <c r="H1442" s="98"/>
      <c r="I1442" s="98"/>
      <c r="J1442" s="98"/>
      <c r="K1442" s="91"/>
      <c r="L1442" s="91"/>
      <c r="M1442" s="91"/>
      <c r="N1442" s="96" t="b">
        <v>0</v>
      </c>
      <c r="O1442" s="96" t="b">
        <v>0</v>
      </c>
      <c r="P1442" s="92"/>
      <c r="Q1442" s="92"/>
      <c r="R1442" s="92"/>
      <c r="S1442" s="92"/>
      <c r="T1442" s="92"/>
      <c r="U1442" s="92"/>
      <c r="V1442" s="92"/>
      <c r="W1442" s="92"/>
      <c r="X1442" s="92"/>
      <c r="Y1442" s="92"/>
      <c r="Z1442" s="92"/>
      <c r="AA1442" s="92"/>
      <c r="AB1442" s="92"/>
      <c r="AC1442" s="92"/>
      <c r="AD1442" s="92"/>
      <c r="AE1442" s="92"/>
      <c r="AF1442" s="92"/>
      <c r="AG1442" s="92"/>
    </row>
    <row r="1443" hidden="1">
      <c r="A1443" s="262"/>
      <c r="B1443" s="25"/>
      <c r="C1443" s="78" t="s">
        <v>78</v>
      </c>
      <c r="D1443" s="97"/>
      <c r="E1443" s="98"/>
      <c r="F1443" s="98"/>
      <c r="G1443" s="41"/>
      <c r="H1443" s="98"/>
      <c r="I1443" s="98"/>
      <c r="J1443" s="98"/>
      <c r="K1443" s="91"/>
      <c r="L1443" s="91"/>
      <c r="M1443" s="91"/>
      <c r="N1443" s="96" t="b">
        <v>0</v>
      </c>
      <c r="O1443" s="96" t="b">
        <v>0</v>
      </c>
      <c r="P1443" s="92"/>
      <c r="Q1443" s="92"/>
      <c r="R1443" s="92"/>
      <c r="S1443" s="92"/>
      <c r="T1443" s="92"/>
      <c r="U1443" s="92"/>
      <c r="V1443" s="92"/>
      <c r="W1443" s="92"/>
      <c r="X1443" s="92"/>
      <c r="Y1443" s="92"/>
      <c r="Z1443" s="92"/>
      <c r="AA1443" s="92"/>
      <c r="AB1443" s="92"/>
      <c r="AC1443" s="92"/>
      <c r="AD1443" s="92"/>
      <c r="AE1443" s="92"/>
      <c r="AF1443" s="92"/>
      <c r="AG1443" s="92"/>
    </row>
    <row r="1444" hidden="1">
      <c r="A1444" s="262"/>
      <c r="B1444" s="25"/>
      <c r="C1444" s="80" t="s">
        <v>78</v>
      </c>
      <c r="D1444" s="268"/>
      <c r="E1444" s="43"/>
      <c r="F1444" s="43"/>
      <c r="G1444" s="272"/>
      <c r="L1444" s="91"/>
      <c r="M1444" s="91"/>
      <c r="N1444" s="96" t="b">
        <v>0</v>
      </c>
      <c r="O1444" s="96" t="b">
        <v>0</v>
      </c>
      <c r="P1444" s="92"/>
      <c r="Q1444" s="92"/>
      <c r="R1444" s="92"/>
      <c r="S1444" s="92"/>
      <c r="T1444" s="92"/>
      <c r="U1444" s="92"/>
      <c r="V1444" s="92"/>
      <c r="W1444" s="92"/>
      <c r="X1444" s="92"/>
      <c r="Y1444" s="92"/>
      <c r="Z1444" s="92"/>
      <c r="AA1444" s="92"/>
      <c r="AB1444" s="92"/>
      <c r="AC1444" s="92"/>
      <c r="AD1444" s="92"/>
      <c r="AE1444" s="92"/>
      <c r="AF1444" s="92"/>
      <c r="AG1444" s="92"/>
    </row>
    <row r="1445" hidden="1">
      <c r="A1445" s="262"/>
      <c r="B1445" s="25"/>
      <c r="C1445" s="80" t="s">
        <v>78</v>
      </c>
      <c r="D1445" s="159" t="s">
        <v>2890</v>
      </c>
      <c r="E1445" s="273" t="s">
        <v>2909</v>
      </c>
      <c r="F1445" s="273" t="s">
        <v>2910</v>
      </c>
      <c r="G1445" s="270" t="s">
        <v>449</v>
      </c>
      <c r="H1445" s="162" t="s">
        <v>290</v>
      </c>
      <c r="I1445" s="162" t="s">
        <v>2911</v>
      </c>
      <c r="J1445" s="162" t="s">
        <v>2912</v>
      </c>
      <c r="K1445" s="98" t="s">
        <v>2913</v>
      </c>
      <c r="L1445" s="91"/>
      <c r="M1445" s="91"/>
      <c r="N1445" s="96" t="b">
        <v>0</v>
      </c>
      <c r="O1445" s="96" t="b">
        <v>0</v>
      </c>
      <c r="P1445" s="92"/>
      <c r="Q1445" s="92"/>
      <c r="R1445" s="92"/>
      <c r="S1445" s="92"/>
      <c r="T1445" s="92"/>
      <c r="U1445" s="92"/>
      <c r="V1445" s="92"/>
      <c r="W1445" s="92"/>
      <c r="X1445" s="92"/>
      <c r="Y1445" s="92"/>
      <c r="Z1445" s="92"/>
      <c r="AA1445" s="92"/>
      <c r="AB1445" s="92"/>
      <c r="AC1445" s="92"/>
      <c r="AD1445" s="92"/>
      <c r="AE1445" s="92"/>
      <c r="AF1445" s="92"/>
      <c r="AG1445" s="92"/>
    </row>
    <row r="1446" hidden="1">
      <c r="A1446" s="262"/>
      <c r="B1446" s="25"/>
      <c r="C1446" s="80" t="s">
        <v>78</v>
      </c>
      <c r="D1446" s="107" t="s">
        <v>79</v>
      </c>
      <c r="E1446" s="184" t="s">
        <v>2437</v>
      </c>
      <c r="F1446" s="184" t="s">
        <v>2438</v>
      </c>
      <c r="G1446" s="108">
        <v>0.6458333333333334</v>
      </c>
      <c r="H1446" s="109" t="s">
        <v>755</v>
      </c>
      <c r="I1446" s="109" t="s">
        <v>2439</v>
      </c>
      <c r="J1446" s="263" t="s">
        <v>2440</v>
      </c>
      <c r="K1446" s="111"/>
      <c r="L1446" s="98" t="s">
        <v>2914</v>
      </c>
      <c r="M1446" s="91"/>
      <c r="N1446" s="96" t="b">
        <v>0</v>
      </c>
      <c r="O1446" s="96" t="b">
        <v>0</v>
      </c>
      <c r="P1446" s="92"/>
      <c r="Q1446" s="92"/>
      <c r="R1446" s="92"/>
      <c r="S1446" s="92"/>
      <c r="T1446" s="92"/>
      <c r="U1446" s="92"/>
      <c r="V1446" s="92"/>
      <c r="W1446" s="92"/>
      <c r="X1446" s="92"/>
      <c r="Y1446" s="92"/>
      <c r="Z1446" s="92"/>
      <c r="AA1446" s="92"/>
      <c r="AB1446" s="92"/>
      <c r="AC1446" s="92"/>
      <c r="AD1446" s="92"/>
      <c r="AE1446" s="92"/>
      <c r="AF1446" s="92"/>
      <c r="AG1446" s="92"/>
    </row>
    <row r="1447" hidden="1">
      <c r="A1447" s="262"/>
      <c r="B1447" s="39"/>
      <c r="C1447" s="80" t="s">
        <v>78</v>
      </c>
      <c r="D1447" s="159" t="s">
        <v>79</v>
      </c>
      <c r="E1447" s="274" t="s">
        <v>1367</v>
      </c>
      <c r="F1447" s="274" t="s">
        <v>1368</v>
      </c>
      <c r="G1447" s="161">
        <v>0.7083333333333334</v>
      </c>
      <c r="H1447" s="162" t="s">
        <v>290</v>
      </c>
      <c r="I1447" s="162" t="s">
        <v>2915</v>
      </c>
      <c r="J1447" s="162" t="s">
        <v>301</v>
      </c>
      <c r="K1447" s="98" t="s">
        <v>1145</v>
      </c>
      <c r="L1447" s="91"/>
      <c r="M1447" s="91"/>
      <c r="N1447" s="96" t="b">
        <v>0</v>
      </c>
      <c r="O1447" s="96" t="b">
        <v>0</v>
      </c>
      <c r="P1447" s="92"/>
      <c r="Q1447" s="92"/>
      <c r="R1447" s="92"/>
      <c r="S1447" s="92"/>
      <c r="T1447" s="92"/>
      <c r="U1447" s="92"/>
      <c r="V1447" s="92"/>
      <c r="W1447" s="92"/>
      <c r="X1447" s="92"/>
      <c r="Y1447" s="92"/>
      <c r="Z1447" s="92"/>
      <c r="AA1447" s="92"/>
      <c r="AB1447" s="92"/>
      <c r="AC1447" s="92"/>
      <c r="AD1447" s="92"/>
      <c r="AE1447" s="92"/>
      <c r="AF1447" s="92"/>
      <c r="AG1447" s="92"/>
    </row>
    <row r="1448" hidden="1">
      <c r="A1448" s="262"/>
      <c r="B1448" s="166"/>
      <c r="C1448" s="88">
        <v>44494.0</v>
      </c>
      <c r="D1448" s="97"/>
      <c r="E1448" s="98"/>
      <c r="F1448" s="98"/>
      <c r="G1448" s="99"/>
      <c r="H1448" s="98"/>
      <c r="I1448" s="98"/>
      <c r="J1448" s="98"/>
      <c r="K1448" s="91"/>
      <c r="L1448" s="91"/>
      <c r="M1448" s="91"/>
      <c r="N1448" s="96" t="b">
        <v>0</v>
      </c>
      <c r="O1448" s="96" t="b">
        <v>0</v>
      </c>
      <c r="P1448" s="92"/>
      <c r="Q1448" s="92"/>
      <c r="R1448" s="92"/>
      <c r="S1448" s="92"/>
      <c r="T1448" s="92"/>
      <c r="U1448" s="92"/>
      <c r="V1448" s="92"/>
      <c r="W1448" s="92"/>
      <c r="X1448" s="92"/>
      <c r="Y1448" s="92"/>
      <c r="Z1448" s="92"/>
      <c r="AA1448" s="92"/>
      <c r="AB1448" s="92"/>
      <c r="AC1448" s="92"/>
      <c r="AD1448" s="92"/>
      <c r="AE1448" s="92"/>
      <c r="AF1448" s="92"/>
      <c r="AG1448" s="92"/>
    </row>
    <row r="1449" hidden="1">
      <c r="A1449" s="262"/>
      <c r="B1449" s="18" t="s">
        <v>1668</v>
      </c>
      <c r="C1449" s="234"/>
      <c r="D1449" s="97"/>
      <c r="E1449" s="98"/>
      <c r="F1449" s="98"/>
      <c r="G1449" s="41"/>
      <c r="H1449" s="98"/>
      <c r="I1449" s="98"/>
      <c r="J1449" s="98"/>
      <c r="K1449" s="91"/>
      <c r="L1449" s="91"/>
      <c r="M1449" s="91"/>
      <c r="N1449" s="96" t="b">
        <v>0</v>
      </c>
      <c r="O1449" s="96" t="b">
        <v>0</v>
      </c>
      <c r="P1449" s="92"/>
      <c r="Q1449" s="92"/>
      <c r="R1449" s="92"/>
      <c r="S1449" s="92"/>
      <c r="T1449" s="92"/>
      <c r="U1449" s="92"/>
      <c r="V1449" s="92"/>
      <c r="W1449" s="92"/>
      <c r="X1449" s="92"/>
      <c r="Y1449" s="92"/>
      <c r="Z1449" s="92"/>
      <c r="AA1449" s="92"/>
      <c r="AB1449" s="92"/>
      <c r="AC1449" s="92"/>
      <c r="AD1449" s="92"/>
      <c r="AE1449" s="92"/>
      <c r="AF1449" s="92"/>
      <c r="AG1449" s="92"/>
    </row>
    <row r="1450" hidden="1">
      <c r="A1450" s="262"/>
      <c r="B1450" s="25"/>
      <c r="C1450" s="78" t="s">
        <v>78</v>
      </c>
      <c r="D1450" s="97" t="s">
        <v>79</v>
      </c>
      <c r="E1450" s="183" t="s">
        <v>2916</v>
      </c>
      <c r="F1450" s="183" t="s">
        <v>2917</v>
      </c>
      <c r="G1450" s="99">
        <v>0.4583333333333333</v>
      </c>
      <c r="H1450" s="98" t="s">
        <v>2918</v>
      </c>
      <c r="I1450" s="98" t="s">
        <v>2919</v>
      </c>
      <c r="J1450" s="257" t="s">
        <v>2920</v>
      </c>
      <c r="K1450" s="91"/>
      <c r="L1450" s="91"/>
      <c r="M1450" s="91"/>
      <c r="N1450" s="96" t="b">
        <v>0</v>
      </c>
      <c r="O1450" s="96" t="b">
        <v>0</v>
      </c>
      <c r="P1450" s="92"/>
      <c r="Q1450" s="92"/>
      <c r="R1450" s="92"/>
      <c r="S1450" s="92"/>
      <c r="T1450" s="92"/>
      <c r="U1450" s="92"/>
      <c r="V1450" s="92"/>
      <c r="W1450" s="92"/>
      <c r="X1450" s="92"/>
      <c r="Y1450" s="92"/>
      <c r="Z1450" s="92"/>
      <c r="AA1450" s="92"/>
      <c r="AB1450" s="92"/>
      <c r="AC1450" s="92"/>
      <c r="AD1450" s="92"/>
      <c r="AE1450" s="92"/>
      <c r="AF1450" s="92"/>
      <c r="AG1450" s="92"/>
    </row>
    <row r="1451" hidden="1">
      <c r="A1451" s="262"/>
      <c r="B1451" s="25"/>
      <c r="C1451" s="80" t="s">
        <v>78</v>
      </c>
      <c r="D1451" s="97" t="s">
        <v>2582</v>
      </c>
      <c r="E1451" s="183" t="s">
        <v>2921</v>
      </c>
      <c r="F1451" s="183" t="s">
        <v>2922</v>
      </c>
      <c r="G1451" s="41" t="s">
        <v>449</v>
      </c>
      <c r="H1451" s="98" t="s">
        <v>2923</v>
      </c>
      <c r="I1451" s="98" t="s">
        <v>2924</v>
      </c>
      <c r="J1451" s="98" t="s">
        <v>2925</v>
      </c>
      <c r="K1451" s="91"/>
      <c r="L1451" s="91"/>
      <c r="M1451" s="91"/>
      <c r="N1451" s="96" t="b">
        <v>0</v>
      </c>
      <c r="O1451" s="96" t="b">
        <v>0</v>
      </c>
      <c r="P1451" s="92"/>
      <c r="Q1451" s="92"/>
      <c r="R1451" s="92"/>
      <c r="S1451" s="92"/>
      <c r="T1451" s="92"/>
      <c r="U1451" s="92"/>
      <c r="V1451" s="92"/>
      <c r="W1451" s="92"/>
      <c r="X1451" s="92"/>
      <c r="Y1451" s="92"/>
      <c r="Z1451" s="92"/>
      <c r="AA1451" s="92"/>
      <c r="AB1451" s="92"/>
      <c r="AC1451" s="92"/>
      <c r="AD1451" s="92"/>
      <c r="AE1451" s="92"/>
      <c r="AF1451" s="92"/>
      <c r="AG1451" s="92"/>
    </row>
    <row r="1452" hidden="1">
      <c r="A1452" s="262"/>
      <c r="B1452" s="25"/>
      <c r="C1452" s="80" t="s">
        <v>78</v>
      </c>
      <c r="D1452" s="97" t="s">
        <v>2582</v>
      </c>
      <c r="E1452" s="183" t="s">
        <v>2926</v>
      </c>
      <c r="F1452" s="183" t="s">
        <v>2927</v>
      </c>
      <c r="G1452" s="41" t="s">
        <v>180</v>
      </c>
      <c r="H1452" s="98" t="s">
        <v>1537</v>
      </c>
      <c r="I1452" s="98" t="s">
        <v>2928</v>
      </c>
      <c r="J1452" s="98" t="s">
        <v>2929</v>
      </c>
      <c r="K1452" s="91"/>
      <c r="L1452" s="91"/>
      <c r="M1452" s="91"/>
      <c r="N1452" s="96" t="b">
        <v>0</v>
      </c>
      <c r="O1452" s="96" t="b">
        <v>0</v>
      </c>
      <c r="P1452" s="92"/>
      <c r="Q1452" s="92"/>
      <c r="R1452" s="92"/>
      <c r="S1452" s="92"/>
      <c r="T1452" s="92"/>
      <c r="U1452" s="92"/>
      <c r="V1452" s="92"/>
      <c r="W1452" s="92"/>
      <c r="X1452" s="92"/>
      <c r="Y1452" s="92"/>
      <c r="Z1452" s="92"/>
      <c r="AA1452" s="92"/>
      <c r="AB1452" s="92"/>
      <c r="AC1452" s="92"/>
      <c r="AD1452" s="92"/>
      <c r="AE1452" s="92"/>
      <c r="AF1452" s="92"/>
      <c r="AG1452" s="92"/>
    </row>
    <row r="1453" hidden="1">
      <c r="A1453" s="262"/>
      <c r="B1453" s="25"/>
      <c r="C1453" s="80" t="s">
        <v>78</v>
      </c>
      <c r="D1453" s="97"/>
      <c r="E1453" s="98"/>
      <c r="F1453" s="98"/>
      <c r="G1453" s="99"/>
      <c r="H1453" s="98"/>
      <c r="I1453" s="98"/>
      <c r="J1453" s="98"/>
      <c r="K1453" s="91"/>
      <c r="L1453" s="91"/>
      <c r="M1453" s="91"/>
      <c r="N1453" s="96" t="b">
        <v>0</v>
      </c>
      <c r="O1453" s="96" t="b">
        <v>0</v>
      </c>
      <c r="P1453" s="92"/>
      <c r="Q1453" s="92"/>
      <c r="R1453" s="92"/>
      <c r="S1453" s="92"/>
      <c r="T1453" s="92"/>
      <c r="U1453" s="92"/>
      <c r="V1453" s="92"/>
      <c r="W1453" s="92"/>
      <c r="X1453" s="92"/>
      <c r="Y1453" s="92"/>
      <c r="Z1453" s="92"/>
      <c r="AA1453" s="92"/>
      <c r="AB1453" s="92"/>
      <c r="AC1453" s="92"/>
      <c r="AD1453" s="92"/>
      <c r="AE1453" s="92"/>
      <c r="AF1453" s="92"/>
      <c r="AG1453" s="92"/>
    </row>
    <row r="1454" hidden="1">
      <c r="A1454" s="262"/>
      <c r="B1454" s="39"/>
      <c r="C1454" s="80" t="s">
        <v>78</v>
      </c>
      <c r="D1454" s="181"/>
      <c r="E1454" s="43"/>
      <c r="F1454" s="43"/>
      <c r="G1454" s="43"/>
      <c r="H1454" s="43"/>
      <c r="I1454" s="43"/>
      <c r="J1454" s="43"/>
      <c r="K1454" s="43"/>
      <c r="L1454" s="43"/>
      <c r="M1454" s="43"/>
      <c r="N1454" s="96" t="b">
        <v>0</v>
      </c>
      <c r="O1454" s="96" t="b">
        <v>0</v>
      </c>
      <c r="P1454" s="92"/>
      <c r="Q1454" s="92"/>
      <c r="R1454" s="92"/>
      <c r="S1454" s="92"/>
      <c r="T1454" s="92"/>
      <c r="U1454" s="92"/>
      <c r="V1454" s="92"/>
      <c r="W1454" s="92"/>
      <c r="X1454" s="92"/>
      <c r="Y1454" s="92"/>
      <c r="Z1454" s="92"/>
      <c r="AA1454" s="92"/>
      <c r="AB1454" s="92"/>
      <c r="AC1454" s="92"/>
      <c r="AD1454" s="92"/>
      <c r="AE1454" s="92"/>
      <c r="AF1454" s="92"/>
      <c r="AG1454" s="92"/>
    </row>
    <row r="1455" hidden="1">
      <c r="A1455" s="262"/>
      <c r="B1455" s="166"/>
      <c r="C1455" s="88">
        <v>44495.0</v>
      </c>
      <c r="D1455" s="181"/>
      <c r="E1455" s="43"/>
      <c r="F1455" s="43"/>
      <c r="G1455" s="43"/>
      <c r="H1455" s="43"/>
      <c r="I1455" s="43"/>
      <c r="J1455" s="43"/>
      <c r="K1455" s="43"/>
      <c r="L1455" s="43"/>
      <c r="M1455" s="43"/>
      <c r="N1455" s="96" t="b">
        <v>0</v>
      </c>
      <c r="O1455" s="96" t="b">
        <v>0</v>
      </c>
      <c r="P1455" s="92"/>
      <c r="Q1455" s="92"/>
      <c r="R1455" s="92"/>
      <c r="S1455" s="92"/>
      <c r="T1455" s="92"/>
      <c r="U1455" s="92"/>
      <c r="V1455" s="92"/>
      <c r="W1455" s="92"/>
      <c r="X1455" s="92"/>
      <c r="Y1455" s="92"/>
      <c r="Z1455" s="92"/>
      <c r="AA1455" s="92"/>
      <c r="AB1455" s="92"/>
      <c r="AC1455" s="92"/>
      <c r="AD1455" s="92"/>
      <c r="AE1455" s="92"/>
      <c r="AF1455" s="92"/>
      <c r="AG1455" s="92"/>
    </row>
    <row r="1456" hidden="1">
      <c r="A1456" s="262"/>
      <c r="B1456" s="18" t="s">
        <v>1668</v>
      </c>
      <c r="C1456" s="234"/>
      <c r="D1456" s="97"/>
      <c r="E1456" s="98"/>
      <c r="F1456" s="98"/>
      <c r="G1456" s="41"/>
      <c r="H1456" s="98"/>
      <c r="I1456" s="98"/>
      <c r="J1456" s="275"/>
      <c r="K1456" s="91"/>
      <c r="L1456" s="91"/>
      <c r="M1456" s="91"/>
      <c r="N1456" s="96" t="b">
        <v>0</v>
      </c>
      <c r="O1456" s="96" t="b">
        <v>0</v>
      </c>
      <c r="P1456" s="92"/>
      <c r="Q1456" s="92"/>
      <c r="R1456" s="92"/>
      <c r="S1456" s="92"/>
      <c r="T1456" s="92"/>
      <c r="U1456" s="92"/>
      <c r="V1456" s="92"/>
      <c r="W1456" s="92"/>
      <c r="X1456" s="92"/>
      <c r="Y1456" s="92"/>
      <c r="Z1456" s="92"/>
      <c r="AA1456" s="92"/>
      <c r="AB1456" s="92"/>
      <c r="AC1456" s="92"/>
      <c r="AD1456" s="92"/>
      <c r="AE1456" s="92"/>
      <c r="AF1456" s="92"/>
      <c r="AG1456" s="92"/>
    </row>
    <row r="1457" hidden="1">
      <c r="A1457" s="262"/>
      <c r="B1457" s="25"/>
      <c r="C1457" s="78" t="s">
        <v>78</v>
      </c>
      <c r="D1457" s="157" t="s">
        <v>2706</v>
      </c>
      <c r="E1457" s="183" t="s">
        <v>2891</v>
      </c>
      <c r="F1457" s="183" t="s">
        <v>2892</v>
      </c>
      <c r="G1457" s="41" t="s">
        <v>880</v>
      </c>
      <c r="H1457" s="50" t="s">
        <v>1242</v>
      </c>
      <c r="I1457" s="98" t="s">
        <v>2930</v>
      </c>
      <c r="J1457" s="276" t="s">
        <v>2894</v>
      </c>
      <c r="K1457" s="91"/>
      <c r="L1457" s="91"/>
      <c r="M1457" s="91"/>
      <c r="N1457" s="96" t="b">
        <v>0</v>
      </c>
      <c r="O1457" s="96" t="b">
        <v>0</v>
      </c>
      <c r="P1457" s="92"/>
      <c r="Q1457" s="92"/>
      <c r="R1457" s="92"/>
      <c r="S1457" s="92"/>
      <c r="T1457" s="92"/>
      <c r="U1457" s="92"/>
      <c r="V1457" s="92"/>
      <c r="W1457" s="92"/>
      <c r="X1457" s="92"/>
      <c r="Y1457" s="92"/>
      <c r="Z1457" s="92"/>
      <c r="AA1457" s="92"/>
      <c r="AB1457" s="92"/>
      <c r="AC1457" s="92"/>
      <c r="AD1457" s="92"/>
      <c r="AE1457" s="92"/>
      <c r="AF1457" s="92"/>
      <c r="AG1457" s="92"/>
    </row>
    <row r="1458" hidden="1">
      <c r="A1458" s="262"/>
      <c r="B1458" s="25"/>
      <c r="C1458" s="80" t="s">
        <v>78</v>
      </c>
      <c r="D1458" s="157" t="s">
        <v>2706</v>
      </c>
      <c r="E1458" s="183" t="s">
        <v>1158</v>
      </c>
      <c r="F1458" s="183" t="s">
        <v>1159</v>
      </c>
      <c r="G1458" s="41" t="s">
        <v>417</v>
      </c>
      <c r="H1458" s="50" t="s">
        <v>2931</v>
      </c>
      <c r="I1458" s="98" t="s">
        <v>2932</v>
      </c>
      <c r="J1458" s="277" t="s">
        <v>2933</v>
      </c>
      <c r="K1458" s="98" t="s">
        <v>2934</v>
      </c>
      <c r="L1458" s="91"/>
      <c r="M1458" s="91"/>
      <c r="N1458" s="96" t="b">
        <v>0</v>
      </c>
      <c r="O1458" s="96" t="b">
        <v>0</v>
      </c>
      <c r="P1458" s="92"/>
      <c r="Q1458" s="92"/>
      <c r="R1458" s="92"/>
      <c r="S1458" s="92"/>
      <c r="T1458" s="92"/>
      <c r="U1458" s="92"/>
      <c r="V1458" s="92"/>
      <c r="W1458" s="92"/>
      <c r="X1458" s="92"/>
      <c r="Y1458" s="92"/>
      <c r="Z1458" s="92"/>
      <c r="AA1458" s="92"/>
      <c r="AB1458" s="92"/>
      <c r="AC1458" s="92"/>
      <c r="AD1458" s="92"/>
      <c r="AE1458" s="92"/>
      <c r="AF1458" s="92"/>
      <c r="AG1458" s="92"/>
    </row>
    <row r="1459" hidden="1">
      <c r="A1459" s="262"/>
      <c r="B1459" s="25"/>
      <c r="C1459" s="80" t="s">
        <v>78</v>
      </c>
      <c r="D1459" s="157" t="s">
        <v>2706</v>
      </c>
      <c r="E1459" s="257" t="s">
        <v>1858</v>
      </c>
      <c r="F1459" s="257" t="s">
        <v>1859</v>
      </c>
      <c r="G1459" s="41" t="s">
        <v>449</v>
      </c>
      <c r="H1459" s="278" t="s">
        <v>853</v>
      </c>
      <c r="I1459" s="98" t="s">
        <v>2935</v>
      </c>
      <c r="J1459" s="279" t="s">
        <v>1861</v>
      </c>
      <c r="K1459" s="98" t="s">
        <v>2936</v>
      </c>
      <c r="L1459" s="91"/>
      <c r="M1459" s="91"/>
      <c r="N1459" s="96" t="b">
        <v>0</v>
      </c>
      <c r="O1459" s="96" t="b">
        <v>0</v>
      </c>
      <c r="P1459" s="92"/>
      <c r="Q1459" s="92"/>
      <c r="R1459" s="92"/>
      <c r="S1459" s="92"/>
      <c r="T1459" s="92"/>
      <c r="U1459" s="92"/>
      <c r="V1459" s="92"/>
      <c r="W1459" s="92"/>
      <c r="X1459" s="92"/>
      <c r="Y1459" s="92"/>
      <c r="Z1459" s="92"/>
      <c r="AA1459" s="92"/>
      <c r="AB1459" s="92"/>
      <c r="AC1459" s="92"/>
      <c r="AD1459" s="92"/>
      <c r="AE1459" s="92"/>
      <c r="AF1459" s="92"/>
      <c r="AG1459" s="92"/>
    </row>
    <row r="1460" hidden="1">
      <c r="A1460" s="262"/>
      <c r="B1460" s="25"/>
      <c r="C1460" s="80" t="s">
        <v>78</v>
      </c>
      <c r="D1460" s="226" t="s">
        <v>2706</v>
      </c>
      <c r="E1460" s="184" t="s">
        <v>2829</v>
      </c>
      <c r="F1460" s="184" t="s">
        <v>2830</v>
      </c>
      <c r="G1460" s="112" t="s">
        <v>180</v>
      </c>
      <c r="H1460" s="280" t="s">
        <v>1345</v>
      </c>
      <c r="I1460" s="109" t="s">
        <v>2937</v>
      </c>
      <c r="J1460" s="281" t="s">
        <v>2832</v>
      </c>
      <c r="K1460" s="98" t="s">
        <v>2938</v>
      </c>
      <c r="L1460" s="91"/>
      <c r="M1460" s="91"/>
      <c r="N1460" s="96" t="b">
        <v>0</v>
      </c>
      <c r="O1460" s="96" t="b">
        <v>0</v>
      </c>
      <c r="P1460" s="92"/>
      <c r="Q1460" s="92"/>
      <c r="R1460" s="92"/>
      <c r="S1460" s="92"/>
      <c r="T1460" s="92"/>
      <c r="U1460" s="92"/>
      <c r="V1460" s="92"/>
      <c r="W1460" s="92"/>
      <c r="X1460" s="92"/>
      <c r="Y1460" s="92"/>
      <c r="Z1460" s="92"/>
      <c r="AA1460" s="92"/>
      <c r="AB1460" s="92"/>
      <c r="AC1460" s="92"/>
      <c r="AD1460" s="92"/>
      <c r="AE1460" s="92"/>
      <c r="AF1460" s="92"/>
      <c r="AG1460" s="92"/>
    </row>
    <row r="1461" hidden="1">
      <c r="A1461" s="262"/>
      <c r="B1461" s="39"/>
      <c r="C1461" s="80" t="s">
        <v>78</v>
      </c>
      <c r="D1461" s="97"/>
      <c r="E1461" s="98"/>
      <c r="F1461" s="98"/>
      <c r="G1461" s="41"/>
      <c r="H1461" s="98"/>
      <c r="I1461" s="98"/>
      <c r="J1461" s="275"/>
      <c r="K1461" s="91"/>
      <c r="L1461" s="91"/>
      <c r="M1461" s="91"/>
      <c r="N1461" s="96" t="b">
        <v>0</v>
      </c>
      <c r="O1461" s="96" t="b">
        <v>0</v>
      </c>
      <c r="P1461" s="92"/>
      <c r="Q1461" s="92"/>
      <c r="R1461" s="92"/>
      <c r="S1461" s="92"/>
      <c r="T1461" s="92"/>
      <c r="U1461" s="92"/>
      <c r="V1461" s="92"/>
      <c r="W1461" s="92"/>
      <c r="X1461" s="92"/>
      <c r="Y1461" s="92"/>
      <c r="Z1461" s="92"/>
      <c r="AA1461" s="92"/>
      <c r="AB1461" s="92"/>
      <c r="AC1461" s="92"/>
      <c r="AD1461" s="92"/>
      <c r="AE1461" s="92"/>
      <c r="AF1461" s="92"/>
      <c r="AG1461" s="92"/>
    </row>
    <row r="1462" hidden="1">
      <c r="A1462" s="262"/>
      <c r="B1462" s="166"/>
      <c r="C1462" s="88">
        <v>44496.0</v>
      </c>
      <c r="D1462" s="97"/>
      <c r="E1462" s="98"/>
      <c r="F1462" s="98"/>
      <c r="G1462" s="41"/>
      <c r="H1462" s="98"/>
      <c r="I1462" s="98"/>
      <c r="J1462" s="98"/>
      <c r="K1462" s="91"/>
      <c r="L1462" s="91"/>
      <c r="M1462" s="91"/>
      <c r="N1462" s="96" t="b">
        <v>0</v>
      </c>
      <c r="O1462" s="96" t="b">
        <v>0</v>
      </c>
      <c r="P1462" s="92"/>
      <c r="Q1462" s="92"/>
      <c r="R1462" s="92"/>
      <c r="S1462" s="92"/>
      <c r="T1462" s="92"/>
      <c r="U1462" s="92"/>
      <c r="V1462" s="92"/>
      <c r="W1462" s="92"/>
      <c r="X1462" s="92"/>
      <c r="Y1462" s="92"/>
      <c r="Z1462" s="92"/>
      <c r="AA1462" s="92"/>
      <c r="AB1462" s="92"/>
      <c r="AC1462" s="92"/>
      <c r="AD1462" s="92"/>
      <c r="AE1462" s="92"/>
      <c r="AF1462" s="92"/>
      <c r="AG1462" s="92"/>
    </row>
    <row r="1463" hidden="1">
      <c r="A1463" s="262"/>
      <c r="B1463" s="18" t="s">
        <v>1668</v>
      </c>
      <c r="C1463" s="234"/>
      <c r="D1463" s="97"/>
      <c r="E1463" s="98"/>
      <c r="F1463" s="98"/>
      <c r="G1463" s="41"/>
      <c r="H1463" s="98"/>
      <c r="I1463" s="98"/>
      <c r="J1463" s="98"/>
      <c r="K1463" s="91"/>
      <c r="L1463" s="91"/>
      <c r="M1463" s="91"/>
      <c r="N1463" s="96" t="b">
        <v>0</v>
      </c>
      <c r="O1463" s="96" t="b">
        <v>0</v>
      </c>
      <c r="P1463" s="92"/>
      <c r="Q1463" s="92"/>
      <c r="R1463" s="92"/>
      <c r="S1463" s="92"/>
      <c r="T1463" s="92"/>
      <c r="U1463" s="92"/>
      <c r="V1463" s="92"/>
      <c r="W1463" s="92"/>
      <c r="X1463" s="92"/>
      <c r="Y1463" s="92"/>
      <c r="Z1463" s="92"/>
      <c r="AA1463" s="92"/>
      <c r="AB1463" s="92"/>
      <c r="AC1463" s="92"/>
      <c r="AD1463" s="92"/>
      <c r="AE1463" s="92"/>
      <c r="AF1463" s="92"/>
      <c r="AG1463" s="92"/>
    </row>
    <row r="1464" hidden="1">
      <c r="A1464" s="262"/>
      <c r="B1464" s="25"/>
      <c r="C1464" s="78" t="s">
        <v>78</v>
      </c>
      <c r="D1464" s="97"/>
      <c r="E1464" s="98"/>
      <c r="F1464" s="98"/>
      <c r="G1464" s="41"/>
      <c r="H1464" s="98"/>
      <c r="I1464" s="98"/>
      <c r="J1464" s="98"/>
      <c r="K1464" s="91"/>
      <c r="L1464" s="91"/>
      <c r="M1464" s="91"/>
      <c r="N1464" s="96" t="b">
        <v>0</v>
      </c>
      <c r="O1464" s="96" t="b">
        <v>0</v>
      </c>
      <c r="P1464" s="92"/>
      <c r="Q1464" s="92"/>
      <c r="R1464" s="92"/>
      <c r="S1464" s="92"/>
      <c r="T1464" s="92"/>
      <c r="U1464" s="92"/>
      <c r="V1464" s="92"/>
      <c r="W1464" s="92"/>
      <c r="X1464" s="92"/>
      <c r="Y1464" s="92"/>
      <c r="Z1464" s="92"/>
      <c r="AA1464" s="92"/>
      <c r="AB1464" s="92"/>
      <c r="AC1464" s="92"/>
      <c r="AD1464" s="92"/>
      <c r="AE1464" s="92"/>
      <c r="AF1464" s="92"/>
      <c r="AG1464" s="92"/>
    </row>
    <row r="1465" hidden="1">
      <c r="A1465" s="262"/>
      <c r="B1465" s="25"/>
      <c r="C1465" s="80" t="s">
        <v>78</v>
      </c>
      <c r="D1465" s="282" t="s">
        <v>2706</v>
      </c>
      <c r="E1465" s="273" t="s">
        <v>865</v>
      </c>
      <c r="F1465" s="273" t="s">
        <v>866</v>
      </c>
      <c r="G1465" s="270" t="s">
        <v>449</v>
      </c>
      <c r="H1465" s="283" t="s">
        <v>2633</v>
      </c>
      <c r="I1465" s="162" t="s">
        <v>2939</v>
      </c>
      <c r="J1465" s="284" t="s">
        <v>868</v>
      </c>
      <c r="K1465" s="98" t="s">
        <v>2936</v>
      </c>
      <c r="L1465" s="91"/>
      <c r="M1465" s="91"/>
      <c r="N1465" s="96" t="b">
        <v>0</v>
      </c>
      <c r="O1465" s="96" t="b">
        <v>0</v>
      </c>
      <c r="P1465" s="92"/>
      <c r="Q1465" s="92"/>
      <c r="R1465" s="92"/>
      <c r="S1465" s="92"/>
      <c r="T1465" s="92"/>
      <c r="U1465" s="92"/>
      <c r="V1465" s="92"/>
      <c r="W1465" s="92"/>
      <c r="X1465" s="92"/>
      <c r="Y1465" s="92"/>
      <c r="Z1465" s="92"/>
      <c r="AA1465" s="92"/>
      <c r="AB1465" s="92"/>
      <c r="AC1465" s="92"/>
      <c r="AD1465" s="92"/>
      <c r="AE1465" s="92"/>
      <c r="AF1465" s="92"/>
      <c r="AG1465" s="92"/>
    </row>
    <row r="1466" hidden="1">
      <c r="A1466" s="262"/>
      <c r="B1466" s="25"/>
      <c r="C1466" s="80" t="s">
        <v>78</v>
      </c>
      <c r="D1466" s="282" t="s">
        <v>2706</v>
      </c>
      <c r="E1466" s="273" t="s">
        <v>1032</v>
      </c>
      <c r="F1466" s="273" t="s">
        <v>1033</v>
      </c>
      <c r="G1466" s="270" t="s">
        <v>2843</v>
      </c>
      <c r="H1466" s="283" t="s">
        <v>185</v>
      </c>
      <c r="I1466" s="162" t="s">
        <v>2940</v>
      </c>
      <c r="J1466" s="284" t="s">
        <v>1035</v>
      </c>
      <c r="K1466" s="165"/>
      <c r="L1466" s="231"/>
      <c r="M1466" s="91"/>
      <c r="N1466" s="96" t="b">
        <v>0</v>
      </c>
      <c r="O1466" s="96" t="b">
        <v>0</v>
      </c>
      <c r="P1466" s="92"/>
      <c r="Q1466" s="92"/>
      <c r="R1466" s="92"/>
      <c r="S1466" s="92"/>
      <c r="T1466" s="92"/>
      <c r="U1466" s="92"/>
      <c r="V1466" s="92"/>
      <c r="W1466" s="92"/>
      <c r="X1466" s="92"/>
      <c r="Y1466" s="92"/>
      <c r="Z1466" s="92"/>
      <c r="AA1466" s="92"/>
      <c r="AB1466" s="92"/>
      <c r="AC1466" s="92"/>
      <c r="AD1466" s="92"/>
      <c r="AE1466" s="92"/>
      <c r="AF1466" s="92"/>
      <c r="AG1466" s="92"/>
    </row>
    <row r="1467" hidden="1">
      <c r="A1467" s="262"/>
      <c r="B1467" s="25"/>
      <c r="C1467" s="80" t="s">
        <v>78</v>
      </c>
      <c r="D1467" s="226" t="s">
        <v>2941</v>
      </c>
      <c r="E1467" s="184" t="s">
        <v>2942</v>
      </c>
      <c r="F1467" s="184" t="s">
        <v>2943</v>
      </c>
      <c r="G1467" s="108">
        <v>0.625</v>
      </c>
      <c r="H1467" s="109" t="s">
        <v>2944</v>
      </c>
      <c r="I1467" s="109" t="s">
        <v>2945</v>
      </c>
      <c r="J1467" s="263" t="s">
        <v>2946</v>
      </c>
      <c r="K1467" s="149" t="s">
        <v>2947</v>
      </c>
      <c r="L1467" s="148"/>
      <c r="M1467" s="91"/>
      <c r="N1467" s="96" t="b">
        <v>0</v>
      </c>
      <c r="O1467" s="96" t="b">
        <v>0</v>
      </c>
      <c r="P1467" s="92"/>
      <c r="Q1467" s="92"/>
      <c r="R1467" s="92"/>
      <c r="S1467" s="92"/>
      <c r="T1467" s="92"/>
      <c r="U1467" s="92"/>
      <c r="V1467" s="92"/>
      <c r="W1467" s="92"/>
      <c r="X1467" s="92"/>
      <c r="Y1467" s="92"/>
      <c r="Z1467" s="92"/>
      <c r="AA1467" s="92"/>
      <c r="AB1467" s="92"/>
      <c r="AC1467" s="92"/>
      <c r="AD1467" s="92"/>
      <c r="AE1467" s="92"/>
      <c r="AF1467" s="92"/>
      <c r="AG1467" s="92"/>
    </row>
    <row r="1468" hidden="1">
      <c r="A1468" s="262"/>
      <c r="B1468" s="25"/>
      <c r="C1468" s="80" t="s">
        <v>78</v>
      </c>
      <c r="D1468" s="159" t="s">
        <v>2582</v>
      </c>
      <c r="E1468" s="273" t="s">
        <v>1611</v>
      </c>
      <c r="F1468" s="273" t="s">
        <v>1612</v>
      </c>
      <c r="G1468" s="270" t="s">
        <v>283</v>
      </c>
      <c r="H1468" s="162" t="s">
        <v>424</v>
      </c>
      <c r="I1468" s="162" t="s">
        <v>2948</v>
      </c>
      <c r="J1468" s="162" t="s">
        <v>1614</v>
      </c>
      <c r="K1468" s="91"/>
      <c r="L1468" s="91"/>
      <c r="M1468" s="91"/>
      <c r="N1468" s="96" t="b">
        <v>0</v>
      </c>
      <c r="O1468" s="96" t="b">
        <v>0</v>
      </c>
      <c r="P1468" s="92"/>
      <c r="Q1468" s="92"/>
      <c r="R1468" s="92"/>
      <c r="S1468" s="92"/>
      <c r="T1468" s="92"/>
      <c r="U1468" s="92"/>
      <c r="V1468" s="92"/>
      <c r="W1468" s="92"/>
      <c r="X1468" s="92"/>
      <c r="Y1468" s="92"/>
      <c r="Z1468" s="92"/>
      <c r="AA1468" s="92"/>
      <c r="AB1468" s="92"/>
      <c r="AC1468" s="92"/>
      <c r="AD1468" s="92"/>
      <c r="AE1468" s="92"/>
      <c r="AF1468" s="92"/>
      <c r="AG1468" s="92"/>
    </row>
    <row r="1469" hidden="1">
      <c r="A1469" s="262"/>
      <c r="B1469" s="39"/>
      <c r="C1469" s="80" t="s">
        <v>78</v>
      </c>
      <c r="D1469" s="107" t="s">
        <v>79</v>
      </c>
      <c r="E1469" s="263" t="s">
        <v>2949</v>
      </c>
      <c r="F1469" s="263" t="s">
        <v>2950</v>
      </c>
      <c r="G1469" s="112" t="s">
        <v>43</v>
      </c>
      <c r="H1469" s="109" t="s">
        <v>205</v>
      </c>
      <c r="I1469" s="109" t="s">
        <v>2951</v>
      </c>
      <c r="J1469" s="109" t="s">
        <v>2952</v>
      </c>
      <c r="K1469" s="98" t="s">
        <v>2953</v>
      </c>
      <c r="L1469" s="91"/>
      <c r="M1469" s="91"/>
      <c r="N1469" s="96" t="b">
        <v>0</v>
      </c>
      <c r="O1469" s="96" t="b">
        <v>0</v>
      </c>
      <c r="P1469" s="92"/>
      <c r="Q1469" s="92"/>
      <c r="R1469" s="92"/>
      <c r="S1469" s="92"/>
      <c r="T1469" s="92"/>
      <c r="U1469" s="92"/>
      <c r="V1469" s="92"/>
      <c r="W1469" s="92"/>
      <c r="X1469" s="92"/>
      <c r="Y1469" s="92"/>
      <c r="Z1469" s="92"/>
      <c r="AA1469" s="92"/>
      <c r="AB1469" s="92"/>
      <c r="AC1469" s="92"/>
      <c r="AD1469" s="92"/>
      <c r="AE1469" s="92"/>
      <c r="AF1469" s="92"/>
      <c r="AG1469" s="92"/>
    </row>
    <row r="1470" hidden="1">
      <c r="A1470" s="262"/>
      <c r="B1470" s="166"/>
      <c r="C1470" s="88">
        <v>44497.0</v>
      </c>
      <c r="D1470" s="97"/>
      <c r="E1470" s="98"/>
      <c r="F1470" s="98"/>
      <c r="G1470" s="41"/>
      <c r="H1470" s="98"/>
      <c r="I1470" s="98"/>
      <c r="J1470" s="98"/>
      <c r="K1470" s="91"/>
      <c r="L1470" s="91"/>
      <c r="M1470" s="91"/>
      <c r="N1470" s="96" t="b">
        <v>0</v>
      </c>
      <c r="O1470" s="96" t="b">
        <v>0</v>
      </c>
      <c r="P1470" s="92"/>
      <c r="Q1470" s="92"/>
      <c r="R1470" s="92"/>
      <c r="S1470" s="92"/>
      <c r="T1470" s="92"/>
      <c r="U1470" s="92"/>
      <c r="V1470" s="92"/>
      <c r="W1470" s="92"/>
      <c r="X1470" s="92"/>
      <c r="Y1470" s="92"/>
      <c r="Z1470" s="92"/>
      <c r="AA1470" s="92"/>
      <c r="AB1470" s="92"/>
      <c r="AC1470" s="92"/>
      <c r="AD1470" s="92"/>
      <c r="AE1470" s="92"/>
      <c r="AF1470" s="92"/>
      <c r="AG1470" s="92"/>
    </row>
    <row r="1471" hidden="1">
      <c r="A1471" s="262"/>
      <c r="B1471" s="18" t="s">
        <v>1668</v>
      </c>
      <c r="C1471" s="234"/>
      <c r="D1471" s="97"/>
      <c r="E1471" s="98"/>
      <c r="F1471" s="98"/>
      <c r="G1471" s="41"/>
      <c r="H1471" s="98"/>
      <c r="I1471" s="98"/>
      <c r="J1471" s="98"/>
      <c r="K1471" s="91"/>
      <c r="L1471" s="91"/>
      <c r="M1471" s="91"/>
      <c r="N1471" s="96" t="b">
        <v>0</v>
      </c>
      <c r="O1471" s="96" t="b">
        <v>0</v>
      </c>
      <c r="P1471" s="92"/>
      <c r="Q1471" s="92"/>
      <c r="R1471" s="92"/>
      <c r="S1471" s="92"/>
      <c r="T1471" s="92"/>
      <c r="U1471" s="92"/>
      <c r="V1471" s="92"/>
      <c r="W1471" s="92"/>
      <c r="X1471" s="92"/>
      <c r="Y1471" s="92"/>
      <c r="Z1471" s="92"/>
      <c r="AA1471" s="92"/>
      <c r="AB1471" s="92"/>
      <c r="AC1471" s="92"/>
      <c r="AD1471" s="92"/>
      <c r="AE1471" s="92"/>
      <c r="AF1471" s="92"/>
      <c r="AG1471" s="92"/>
    </row>
    <row r="1472" hidden="1">
      <c r="A1472" s="262"/>
      <c r="B1472" s="25"/>
      <c r="C1472" s="78" t="s">
        <v>78</v>
      </c>
      <c r="D1472" s="176" t="s">
        <v>2282</v>
      </c>
      <c r="E1472" s="285" t="s">
        <v>1703</v>
      </c>
      <c r="F1472" s="286" t="s">
        <v>1704</v>
      </c>
      <c r="G1472" s="287">
        <v>0.5833333333333334</v>
      </c>
      <c r="H1472" s="288" t="s">
        <v>2954</v>
      </c>
      <c r="I1472" s="288" t="s">
        <v>2955</v>
      </c>
      <c r="J1472" s="286" t="s">
        <v>1707</v>
      </c>
      <c r="K1472" s="289" t="s">
        <v>838</v>
      </c>
      <c r="L1472" s="91"/>
      <c r="M1472" s="91"/>
      <c r="N1472" s="96" t="b">
        <v>0</v>
      </c>
      <c r="O1472" s="96" t="b">
        <v>0</v>
      </c>
      <c r="P1472" s="92"/>
      <c r="Q1472" s="92"/>
      <c r="R1472" s="92"/>
      <c r="S1472" s="92"/>
      <c r="T1472" s="92"/>
      <c r="U1472" s="92"/>
      <c r="V1472" s="92"/>
      <c r="W1472" s="92"/>
      <c r="X1472" s="92"/>
      <c r="Y1472" s="92"/>
      <c r="Z1472" s="92"/>
      <c r="AA1472" s="92"/>
      <c r="AB1472" s="92"/>
      <c r="AC1472" s="92"/>
      <c r="AD1472" s="92"/>
      <c r="AE1472" s="92"/>
      <c r="AF1472" s="92"/>
      <c r="AG1472" s="92"/>
    </row>
    <row r="1473" hidden="1">
      <c r="A1473" s="262"/>
      <c r="B1473" s="25"/>
      <c r="C1473" s="80" t="s">
        <v>78</v>
      </c>
      <c r="D1473" s="290" t="s">
        <v>2282</v>
      </c>
      <c r="E1473" s="291" t="s">
        <v>2956</v>
      </c>
      <c r="F1473" s="292" t="s">
        <v>2957</v>
      </c>
      <c r="G1473" s="293">
        <v>0.6666666666666666</v>
      </c>
      <c r="H1473" s="294" t="s">
        <v>2784</v>
      </c>
      <c r="I1473" s="294" t="s">
        <v>2958</v>
      </c>
      <c r="J1473" s="292" t="s">
        <v>2959</v>
      </c>
      <c r="K1473" s="295"/>
      <c r="L1473" s="91"/>
      <c r="M1473" s="91"/>
      <c r="N1473" s="96" t="b">
        <v>0</v>
      </c>
      <c r="O1473" s="96" t="b">
        <v>0</v>
      </c>
      <c r="P1473" s="92"/>
      <c r="Q1473" s="92"/>
      <c r="R1473" s="92"/>
      <c r="S1473" s="92"/>
      <c r="T1473" s="92"/>
      <c r="U1473" s="92"/>
      <c r="V1473" s="92"/>
      <c r="W1473" s="92"/>
      <c r="X1473" s="92"/>
      <c r="Y1473" s="92"/>
      <c r="Z1473" s="92"/>
      <c r="AA1473" s="92"/>
      <c r="AB1473" s="92"/>
      <c r="AC1473" s="92"/>
      <c r="AD1473" s="92"/>
      <c r="AE1473" s="92"/>
      <c r="AF1473" s="92"/>
      <c r="AG1473" s="92"/>
    </row>
    <row r="1474" hidden="1">
      <c r="A1474" s="262"/>
      <c r="B1474" s="25"/>
      <c r="C1474" s="80" t="s">
        <v>78</v>
      </c>
      <c r="D1474" s="290" t="s">
        <v>2282</v>
      </c>
      <c r="E1474" s="291" t="s">
        <v>1652</v>
      </c>
      <c r="F1474" s="292" t="s">
        <v>1653</v>
      </c>
      <c r="G1474" s="293">
        <v>0.75</v>
      </c>
      <c r="H1474" s="294" t="s">
        <v>1638</v>
      </c>
      <c r="I1474" s="294" t="s">
        <v>1654</v>
      </c>
      <c r="J1474" s="292" t="s">
        <v>1655</v>
      </c>
      <c r="K1474" s="294" t="s">
        <v>838</v>
      </c>
      <c r="L1474" s="91"/>
      <c r="M1474" s="91"/>
      <c r="N1474" s="96" t="b">
        <v>0</v>
      </c>
      <c r="O1474" s="96" t="b">
        <v>0</v>
      </c>
      <c r="P1474" s="92"/>
      <c r="Q1474" s="92"/>
      <c r="R1474" s="92"/>
      <c r="S1474" s="92"/>
      <c r="T1474" s="92"/>
      <c r="U1474" s="92"/>
      <c r="V1474" s="92"/>
      <c r="W1474" s="92"/>
      <c r="X1474" s="92"/>
      <c r="Y1474" s="92"/>
      <c r="Z1474" s="92"/>
      <c r="AA1474" s="92"/>
      <c r="AB1474" s="92"/>
      <c r="AC1474" s="92"/>
      <c r="AD1474" s="92"/>
      <c r="AE1474" s="92"/>
      <c r="AF1474" s="92"/>
      <c r="AG1474" s="92"/>
    </row>
    <row r="1475" hidden="1">
      <c r="A1475" s="262"/>
      <c r="B1475" s="25"/>
      <c r="C1475" s="80" t="s">
        <v>78</v>
      </c>
      <c r="D1475" s="290" t="s">
        <v>2282</v>
      </c>
      <c r="E1475" s="296" t="s">
        <v>2960</v>
      </c>
      <c r="F1475" s="297" t="s">
        <v>2961</v>
      </c>
      <c r="G1475" s="293">
        <v>0.8125</v>
      </c>
      <c r="H1475" s="294" t="s">
        <v>2784</v>
      </c>
      <c r="I1475" s="294" t="s">
        <v>2962</v>
      </c>
      <c r="J1475" s="297" t="s">
        <v>2963</v>
      </c>
      <c r="K1475" s="295"/>
      <c r="L1475" s="91"/>
      <c r="M1475" s="91"/>
      <c r="N1475" s="96" t="b">
        <v>0</v>
      </c>
      <c r="O1475" s="96" t="b">
        <v>0</v>
      </c>
      <c r="P1475" s="92"/>
      <c r="Q1475" s="92"/>
      <c r="R1475" s="92"/>
      <c r="S1475" s="92"/>
      <c r="T1475" s="92"/>
      <c r="U1475" s="92"/>
      <c r="V1475" s="92"/>
      <c r="W1475" s="92"/>
      <c r="X1475" s="92"/>
      <c r="Y1475" s="92"/>
      <c r="Z1475" s="92"/>
      <c r="AA1475" s="92"/>
      <c r="AB1475" s="92"/>
      <c r="AC1475" s="92"/>
      <c r="AD1475" s="92"/>
      <c r="AE1475" s="92"/>
      <c r="AF1475" s="92"/>
      <c r="AG1475" s="92"/>
    </row>
    <row r="1476" hidden="1">
      <c r="A1476" s="262"/>
      <c r="B1476" s="39"/>
      <c r="C1476" s="80" t="s">
        <v>78</v>
      </c>
      <c r="D1476" s="97"/>
      <c r="E1476" s="257"/>
      <c r="F1476" s="257"/>
      <c r="G1476" s="99"/>
      <c r="H1476" s="98"/>
      <c r="I1476" s="98"/>
      <c r="J1476" s="257"/>
      <c r="K1476" s="98"/>
      <c r="L1476" s="91"/>
      <c r="M1476" s="91"/>
      <c r="N1476" s="96" t="b">
        <v>0</v>
      </c>
      <c r="O1476" s="96" t="b">
        <v>0</v>
      </c>
      <c r="P1476" s="92"/>
      <c r="Q1476" s="92"/>
      <c r="R1476" s="92"/>
      <c r="S1476" s="92"/>
      <c r="T1476" s="92"/>
      <c r="U1476" s="92"/>
      <c r="V1476" s="92"/>
      <c r="W1476" s="92"/>
      <c r="X1476" s="92"/>
      <c r="Y1476" s="92"/>
      <c r="Z1476" s="92"/>
      <c r="AA1476" s="92"/>
      <c r="AB1476" s="92"/>
      <c r="AC1476" s="92"/>
      <c r="AD1476" s="92"/>
      <c r="AE1476" s="92"/>
      <c r="AF1476" s="92"/>
      <c r="AG1476" s="92"/>
    </row>
    <row r="1477" hidden="1">
      <c r="A1477" s="262"/>
      <c r="B1477" s="166"/>
      <c r="C1477" s="88">
        <v>44498.0</v>
      </c>
      <c r="D1477" s="97"/>
      <c r="E1477" s="257"/>
      <c r="F1477" s="257"/>
      <c r="G1477" s="99"/>
      <c r="H1477" s="98"/>
      <c r="I1477" s="98"/>
      <c r="J1477" s="257"/>
      <c r="K1477" s="91"/>
      <c r="L1477" s="91"/>
      <c r="M1477" s="91"/>
      <c r="N1477" s="96" t="b">
        <v>0</v>
      </c>
      <c r="O1477" s="96" t="b">
        <v>0</v>
      </c>
      <c r="P1477" s="92"/>
      <c r="Q1477" s="92"/>
      <c r="R1477" s="92"/>
      <c r="S1477" s="92"/>
      <c r="T1477" s="92"/>
      <c r="U1477" s="92"/>
      <c r="V1477" s="92"/>
      <c r="W1477" s="92"/>
      <c r="X1477" s="92"/>
      <c r="Y1477" s="92"/>
      <c r="Z1477" s="92"/>
      <c r="AA1477" s="92"/>
      <c r="AB1477" s="92"/>
      <c r="AC1477" s="92"/>
      <c r="AD1477" s="92"/>
      <c r="AE1477" s="92"/>
      <c r="AF1477" s="92"/>
      <c r="AG1477" s="92"/>
    </row>
    <row r="1478" hidden="1">
      <c r="A1478" s="262"/>
      <c r="B1478" s="18" t="s">
        <v>1668</v>
      </c>
      <c r="C1478" s="234"/>
      <c r="D1478" s="97"/>
      <c r="E1478" s="98"/>
      <c r="F1478" s="98"/>
      <c r="G1478" s="41"/>
      <c r="H1478" s="98"/>
      <c r="I1478" s="98"/>
      <c r="J1478" s="98"/>
      <c r="K1478" s="91"/>
      <c r="L1478" s="91"/>
      <c r="M1478" s="91"/>
      <c r="N1478" s="96" t="b">
        <v>0</v>
      </c>
      <c r="O1478" s="96" t="b">
        <v>0</v>
      </c>
      <c r="P1478" s="92"/>
      <c r="Q1478" s="92"/>
      <c r="R1478" s="92"/>
      <c r="S1478" s="92"/>
      <c r="T1478" s="92"/>
      <c r="U1478" s="92"/>
      <c r="V1478" s="92"/>
      <c r="W1478" s="92"/>
      <c r="X1478" s="92"/>
      <c r="Y1478" s="92"/>
      <c r="Z1478" s="92"/>
      <c r="AA1478" s="92"/>
      <c r="AB1478" s="92"/>
      <c r="AC1478" s="92"/>
      <c r="AD1478" s="92"/>
      <c r="AE1478" s="92"/>
      <c r="AF1478" s="92"/>
      <c r="AG1478" s="92"/>
    </row>
    <row r="1479" hidden="1">
      <c r="A1479" s="262"/>
      <c r="B1479" s="25"/>
      <c r="C1479" s="78" t="s">
        <v>78</v>
      </c>
      <c r="D1479" s="97"/>
      <c r="E1479" s="98"/>
      <c r="F1479" s="298" t="s">
        <v>2964</v>
      </c>
      <c r="G1479" s="41"/>
      <c r="H1479" s="98"/>
      <c r="I1479" s="98"/>
      <c r="J1479" s="98"/>
      <c r="K1479" s="91"/>
      <c r="L1479" s="91"/>
      <c r="M1479" s="91"/>
      <c r="N1479" s="96" t="b">
        <v>0</v>
      </c>
      <c r="O1479" s="96" t="b">
        <v>0</v>
      </c>
      <c r="P1479" s="92"/>
      <c r="Q1479" s="92"/>
      <c r="R1479" s="92"/>
      <c r="S1479" s="92"/>
      <c r="T1479" s="92"/>
      <c r="U1479" s="92"/>
      <c r="V1479" s="92"/>
      <c r="W1479" s="92"/>
      <c r="X1479" s="92"/>
      <c r="Y1479" s="92"/>
      <c r="Z1479" s="92"/>
      <c r="AA1479" s="92"/>
      <c r="AB1479" s="92"/>
      <c r="AC1479" s="92"/>
      <c r="AD1479" s="92"/>
      <c r="AE1479" s="92"/>
      <c r="AF1479" s="92"/>
      <c r="AG1479" s="92"/>
    </row>
    <row r="1480" hidden="1">
      <c r="A1480" s="262"/>
      <c r="B1480" s="25"/>
      <c r="C1480" s="80" t="s">
        <v>78</v>
      </c>
      <c r="D1480" s="97"/>
      <c r="E1480" s="98"/>
      <c r="F1480" s="25"/>
      <c r="G1480" s="41"/>
      <c r="H1480" s="98"/>
      <c r="I1480" s="98"/>
      <c r="J1480" s="98"/>
      <c r="K1480" s="91"/>
      <c r="L1480" s="91"/>
      <c r="M1480" s="91"/>
      <c r="N1480" s="96" t="b">
        <v>0</v>
      </c>
      <c r="O1480" s="96" t="b">
        <v>0</v>
      </c>
      <c r="P1480" s="92"/>
      <c r="Q1480" s="92"/>
      <c r="R1480" s="92"/>
      <c r="S1480" s="92"/>
      <c r="T1480" s="92"/>
      <c r="U1480" s="92"/>
      <c r="V1480" s="92"/>
      <c r="W1480" s="92"/>
      <c r="X1480" s="92"/>
      <c r="Y1480" s="92"/>
      <c r="Z1480" s="92"/>
      <c r="AA1480" s="92"/>
      <c r="AB1480" s="92"/>
      <c r="AC1480" s="92"/>
      <c r="AD1480" s="92"/>
      <c r="AE1480" s="92"/>
      <c r="AF1480" s="92"/>
      <c r="AG1480" s="92"/>
    </row>
    <row r="1481" hidden="1">
      <c r="A1481" s="262"/>
      <c r="B1481" s="25"/>
      <c r="C1481" s="80" t="s">
        <v>78</v>
      </c>
      <c r="D1481" s="157"/>
      <c r="E1481" s="183"/>
      <c r="F1481" s="25"/>
      <c r="G1481" s="41"/>
      <c r="H1481" s="278"/>
      <c r="I1481" s="98"/>
      <c r="J1481" s="299"/>
      <c r="K1481" s="91"/>
      <c r="L1481" s="91"/>
      <c r="M1481" s="91"/>
      <c r="N1481" s="96" t="b">
        <v>0</v>
      </c>
      <c r="O1481" s="96" t="b">
        <v>0</v>
      </c>
      <c r="P1481" s="92"/>
      <c r="Q1481" s="92"/>
      <c r="R1481" s="92"/>
      <c r="S1481" s="92"/>
      <c r="T1481" s="92"/>
      <c r="U1481" s="92"/>
      <c r="V1481" s="92"/>
      <c r="W1481" s="92"/>
      <c r="X1481" s="92"/>
      <c r="Y1481" s="92"/>
      <c r="Z1481" s="92"/>
      <c r="AA1481" s="92"/>
      <c r="AB1481" s="92"/>
      <c r="AC1481" s="92"/>
      <c r="AD1481" s="92"/>
      <c r="AE1481" s="92"/>
      <c r="AF1481" s="92"/>
      <c r="AG1481" s="92"/>
    </row>
    <row r="1482" hidden="1">
      <c r="A1482" s="262"/>
      <c r="B1482" s="25"/>
      <c r="C1482" s="80" t="s">
        <v>78</v>
      </c>
      <c r="D1482" s="97"/>
      <c r="E1482" s="98"/>
      <c r="F1482" s="39"/>
      <c r="G1482" s="41"/>
      <c r="H1482" s="98"/>
      <c r="I1482" s="98"/>
      <c r="J1482" s="98"/>
      <c r="K1482" s="91"/>
      <c r="L1482" s="91"/>
      <c r="M1482" s="91"/>
      <c r="N1482" s="96" t="b">
        <v>0</v>
      </c>
      <c r="O1482" s="96" t="b">
        <v>0</v>
      </c>
      <c r="P1482" s="92"/>
      <c r="Q1482" s="92"/>
      <c r="R1482" s="92"/>
      <c r="S1482" s="92"/>
      <c r="T1482" s="92"/>
      <c r="U1482" s="92"/>
      <c r="V1482" s="92"/>
      <c r="W1482" s="92"/>
      <c r="X1482" s="92"/>
      <c r="Y1482" s="92"/>
      <c r="Z1482" s="92"/>
      <c r="AA1482" s="92"/>
      <c r="AB1482" s="92"/>
      <c r="AC1482" s="92"/>
      <c r="AD1482" s="92"/>
      <c r="AE1482" s="92"/>
      <c r="AF1482" s="92"/>
      <c r="AG1482" s="92"/>
    </row>
    <row r="1483" hidden="1">
      <c r="A1483" s="262"/>
      <c r="B1483" s="39"/>
      <c r="C1483" s="80" t="s">
        <v>78</v>
      </c>
      <c r="D1483" s="97"/>
      <c r="E1483" s="98"/>
      <c r="F1483" s="98"/>
      <c r="G1483" s="41"/>
      <c r="H1483" s="98"/>
      <c r="I1483" s="98"/>
      <c r="J1483" s="98"/>
      <c r="K1483" s="91"/>
      <c r="L1483" s="91"/>
      <c r="M1483" s="91"/>
      <c r="N1483" s="96" t="b">
        <v>0</v>
      </c>
      <c r="O1483" s="96" t="b">
        <v>0</v>
      </c>
      <c r="P1483" s="92"/>
      <c r="Q1483" s="92"/>
      <c r="R1483" s="92"/>
      <c r="S1483" s="92"/>
      <c r="T1483" s="92"/>
      <c r="U1483" s="92"/>
      <c r="V1483" s="92"/>
      <c r="W1483" s="92"/>
      <c r="X1483" s="92"/>
      <c r="Y1483" s="92"/>
      <c r="Z1483" s="92"/>
      <c r="AA1483" s="92"/>
      <c r="AB1483" s="92"/>
      <c r="AC1483" s="92"/>
      <c r="AD1483" s="92"/>
      <c r="AE1483" s="92"/>
      <c r="AF1483" s="92"/>
      <c r="AG1483" s="92"/>
    </row>
    <row r="1484" hidden="1">
      <c r="A1484" s="262"/>
      <c r="B1484" s="166"/>
      <c r="C1484" s="88">
        <v>44501.0</v>
      </c>
      <c r="D1484" s="97"/>
      <c r="E1484" s="98"/>
      <c r="F1484" s="98"/>
      <c r="G1484" s="41"/>
      <c r="H1484" s="98"/>
      <c r="I1484" s="98"/>
      <c r="J1484" s="98"/>
      <c r="K1484" s="91"/>
      <c r="L1484" s="91"/>
      <c r="M1484" s="91"/>
      <c r="N1484" s="96" t="b">
        <v>0</v>
      </c>
      <c r="O1484" s="96" t="b">
        <v>0</v>
      </c>
      <c r="P1484" s="92"/>
      <c r="Q1484" s="92"/>
      <c r="R1484" s="92"/>
      <c r="S1484" s="92"/>
      <c r="T1484" s="92"/>
      <c r="U1484" s="92"/>
      <c r="V1484" s="92"/>
      <c r="W1484" s="92"/>
      <c r="X1484" s="92"/>
      <c r="Y1484" s="92"/>
      <c r="Z1484" s="92"/>
      <c r="AA1484" s="92"/>
      <c r="AB1484" s="92"/>
      <c r="AC1484" s="92"/>
      <c r="AD1484" s="92"/>
      <c r="AE1484" s="92"/>
      <c r="AF1484" s="92"/>
      <c r="AG1484" s="92"/>
    </row>
    <row r="1485" hidden="1">
      <c r="A1485" s="262"/>
      <c r="B1485" s="18" t="s">
        <v>1668</v>
      </c>
      <c r="C1485" s="234"/>
      <c r="D1485" s="97"/>
      <c r="E1485" s="98"/>
      <c r="F1485" s="98"/>
      <c r="G1485" s="41"/>
      <c r="H1485" s="98"/>
      <c r="I1485" s="98"/>
      <c r="J1485" s="98"/>
      <c r="K1485" s="91"/>
      <c r="L1485" s="91"/>
      <c r="M1485" s="91"/>
      <c r="N1485" s="96" t="b">
        <v>0</v>
      </c>
      <c r="O1485" s="96" t="b">
        <v>0</v>
      </c>
      <c r="P1485" s="92"/>
      <c r="Q1485" s="92"/>
      <c r="R1485" s="92"/>
      <c r="S1485" s="92"/>
      <c r="T1485" s="92"/>
      <c r="U1485" s="92"/>
      <c r="V1485" s="92"/>
      <c r="W1485" s="92"/>
      <c r="X1485" s="92"/>
      <c r="Y1485" s="92"/>
      <c r="Z1485" s="92"/>
      <c r="AA1485" s="92"/>
      <c r="AB1485" s="92"/>
      <c r="AC1485" s="92"/>
      <c r="AD1485" s="92"/>
      <c r="AE1485" s="92"/>
      <c r="AF1485" s="92"/>
      <c r="AG1485" s="92"/>
    </row>
    <row r="1486" hidden="1">
      <c r="A1486" s="262"/>
      <c r="B1486" s="25"/>
      <c r="C1486" s="78" t="s">
        <v>78</v>
      </c>
      <c r="D1486" s="97"/>
      <c r="E1486" s="98"/>
      <c r="F1486" s="98"/>
      <c r="G1486" s="41"/>
      <c r="H1486" s="98"/>
      <c r="I1486" s="98"/>
      <c r="J1486" s="98"/>
      <c r="K1486" s="91"/>
      <c r="L1486" s="91"/>
      <c r="M1486" s="91"/>
      <c r="N1486" s="96" t="b">
        <v>0</v>
      </c>
      <c r="O1486" s="96" t="b">
        <v>0</v>
      </c>
      <c r="P1486" s="92"/>
      <c r="Q1486" s="92"/>
      <c r="R1486" s="92"/>
      <c r="S1486" s="92"/>
      <c r="T1486" s="92"/>
      <c r="U1486" s="92"/>
      <c r="V1486" s="92"/>
      <c r="W1486" s="92"/>
      <c r="X1486" s="92"/>
      <c r="Y1486" s="92"/>
      <c r="Z1486" s="92"/>
      <c r="AA1486" s="92"/>
      <c r="AB1486" s="92"/>
      <c r="AC1486" s="92"/>
      <c r="AD1486" s="92"/>
      <c r="AE1486" s="92"/>
      <c r="AF1486" s="92"/>
      <c r="AG1486" s="92"/>
    </row>
    <row r="1487" hidden="1">
      <c r="A1487" s="262"/>
      <c r="B1487" s="25"/>
      <c r="C1487" s="80" t="s">
        <v>78</v>
      </c>
      <c r="D1487" s="107" t="s">
        <v>2582</v>
      </c>
      <c r="E1487" s="263" t="s">
        <v>2965</v>
      </c>
      <c r="F1487" s="263" t="s">
        <v>2966</v>
      </c>
      <c r="G1487" s="112" t="s">
        <v>567</v>
      </c>
      <c r="H1487" s="109" t="s">
        <v>290</v>
      </c>
      <c r="I1487" s="109" t="s">
        <v>2967</v>
      </c>
      <c r="J1487" s="109" t="s">
        <v>2968</v>
      </c>
      <c r="K1487" s="98" t="s">
        <v>2969</v>
      </c>
      <c r="L1487" s="91"/>
      <c r="M1487" s="91"/>
      <c r="N1487" s="96" t="b">
        <v>0</v>
      </c>
      <c r="O1487" s="96" t="b">
        <v>0</v>
      </c>
      <c r="P1487" s="92"/>
      <c r="Q1487" s="92"/>
      <c r="R1487" s="92"/>
      <c r="S1487" s="92"/>
      <c r="T1487" s="92"/>
      <c r="U1487" s="92"/>
      <c r="V1487" s="92"/>
      <c r="W1487" s="92"/>
      <c r="X1487" s="92"/>
      <c r="Y1487" s="92"/>
      <c r="Z1487" s="92"/>
      <c r="AA1487" s="92"/>
      <c r="AB1487" s="92"/>
      <c r="AC1487" s="92"/>
      <c r="AD1487" s="92"/>
      <c r="AE1487" s="92"/>
      <c r="AF1487" s="92"/>
      <c r="AG1487" s="92"/>
    </row>
    <row r="1488" hidden="1">
      <c r="A1488" s="262"/>
      <c r="B1488" s="25"/>
      <c r="C1488" s="80" t="s">
        <v>78</v>
      </c>
      <c r="D1488" s="159" t="s">
        <v>2582</v>
      </c>
      <c r="E1488" s="269" t="s">
        <v>2367</v>
      </c>
      <c r="F1488" s="269" t="s">
        <v>2368</v>
      </c>
      <c r="G1488" s="270" t="s">
        <v>180</v>
      </c>
      <c r="H1488" s="269" t="s">
        <v>458</v>
      </c>
      <c r="I1488" s="269" t="s">
        <v>2970</v>
      </c>
      <c r="J1488" s="162" t="s">
        <v>2370</v>
      </c>
      <c r="K1488" s="98"/>
      <c r="L1488" s="91"/>
      <c r="M1488" s="91"/>
      <c r="N1488" s="96" t="b">
        <v>0</v>
      </c>
      <c r="O1488" s="96" t="b">
        <v>0</v>
      </c>
      <c r="P1488" s="92"/>
      <c r="Q1488" s="92"/>
      <c r="R1488" s="92"/>
      <c r="S1488" s="92"/>
      <c r="T1488" s="92"/>
      <c r="U1488" s="92"/>
      <c r="V1488" s="92"/>
      <c r="W1488" s="92"/>
      <c r="X1488" s="92"/>
      <c r="Y1488" s="92"/>
      <c r="Z1488" s="92"/>
      <c r="AA1488" s="92"/>
      <c r="AB1488" s="92"/>
      <c r="AC1488" s="92"/>
      <c r="AD1488" s="92"/>
      <c r="AE1488" s="92"/>
      <c r="AF1488" s="92"/>
      <c r="AG1488" s="92"/>
    </row>
    <row r="1489" hidden="1">
      <c r="A1489" s="262"/>
      <c r="B1489" s="25"/>
      <c r="C1489" s="80" t="s">
        <v>78</v>
      </c>
      <c r="D1489" s="107" t="s">
        <v>2582</v>
      </c>
      <c r="E1489" s="263" t="s">
        <v>2971</v>
      </c>
      <c r="F1489" s="263" t="s">
        <v>2972</v>
      </c>
      <c r="G1489" s="112" t="s">
        <v>283</v>
      </c>
      <c r="H1489" s="109" t="s">
        <v>290</v>
      </c>
      <c r="I1489" s="109" t="s">
        <v>2973</v>
      </c>
      <c r="J1489" s="109" t="s">
        <v>702</v>
      </c>
      <c r="K1489" s="98" t="s">
        <v>2974</v>
      </c>
      <c r="L1489" s="91"/>
      <c r="M1489" s="91"/>
      <c r="N1489" s="96" t="b">
        <v>0</v>
      </c>
      <c r="O1489" s="96" t="b">
        <v>0</v>
      </c>
      <c r="P1489" s="92"/>
      <c r="Q1489" s="92"/>
      <c r="R1489" s="92"/>
      <c r="S1489" s="92"/>
      <c r="T1489" s="92"/>
      <c r="U1489" s="92"/>
      <c r="V1489" s="92"/>
      <c r="W1489" s="92"/>
      <c r="X1489" s="92"/>
      <c r="Y1489" s="92"/>
      <c r="Z1489" s="92"/>
      <c r="AA1489" s="92"/>
      <c r="AB1489" s="92"/>
      <c r="AC1489" s="92"/>
      <c r="AD1489" s="92"/>
      <c r="AE1489" s="92"/>
      <c r="AF1489" s="92"/>
      <c r="AG1489" s="92"/>
    </row>
    <row r="1490" hidden="1">
      <c r="A1490" s="262"/>
      <c r="B1490" s="25"/>
      <c r="C1490" s="80" t="s">
        <v>78</v>
      </c>
      <c r="D1490" s="159" t="s">
        <v>2582</v>
      </c>
      <c r="E1490" s="269" t="s">
        <v>2975</v>
      </c>
      <c r="F1490" s="269" t="s">
        <v>2976</v>
      </c>
      <c r="G1490" s="270" t="s">
        <v>43</v>
      </c>
      <c r="H1490" s="162" t="s">
        <v>949</v>
      </c>
      <c r="I1490" s="162" t="s">
        <v>2977</v>
      </c>
      <c r="J1490" s="162" t="s">
        <v>2978</v>
      </c>
      <c r="K1490" s="91"/>
      <c r="L1490" s="91"/>
      <c r="M1490" s="91"/>
      <c r="N1490" s="96" t="b">
        <v>0</v>
      </c>
      <c r="O1490" s="96" t="b">
        <v>0</v>
      </c>
      <c r="P1490" s="92"/>
      <c r="Q1490" s="92"/>
      <c r="R1490" s="92"/>
      <c r="S1490" s="92"/>
      <c r="T1490" s="92"/>
      <c r="U1490" s="92"/>
      <c r="V1490" s="92"/>
      <c r="W1490" s="92"/>
      <c r="X1490" s="92"/>
      <c r="Y1490" s="92"/>
      <c r="Z1490" s="92"/>
      <c r="AA1490" s="92"/>
      <c r="AB1490" s="92"/>
      <c r="AC1490" s="92"/>
      <c r="AD1490" s="92"/>
      <c r="AE1490" s="92"/>
      <c r="AF1490" s="92"/>
      <c r="AG1490" s="92"/>
    </row>
    <row r="1491" hidden="1">
      <c r="A1491" s="262"/>
      <c r="B1491" s="39"/>
      <c r="C1491" s="80" t="s">
        <v>78</v>
      </c>
      <c r="D1491" s="181"/>
      <c r="E1491" s="43"/>
      <c r="F1491" s="43"/>
      <c r="G1491" s="43"/>
      <c r="H1491" s="43"/>
      <c r="I1491" s="43"/>
      <c r="J1491" s="43"/>
      <c r="K1491" s="43"/>
      <c r="L1491" s="91"/>
      <c r="M1491" s="91"/>
      <c r="N1491" s="96" t="b">
        <v>0</v>
      </c>
      <c r="O1491" s="96" t="b">
        <v>0</v>
      </c>
      <c r="P1491" s="92"/>
      <c r="Q1491" s="92"/>
      <c r="R1491" s="92"/>
      <c r="S1491" s="92"/>
      <c r="T1491" s="92"/>
      <c r="U1491" s="92"/>
      <c r="V1491" s="92"/>
      <c r="W1491" s="92"/>
      <c r="X1491" s="92"/>
      <c r="Y1491" s="92"/>
      <c r="Z1491" s="92"/>
      <c r="AA1491" s="92"/>
      <c r="AB1491" s="92"/>
      <c r="AC1491" s="92"/>
      <c r="AD1491" s="92"/>
      <c r="AE1491" s="92"/>
      <c r="AF1491" s="92"/>
      <c r="AG1491" s="92"/>
    </row>
    <row r="1492" hidden="1">
      <c r="A1492" s="262"/>
      <c r="B1492" s="166"/>
      <c r="C1492" s="88">
        <v>44502.0</v>
      </c>
      <c r="D1492" s="181"/>
      <c r="E1492" s="43"/>
      <c r="F1492" s="43"/>
      <c r="G1492" s="43"/>
      <c r="H1492" s="43"/>
      <c r="I1492" s="43"/>
      <c r="J1492" s="43"/>
      <c r="K1492" s="43"/>
      <c r="L1492" s="91"/>
      <c r="M1492" s="91"/>
      <c r="N1492" s="96" t="b">
        <v>0</v>
      </c>
      <c r="O1492" s="96" t="b">
        <v>0</v>
      </c>
      <c r="P1492" s="92"/>
      <c r="Q1492" s="92"/>
      <c r="R1492" s="92"/>
      <c r="S1492" s="92"/>
      <c r="T1492" s="92"/>
      <c r="U1492" s="92"/>
      <c r="V1492" s="92"/>
      <c r="W1492" s="92"/>
      <c r="X1492" s="92"/>
      <c r="Y1492" s="92"/>
      <c r="Z1492" s="92"/>
      <c r="AA1492" s="92"/>
      <c r="AB1492" s="92"/>
      <c r="AC1492" s="92"/>
      <c r="AD1492" s="92"/>
      <c r="AE1492" s="92"/>
      <c r="AF1492" s="92"/>
      <c r="AG1492" s="92"/>
    </row>
    <row r="1493" hidden="1">
      <c r="A1493" s="262"/>
      <c r="B1493" s="18" t="s">
        <v>1668</v>
      </c>
      <c r="C1493" s="234"/>
      <c r="D1493" s="97"/>
      <c r="E1493" s="98"/>
      <c r="F1493" s="98"/>
      <c r="G1493" s="41"/>
      <c r="H1493" s="98"/>
      <c r="I1493" s="98"/>
      <c r="J1493" s="98"/>
      <c r="K1493" s="91"/>
      <c r="L1493" s="91"/>
      <c r="M1493" s="91"/>
      <c r="N1493" s="96" t="b">
        <v>0</v>
      </c>
      <c r="O1493" s="96" t="b">
        <v>0</v>
      </c>
      <c r="P1493" s="92"/>
      <c r="Q1493" s="92"/>
      <c r="R1493" s="92"/>
      <c r="S1493" s="92"/>
      <c r="T1493" s="92"/>
      <c r="U1493" s="92"/>
      <c r="V1493" s="92"/>
      <c r="W1493" s="92"/>
      <c r="X1493" s="92"/>
      <c r="Y1493" s="92"/>
      <c r="Z1493" s="92"/>
      <c r="AA1493" s="92"/>
      <c r="AB1493" s="92"/>
      <c r="AC1493" s="92"/>
      <c r="AD1493" s="92"/>
      <c r="AE1493" s="92"/>
      <c r="AF1493" s="92"/>
      <c r="AG1493" s="92"/>
    </row>
    <row r="1494" hidden="1">
      <c r="A1494" s="262"/>
      <c r="B1494" s="25"/>
      <c r="C1494" s="78" t="s">
        <v>78</v>
      </c>
      <c r="D1494" s="107" t="s">
        <v>2582</v>
      </c>
      <c r="E1494" s="184" t="s">
        <v>2979</v>
      </c>
      <c r="F1494" s="184" t="s">
        <v>2980</v>
      </c>
      <c r="G1494" s="112" t="s">
        <v>417</v>
      </c>
      <c r="H1494" s="109" t="s">
        <v>82</v>
      </c>
      <c r="I1494" s="109" t="s">
        <v>2981</v>
      </c>
      <c r="J1494" s="109" t="s">
        <v>2982</v>
      </c>
      <c r="K1494" s="91"/>
      <c r="L1494" s="91"/>
      <c r="M1494" s="91"/>
      <c r="N1494" s="96" t="b">
        <v>0</v>
      </c>
      <c r="O1494" s="96" t="b">
        <v>0</v>
      </c>
      <c r="P1494" s="92"/>
      <c r="Q1494" s="92"/>
      <c r="R1494" s="92"/>
      <c r="S1494" s="92"/>
      <c r="T1494" s="92"/>
      <c r="U1494" s="92"/>
      <c r="V1494" s="92"/>
      <c r="W1494" s="92"/>
      <c r="X1494" s="92"/>
      <c r="Y1494" s="92"/>
      <c r="Z1494" s="92"/>
      <c r="AA1494" s="92"/>
      <c r="AB1494" s="92"/>
      <c r="AC1494" s="92"/>
      <c r="AD1494" s="92"/>
      <c r="AE1494" s="92"/>
      <c r="AF1494" s="92"/>
      <c r="AG1494" s="92"/>
    </row>
    <row r="1495" hidden="1">
      <c r="A1495" s="262"/>
      <c r="B1495" s="25"/>
      <c r="C1495" s="80" t="s">
        <v>78</v>
      </c>
      <c r="D1495" s="159" t="s">
        <v>2582</v>
      </c>
      <c r="E1495" s="273" t="s">
        <v>2983</v>
      </c>
      <c r="F1495" s="273" t="s">
        <v>2984</v>
      </c>
      <c r="G1495" s="270" t="s">
        <v>449</v>
      </c>
      <c r="H1495" s="162" t="s">
        <v>2985</v>
      </c>
      <c r="I1495" s="162" t="s">
        <v>2986</v>
      </c>
      <c r="J1495" s="162" t="s">
        <v>2987</v>
      </c>
      <c r="K1495" s="91"/>
      <c r="L1495" s="91"/>
      <c r="M1495" s="91"/>
      <c r="N1495" s="96" t="b">
        <v>0</v>
      </c>
      <c r="O1495" s="96" t="b">
        <v>0</v>
      </c>
      <c r="P1495" s="92"/>
      <c r="Q1495" s="92"/>
      <c r="R1495" s="92"/>
      <c r="S1495" s="92"/>
      <c r="T1495" s="92"/>
      <c r="U1495" s="92"/>
      <c r="V1495" s="92"/>
      <c r="W1495" s="92"/>
      <c r="X1495" s="92"/>
      <c r="Y1495" s="92"/>
      <c r="Z1495" s="92"/>
      <c r="AA1495" s="92"/>
      <c r="AB1495" s="92"/>
      <c r="AC1495" s="92"/>
      <c r="AD1495" s="92"/>
      <c r="AE1495" s="92"/>
      <c r="AF1495" s="92"/>
      <c r="AG1495" s="92"/>
    </row>
    <row r="1496" hidden="1">
      <c r="A1496" s="262"/>
      <c r="B1496" s="25"/>
      <c r="C1496" s="80" t="s">
        <v>78</v>
      </c>
      <c r="D1496" s="97" t="s">
        <v>2582</v>
      </c>
      <c r="E1496" s="183" t="s">
        <v>496</v>
      </c>
      <c r="F1496" s="183" t="s">
        <v>497</v>
      </c>
      <c r="G1496" s="41" t="s">
        <v>180</v>
      </c>
      <c r="H1496" s="98" t="s">
        <v>349</v>
      </c>
      <c r="I1496" s="98" t="s">
        <v>1000</v>
      </c>
      <c r="J1496" s="98" t="s">
        <v>500</v>
      </c>
      <c r="K1496" s="98" t="s">
        <v>2988</v>
      </c>
      <c r="L1496" s="91"/>
      <c r="M1496" s="91"/>
      <c r="N1496" s="96" t="b">
        <v>0</v>
      </c>
      <c r="O1496" s="96" t="b">
        <v>0</v>
      </c>
      <c r="P1496" s="92"/>
      <c r="Q1496" s="92"/>
      <c r="R1496" s="92"/>
      <c r="S1496" s="92"/>
      <c r="T1496" s="92"/>
      <c r="U1496" s="92"/>
      <c r="V1496" s="92"/>
      <c r="W1496" s="92"/>
      <c r="X1496" s="92"/>
      <c r="Y1496" s="92"/>
      <c r="Z1496" s="92"/>
      <c r="AA1496" s="92"/>
      <c r="AB1496" s="92"/>
      <c r="AC1496" s="92"/>
      <c r="AD1496" s="92"/>
      <c r="AE1496" s="92"/>
      <c r="AF1496" s="92"/>
      <c r="AG1496" s="92"/>
    </row>
    <row r="1497" hidden="1">
      <c r="A1497" s="262"/>
      <c r="B1497" s="25"/>
      <c r="C1497" s="80" t="s">
        <v>78</v>
      </c>
      <c r="D1497" s="97"/>
      <c r="E1497" s="98"/>
      <c r="F1497" s="98"/>
      <c r="G1497" s="41"/>
      <c r="H1497" s="98"/>
      <c r="I1497" s="98"/>
      <c r="J1497" s="98"/>
      <c r="K1497" s="91"/>
      <c r="L1497" s="91"/>
      <c r="M1497" s="91"/>
      <c r="N1497" s="96" t="b">
        <v>0</v>
      </c>
      <c r="O1497" s="96" t="b">
        <v>0</v>
      </c>
      <c r="P1497" s="92"/>
      <c r="Q1497" s="92"/>
      <c r="R1497" s="92"/>
      <c r="S1497" s="92"/>
      <c r="T1497" s="92"/>
      <c r="U1497" s="92"/>
      <c r="V1497" s="92"/>
      <c r="W1497" s="92"/>
      <c r="X1497" s="92"/>
      <c r="Y1497" s="92"/>
      <c r="Z1497" s="92"/>
      <c r="AA1497" s="92"/>
      <c r="AB1497" s="92"/>
      <c r="AC1497" s="92"/>
      <c r="AD1497" s="92"/>
      <c r="AE1497" s="92"/>
      <c r="AF1497" s="92"/>
      <c r="AG1497" s="92"/>
    </row>
    <row r="1498" hidden="1">
      <c r="A1498" s="262"/>
      <c r="B1498" s="25"/>
      <c r="C1498" s="80" t="s">
        <v>78</v>
      </c>
      <c r="D1498" s="97"/>
      <c r="E1498" s="98"/>
      <c r="F1498" s="98"/>
      <c r="G1498" s="41"/>
      <c r="H1498" s="98"/>
      <c r="I1498" s="98"/>
      <c r="J1498" s="98"/>
      <c r="K1498" s="91"/>
      <c r="L1498" s="91"/>
      <c r="M1498" s="91"/>
      <c r="N1498" s="96" t="b">
        <v>0</v>
      </c>
      <c r="O1498" s="96" t="b">
        <v>0</v>
      </c>
      <c r="P1498" s="92"/>
      <c r="Q1498" s="92"/>
      <c r="R1498" s="92"/>
      <c r="S1498" s="92"/>
      <c r="T1498" s="92"/>
      <c r="U1498" s="92"/>
      <c r="V1498" s="92"/>
      <c r="W1498" s="92"/>
      <c r="X1498" s="92"/>
      <c r="Y1498" s="92"/>
      <c r="Z1498" s="92"/>
      <c r="AA1498" s="92"/>
      <c r="AB1498" s="92"/>
      <c r="AC1498" s="92"/>
      <c r="AD1498" s="92"/>
      <c r="AE1498" s="92"/>
      <c r="AF1498" s="92"/>
      <c r="AG1498" s="92"/>
    </row>
    <row r="1499" hidden="1">
      <c r="A1499" s="262"/>
      <c r="B1499" s="39"/>
      <c r="C1499" s="80" t="s">
        <v>78</v>
      </c>
      <c r="D1499" s="97"/>
      <c r="E1499" s="98"/>
      <c r="F1499" s="98"/>
      <c r="G1499" s="41"/>
      <c r="H1499" s="98"/>
      <c r="I1499" s="98"/>
      <c r="J1499" s="98"/>
      <c r="K1499" s="91"/>
      <c r="L1499" s="91"/>
      <c r="M1499" s="91"/>
      <c r="N1499" s="96" t="b">
        <v>0</v>
      </c>
      <c r="O1499" s="96" t="b">
        <v>0</v>
      </c>
      <c r="P1499" s="92"/>
      <c r="Q1499" s="92"/>
      <c r="R1499" s="92"/>
      <c r="S1499" s="92"/>
      <c r="T1499" s="92"/>
      <c r="U1499" s="92"/>
      <c r="V1499" s="92"/>
      <c r="W1499" s="92"/>
      <c r="X1499" s="92"/>
      <c r="Y1499" s="92"/>
      <c r="Z1499" s="92"/>
      <c r="AA1499" s="92"/>
      <c r="AB1499" s="92"/>
      <c r="AC1499" s="92"/>
      <c r="AD1499" s="92"/>
      <c r="AE1499" s="92"/>
      <c r="AF1499" s="92"/>
      <c r="AG1499" s="92"/>
    </row>
    <row r="1500" hidden="1">
      <c r="A1500" s="262"/>
      <c r="B1500" s="166"/>
      <c r="C1500" s="88">
        <v>44503.0</v>
      </c>
      <c r="D1500" s="97"/>
      <c r="E1500" s="98"/>
      <c r="F1500" s="98"/>
      <c r="G1500" s="41"/>
      <c r="H1500" s="98"/>
      <c r="I1500" s="98"/>
      <c r="J1500" s="98"/>
      <c r="K1500" s="91"/>
      <c r="L1500" s="91"/>
      <c r="M1500" s="91"/>
      <c r="N1500" s="96" t="b">
        <v>0</v>
      </c>
      <c r="O1500" s="96" t="b">
        <v>0</v>
      </c>
      <c r="P1500" s="92"/>
      <c r="Q1500" s="92"/>
      <c r="R1500" s="92"/>
      <c r="S1500" s="92"/>
      <c r="T1500" s="92"/>
      <c r="U1500" s="92"/>
      <c r="V1500" s="92"/>
      <c r="W1500" s="92"/>
      <c r="X1500" s="92"/>
      <c r="Y1500" s="92"/>
      <c r="Z1500" s="92"/>
      <c r="AA1500" s="92"/>
      <c r="AB1500" s="92"/>
      <c r="AC1500" s="92"/>
      <c r="AD1500" s="92"/>
      <c r="AE1500" s="92"/>
      <c r="AF1500" s="92"/>
      <c r="AG1500" s="92"/>
    </row>
    <row r="1501" hidden="1">
      <c r="A1501" s="262"/>
      <c r="B1501" s="18" t="s">
        <v>1668</v>
      </c>
      <c r="C1501" s="234"/>
      <c r="D1501" s="97"/>
      <c r="E1501" s="98"/>
      <c r="F1501" s="98"/>
      <c r="G1501" s="41"/>
      <c r="H1501" s="98"/>
      <c r="I1501" s="98"/>
      <c r="J1501" s="98"/>
      <c r="K1501" s="91"/>
      <c r="L1501" s="91"/>
      <c r="M1501" s="91"/>
      <c r="N1501" s="96" t="b">
        <v>0</v>
      </c>
      <c r="O1501" s="96" t="b">
        <v>0</v>
      </c>
      <c r="P1501" s="92"/>
      <c r="Q1501" s="92"/>
      <c r="R1501" s="92"/>
      <c r="S1501" s="92"/>
      <c r="T1501" s="92"/>
      <c r="U1501" s="92"/>
      <c r="V1501" s="92"/>
      <c r="W1501" s="92"/>
      <c r="X1501" s="92"/>
      <c r="Y1501" s="92"/>
      <c r="Z1501" s="92"/>
      <c r="AA1501" s="92"/>
      <c r="AB1501" s="92"/>
      <c r="AC1501" s="92"/>
      <c r="AD1501" s="92"/>
      <c r="AE1501" s="92"/>
      <c r="AF1501" s="92"/>
      <c r="AG1501" s="92"/>
    </row>
    <row r="1502" hidden="1">
      <c r="A1502" s="262"/>
      <c r="B1502" s="25"/>
      <c r="C1502" s="78" t="s">
        <v>78</v>
      </c>
      <c r="D1502" s="97"/>
      <c r="E1502" s="98"/>
      <c r="F1502" s="98"/>
      <c r="G1502" s="41"/>
      <c r="H1502" s="98"/>
      <c r="I1502" s="98"/>
      <c r="J1502" s="98"/>
      <c r="K1502" s="91"/>
      <c r="L1502" s="91"/>
      <c r="M1502" s="91"/>
      <c r="N1502" s="96" t="b">
        <v>0</v>
      </c>
      <c r="O1502" s="96" t="b">
        <v>0</v>
      </c>
      <c r="P1502" s="92"/>
      <c r="Q1502" s="92"/>
      <c r="R1502" s="92"/>
      <c r="S1502" s="92"/>
      <c r="T1502" s="92"/>
      <c r="U1502" s="92"/>
      <c r="V1502" s="92"/>
      <c r="W1502" s="92"/>
      <c r="X1502" s="92"/>
      <c r="Y1502" s="92"/>
      <c r="Z1502" s="92"/>
      <c r="AA1502" s="92"/>
      <c r="AB1502" s="92"/>
      <c r="AC1502" s="92"/>
      <c r="AD1502" s="92"/>
      <c r="AE1502" s="92"/>
      <c r="AF1502" s="92"/>
      <c r="AG1502" s="92"/>
    </row>
    <row r="1503" hidden="1">
      <c r="A1503" s="262"/>
      <c r="B1503" s="25"/>
      <c r="C1503" s="80" t="s">
        <v>78</v>
      </c>
      <c r="D1503" s="97"/>
      <c r="E1503" s="98"/>
      <c r="F1503" s="98"/>
      <c r="G1503" s="41"/>
      <c r="H1503" s="98"/>
      <c r="I1503" s="98"/>
      <c r="J1503" s="98"/>
      <c r="K1503" s="91"/>
      <c r="L1503" s="91"/>
      <c r="M1503" s="91"/>
      <c r="N1503" s="96" t="b">
        <v>0</v>
      </c>
      <c r="O1503" s="96" t="b">
        <v>0</v>
      </c>
      <c r="P1503" s="92"/>
      <c r="Q1503" s="92"/>
      <c r="R1503" s="92"/>
      <c r="S1503" s="92"/>
      <c r="T1503" s="92"/>
      <c r="U1503" s="92"/>
      <c r="V1503" s="92"/>
      <c r="W1503" s="92"/>
      <c r="X1503" s="92"/>
      <c r="Y1503" s="92"/>
      <c r="Z1503" s="92"/>
      <c r="AA1503" s="92"/>
      <c r="AB1503" s="92"/>
      <c r="AC1503" s="92"/>
      <c r="AD1503" s="92"/>
      <c r="AE1503" s="92"/>
      <c r="AF1503" s="92"/>
      <c r="AG1503" s="92"/>
    </row>
    <row r="1504" hidden="1">
      <c r="A1504" s="262"/>
      <c r="B1504" s="25"/>
      <c r="C1504" s="80" t="s">
        <v>78</v>
      </c>
      <c r="D1504" s="270" t="s">
        <v>2582</v>
      </c>
      <c r="E1504" s="273" t="s">
        <v>2989</v>
      </c>
      <c r="F1504" s="273" t="s">
        <v>2990</v>
      </c>
      <c r="G1504" s="270" t="s">
        <v>384</v>
      </c>
      <c r="H1504" s="162" t="s">
        <v>568</v>
      </c>
      <c r="I1504" s="162" t="s">
        <v>2991</v>
      </c>
      <c r="J1504" s="162" t="s">
        <v>2992</v>
      </c>
      <c r="K1504" s="91"/>
      <c r="L1504" s="91"/>
      <c r="M1504" s="91"/>
      <c r="N1504" s="96" t="b">
        <v>0</v>
      </c>
      <c r="O1504" s="96" t="b">
        <v>0</v>
      </c>
      <c r="P1504" s="92"/>
      <c r="Q1504" s="92"/>
      <c r="R1504" s="92"/>
      <c r="S1504" s="92"/>
      <c r="T1504" s="92"/>
      <c r="U1504" s="92"/>
      <c r="V1504" s="92"/>
      <c r="W1504" s="92"/>
      <c r="X1504" s="92"/>
      <c r="Y1504" s="92"/>
      <c r="Z1504" s="92"/>
      <c r="AA1504" s="92"/>
      <c r="AB1504" s="92"/>
      <c r="AC1504" s="92"/>
      <c r="AD1504" s="92"/>
      <c r="AE1504" s="92"/>
      <c r="AF1504" s="92"/>
      <c r="AG1504" s="92"/>
    </row>
    <row r="1505" hidden="1">
      <c r="A1505" s="262"/>
      <c r="B1505" s="25"/>
      <c r="C1505" s="80" t="s">
        <v>78</v>
      </c>
      <c r="D1505" s="270" t="s">
        <v>2582</v>
      </c>
      <c r="E1505" s="273" t="s">
        <v>821</v>
      </c>
      <c r="F1505" s="273" t="s">
        <v>822</v>
      </c>
      <c r="G1505" s="270" t="s">
        <v>567</v>
      </c>
      <c r="H1505" s="162" t="s">
        <v>290</v>
      </c>
      <c r="I1505" s="162" t="s">
        <v>823</v>
      </c>
      <c r="J1505" s="162" t="s">
        <v>824</v>
      </c>
      <c r="K1505" s="231"/>
      <c r="L1505" s="91"/>
      <c r="M1505" s="91"/>
      <c r="N1505" s="96" t="b">
        <v>0</v>
      </c>
      <c r="O1505" s="96" t="b">
        <v>0</v>
      </c>
      <c r="P1505" s="92"/>
      <c r="Q1505" s="92"/>
      <c r="R1505" s="92"/>
      <c r="S1505" s="92"/>
      <c r="T1505" s="92"/>
      <c r="U1505" s="92"/>
      <c r="V1505" s="92"/>
      <c r="W1505" s="92"/>
      <c r="X1505" s="92"/>
      <c r="Y1505" s="92"/>
      <c r="Z1505" s="92"/>
      <c r="AA1505" s="92"/>
      <c r="AB1505" s="92"/>
      <c r="AC1505" s="92"/>
      <c r="AD1505" s="92"/>
      <c r="AE1505" s="92"/>
      <c r="AF1505" s="92"/>
      <c r="AG1505" s="92"/>
    </row>
    <row r="1506" hidden="1">
      <c r="A1506" s="262"/>
      <c r="B1506" s="25"/>
      <c r="C1506" s="80" t="s">
        <v>78</v>
      </c>
      <c r="D1506" s="112" t="s">
        <v>2582</v>
      </c>
      <c r="E1506" s="184" t="s">
        <v>2993</v>
      </c>
      <c r="F1506" s="184" t="s">
        <v>2994</v>
      </c>
      <c r="G1506" s="112" t="s">
        <v>283</v>
      </c>
      <c r="H1506" s="109" t="s">
        <v>290</v>
      </c>
      <c r="I1506" s="109" t="s">
        <v>2995</v>
      </c>
      <c r="J1506" s="109" t="s">
        <v>2996</v>
      </c>
      <c r="K1506" s="98" t="s">
        <v>2969</v>
      </c>
      <c r="L1506" s="91"/>
      <c r="M1506" s="91"/>
      <c r="N1506" s="96" t="b">
        <v>0</v>
      </c>
      <c r="O1506" s="96" t="b">
        <v>0</v>
      </c>
      <c r="P1506" s="92"/>
      <c r="Q1506" s="92"/>
      <c r="R1506" s="92"/>
      <c r="S1506" s="92"/>
      <c r="T1506" s="92"/>
      <c r="U1506" s="92"/>
      <c r="V1506" s="92"/>
      <c r="W1506" s="92"/>
      <c r="X1506" s="92"/>
      <c r="Y1506" s="92"/>
      <c r="Z1506" s="92"/>
      <c r="AA1506" s="92"/>
      <c r="AB1506" s="92"/>
      <c r="AC1506" s="92"/>
      <c r="AD1506" s="92"/>
      <c r="AE1506" s="92"/>
      <c r="AF1506" s="92"/>
      <c r="AG1506" s="92"/>
    </row>
    <row r="1507" hidden="1">
      <c r="A1507" s="262"/>
      <c r="B1507" s="39"/>
      <c r="C1507" s="80" t="s">
        <v>78</v>
      </c>
      <c r="D1507" s="97"/>
      <c r="E1507" s="98"/>
      <c r="F1507" s="98"/>
      <c r="G1507" s="41"/>
      <c r="H1507" s="98"/>
      <c r="I1507" s="98"/>
      <c r="J1507" s="98"/>
      <c r="K1507" s="91"/>
      <c r="L1507" s="91"/>
      <c r="M1507" s="91"/>
      <c r="N1507" s="96" t="b">
        <v>0</v>
      </c>
      <c r="O1507" s="96" t="b">
        <v>0</v>
      </c>
      <c r="P1507" s="92"/>
      <c r="Q1507" s="92"/>
      <c r="R1507" s="92"/>
      <c r="S1507" s="92"/>
      <c r="T1507" s="92"/>
      <c r="U1507" s="92"/>
      <c r="V1507" s="92"/>
      <c r="W1507" s="92"/>
      <c r="X1507" s="92"/>
      <c r="Y1507" s="92"/>
      <c r="Z1507" s="92"/>
      <c r="AA1507" s="92"/>
      <c r="AB1507" s="92"/>
      <c r="AC1507" s="92"/>
      <c r="AD1507" s="92"/>
      <c r="AE1507" s="92"/>
      <c r="AF1507" s="92"/>
      <c r="AG1507" s="92"/>
    </row>
    <row r="1508" hidden="1">
      <c r="A1508" s="262"/>
      <c r="B1508" s="166"/>
      <c r="C1508" s="88">
        <v>44504.0</v>
      </c>
      <c r="D1508" s="97"/>
      <c r="E1508" s="98"/>
      <c r="F1508" s="98"/>
      <c r="G1508" s="41"/>
      <c r="H1508" s="98"/>
      <c r="I1508" s="98"/>
      <c r="J1508" s="98"/>
      <c r="K1508" s="91"/>
      <c r="L1508" s="91"/>
      <c r="M1508" s="91"/>
      <c r="N1508" s="96" t="b">
        <v>0</v>
      </c>
      <c r="O1508" s="96" t="b">
        <v>0</v>
      </c>
      <c r="P1508" s="92"/>
      <c r="Q1508" s="92"/>
      <c r="R1508" s="92"/>
      <c r="S1508" s="92"/>
      <c r="T1508" s="92"/>
      <c r="U1508" s="92"/>
      <c r="V1508" s="92"/>
      <c r="W1508" s="92"/>
      <c r="X1508" s="92"/>
      <c r="Y1508" s="92"/>
      <c r="Z1508" s="92"/>
      <c r="AA1508" s="92"/>
      <c r="AB1508" s="92"/>
      <c r="AC1508" s="92"/>
      <c r="AD1508" s="92"/>
      <c r="AE1508" s="92"/>
      <c r="AF1508" s="92"/>
      <c r="AG1508" s="92"/>
    </row>
    <row r="1509" hidden="1">
      <c r="A1509" s="262"/>
      <c r="B1509" s="18" t="s">
        <v>1668</v>
      </c>
      <c r="C1509" s="234"/>
      <c r="D1509" s="97"/>
      <c r="E1509" s="98"/>
      <c r="F1509" s="98"/>
      <c r="G1509" s="41"/>
      <c r="H1509" s="98"/>
      <c r="I1509" s="98"/>
      <c r="J1509" s="98"/>
      <c r="K1509" s="91"/>
      <c r="L1509" s="91"/>
      <c r="M1509" s="91"/>
      <c r="N1509" s="96" t="b">
        <v>0</v>
      </c>
      <c r="O1509" s="96" t="b">
        <v>0</v>
      </c>
      <c r="P1509" s="92"/>
      <c r="Q1509" s="92"/>
      <c r="R1509" s="92"/>
      <c r="S1509" s="92"/>
      <c r="T1509" s="92"/>
      <c r="U1509" s="92"/>
      <c r="V1509" s="92"/>
      <c r="W1509" s="92"/>
      <c r="X1509" s="92"/>
      <c r="Y1509" s="92"/>
      <c r="Z1509" s="92"/>
      <c r="AA1509" s="92"/>
      <c r="AB1509" s="92"/>
      <c r="AC1509" s="92"/>
      <c r="AD1509" s="92"/>
      <c r="AE1509" s="92"/>
      <c r="AF1509" s="92"/>
      <c r="AG1509" s="92"/>
    </row>
    <row r="1510" hidden="1">
      <c r="A1510" s="262"/>
      <c r="B1510" s="25"/>
      <c r="C1510" s="78" t="s">
        <v>78</v>
      </c>
      <c r="D1510" s="107" t="s">
        <v>2418</v>
      </c>
      <c r="E1510" s="184" t="s">
        <v>1515</v>
      </c>
      <c r="F1510" s="184" t="s">
        <v>1516</v>
      </c>
      <c r="G1510" s="108">
        <v>0.4375</v>
      </c>
      <c r="H1510" s="109" t="s">
        <v>2802</v>
      </c>
      <c r="I1510" s="109" t="s">
        <v>2997</v>
      </c>
      <c r="J1510" s="109" t="s">
        <v>1518</v>
      </c>
      <c r="K1510" s="98" t="s">
        <v>2998</v>
      </c>
      <c r="L1510" s="91"/>
      <c r="M1510" s="91"/>
      <c r="N1510" s="96" t="b">
        <v>0</v>
      </c>
      <c r="O1510" s="96" t="b">
        <v>0</v>
      </c>
      <c r="P1510" s="92"/>
      <c r="Q1510" s="92"/>
      <c r="R1510" s="92"/>
      <c r="S1510" s="92"/>
      <c r="T1510" s="92"/>
      <c r="U1510" s="92"/>
      <c r="V1510" s="92"/>
      <c r="W1510" s="92"/>
      <c r="X1510" s="92"/>
      <c r="Y1510" s="92"/>
      <c r="Z1510" s="92"/>
      <c r="AA1510" s="92"/>
      <c r="AB1510" s="92"/>
      <c r="AC1510" s="92"/>
      <c r="AD1510" s="92"/>
      <c r="AE1510" s="92"/>
      <c r="AF1510" s="92"/>
      <c r="AG1510" s="92"/>
    </row>
    <row r="1511" hidden="1">
      <c r="A1511" s="262"/>
      <c r="B1511" s="25"/>
      <c r="C1511" s="80" t="s">
        <v>78</v>
      </c>
      <c r="D1511" s="300" t="s">
        <v>2941</v>
      </c>
      <c r="E1511" s="273" t="s">
        <v>2999</v>
      </c>
      <c r="F1511" s="273" t="s">
        <v>3000</v>
      </c>
      <c r="G1511" s="161">
        <v>0.5</v>
      </c>
      <c r="H1511" s="162" t="s">
        <v>3001</v>
      </c>
      <c r="I1511" s="162" t="s">
        <v>3002</v>
      </c>
      <c r="J1511" s="269" t="s">
        <v>3003</v>
      </c>
      <c r="K1511" s="91"/>
      <c r="L1511" s="91"/>
      <c r="M1511" s="91"/>
      <c r="N1511" s="96" t="b">
        <v>0</v>
      </c>
      <c r="O1511" s="96" t="b">
        <v>0</v>
      </c>
      <c r="P1511" s="92"/>
      <c r="Q1511" s="92"/>
      <c r="R1511" s="92"/>
      <c r="S1511" s="92"/>
      <c r="T1511" s="92"/>
      <c r="U1511" s="92"/>
      <c r="V1511" s="92"/>
      <c r="W1511" s="92"/>
      <c r="X1511" s="92"/>
      <c r="Y1511" s="92"/>
      <c r="Z1511" s="92"/>
      <c r="AA1511" s="92"/>
      <c r="AB1511" s="92"/>
      <c r="AC1511" s="92"/>
      <c r="AD1511" s="92"/>
      <c r="AE1511" s="92"/>
      <c r="AF1511" s="92"/>
      <c r="AG1511" s="92"/>
    </row>
    <row r="1512" hidden="1">
      <c r="A1512" s="262"/>
      <c r="B1512" s="25"/>
      <c r="C1512" s="80" t="s">
        <v>78</v>
      </c>
      <c r="D1512" s="97" t="s">
        <v>2418</v>
      </c>
      <c r="E1512" s="183" t="s">
        <v>476</v>
      </c>
      <c r="F1512" s="183" t="s">
        <v>477</v>
      </c>
      <c r="G1512" s="99">
        <v>0.5833333333333334</v>
      </c>
      <c r="H1512" s="98" t="s">
        <v>367</v>
      </c>
      <c r="I1512" s="98" t="s">
        <v>3004</v>
      </c>
      <c r="J1512" s="98" t="s">
        <v>480</v>
      </c>
      <c r="K1512" s="98" t="s">
        <v>3005</v>
      </c>
      <c r="L1512" s="91"/>
      <c r="M1512" s="91"/>
      <c r="N1512" s="96" t="b">
        <v>0</v>
      </c>
      <c r="O1512" s="96" t="b">
        <v>0</v>
      </c>
      <c r="P1512" s="92"/>
      <c r="Q1512" s="92"/>
      <c r="R1512" s="92"/>
      <c r="S1512" s="92"/>
      <c r="T1512" s="92"/>
      <c r="U1512" s="92"/>
      <c r="V1512" s="92"/>
      <c r="W1512" s="92"/>
      <c r="X1512" s="92"/>
      <c r="Y1512" s="92"/>
      <c r="Z1512" s="92"/>
      <c r="AA1512" s="92"/>
      <c r="AB1512" s="92"/>
      <c r="AC1512" s="92"/>
      <c r="AD1512" s="92"/>
      <c r="AE1512" s="92"/>
      <c r="AF1512" s="92"/>
      <c r="AG1512" s="92"/>
    </row>
    <row r="1513" hidden="1">
      <c r="A1513" s="262"/>
      <c r="B1513" s="25"/>
      <c r="C1513" s="80" t="s">
        <v>78</v>
      </c>
      <c r="D1513" s="301" t="s">
        <v>2706</v>
      </c>
      <c r="E1513" s="183" t="s">
        <v>1287</v>
      </c>
      <c r="F1513" s="183" t="s">
        <v>1288</v>
      </c>
      <c r="G1513" s="41" t="s">
        <v>180</v>
      </c>
      <c r="H1513" s="278" t="s">
        <v>3006</v>
      </c>
      <c r="I1513" s="98" t="s">
        <v>3007</v>
      </c>
      <c r="J1513" s="299" t="s">
        <v>1290</v>
      </c>
      <c r="K1513" s="98" t="s">
        <v>2969</v>
      </c>
      <c r="L1513" s="91"/>
      <c r="M1513" s="91"/>
      <c r="N1513" s="96" t="b">
        <v>0</v>
      </c>
      <c r="O1513" s="96" t="b">
        <v>0</v>
      </c>
      <c r="P1513" s="92"/>
      <c r="Q1513" s="92"/>
      <c r="R1513" s="92"/>
      <c r="S1513" s="92"/>
      <c r="T1513" s="92"/>
      <c r="U1513" s="92"/>
      <c r="V1513" s="92"/>
      <c r="W1513" s="92"/>
      <c r="X1513" s="92"/>
      <c r="Y1513" s="92"/>
      <c r="Z1513" s="92"/>
      <c r="AA1513" s="92"/>
      <c r="AB1513" s="92"/>
      <c r="AC1513" s="92"/>
      <c r="AD1513" s="92"/>
      <c r="AE1513" s="92"/>
      <c r="AF1513" s="92"/>
      <c r="AG1513" s="92"/>
    </row>
    <row r="1514" hidden="1">
      <c r="A1514" s="262"/>
      <c r="B1514" s="25"/>
      <c r="C1514" s="80" t="s">
        <v>78</v>
      </c>
      <c r="D1514" s="270" t="s">
        <v>2582</v>
      </c>
      <c r="E1514" s="273" t="s">
        <v>2942</v>
      </c>
      <c r="F1514" s="273" t="s">
        <v>2943</v>
      </c>
      <c r="G1514" s="270" t="s">
        <v>43</v>
      </c>
      <c r="H1514" s="162" t="s">
        <v>2944</v>
      </c>
      <c r="I1514" s="162" t="s">
        <v>2945</v>
      </c>
      <c r="J1514" s="269" t="s">
        <v>2946</v>
      </c>
      <c r="K1514" s="98" t="s">
        <v>3008</v>
      </c>
      <c r="L1514" s="91"/>
      <c r="M1514" s="91"/>
      <c r="N1514" s="96" t="b">
        <v>0</v>
      </c>
      <c r="O1514" s="96" t="b">
        <v>0</v>
      </c>
      <c r="P1514" s="92"/>
      <c r="Q1514" s="92"/>
      <c r="R1514" s="92"/>
      <c r="S1514" s="92"/>
      <c r="T1514" s="92"/>
      <c r="U1514" s="92"/>
      <c r="V1514" s="92"/>
      <c r="W1514" s="92"/>
      <c r="X1514" s="92"/>
      <c r="Y1514" s="92"/>
      <c r="Z1514" s="92"/>
      <c r="AA1514" s="92"/>
      <c r="AB1514" s="92"/>
      <c r="AC1514" s="92"/>
      <c r="AD1514" s="92"/>
      <c r="AE1514" s="92"/>
      <c r="AF1514" s="92"/>
      <c r="AG1514" s="92"/>
    </row>
    <row r="1515" hidden="1">
      <c r="A1515" s="262"/>
      <c r="B1515" s="39"/>
      <c r="C1515" s="80" t="s">
        <v>78</v>
      </c>
      <c r="D1515" s="97"/>
      <c r="E1515" s="98"/>
      <c r="F1515" s="98"/>
      <c r="G1515" s="41"/>
      <c r="H1515" s="98"/>
      <c r="I1515" s="98"/>
      <c r="J1515" s="98"/>
      <c r="K1515" s="91"/>
      <c r="L1515" s="91"/>
      <c r="M1515" s="91"/>
      <c r="N1515" s="96" t="b">
        <v>0</v>
      </c>
      <c r="O1515" s="96" t="b">
        <v>0</v>
      </c>
      <c r="P1515" s="92"/>
      <c r="Q1515" s="92"/>
      <c r="R1515" s="92"/>
      <c r="S1515" s="92"/>
      <c r="T1515" s="92"/>
      <c r="U1515" s="92"/>
      <c r="V1515" s="92"/>
      <c r="W1515" s="92"/>
      <c r="X1515" s="92"/>
      <c r="Y1515" s="92"/>
      <c r="Z1515" s="92"/>
      <c r="AA1515" s="92"/>
      <c r="AB1515" s="92"/>
      <c r="AC1515" s="92"/>
      <c r="AD1515" s="92"/>
      <c r="AE1515" s="92"/>
      <c r="AF1515" s="92"/>
      <c r="AG1515" s="92"/>
    </row>
    <row r="1516" hidden="1">
      <c r="A1516" s="262"/>
      <c r="B1516" s="166"/>
      <c r="C1516" s="88">
        <v>44505.0</v>
      </c>
      <c r="D1516" s="97"/>
      <c r="E1516" s="98"/>
      <c r="F1516" s="98"/>
      <c r="G1516" s="41"/>
      <c r="H1516" s="98"/>
      <c r="I1516" s="98"/>
      <c r="J1516" s="98"/>
      <c r="K1516" s="91"/>
      <c r="L1516" s="91"/>
      <c r="M1516" s="91"/>
      <c r="N1516" s="96" t="b">
        <v>0</v>
      </c>
      <c r="O1516" s="96" t="b">
        <v>0</v>
      </c>
      <c r="P1516" s="92"/>
      <c r="Q1516" s="92"/>
      <c r="R1516" s="92"/>
      <c r="S1516" s="92"/>
      <c r="T1516" s="92"/>
      <c r="U1516" s="92"/>
      <c r="V1516" s="92"/>
      <c r="W1516" s="92"/>
      <c r="X1516" s="92"/>
      <c r="Y1516" s="92"/>
      <c r="Z1516" s="92"/>
      <c r="AA1516" s="92"/>
      <c r="AB1516" s="92"/>
      <c r="AC1516" s="92"/>
      <c r="AD1516" s="92"/>
      <c r="AE1516" s="92"/>
      <c r="AF1516" s="92"/>
      <c r="AG1516" s="92"/>
    </row>
    <row r="1517" hidden="1">
      <c r="A1517" s="262"/>
      <c r="B1517" s="18" t="s">
        <v>1668</v>
      </c>
      <c r="C1517" s="234"/>
      <c r="D1517" s="97"/>
      <c r="E1517" s="98"/>
      <c r="F1517" s="98"/>
      <c r="G1517" s="41"/>
      <c r="H1517" s="98"/>
      <c r="I1517" s="98"/>
      <c r="J1517" s="98"/>
      <c r="K1517" s="91"/>
      <c r="L1517" s="91"/>
      <c r="M1517" s="91"/>
      <c r="N1517" s="96" t="b">
        <v>0</v>
      </c>
      <c r="O1517" s="96" t="b">
        <v>0</v>
      </c>
      <c r="P1517" s="92"/>
      <c r="Q1517" s="92"/>
      <c r="R1517" s="92"/>
      <c r="S1517" s="92"/>
      <c r="T1517" s="92"/>
      <c r="U1517" s="92"/>
      <c r="V1517" s="92"/>
      <c r="W1517" s="92"/>
      <c r="X1517" s="92"/>
      <c r="Y1517" s="92"/>
      <c r="Z1517" s="92"/>
      <c r="AA1517" s="92"/>
      <c r="AB1517" s="92"/>
      <c r="AC1517" s="92"/>
      <c r="AD1517" s="92"/>
      <c r="AE1517" s="92"/>
      <c r="AF1517" s="92"/>
      <c r="AG1517" s="92"/>
    </row>
    <row r="1518" hidden="1">
      <c r="A1518" s="262"/>
      <c r="B1518" s="25"/>
      <c r="C1518" s="78" t="s">
        <v>78</v>
      </c>
      <c r="D1518" s="97"/>
      <c r="E1518" s="98"/>
      <c r="F1518" s="98"/>
      <c r="G1518" s="41"/>
      <c r="H1518" s="98"/>
      <c r="I1518" s="98"/>
      <c r="J1518" s="98"/>
      <c r="K1518" s="91"/>
      <c r="L1518" s="91"/>
      <c r="M1518" s="91"/>
      <c r="N1518" s="96" t="b">
        <v>0</v>
      </c>
      <c r="O1518" s="96" t="b">
        <v>0</v>
      </c>
      <c r="P1518" s="92"/>
      <c r="Q1518" s="92"/>
      <c r="R1518" s="92"/>
      <c r="S1518" s="92"/>
      <c r="T1518" s="92"/>
      <c r="U1518" s="92"/>
      <c r="V1518" s="92"/>
      <c r="W1518" s="92"/>
      <c r="X1518" s="92"/>
      <c r="Y1518" s="92"/>
      <c r="Z1518" s="92"/>
      <c r="AA1518" s="92"/>
      <c r="AB1518" s="92"/>
      <c r="AC1518" s="92"/>
      <c r="AD1518" s="92"/>
      <c r="AE1518" s="92"/>
      <c r="AF1518" s="92"/>
      <c r="AG1518" s="92"/>
    </row>
    <row r="1519" hidden="1">
      <c r="A1519" s="262"/>
      <c r="B1519" s="25"/>
      <c r="C1519" s="80" t="s">
        <v>78</v>
      </c>
      <c r="D1519" s="36" t="s">
        <v>2706</v>
      </c>
      <c r="E1519" s="257" t="s">
        <v>3009</v>
      </c>
      <c r="F1519" s="257" t="s">
        <v>3010</v>
      </c>
      <c r="G1519" s="41" t="s">
        <v>417</v>
      </c>
      <c r="H1519" s="278" t="s">
        <v>1604</v>
      </c>
      <c r="I1519" s="98" t="s">
        <v>3011</v>
      </c>
      <c r="J1519" s="299" t="s">
        <v>3012</v>
      </c>
      <c r="K1519" s="91"/>
      <c r="L1519" s="91"/>
      <c r="M1519" s="91"/>
      <c r="N1519" s="96" t="b">
        <v>0</v>
      </c>
      <c r="O1519" s="96" t="b">
        <v>0</v>
      </c>
      <c r="P1519" s="92"/>
      <c r="Q1519" s="92"/>
      <c r="R1519" s="92"/>
      <c r="S1519" s="92"/>
      <c r="T1519" s="92"/>
      <c r="U1519" s="92"/>
      <c r="V1519" s="92"/>
      <c r="W1519" s="92"/>
      <c r="X1519" s="92"/>
      <c r="Y1519" s="92"/>
      <c r="Z1519" s="92"/>
      <c r="AA1519" s="92"/>
      <c r="AB1519" s="92"/>
      <c r="AC1519" s="92"/>
      <c r="AD1519" s="92"/>
      <c r="AE1519" s="92"/>
      <c r="AF1519" s="92"/>
      <c r="AG1519" s="92"/>
    </row>
    <row r="1520" hidden="1">
      <c r="A1520" s="262"/>
      <c r="B1520" s="25"/>
      <c r="C1520" s="80" t="s">
        <v>78</v>
      </c>
      <c r="D1520" s="36" t="s">
        <v>2706</v>
      </c>
      <c r="E1520" s="183" t="s">
        <v>1464</v>
      </c>
      <c r="F1520" s="183" t="s">
        <v>1465</v>
      </c>
      <c r="G1520" s="41" t="s">
        <v>449</v>
      </c>
      <c r="H1520" s="50" t="s">
        <v>1466</v>
      </c>
      <c r="I1520" s="98" t="s">
        <v>3013</v>
      </c>
      <c r="J1520" s="203" t="s">
        <v>1468</v>
      </c>
      <c r="K1520" s="98" t="s">
        <v>2936</v>
      </c>
      <c r="L1520" s="91"/>
      <c r="M1520" s="91"/>
      <c r="N1520" s="96" t="b">
        <v>0</v>
      </c>
      <c r="O1520" s="96" t="b">
        <v>0</v>
      </c>
      <c r="P1520" s="92"/>
      <c r="Q1520" s="92"/>
      <c r="R1520" s="92"/>
      <c r="S1520" s="92"/>
      <c r="T1520" s="92"/>
      <c r="U1520" s="92"/>
      <c r="V1520" s="92"/>
      <c r="W1520" s="92"/>
      <c r="X1520" s="92"/>
      <c r="Y1520" s="92"/>
      <c r="Z1520" s="92"/>
      <c r="AA1520" s="92"/>
      <c r="AB1520" s="92"/>
      <c r="AC1520" s="92"/>
      <c r="AD1520" s="92"/>
      <c r="AE1520" s="92"/>
      <c r="AF1520" s="92"/>
      <c r="AG1520" s="92"/>
    </row>
    <row r="1521" hidden="1">
      <c r="A1521" s="262"/>
      <c r="B1521" s="25"/>
      <c r="C1521" s="80" t="s">
        <v>78</v>
      </c>
      <c r="D1521" s="36" t="s">
        <v>2706</v>
      </c>
      <c r="E1521" s="183" t="s">
        <v>1587</v>
      </c>
      <c r="F1521" s="183" t="s">
        <v>1588</v>
      </c>
      <c r="G1521" s="41" t="s">
        <v>180</v>
      </c>
      <c r="H1521" s="50" t="s">
        <v>3014</v>
      </c>
      <c r="I1521" s="98" t="s">
        <v>3015</v>
      </c>
      <c r="J1521" s="203" t="s">
        <v>1591</v>
      </c>
      <c r="K1521" s="98" t="s">
        <v>2936</v>
      </c>
      <c r="L1521" s="91"/>
      <c r="M1521" s="91"/>
      <c r="N1521" s="96" t="b">
        <v>0</v>
      </c>
      <c r="O1521" s="96" t="b">
        <v>0</v>
      </c>
      <c r="P1521" s="92"/>
      <c r="Q1521" s="92"/>
      <c r="R1521" s="92"/>
      <c r="S1521" s="92"/>
      <c r="T1521" s="92"/>
      <c r="U1521" s="92"/>
      <c r="V1521" s="92"/>
      <c r="W1521" s="92"/>
      <c r="X1521" s="92"/>
      <c r="Y1521" s="92"/>
      <c r="Z1521" s="92"/>
      <c r="AA1521" s="92"/>
      <c r="AB1521" s="92"/>
      <c r="AC1521" s="92"/>
      <c r="AD1521" s="92"/>
      <c r="AE1521" s="92"/>
      <c r="AF1521" s="92"/>
      <c r="AG1521" s="92"/>
    </row>
    <row r="1522" hidden="1">
      <c r="A1522" s="262"/>
      <c r="B1522" s="25"/>
      <c r="C1522" s="80" t="s">
        <v>78</v>
      </c>
      <c r="D1522" s="36" t="s">
        <v>2706</v>
      </c>
      <c r="E1522" s="183" t="s">
        <v>2916</v>
      </c>
      <c r="F1522" s="183" t="s">
        <v>2917</v>
      </c>
      <c r="G1522" s="41" t="s">
        <v>248</v>
      </c>
      <c r="H1522" s="98" t="s">
        <v>2918</v>
      </c>
      <c r="I1522" s="98" t="s">
        <v>2919</v>
      </c>
      <c r="J1522" s="183" t="s">
        <v>2920</v>
      </c>
      <c r="K1522" s="91"/>
      <c r="L1522" s="91"/>
      <c r="M1522" s="91"/>
      <c r="N1522" s="96" t="b">
        <v>0</v>
      </c>
      <c r="O1522" s="96" t="b">
        <v>0</v>
      </c>
      <c r="P1522" s="92"/>
      <c r="Q1522" s="92"/>
      <c r="R1522" s="92"/>
      <c r="S1522" s="92"/>
      <c r="T1522" s="92"/>
      <c r="U1522" s="92"/>
      <c r="V1522" s="92"/>
      <c r="W1522" s="92"/>
      <c r="X1522" s="92"/>
      <c r="Y1522" s="92"/>
      <c r="Z1522" s="92"/>
      <c r="AA1522" s="92"/>
      <c r="AB1522" s="92"/>
      <c r="AC1522" s="92"/>
      <c r="AD1522" s="92"/>
      <c r="AE1522" s="92"/>
      <c r="AF1522" s="92"/>
      <c r="AG1522" s="92"/>
    </row>
    <row r="1523" hidden="1">
      <c r="A1523" s="262"/>
      <c r="B1523" s="39"/>
      <c r="C1523" s="80" t="s">
        <v>78</v>
      </c>
      <c r="D1523" s="97"/>
      <c r="E1523" s="98"/>
      <c r="F1523" s="98"/>
      <c r="G1523" s="41"/>
      <c r="H1523" s="98"/>
      <c r="I1523" s="98"/>
      <c r="J1523" s="98"/>
      <c r="K1523" s="91"/>
      <c r="L1523" s="91"/>
      <c r="M1523" s="91"/>
      <c r="N1523" s="96" t="b">
        <v>0</v>
      </c>
      <c r="O1523" s="96" t="b">
        <v>0</v>
      </c>
      <c r="P1523" s="92"/>
      <c r="Q1523" s="92"/>
      <c r="R1523" s="92"/>
      <c r="S1523" s="92"/>
      <c r="T1523" s="92"/>
      <c r="U1523" s="92"/>
      <c r="V1523" s="92"/>
      <c r="W1523" s="92"/>
      <c r="X1523" s="92"/>
      <c r="Y1523" s="92"/>
      <c r="Z1523" s="92"/>
      <c r="AA1523" s="92"/>
      <c r="AB1523" s="92"/>
      <c r="AC1523" s="92"/>
      <c r="AD1523" s="92"/>
      <c r="AE1523" s="92"/>
      <c r="AF1523" s="92"/>
      <c r="AG1523" s="92"/>
    </row>
    <row r="1524" hidden="1">
      <c r="A1524" s="262"/>
      <c r="B1524" s="166"/>
      <c r="C1524" s="88">
        <v>44508.0</v>
      </c>
      <c r="D1524" s="97"/>
      <c r="E1524" s="98"/>
      <c r="F1524" s="98"/>
      <c r="G1524" s="41"/>
      <c r="H1524" s="98"/>
      <c r="I1524" s="98"/>
      <c r="J1524" s="98"/>
      <c r="K1524" s="91"/>
      <c r="L1524" s="91"/>
      <c r="M1524" s="91"/>
      <c r="N1524" s="96" t="b">
        <v>0</v>
      </c>
      <c r="O1524" s="96" t="b">
        <v>0</v>
      </c>
      <c r="P1524" s="92"/>
      <c r="Q1524" s="92"/>
      <c r="R1524" s="92"/>
      <c r="S1524" s="92"/>
      <c r="T1524" s="92"/>
      <c r="U1524" s="92"/>
      <c r="V1524" s="92"/>
      <c r="W1524" s="92"/>
      <c r="X1524" s="92"/>
      <c r="Y1524" s="92"/>
      <c r="Z1524" s="92"/>
      <c r="AA1524" s="92"/>
      <c r="AB1524" s="92"/>
      <c r="AC1524" s="92"/>
      <c r="AD1524" s="92"/>
      <c r="AE1524" s="92"/>
      <c r="AF1524" s="92"/>
      <c r="AG1524" s="92"/>
    </row>
    <row r="1525" hidden="1">
      <c r="A1525" s="262"/>
      <c r="B1525" s="18" t="s">
        <v>1668</v>
      </c>
      <c r="C1525" s="234"/>
      <c r="D1525" s="97"/>
      <c r="E1525" s="98"/>
      <c r="F1525" s="98"/>
      <c r="G1525" s="41"/>
      <c r="H1525" s="98"/>
      <c r="I1525" s="98"/>
      <c r="J1525" s="98"/>
      <c r="K1525" s="91"/>
      <c r="L1525" s="91"/>
      <c r="M1525" s="91"/>
      <c r="N1525" s="96" t="b">
        <v>0</v>
      </c>
      <c r="O1525" s="96" t="b">
        <v>0</v>
      </c>
      <c r="P1525" s="92"/>
      <c r="Q1525" s="92"/>
      <c r="R1525" s="92"/>
      <c r="S1525" s="92"/>
      <c r="T1525" s="92"/>
      <c r="U1525" s="92"/>
      <c r="V1525" s="92"/>
      <c r="W1525" s="92"/>
      <c r="X1525" s="92"/>
      <c r="Y1525" s="92"/>
      <c r="Z1525" s="92"/>
      <c r="AA1525" s="92"/>
      <c r="AB1525" s="92"/>
      <c r="AC1525" s="92"/>
      <c r="AD1525" s="92"/>
      <c r="AE1525" s="92"/>
      <c r="AF1525" s="92"/>
      <c r="AG1525" s="92"/>
    </row>
    <row r="1526" hidden="1">
      <c r="A1526" s="262"/>
      <c r="B1526" s="25"/>
      <c r="C1526" s="78" t="s">
        <v>78</v>
      </c>
      <c r="D1526" s="97"/>
      <c r="E1526" s="98"/>
      <c r="F1526" s="98"/>
      <c r="G1526" s="99"/>
      <c r="H1526" s="98"/>
      <c r="I1526" s="98"/>
      <c r="J1526" s="98"/>
      <c r="K1526" s="91"/>
      <c r="L1526" s="91"/>
      <c r="M1526" s="91"/>
      <c r="N1526" s="96" t="b">
        <v>0</v>
      </c>
      <c r="O1526" s="96" t="b">
        <v>0</v>
      </c>
      <c r="P1526" s="92"/>
      <c r="Q1526" s="92"/>
      <c r="R1526" s="92"/>
      <c r="S1526" s="92"/>
      <c r="T1526" s="92"/>
      <c r="U1526" s="92"/>
      <c r="V1526" s="92"/>
      <c r="W1526" s="92"/>
      <c r="X1526" s="92"/>
      <c r="Y1526" s="92"/>
      <c r="Z1526" s="92"/>
      <c r="AA1526" s="92"/>
      <c r="AB1526" s="92"/>
      <c r="AC1526" s="92"/>
      <c r="AD1526" s="92"/>
      <c r="AE1526" s="92"/>
      <c r="AF1526" s="92"/>
      <c r="AG1526" s="92"/>
    </row>
    <row r="1527" hidden="1">
      <c r="A1527" s="262"/>
      <c r="B1527" s="25"/>
      <c r="C1527" s="80" t="s">
        <v>78</v>
      </c>
      <c r="D1527" s="302" t="s">
        <v>2941</v>
      </c>
      <c r="E1527" s="263" t="s">
        <v>3016</v>
      </c>
      <c r="F1527" s="263" t="s">
        <v>3017</v>
      </c>
      <c r="G1527" s="112" t="s">
        <v>417</v>
      </c>
      <c r="H1527" s="109" t="s">
        <v>3018</v>
      </c>
      <c r="I1527" s="109" t="s">
        <v>3019</v>
      </c>
      <c r="J1527" s="109" t="s">
        <v>3020</v>
      </c>
      <c r="K1527" s="98" t="s">
        <v>3021</v>
      </c>
      <c r="L1527" s="91"/>
      <c r="M1527" s="91"/>
      <c r="N1527" s="96" t="b">
        <v>0</v>
      </c>
      <c r="O1527" s="96" t="b">
        <v>0</v>
      </c>
      <c r="P1527" s="92"/>
      <c r="Q1527" s="92"/>
      <c r="R1527" s="92"/>
      <c r="S1527" s="92"/>
      <c r="T1527" s="92"/>
      <c r="U1527" s="92"/>
      <c r="V1527" s="92"/>
      <c r="W1527" s="92"/>
      <c r="X1527" s="92"/>
      <c r="Y1527" s="92"/>
      <c r="Z1527" s="92"/>
      <c r="AA1527" s="92"/>
      <c r="AB1527" s="92"/>
      <c r="AC1527" s="92"/>
      <c r="AD1527" s="92"/>
      <c r="AE1527" s="92"/>
      <c r="AF1527" s="92"/>
      <c r="AG1527" s="92"/>
    </row>
    <row r="1528" hidden="1">
      <c r="A1528" s="262"/>
      <c r="B1528" s="25"/>
      <c r="C1528" s="80" t="s">
        <v>78</v>
      </c>
      <c r="D1528" s="159" t="s">
        <v>2576</v>
      </c>
      <c r="E1528" s="269" t="s">
        <v>3022</v>
      </c>
      <c r="F1528" s="269" t="s">
        <v>3023</v>
      </c>
      <c r="G1528" s="161">
        <v>0.5625</v>
      </c>
      <c r="H1528" s="162" t="s">
        <v>3024</v>
      </c>
      <c r="I1528" s="162" t="s">
        <v>3025</v>
      </c>
      <c r="J1528" s="269" t="s">
        <v>3026</v>
      </c>
      <c r="K1528" s="91"/>
      <c r="L1528" s="91"/>
      <c r="M1528" s="91"/>
      <c r="N1528" s="96" t="b">
        <v>0</v>
      </c>
      <c r="O1528" s="96" t="b">
        <v>0</v>
      </c>
      <c r="P1528" s="92"/>
      <c r="Q1528" s="92"/>
      <c r="R1528" s="92"/>
      <c r="S1528" s="92"/>
      <c r="T1528" s="92"/>
      <c r="U1528" s="92"/>
      <c r="V1528" s="92"/>
      <c r="W1528" s="92"/>
      <c r="X1528" s="92"/>
      <c r="Y1528" s="92"/>
      <c r="Z1528" s="92"/>
      <c r="AA1528" s="92"/>
      <c r="AB1528" s="92"/>
      <c r="AC1528" s="92"/>
      <c r="AD1528" s="92"/>
      <c r="AE1528" s="92"/>
      <c r="AF1528" s="92"/>
      <c r="AG1528" s="92"/>
    </row>
    <row r="1529" hidden="1">
      <c r="A1529" s="262"/>
      <c r="B1529" s="25"/>
      <c r="C1529" s="80" t="s">
        <v>78</v>
      </c>
      <c r="D1529" s="159" t="s">
        <v>2576</v>
      </c>
      <c r="E1529" s="269" t="s">
        <v>3027</v>
      </c>
      <c r="F1529" s="269" t="s">
        <v>3028</v>
      </c>
      <c r="G1529" s="161">
        <v>0.625</v>
      </c>
      <c r="H1529" s="162" t="s">
        <v>2690</v>
      </c>
      <c r="I1529" s="162" t="s">
        <v>3029</v>
      </c>
      <c r="J1529" s="284" t="s">
        <v>3030</v>
      </c>
      <c r="K1529" s="271"/>
      <c r="L1529" s="91"/>
      <c r="M1529" s="91"/>
      <c r="N1529" s="96" t="b">
        <v>0</v>
      </c>
      <c r="O1529" s="96" t="b">
        <v>0</v>
      </c>
      <c r="P1529" s="92"/>
      <c r="Q1529" s="92"/>
      <c r="R1529" s="92"/>
      <c r="S1529" s="92"/>
      <c r="T1529" s="92"/>
      <c r="U1529" s="92"/>
      <c r="V1529" s="92"/>
      <c r="W1529" s="92"/>
      <c r="X1529" s="92"/>
      <c r="Y1529" s="92"/>
      <c r="Z1529" s="92"/>
      <c r="AA1529" s="92"/>
      <c r="AB1529" s="92"/>
      <c r="AC1529" s="92"/>
      <c r="AD1529" s="92"/>
      <c r="AE1529" s="92"/>
      <c r="AF1529" s="92"/>
      <c r="AG1529" s="92"/>
    </row>
    <row r="1530" hidden="1">
      <c r="A1530" s="262"/>
      <c r="B1530" s="25"/>
      <c r="C1530" s="80" t="s">
        <v>78</v>
      </c>
      <c r="D1530" s="302" t="s">
        <v>2941</v>
      </c>
      <c r="E1530" s="263" t="s">
        <v>1774</v>
      </c>
      <c r="F1530" s="263" t="s">
        <v>1775</v>
      </c>
      <c r="G1530" s="108">
        <v>0.7291666666666666</v>
      </c>
      <c r="H1530" s="109" t="s">
        <v>3031</v>
      </c>
      <c r="I1530" s="109" t="s">
        <v>3032</v>
      </c>
      <c r="J1530" s="263" t="s">
        <v>1416</v>
      </c>
      <c r="K1530" s="91"/>
      <c r="L1530" s="91"/>
      <c r="M1530" s="91"/>
      <c r="N1530" s="96" t="b">
        <v>0</v>
      </c>
      <c r="O1530" s="96" t="b">
        <v>0</v>
      </c>
      <c r="P1530" s="92"/>
      <c r="Q1530" s="92"/>
      <c r="R1530" s="92"/>
      <c r="S1530" s="92"/>
      <c r="T1530" s="92"/>
      <c r="U1530" s="92"/>
      <c r="V1530" s="92"/>
      <c r="W1530" s="92"/>
      <c r="X1530" s="92"/>
      <c r="Y1530" s="92"/>
      <c r="Z1530" s="92"/>
      <c r="AA1530" s="92"/>
      <c r="AB1530" s="92"/>
      <c r="AC1530" s="92"/>
      <c r="AD1530" s="92"/>
      <c r="AE1530" s="92"/>
      <c r="AF1530" s="92"/>
      <c r="AG1530" s="92"/>
    </row>
    <row r="1531" hidden="1">
      <c r="A1531" s="262"/>
      <c r="B1531" s="39"/>
      <c r="C1531" s="80" t="s">
        <v>78</v>
      </c>
      <c r="D1531" s="97"/>
      <c r="E1531" s="98"/>
      <c r="F1531" s="98"/>
      <c r="G1531" s="41"/>
      <c r="H1531" s="98"/>
      <c r="I1531" s="98"/>
      <c r="J1531" s="98"/>
      <c r="K1531" s="91"/>
      <c r="L1531" s="91"/>
      <c r="M1531" s="91"/>
      <c r="N1531" s="96" t="b">
        <v>0</v>
      </c>
      <c r="O1531" s="96" t="b">
        <v>0</v>
      </c>
      <c r="P1531" s="92"/>
      <c r="Q1531" s="92"/>
      <c r="R1531" s="92"/>
      <c r="S1531" s="92"/>
      <c r="T1531" s="92"/>
      <c r="U1531" s="92"/>
      <c r="V1531" s="92"/>
      <c r="W1531" s="92"/>
      <c r="X1531" s="92"/>
      <c r="Y1531" s="92"/>
      <c r="Z1531" s="92"/>
      <c r="AA1531" s="92"/>
      <c r="AB1531" s="92"/>
      <c r="AC1531" s="92"/>
      <c r="AD1531" s="92"/>
      <c r="AE1531" s="92"/>
      <c r="AF1531" s="92"/>
      <c r="AG1531" s="92"/>
    </row>
    <row r="1532" hidden="1">
      <c r="A1532" s="262"/>
      <c r="B1532" s="166"/>
      <c r="C1532" s="88">
        <v>44509.0</v>
      </c>
      <c r="D1532" s="97"/>
      <c r="E1532" s="98"/>
      <c r="F1532" s="98"/>
      <c r="G1532" s="41"/>
      <c r="H1532" s="98"/>
      <c r="I1532" s="98"/>
      <c r="J1532" s="98"/>
      <c r="K1532" s="91"/>
      <c r="L1532" s="91"/>
      <c r="M1532" s="91"/>
      <c r="N1532" s="96" t="b">
        <v>0</v>
      </c>
      <c r="O1532" s="96" t="b">
        <v>0</v>
      </c>
      <c r="P1532" s="92"/>
      <c r="Q1532" s="92"/>
      <c r="R1532" s="92"/>
      <c r="S1532" s="92"/>
      <c r="T1532" s="92"/>
      <c r="U1532" s="92"/>
      <c r="V1532" s="92"/>
      <c r="W1532" s="92"/>
      <c r="X1532" s="92"/>
      <c r="Y1532" s="92"/>
      <c r="Z1532" s="92"/>
      <c r="AA1532" s="92"/>
      <c r="AB1532" s="92"/>
      <c r="AC1532" s="92"/>
      <c r="AD1532" s="92"/>
      <c r="AE1532" s="92"/>
      <c r="AF1532" s="92"/>
      <c r="AG1532" s="92"/>
    </row>
    <row r="1533" hidden="1">
      <c r="A1533" s="262"/>
      <c r="B1533" s="18" t="s">
        <v>1668</v>
      </c>
      <c r="C1533" s="234"/>
      <c r="D1533" s="97"/>
      <c r="E1533" s="98"/>
      <c r="F1533" s="98"/>
      <c r="G1533" s="41"/>
      <c r="H1533" s="98"/>
      <c r="I1533" s="98"/>
      <c r="J1533" s="98"/>
      <c r="K1533" s="91"/>
      <c r="L1533" s="91"/>
      <c r="M1533" s="91"/>
      <c r="N1533" s="96" t="b">
        <v>0</v>
      </c>
      <c r="O1533" s="96" t="b">
        <v>0</v>
      </c>
      <c r="P1533" s="92"/>
      <c r="Q1533" s="92"/>
      <c r="R1533" s="92"/>
      <c r="S1533" s="92"/>
      <c r="T1533" s="92"/>
      <c r="U1533" s="92"/>
      <c r="V1533" s="92"/>
      <c r="W1533" s="92"/>
      <c r="X1533" s="92"/>
      <c r="Y1533" s="92"/>
      <c r="Z1533" s="92"/>
      <c r="AA1533" s="92"/>
      <c r="AB1533" s="92"/>
      <c r="AC1533" s="92"/>
      <c r="AD1533" s="92"/>
      <c r="AE1533" s="92"/>
      <c r="AF1533" s="92"/>
      <c r="AG1533" s="92"/>
    </row>
    <row r="1534" hidden="1">
      <c r="A1534" s="262"/>
      <c r="B1534" s="25"/>
      <c r="C1534" s="78" t="s">
        <v>78</v>
      </c>
      <c r="D1534" s="159" t="s">
        <v>2192</v>
      </c>
      <c r="E1534" s="269" t="s">
        <v>3033</v>
      </c>
      <c r="F1534" s="273" t="s">
        <v>3034</v>
      </c>
      <c r="G1534" s="161">
        <v>0.4583333333333333</v>
      </c>
      <c r="H1534" s="269" t="s">
        <v>2311</v>
      </c>
      <c r="I1534" s="273" t="s">
        <v>3035</v>
      </c>
      <c r="J1534" s="273" t="s">
        <v>3036</v>
      </c>
      <c r="K1534" s="98" t="s">
        <v>3037</v>
      </c>
      <c r="L1534" s="91"/>
      <c r="M1534" s="91"/>
      <c r="N1534" s="96" t="b">
        <v>0</v>
      </c>
      <c r="O1534" s="96" t="b">
        <v>0</v>
      </c>
      <c r="P1534" s="92"/>
      <c r="Q1534" s="92"/>
      <c r="R1534" s="92"/>
      <c r="S1534" s="92"/>
      <c r="T1534" s="92"/>
      <c r="U1534" s="92"/>
      <c r="V1534" s="92"/>
      <c r="W1534" s="92"/>
      <c r="X1534" s="92"/>
      <c r="Y1534" s="92"/>
      <c r="Z1534" s="92"/>
      <c r="AA1534" s="92"/>
      <c r="AB1534" s="92"/>
      <c r="AC1534" s="92"/>
      <c r="AD1534" s="92"/>
      <c r="AE1534" s="92"/>
      <c r="AF1534" s="92"/>
      <c r="AG1534" s="92"/>
    </row>
    <row r="1535" hidden="1">
      <c r="A1535" s="262"/>
      <c r="B1535" s="25"/>
      <c r="C1535" s="80" t="s">
        <v>78</v>
      </c>
      <c r="D1535" s="159" t="s">
        <v>2282</v>
      </c>
      <c r="E1535" s="269" t="s">
        <v>3038</v>
      </c>
      <c r="F1535" s="269" t="s">
        <v>3039</v>
      </c>
      <c r="G1535" s="161">
        <v>0.625</v>
      </c>
      <c r="H1535" s="162" t="s">
        <v>1345</v>
      </c>
      <c r="I1535" s="162" t="s">
        <v>3040</v>
      </c>
      <c r="J1535" s="269" t="s">
        <v>3041</v>
      </c>
      <c r="K1535" s="271"/>
      <c r="L1535" s="91"/>
      <c r="M1535" s="91"/>
      <c r="N1535" s="96" t="b">
        <v>0</v>
      </c>
      <c r="O1535" s="96" t="b">
        <v>0</v>
      </c>
      <c r="P1535" s="92"/>
      <c r="Q1535" s="92"/>
      <c r="R1535" s="92"/>
      <c r="S1535" s="92"/>
      <c r="T1535" s="92"/>
      <c r="U1535" s="92"/>
      <c r="V1535" s="92"/>
      <c r="W1535" s="92"/>
      <c r="X1535" s="92"/>
      <c r="Y1535" s="92"/>
      <c r="Z1535" s="92"/>
      <c r="AA1535" s="92"/>
      <c r="AB1535" s="92"/>
      <c r="AC1535" s="92"/>
      <c r="AD1535" s="92"/>
      <c r="AE1535" s="92"/>
      <c r="AF1535" s="92"/>
      <c r="AG1535" s="92"/>
    </row>
    <row r="1536" hidden="1">
      <c r="A1536" s="262"/>
      <c r="B1536" s="25"/>
      <c r="C1536" s="80" t="s">
        <v>78</v>
      </c>
      <c r="D1536" s="159" t="s">
        <v>2282</v>
      </c>
      <c r="E1536" s="269" t="s">
        <v>2871</v>
      </c>
      <c r="F1536" s="269" t="s">
        <v>2872</v>
      </c>
      <c r="G1536" s="161">
        <v>0.7083333333333334</v>
      </c>
      <c r="H1536" s="162" t="s">
        <v>1345</v>
      </c>
      <c r="I1536" s="162" t="s">
        <v>3042</v>
      </c>
      <c r="J1536" s="269" t="s">
        <v>2874</v>
      </c>
      <c r="K1536" s="91"/>
      <c r="L1536" s="91"/>
      <c r="M1536" s="91"/>
      <c r="N1536" s="96" t="b">
        <v>0</v>
      </c>
      <c r="O1536" s="96" t="b">
        <v>0</v>
      </c>
      <c r="P1536" s="92"/>
      <c r="Q1536" s="92"/>
      <c r="R1536" s="92"/>
      <c r="S1536" s="92"/>
      <c r="T1536" s="92"/>
      <c r="U1536" s="92"/>
      <c r="V1536" s="92"/>
      <c r="W1536" s="92"/>
      <c r="X1536" s="92"/>
      <c r="Y1536" s="92"/>
      <c r="Z1536" s="92"/>
      <c r="AA1536" s="92"/>
      <c r="AB1536" s="92"/>
      <c r="AC1536" s="92"/>
      <c r="AD1536" s="92"/>
      <c r="AE1536" s="92"/>
      <c r="AF1536" s="92"/>
      <c r="AG1536" s="92"/>
    </row>
    <row r="1537" hidden="1">
      <c r="A1537" s="262"/>
      <c r="B1537" s="25"/>
      <c r="C1537" s="80" t="s">
        <v>78</v>
      </c>
      <c r="D1537" s="97"/>
      <c r="E1537" s="98"/>
      <c r="F1537" s="98"/>
      <c r="G1537" s="41"/>
      <c r="H1537" s="98"/>
      <c r="I1537" s="98"/>
      <c r="J1537" s="98"/>
      <c r="K1537" s="91"/>
      <c r="L1537" s="91"/>
      <c r="M1537" s="91"/>
      <c r="N1537" s="96" t="b">
        <v>0</v>
      </c>
      <c r="O1537" s="96" t="b">
        <v>0</v>
      </c>
      <c r="P1537" s="92"/>
      <c r="Q1537" s="92"/>
      <c r="R1537" s="92"/>
      <c r="S1537" s="92"/>
      <c r="T1537" s="92"/>
      <c r="U1537" s="92"/>
      <c r="V1537" s="92"/>
      <c r="W1537" s="92"/>
      <c r="X1537" s="92"/>
      <c r="Y1537" s="92"/>
      <c r="Z1537" s="92"/>
      <c r="AA1537" s="92"/>
      <c r="AB1537" s="92"/>
      <c r="AC1537" s="92"/>
      <c r="AD1537" s="92"/>
      <c r="AE1537" s="92"/>
      <c r="AF1537" s="92"/>
      <c r="AG1537" s="92"/>
    </row>
    <row r="1538" hidden="1">
      <c r="A1538" s="262"/>
      <c r="B1538" s="39"/>
      <c r="C1538" s="80" t="s">
        <v>78</v>
      </c>
      <c r="D1538" s="97"/>
      <c r="E1538" s="98"/>
      <c r="F1538" s="98"/>
      <c r="G1538" s="41"/>
      <c r="H1538" s="98"/>
      <c r="I1538" s="98"/>
      <c r="J1538" s="98"/>
      <c r="K1538" s="91"/>
      <c r="L1538" s="91"/>
      <c r="M1538" s="91"/>
      <c r="N1538" s="96" t="b">
        <v>0</v>
      </c>
      <c r="O1538" s="96" t="b">
        <v>0</v>
      </c>
      <c r="P1538" s="92"/>
      <c r="Q1538" s="92"/>
      <c r="R1538" s="92"/>
      <c r="S1538" s="92"/>
      <c r="T1538" s="92"/>
      <c r="U1538" s="92"/>
      <c r="V1538" s="92"/>
      <c r="W1538" s="92"/>
      <c r="X1538" s="92"/>
      <c r="Y1538" s="92"/>
      <c r="Z1538" s="92"/>
      <c r="AA1538" s="92"/>
      <c r="AB1538" s="92"/>
      <c r="AC1538" s="92"/>
      <c r="AD1538" s="92"/>
      <c r="AE1538" s="92"/>
      <c r="AF1538" s="92"/>
      <c r="AG1538" s="92"/>
    </row>
    <row r="1539" hidden="1">
      <c r="A1539" s="262"/>
      <c r="B1539" s="166"/>
      <c r="C1539" s="88">
        <v>44510.0</v>
      </c>
      <c r="D1539" s="97"/>
      <c r="E1539" s="98"/>
      <c r="F1539" s="98"/>
      <c r="G1539" s="41"/>
      <c r="H1539" s="98"/>
      <c r="I1539" s="98"/>
      <c r="J1539" s="98"/>
      <c r="K1539" s="91"/>
      <c r="L1539" s="91"/>
      <c r="M1539" s="91"/>
      <c r="N1539" s="96" t="b">
        <v>0</v>
      </c>
      <c r="O1539" s="96" t="b">
        <v>0</v>
      </c>
      <c r="P1539" s="92"/>
      <c r="Q1539" s="92"/>
      <c r="R1539" s="92"/>
      <c r="S1539" s="92"/>
      <c r="T1539" s="92"/>
      <c r="U1539" s="92"/>
      <c r="V1539" s="92"/>
      <c r="W1539" s="92"/>
      <c r="X1539" s="92"/>
      <c r="Y1539" s="92"/>
      <c r="Z1539" s="92"/>
      <c r="AA1539" s="92"/>
      <c r="AB1539" s="92"/>
      <c r="AC1539" s="92"/>
      <c r="AD1539" s="92"/>
      <c r="AE1539" s="92"/>
      <c r="AF1539" s="92"/>
      <c r="AG1539" s="92"/>
    </row>
    <row r="1540" hidden="1">
      <c r="A1540" s="262"/>
      <c r="B1540" s="18" t="s">
        <v>1668</v>
      </c>
      <c r="C1540" s="234"/>
      <c r="D1540" s="97"/>
      <c r="E1540" s="98"/>
      <c r="F1540" s="98"/>
      <c r="G1540" s="99"/>
      <c r="H1540" s="98"/>
      <c r="I1540" s="98"/>
      <c r="J1540" s="98"/>
      <c r="K1540" s="91"/>
      <c r="L1540" s="91"/>
      <c r="M1540" s="91"/>
      <c r="N1540" s="96" t="b">
        <v>0</v>
      </c>
      <c r="O1540" s="96" t="b">
        <v>0</v>
      </c>
      <c r="P1540" s="92"/>
      <c r="Q1540" s="92"/>
      <c r="R1540" s="92"/>
      <c r="S1540" s="92"/>
      <c r="T1540" s="92"/>
      <c r="U1540" s="92"/>
      <c r="V1540" s="92"/>
      <c r="W1540" s="92"/>
      <c r="X1540" s="92"/>
      <c r="Y1540" s="92"/>
      <c r="Z1540" s="92"/>
      <c r="AA1540" s="92"/>
      <c r="AB1540" s="92"/>
      <c r="AC1540" s="92"/>
      <c r="AD1540" s="92"/>
      <c r="AE1540" s="92"/>
      <c r="AF1540" s="92"/>
      <c r="AG1540" s="92"/>
    </row>
    <row r="1541" hidden="1">
      <c r="A1541" s="262"/>
      <c r="B1541" s="25"/>
      <c r="C1541" s="78" t="s">
        <v>78</v>
      </c>
      <c r="D1541" s="97"/>
      <c r="E1541" s="98"/>
      <c r="F1541" s="98"/>
      <c r="G1541" s="99"/>
      <c r="H1541" s="98"/>
      <c r="I1541" s="98"/>
      <c r="J1541" s="98"/>
      <c r="K1541" s="91"/>
      <c r="L1541" s="91"/>
      <c r="M1541" s="91"/>
      <c r="N1541" s="96" t="b">
        <v>0</v>
      </c>
      <c r="O1541" s="96" t="b">
        <v>0</v>
      </c>
      <c r="P1541" s="92"/>
      <c r="Q1541" s="92"/>
      <c r="R1541" s="92"/>
      <c r="S1541" s="92"/>
      <c r="T1541" s="92"/>
      <c r="U1541" s="92"/>
      <c r="V1541" s="92"/>
      <c r="W1541" s="92"/>
      <c r="X1541" s="92"/>
      <c r="Y1541" s="92"/>
      <c r="Z1541" s="92"/>
      <c r="AA1541" s="92"/>
      <c r="AB1541" s="92"/>
      <c r="AC1541" s="92"/>
      <c r="AD1541" s="92"/>
      <c r="AE1541" s="92"/>
      <c r="AF1541" s="92"/>
      <c r="AG1541" s="92"/>
    </row>
    <row r="1542" hidden="1">
      <c r="A1542" s="262"/>
      <c r="B1542" s="25"/>
      <c r="C1542" s="80" t="s">
        <v>78</v>
      </c>
      <c r="D1542" s="159" t="s">
        <v>2192</v>
      </c>
      <c r="E1542" s="269" t="s">
        <v>3043</v>
      </c>
      <c r="F1542" s="273" t="s">
        <v>3044</v>
      </c>
      <c r="G1542" s="161">
        <v>0.625</v>
      </c>
      <c r="H1542" s="269" t="s">
        <v>3045</v>
      </c>
      <c r="I1542" s="273" t="s">
        <v>3046</v>
      </c>
      <c r="J1542" s="269" t="s">
        <v>3047</v>
      </c>
      <c r="K1542" s="91"/>
      <c r="L1542" s="91"/>
      <c r="M1542" s="91"/>
      <c r="N1542" s="96" t="b">
        <v>0</v>
      </c>
      <c r="O1542" s="96" t="b">
        <v>0</v>
      </c>
      <c r="P1542" s="92"/>
      <c r="Q1542" s="92"/>
      <c r="R1542" s="92"/>
      <c r="S1542" s="92"/>
      <c r="T1542" s="92"/>
      <c r="U1542" s="92"/>
      <c r="V1542" s="92"/>
      <c r="W1542" s="92"/>
      <c r="X1542" s="92"/>
      <c r="Y1542" s="92"/>
      <c r="Z1542" s="92"/>
      <c r="AA1542" s="92"/>
      <c r="AB1542" s="92"/>
      <c r="AC1542" s="92"/>
      <c r="AD1542" s="92"/>
      <c r="AE1542" s="92"/>
      <c r="AF1542" s="92"/>
      <c r="AG1542" s="92"/>
    </row>
    <row r="1543" hidden="1">
      <c r="A1543" s="262"/>
      <c r="B1543" s="25"/>
      <c r="C1543" s="80" t="s">
        <v>78</v>
      </c>
      <c r="D1543" s="159" t="s">
        <v>2192</v>
      </c>
      <c r="E1543" s="273" t="s">
        <v>3048</v>
      </c>
      <c r="F1543" s="269" t="s">
        <v>3049</v>
      </c>
      <c r="G1543" s="161">
        <v>0.7083333333333334</v>
      </c>
      <c r="H1543" s="273" t="s">
        <v>1687</v>
      </c>
      <c r="I1543" s="269" t="s">
        <v>3050</v>
      </c>
      <c r="J1543" s="273" t="s">
        <v>3051</v>
      </c>
      <c r="K1543" s="91"/>
      <c r="L1543" s="91"/>
      <c r="M1543" s="91"/>
      <c r="N1543" s="96" t="b">
        <v>0</v>
      </c>
      <c r="O1543" s="96" t="b">
        <v>0</v>
      </c>
      <c r="P1543" s="92"/>
      <c r="Q1543" s="92"/>
      <c r="R1543" s="92"/>
      <c r="S1543" s="92"/>
      <c r="T1543" s="92"/>
      <c r="U1543" s="92"/>
      <c r="V1543" s="92"/>
      <c r="W1543" s="92"/>
      <c r="X1543" s="92"/>
      <c r="Y1543" s="92"/>
      <c r="Z1543" s="92"/>
      <c r="AA1543" s="92"/>
      <c r="AB1543" s="92"/>
      <c r="AC1543" s="92"/>
      <c r="AD1543" s="92"/>
      <c r="AE1543" s="92"/>
      <c r="AF1543" s="92"/>
      <c r="AG1543" s="92"/>
    </row>
    <row r="1544" hidden="1">
      <c r="A1544" s="262"/>
      <c r="B1544" s="25"/>
      <c r="C1544" s="80" t="s">
        <v>78</v>
      </c>
      <c r="D1544" s="107" t="s">
        <v>2192</v>
      </c>
      <c r="E1544" s="263" t="s">
        <v>3052</v>
      </c>
      <c r="F1544" s="184" t="s">
        <v>3053</v>
      </c>
      <c r="G1544" s="108">
        <v>0.75</v>
      </c>
      <c r="H1544" s="263" t="s">
        <v>2784</v>
      </c>
      <c r="I1544" s="184" t="s">
        <v>3054</v>
      </c>
      <c r="J1544" s="263" t="s">
        <v>3055</v>
      </c>
      <c r="K1544" s="91"/>
      <c r="L1544" s="91"/>
      <c r="M1544" s="91"/>
      <c r="N1544" s="96" t="b">
        <v>0</v>
      </c>
      <c r="O1544" s="96" t="b">
        <v>0</v>
      </c>
      <c r="P1544" s="92"/>
      <c r="Q1544" s="92"/>
      <c r="R1544" s="92"/>
      <c r="S1544" s="92"/>
      <c r="T1544" s="92"/>
      <c r="U1544" s="92"/>
      <c r="V1544" s="92"/>
      <c r="W1544" s="92"/>
      <c r="X1544" s="92"/>
      <c r="Y1544" s="92"/>
      <c r="Z1544" s="92"/>
      <c r="AA1544" s="92"/>
      <c r="AB1544" s="92"/>
      <c r="AC1544" s="92"/>
      <c r="AD1544" s="92"/>
      <c r="AE1544" s="92"/>
      <c r="AF1544" s="92"/>
      <c r="AG1544" s="92"/>
    </row>
    <row r="1545" hidden="1">
      <c r="A1545" s="262"/>
      <c r="B1545" s="25"/>
      <c r="C1545" s="80" t="s">
        <v>78</v>
      </c>
      <c r="D1545" s="107" t="s">
        <v>2282</v>
      </c>
      <c r="E1545" s="263" t="s">
        <v>2960</v>
      </c>
      <c r="F1545" s="263" t="s">
        <v>2961</v>
      </c>
      <c r="G1545" s="108">
        <v>0.8125</v>
      </c>
      <c r="H1545" s="263" t="s">
        <v>2784</v>
      </c>
      <c r="I1545" s="109" t="s">
        <v>3056</v>
      </c>
      <c r="J1545" s="263" t="s">
        <v>2963</v>
      </c>
      <c r="K1545" s="91"/>
      <c r="L1545" s="91"/>
      <c r="M1545" s="91"/>
      <c r="N1545" s="96" t="b">
        <v>0</v>
      </c>
      <c r="O1545" s="96" t="b">
        <v>0</v>
      </c>
      <c r="P1545" s="92"/>
      <c r="Q1545" s="92"/>
      <c r="R1545" s="92"/>
      <c r="S1545" s="92"/>
      <c r="T1545" s="92"/>
      <c r="U1545" s="92"/>
      <c r="V1545" s="92"/>
      <c r="W1545" s="92"/>
      <c r="X1545" s="92"/>
      <c r="Y1545" s="92"/>
      <c r="Z1545" s="92"/>
      <c r="AA1545" s="92"/>
      <c r="AB1545" s="92"/>
      <c r="AC1545" s="92"/>
      <c r="AD1545" s="92"/>
      <c r="AE1545" s="92"/>
      <c r="AF1545" s="92"/>
      <c r="AG1545" s="92"/>
    </row>
    <row r="1546" hidden="1">
      <c r="A1546" s="262"/>
      <c r="B1546" s="39"/>
      <c r="C1546" s="80" t="s">
        <v>78</v>
      </c>
      <c r="D1546" s="97"/>
      <c r="E1546" s="98"/>
      <c r="F1546" s="98"/>
      <c r="G1546" s="41"/>
      <c r="H1546" s="98"/>
      <c r="I1546" s="98"/>
      <c r="J1546" s="98"/>
      <c r="K1546" s="91"/>
      <c r="L1546" s="91"/>
      <c r="M1546" s="91"/>
      <c r="N1546" s="96" t="b">
        <v>0</v>
      </c>
      <c r="O1546" s="96" t="b">
        <v>0</v>
      </c>
      <c r="P1546" s="92"/>
      <c r="Q1546" s="92"/>
      <c r="R1546" s="92"/>
      <c r="S1546" s="92"/>
      <c r="T1546" s="92"/>
      <c r="U1546" s="92"/>
      <c r="V1546" s="92"/>
      <c r="W1546" s="92"/>
      <c r="X1546" s="92"/>
      <c r="Y1546" s="92"/>
      <c r="Z1546" s="92"/>
      <c r="AA1546" s="92"/>
      <c r="AB1546" s="92"/>
      <c r="AC1546" s="92"/>
      <c r="AD1546" s="92"/>
      <c r="AE1546" s="92"/>
      <c r="AF1546" s="92"/>
      <c r="AG1546" s="92"/>
    </row>
    <row r="1547" hidden="1">
      <c r="A1547" s="262"/>
      <c r="B1547" s="166"/>
      <c r="C1547" s="88">
        <v>44511.0</v>
      </c>
      <c r="D1547" s="97"/>
      <c r="E1547" s="98"/>
      <c r="F1547" s="98"/>
      <c r="G1547" s="41"/>
      <c r="H1547" s="98"/>
      <c r="I1547" s="98"/>
      <c r="J1547" s="98"/>
      <c r="K1547" s="91"/>
      <c r="L1547" s="91"/>
      <c r="M1547" s="91"/>
      <c r="N1547" s="96" t="b">
        <v>0</v>
      </c>
      <c r="O1547" s="96" t="b">
        <v>0</v>
      </c>
      <c r="P1547" s="92"/>
      <c r="Q1547" s="92"/>
      <c r="R1547" s="92"/>
      <c r="S1547" s="92"/>
      <c r="T1547" s="92"/>
      <c r="U1547" s="92"/>
      <c r="V1547" s="92"/>
      <c r="W1547" s="92"/>
      <c r="X1547" s="92"/>
      <c r="Y1547" s="92"/>
      <c r="Z1547" s="92"/>
      <c r="AA1547" s="92"/>
      <c r="AB1547" s="92"/>
      <c r="AC1547" s="92"/>
      <c r="AD1547" s="92"/>
      <c r="AE1547" s="92"/>
      <c r="AF1547" s="92"/>
      <c r="AG1547" s="92"/>
    </row>
    <row r="1548" hidden="1">
      <c r="A1548" s="262"/>
      <c r="B1548" s="18" t="s">
        <v>1668</v>
      </c>
      <c r="C1548" s="234"/>
      <c r="D1548" s="97"/>
      <c r="E1548" s="98"/>
      <c r="F1548" s="98"/>
      <c r="G1548" s="41"/>
      <c r="H1548" s="98"/>
      <c r="I1548" s="98"/>
      <c r="J1548" s="98"/>
      <c r="K1548" s="91"/>
      <c r="L1548" s="91"/>
      <c r="M1548" s="91"/>
      <c r="N1548" s="96" t="b">
        <v>0</v>
      </c>
      <c r="O1548" s="96" t="b">
        <v>0</v>
      </c>
      <c r="P1548" s="92"/>
      <c r="Q1548" s="92"/>
      <c r="R1548" s="92"/>
      <c r="S1548" s="92"/>
      <c r="T1548" s="92"/>
      <c r="U1548" s="92"/>
      <c r="V1548" s="92"/>
      <c r="W1548" s="92"/>
      <c r="X1548" s="92"/>
      <c r="Y1548" s="92"/>
      <c r="Z1548" s="92"/>
      <c r="AA1548" s="92"/>
      <c r="AB1548" s="92"/>
      <c r="AC1548" s="92"/>
      <c r="AD1548" s="92"/>
      <c r="AE1548" s="92"/>
      <c r="AF1548" s="92"/>
      <c r="AG1548" s="92"/>
    </row>
    <row r="1549" hidden="1">
      <c r="A1549" s="262"/>
      <c r="B1549" s="25"/>
      <c r="C1549" s="78" t="s">
        <v>78</v>
      </c>
      <c r="D1549" s="97"/>
      <c r="E1549" s="98"/>
      <c r="F1549" s="98"/>
      <c r="G1549" s="41"/>
      <c r="H1549" s="98"/>
      <c r="I1549" s="98"/>
      <c r="J1549" s="98"/>
      <c r="K1549" s="91"/>
      <c r="L1549" s="91"/>
      <c r="M1549" s="91"/>
      <c r="N1549" s="96" t="b">
        <v>0</v>
      </c>
      <c r="O1549" s="96" t="b">
        <v>0</v>
      </c>
      <c r="P1549" s="92"/>
      <c r="Q1549" s="92"/>
      <c r="R1549" s="92"/>
      <c r="S1549" s="92"/>
      <c r="T1549" s="92"/>
      <c r="U1549" s="92"/>
      <c r="V1549" s="92"/>
      <c r="W1549" s="92"/>
      <c r="X1549" s="92"/>
      <c r="Y1549" s="92"/>
      <c r="Z1549" s="92"/>
      <c r="AA1549" s="92"/>
      <c r="AB1549" s="92"/>
      <c r="AC1549" s="92"/>
      <c r="AD1549" s="92"/>
      <c r="AE1549" s="92"/>
      <c r="AF1549" s="92"/>
      <c r="AG1549" s="92"/>
    </row>
    <row r="1550" hidden="1">
      <c r="A1550" s="262"/>
      <c r="B1550" s="25"/>
      <c r="C1550" s="80" t="s">
        <v>78</v>
      </c>
      <c r="D1550" s="112" t="s">
        <v>2744</v>
      </c>
      <c r="E1550" s="263" t="s">
        <v>3057</v>
      </c>
      <c r="F1550" s="263" t="s">
        <v>3058</v>
      </c>
      <c r="G1550" s="112" t="s">
        <v>417</v>
      </c>
      <c r="H1550" s="109" t="s">
        <v>290</v>
      </c>
      <c r="I1550" s="109" t="s">
        <v>3059</v>
      </c>
      <c r="J1550" s="109" t="s">
        <v>3060</v>
      </c>
      <c r="K1550" s="98" t="s">
        <v>3061</v>
      </c>
      <c r="L1550" s="91"/>
      <c r="M1550" s="91"/>
      <c r="N1550" s="96" t="b">
        <v>0</v>
      </c>
      <c r="O1550" s="96" t="b">
        <v>0</v>
      </c>
      <c r="P1550" s="92"/>
      <c r="Q1550" s="92"/>
      <c r="R1550" s="92"/>
      <c r="S1550" s="92"/>
      <c r="T1550" s="92"/>
      <c r="U1550" s="92"/>
      <c r="V1550" s="92"/>
      <c r="W1550" s="92"/>
      <c r="X1550" s="92"/>
      <c r="Y1550" s="92"/>
      <c r="Z1550" s="92"/>
      <c r="AA1550" s="92"/>
      <c r="AB1550" s="92"/>
      <c r="AC1550" s="92"/>
      <c r="AD1550" s="92"/>
      <c r="AE1550" s="92"/>
      <c r="AF1550" s="92"/>
      <c r="AG1550" s="92"/>
    </row>
    <row r="1551" hidden="1">
      <c r="A1551" s="262"/>
      <c r="B1551" s="25"/>
      <c r="C1551" s="80" t="s">
        <v>78</v>
      </c>
      <c r="D1551" s="300" t="s">
        <v>2941</v>
      </c>
      <c r="E1551" s="269" t="s">
        <v>3062</v>
      </c>
      <c r="F1551" s="269" t="s">
        <v>3063</v>
      </c>
      <c r="G1551" s="161">
        <v>0.5833333333333334</v>
      </c>
      <c r="H1551" s="162" t="s">
        <v>3064</v>
      </c>
      <c r="I1551" s="162" t="s">
        <v>3065</v>
      </c>
      <c r="J1551" s="269" t="s">
        <v>3066</v>
      </c>
      <c r="K1551" s="98" t="s">
        <v>3067</v>
      </c>
      <c r="L1551" s="91"/>
      <c r="M1551" s="91"/>
      <c r="N1551" s="96" t="b">
        <v>0</v>
      </c>
      <c r="O1551" s="96" t="b">
        <v>0</v>
      </c>
      <c r="P1551" s="92"/>
      <c r="Q1551" s="92"/>
      <c r="R1551" s="92"/>
      <c r="S1551" s="92"/>
      <c r="T1551" s="92"/>
      <c r="U1551" s="92"/>
      <c r="V1551" s="92"/>
      <c r="W1551" s="92"/>
      <c r="X1551" s="92"/>
      <c r="Y1551" s="92"/>
      <c r="Z1551" s="92"/>
      <c r="AA1551" s="92"/>
      <c r="AB1551" s="92"/>
      <c r="AC1551" s="92"/>
      <c r="AD1551" s="92"/>
      <c r="AE1551" s="92"/>
      <c r="AF1551" s="92"/>
      <c r="AG1551" s="92"/>
    </row>
    <row r="1552" hidden="1">
      <c r="A1552" s="262"/>
      <c r="B1552" s="25"/>
      <c r="C1552" s="80" t="s">
        <v>78</v>
      </c>
      <c r="D1552" s="302" t="s">
        <v>2941</v>
      </c>
      <c r="E1552" s="263" t="s">
        <v>3068</v>
      </c>
      <c r="F1552" s="263" t="s">
        <v>3069</v>
      </c>
      <c r="G1552" s="108">
        <v>0.6666666666666666</v>
      </c>
      <c r="H1552" s="109" t="s">
        <v>3070</v>
      </c>
      <c r="I1552" s="109" t="s">
        <v>3071</v>
      </c>
      <c r="J1552" s="263" t="s">
        <v>2713</v>
      </c>
      <c r="K1552" s="98" t="s">
        <v>3072</v>
      </c>
      <c r="L1552" s="91"/>
      <c r="M1552" s="91"/>
      <c r="N1552" s="96" t="b">
        <v>0</v>
      </c>
      <c r="O1552" s="96" t="b">
        <v>0</v>
      </c>
      <c r="P1552" s="92"/>
      <c r="Q1552" s="92"/>
      <c r="R1552" s="92"/>
      <c r="S1552" s="92"/>
      <c r="T1552" s="92"/>
      <c r="U1552" s="92"/>
      <c r="V1552" s="92"/>
      <c r="W1552" s="92"/>
      <c r="X1552" s="92"/>
      <c r="Y1552" s="92"/>
      <c r="Z1552" s="92"/>
      <c r="AA1552" s="92"/>
      <c r="AB1552" s="92"/>
      <c r="AC1552" s="92"/>
      <c r="AD1552" s="92"/>
      <c r="AE1552" s="92"/>
      <c r="AF1552" s="92"/>
      <c r="AG1552" s="92"/>
    </row>
    <row r="1553" hidden="1">
      <c r="A1553" s="262"/>
      <c r="B1553" s="25"/>
      <c r="C1553" s="80" t="s">
        <v>78</v>
      </c>
      <c r="D1553" s="97"/>
      <c r="E1553" s="98"/>
      <c r="F1553" s="98"/>
      <c r="G1553" s="41"/>
      <c r="H1553" s="98"/>
      <c r="I1553" s="98"/>
      <c r="J1553" s="98"/>
      <c r="K1553" s="91"/>
      <c r="L1553" s="91"/>
      <c r="M1553" s="91"/>
      <c r="N1553" s="96" t="b">
        <v>0</v>
      </c>
      <c r="O1553" s="96" t="b">
        <v>0</v>
      </c>
      <c r="P1553" s="92"/>
      <c r="Q1553" s="92"/>
      <c r="R1553" s="92"/>
      <c r="S1553" s="92"/>
      <c r="T1553" s="92"/>
      <c r="U1553" s="92"/>
      <c r="V1553" s="92"/>
      <c r="W1553" s="92"/>
      <c r="X1553" s="92"/>
      <c r="Y1553" s="92"/>
      <c r="Z1553" s="92"/>
      <c r="AA1553" s="92"/>
      <c r="AB1553" s="92"/>
      <c r="AC1553" s="92"/>
      <c r="AD1553" s="92"/>
      <c r="AE1553" s="92"/>
      <c r="AF1553" s="92"/>
      <c r="AG1553" s="92"/>
    </row>
    <row r="1554" hidden="1">
      <c r="A1554" s="262"/>
      <c r="B1554" s="39"/>
      <c r="C1554" s="80" t="s">
        <v>78</v>
      </c>
      <c r="D1554" s="97"/>
      <c r="E1554" s="98"/>
      <c r="F1554" s="98"/>
      <c r="G1554" s="41"/>
      <c r="H1554" s="98"/>
      <c r="I1554" s="98"/>
      <c r="J1554" s="98"/>
      <c r="K1554" s="91"/>
      <c r="L1554" s="91"/>
      <c r="M1554" s="91"/>
      <c r="N1554" s="96" t="b">
        <v>0</v>
      </c>
      <c r="O1554" s="96" t="b">
        <v>0</v>
      </c>
      <c r="P1554" s="92"/>
      <c r="Q1554" s="92"/>
      <c r="R1554" s="92"/>
      <c r="S1554" s="92"/>
      <c r="T1554" s="92"/>
      <c r="U1554" s="92"/>
      <c r="V1554" s="92"/>
      <c r="W1554" s="92"/>
      <c r="X1554" s="92"/>
      <c r="Y1554" s="92"/>
      <c r="Z1554" s="92"/>
      <c r="AA1554" s="92"/>
      <c r="AB1554" s="92"/>
      <c r="AC1554" s="92"/>
      <c r="AD1554" s="92"/>
      <c r="AE1554" s="92"/>
      <c r="AF1554" s="92"/>
      <c r="AG1554" s="92"/>
    </row>
    <row r="1555" hidden="1">
      <c r="A1555" s="262"/>
      <c r="B1555" s="166"/>
      <c r="C1555" s="88">
        <v>44512.0</v>
      </c>
      <c r="D1555" s="97"/>
      <c r="E1555" s="98"/>
      <c r="F1555" s="98"/>
      <c r="G1555" s="41"/>
      <c r="H1555" s="98"/>
      <c r="I1555" s="98"/>
      <c r="J1555" s="98"/>
      <c r="K1555" s="91"/>
      <c r="L1555" s="91"/>
      <c r="M1555" s="91"/>
      <c r="N1555" s="96" t="b">
        <v>0</v>
      </c>
      <c r="O1555" s="96" t="b">
        <v>0</v>
      </c>
      <c r="P1555" s="92"/>
      <c r="Q1555" s="92"/>
      <c r="R1555" s="92"/>
      <c r="S1555" s="92"/>
      <c r="T1555" s="92"/>
      <c r="U1555" s="92"/>
      <c r="V1555" s="92"/>
      <c r="W1555" s="92"/>
      <c r="X1555" s="92"/>
      <c r="Y1555" s="92"/>
      <c r="Z1555" s="92"/>
      <c r="AA1555" s="92"/>
      <c r="AB1555" s="92"/>
      <c r="AC1555" s="92"/>
      <c r="AD1555" s="92"/>
      <c r="AE1555" s="92"/>
      <c r="AF1555" s="92"/>
      <c r="AG1555" s="92"/>
    </row>
    <row r="1556" hidden="1">
      <c r="A1556" s="262"/>
      <c r="B1556" s="18" t="s">
        <v>1668</v>
      </c>
      <c r="C1556" s="234"/>
      <c r="D1556" s="97"/>
      <c r="E1556" s="98"/>
      <c r="F1556" s="98"/>
      <c r="G1556" s="41"/>
      <c r="H1556" s="98"/>
      <c r="I1556" s="98"/>
      <c r="J1556" s="98"/>
      <c r="K1556" s="91"/>
      <c r="L1556" s="91"/>
      <c r="M1556" s="91"/>
      <c r="N1556" s="96" t="b">
        <v>0</v>
      </c>
      <c r="O1556" s="96" t="b">
        <v>0</v>
      </c>
      <c r="P1556" s="92"/>
      <c r="Q1556" s="92"/>
      <c r="R1556" s="92"/>
      <c r="S1556" s="92"/>
      <c r="T1556" s="92"/>
      <c r="U1556" s="92"/>
      <c r="V1556" s="92"/>
      <c r="W1556" s="92"/>
      <c r="X1556" s="92"/>
      <c r="Y1556" s="92"/>
      <c r="Z1556" s="92"/>
      <c r="AA1556" s="92"/>
      <c r="AB1556" s="92"/>
      <c r="AC1556" s="92"/>
      <c r="AD1556" s="92"/>
      <c r="AE1556" s="92"/>
      <c r="AF1556" s="92"/>
      <c r="AG1556" s="92"/>
    </row>
    <row r="1557" hidden="1">
      <c r="A1557" s="262"/>
      <c r="B1557" s="25"/>
      <c r="C1557" s="78" t="s">
        <v>78</v>
      </c>
      <c r="D1557" s="303" t="s">
        <v>3073</v>
      </c>
      <c r="E1557" s="269" t="s">
        <v>2771</v>
      </c>
      <c r="F1557" s="269" t="s">
        <v>2772</v>
      </c>
      <c r="G1557" s="161">
        <v>0.4375</v>
      </c>
      <c r="H1557" s="162" t="s">
        <v>3074</v>
      </c>
      <c r="I1557" s="162" t="s">
        <v>3075</v>
      </c>
      <c r="J1557" s="269" t="s">
        <v>2774</v>
      </c>
      <c r="K1557" s="98" t="s">
        <v>838</v>
      </c>
      <c r="L1557" s="91"/>
      <c r="M1557" s="91"/>
      <c r="N1557" s="96" t="b">
        <v>0</v>
      </c>
      <c r="O1557" s="96" t="b">
        <v>0</v>
      </c>
      <c r="P1557" s="92"/>
      <c r="Q1557" s="92"/>
      <c r="R1557" s="92"/>
      <c r="S1557" s="92"/>
      <c r="T1557" s="92"/>
      <c r="U1557" s="92"/>
      <c r="V1557" s="92"/>
      <c r="W1557" s="92"/>
      <c r="X1557" s="92"/>
      <c r="Y1557" s="92"/>
      <c r="Z1557" s="92"/>
      <c r="AA1557" s="92"/>
      <c r="AB1557" s="92"/>
      <c r="AC1557" s="92"/>
      <c r="AD1557" s="92"/>
      <c r="AE1557" s="92"/>
      <c r="AF1557" s="92"/>
      <c r="AG1557" s="92"/>
    </row>
    <row r="1558" hidden="1">
      <c r="A1558" s="262"/>
      <c r="B1558" s="25"/>
      <c r="C1558" s="80" t="s">
        <v>78</v>
      </c>
      <c r="D1558" s="304" t="s">
        <v>3073</v>
      </c>
      <c r="E1558" s="263" t="s">
        <v>3076</v>
      </c>
      <c r="F1558" s="263" t="s">
        <v>289</v>
      </c>
      <c r="G1558" s="305">
        <v>0.5833333333333334</v>
      </c>
      <c r="H1558" s="304" t="s">
        <v>3077</v>
      </c>
      <c r="I1558" s="263" t="s">
        <v>3078</v>
      </c>
      <c r="J1558" s="263" t="s">
        <v>3079</v>
      </c>
      <c r="K1558" s="109" t="s">
        <v>3080</v>
      </c>
      <c r="L1558" s="91"/>
      <c r="M1558" s="91"/>
      <c r="N1558" s="96" t="b">
        <v>0</v>
      </c>
      <c r="O1558" s="96" t="b">
        <v>0</v>
      </c>
      <c r="P1558" s="92"/>
      <c r="Q1558" s="92"/>
      <c r="R1558" s="92"/>
      <c r="S1558" s="92"/>
      <c r="T1558" s="92"/>
      <c r="U1558" s="92"/>
      <c r="V1558" s="92"/>
      <c r="W1558" s="92"/>
      <c r="X1558" s="92"/>
      <c r="Y1558" s="92"/>
      <c r="Z1558" s="92"/>
      <c r="AA1558" s="92"/>
      <c r="AB1558" s="92"/>
      <c r="AC1558" s="92"/>
      <c r="AD1558" s="92"/>
      <c r="AE1558" s="92"/>
      <c r="AF1558" s="92"/>
      <c r="AG1558" s="92"/>
    </row>
    <row r="1559" hidden="1">
      <c r="A1559" s="262"/>
      <c r="B1559" s="25"/>
      <c r="C1559" s="80" t="s">
        <v>78</v>
      </c>
      <c r="D1559" s="303" t="s">
        <v>3073</v>
      </c>
      <c r="E1559" s="269" t="s">
        <v>2262</v>
      </c>
      <c r="F1559" s="269" t="s">
        <v>2263</v>
      </c>
      <c r="G1559" s="161">
        <v>0.625</v>
      </c>
      <c r="H1559" s="162" t="s">
        <v>3074</v>
      </c>
      <c r="I1559" s="162" t="s">
        <v>3081</v>
      </c>
      <c r="J1559" s="269" t="s">
        <v>2265</v>
      </c>
      <c r="K1559" s="98" t="s">
        <v>3082</v>
      </c>
      <c r="L1559" s="91"/>
      <c r="M1559" s="91"/>
      <c r="N1559" s="96" t="b">
        <v>0</v>
      </c>
      <c r="O1559" s="96" t="b">
        <v>0</v>
      </c>
      <c r="P1559" s="92"/>
      <c r="Q1559" s="92"/>
      <c r="R1559" s="92"/>
      <c r="S1559" s="92"/>
      <c r="T1559" s="92"/>
      <c r="U1559" s="92"/>
      <c r="V1559" s="92"/>
      <c r="W1559" s="92"/>
      <c r="X1559" s="92"/>
      <c r="Y1559" s="92"/>
      <c r="Z1559" s="92"/>
      <c r="AA1559" s="92"/>
      <c r="AB1559" s="92"/>
      <c r="AC1559" s="92"/>
      <c r="AD1559" s="92"/>
      <c r="AE1559" s="92"/>
      <c r="AF1559" s="92"/>
      <c r="AG1559" s="92"/>
    </row>
    <row r="1560" hidden="1">
      <c r="A1560" s="262"/>
      <c r="B1560" s="25"/>
      <c r="C1560" s="80" t="s">
        <v>78</v>
      </c>
      <c r="D1560" s="302" t="s">
        <v>2941</v>
      </c>
      <c r="E1560" s="263" t="s">
        <v>3083</v>
      </c>
      <c r="F1560" s="263" t="s">
        <v>3084</v>
      </c>
      <c r="G1560" s="108">
        <v>0.7083333333333334</v>
      </c>
      <c r="H1560" s="109" t="s">
        <v>3085</v>
      </c>
      <c r="I1560" s="109" t="s">
        <v>3086</v>
      </c>
      <c r="J1560" s="263" t="s">
        <v>3087</v>
      </c>
      <c r="K1560" s="98" t="s">
        <v>3088</v>
      </c>
      <c r="L1560" s="91"/>
      <c r="M1560" s="91"/>
      <c r="N1560" s="96" t="b">
        <v>0</v>
      </c>
      <c r="O1560" s="96" t="b">
        <v>0</v>
      </c>
      <c r="P1560" s="92"/>
      <c r="Q1560" s="92"/>
      <c r="R1560" s="92"/>
      <c r="S1560" s="92"/>
      <c r="T1560" s="92"/>
      <c r="U1560" s="92"/>
      <c r="V1560" s="92"/>
      <c r="W1560" s="92"/>
      <c r="X1560" s="92"/>
      <c r="Y1560" s="92"/>
      <c r="Z1560" s="92"/>
      <c r="AA1560" s="92"/>
      <c r="AB1560" s="92"/>
      <c r="AC1560" s="92"/>
      <c r="AD1560" s="92"/>
      <c r="AE1560" s="92"/>
      <c r="AF1560" s="92"/>
      <c r="AG1560" s="92"/>
    </row>
    <row r="1561" hidden="1">
      <c r="A1561" s="262"/>
      <c r="B1561" s="25"/>
      <c r="C1561" s="80" t="s">
        <v>78</v>
      </c>
      <c r="D1561" s="159" t="s">
        <v>2282</v>
      </c>
      <c r="E1561" s="269" t="s">
        <v>3089</v>
      </c>
      <c r="F1561" s="269" t="s">
        <v>3090</v>
      </c>
      <c r="G1561" s="161">
        <v>0.7708333333333334</v>
      </c>
      <c r="H1561" s="162" t="s">
        <v>3006</v>
      </c>
      <c r="I1561" s="162" t="s">
        <v>3091</v>
      </c>
      <c r="J1561" s="269" t="s">
        <v>3092</v>
      </c>
      <c r="K1561" s="91"/>
      <c r="L1561" s="91"/>
      <c r="M1561" s="91"/>
      <c r="N1561" s="96" t="b">
        <v>0</v>
      </c>
      <c r="O1561" s="96" t="b">
        <v>0</v>
      </c>
      <c r="P1561" s="92"/>
      <c r="Q1561" s="92"/>
      <c r="R1561" s="92"/>
      <c r="S1561" s="92"/>
      <c r="T1561" s="92"/>
      <c r="U1561" s="92"/>
      <c r="V1561" s="92"/>
      <c r="W1561" s="92"/>
      <c r="X1561" s="92"/>
      <c r="Y1561" s="92"/>
      <c r="Z1561" s="92"/>
      <c r="AA1561" s="92"/>
      <c r="AB1561" s="92"/>
      <c r="AC1561" s="92"/>
      <c r="AD1561" s="92"/>
      <c r="AE1561" s="92"/>
      <c r="AF1561" s="92"/>
      <c r="AG1561" s="92"/>
    </row>
    <row r="1562" hidden="1">
      <c r="A1562" s="262"/>
      <c r="B1562" s="39"/>
      <c r="C1562" s="80" t="s">
        <v>78</v>
      </c>
      <c r="D1562" s="97"/>
      <c r="E1562" s="98"/>
      <c r="F1562" s="98"/>
      <c r="G1562" s="41"/>
      <c r="H1562" s="98"/>
      <c r="I1562" s="98"/>
      <c r="J1562" s="98"/>
      <c r="K1562" s="91"/>
      <c r="L1562" s="91"/>
      <c r="M1562" s="91"/>
      <c r="N1562" s="96" t="b">
        <v>0</v>
      </c>
      <c r="O1562" s="96" t="b">
        <v>0</v>
      </c>
      <c r="P1562" s="92"/>
      <c r="Q1562" s="92"/>
      <c r="R1562" s="92"/>
      <c r="S1562" s="92"/>
      <c r="T1562" s="92"/>
      <c r="U1562" s="92"/>
      <c r="V1562" s="92"/>
      <c r="W1562" s="92"/>
      <c r="X1562" s="92"/>
      <c r="Y1562" s="92"/>
      <c r="Z1562" s="92"/>
      <c r="AA1562" s="92"/>
      <c r="AB1562" s="92"/>
      <c r="AC1562" s="92"/>
      <c r="AD1562" s="92"/>
      <c r="AE1562" s="92"/>
      <c r="AF1562" s="92"/>
      <c r="AG1562" s="92"/>
    </row>
    <row r="1563" hidden="1">
      <c r="A1563" s="262"/>
      <c r="B1563" s="166"/>
      <c r="C1563" s="88">
        <v>44515.0</v>
      </c>
      <c r="D1563" s="97"/>
      <c r="E1563" s="98"/>
      <c r="F1563" s="98"/>
      <c r="G1563" s="41"/>
      <c r="I1563" s="98"/>
      <c r="J1563" s="98"/>
      <c r="K1563" s="91"/>
      <c r="L1563" s="91"/>
      <c r="M1563" s="91"/>
      <c r="N1563" s="96" t="b">
        <v>0</v>
      </c>
      <c r="O1563" s="96" t="b">
        <v>0</v>
      </c>
      <c r="P1563" s="92"/>
      <c r="Q1563" s="92"/>
      <c r="R1563" s="92"/>
      <c r="S1563" s="92"/>
      <c r="T1563" s="92"/>
      <c r="U1563" s="92"/>
      <c r="V1563" s="92"/>
      <c r="W1563" s="92"/>
      <c r="X1563" s="92"/>
      <c r="Y1563" s="92"/>
      <c r="Z1563" s="92"/>
      <c r="AA1563" s="92"/>
      <c r="AB1563" s="92"/>
      <c r="AC1563" s="92"/>
      <c r="AD1563" s="92"/>
      <c r="AE1563" s="92"/>
      <c r="AF1563" s="92"/>
      <c r="AG1563" s="92"/>
    </row>
    <row r="1564" hidden="1">
      <c r="A1564" s="262"/>
      <c r="B1564" s="18" t="s">
        <v>1668</v>
      </c>
      <c r="C1564" s="234"/>
      <c r="D1564" s="97"/>
      <c r="E1564" s="98"/>
      <c r="F1564" s="98"/>
      <c r="G1564" s="41"/>
      <c r="H1564" s="98"/>
      <c r="I1564" s="98"/>
      <c r="J1564" s="98"/>
      <c r="K1564" s="91"/>
      <c r="L1564" s="91"/>
      <c r="M1564" s="91"/>
      <c r="N1564" s="96" t="b">
        <v>0</v>
      </c>
      <c r="O1564" s="96" t="b">
        <v>0</v>
      </c>
      <c r="P1564" s="92"/>
      <c r="Q1564" s="92"/>
      <c r="R1564" s="92"/>
      <c r="S1564" s="92"/>
      <c r="T1564" s="92"/>
      <c r="U1564" s="92"/>
      <c r="V1564" s="92"/>
      <c r="W1564" s="92"/>
      <c r="X1564" s="92"/>
      <c r="Y1564" s="92"/>
      <c r="Z1564" s="92"/>
      <c r="AA1564" s="92"/>
      <c r="AB1564" s="92"/>
      <c r="AC1564" s="92"/>
      <c r="AD1564" s="92"/>
      <c r="AE1564" s="92"/>
      <c r="AF1564" s="92"/>
      <c r="AG1564" s="92"/>
    </row>
    <row r="1565" hidden="1">
      <c r="A1565" s="262"/>
      <c r="B1565" s="25"/>
      <c r="C1565" s="78" t="s">
        <v>78</v>
      </c>
      <c r="D1565" s="97"/>
      <c r="E1565" s="248"/>
      <c r="F1565" s="98"/>
      <c r="G1565" s="41"/>
      <c r="H1565" s="98"/>
      <c r="I1565" s="98"/>
      <c r="J1565" s="98"/>
      <c r="K1565" s="91"/>
      <c r="L1565" s="91"/>
      <c r="M1565" s="91"/>
      <c r="N1565" s="96" t="b">
        <v>0</v>
      </c>
      <c r="O1565" s="96" t="b">
        <v>0</v>
      </c>
      <c r="P1565" s="92"/>
      <c r="Q1565" s="92"/>
      <c r="R1565" s="92"/>
      <c r="S1565" s="92"/>
      <c r="T1565" s="92"/>
      <c r="U1565" s="92"/>
      <c r="V1565" s="92"/>
      <c r="W1565" s="92"/>
      <c r="X1565" s="92"/>
      <c r="Y1565" s="92"/>
      <c r="Z1565" s="92"/>
      <c r="AA1565" s="92"/>
      <c r="AB1565" s="92"/>
      <c r="AC1565" s="92"/>
      <c r="AD1565" s="92"/>
      <c r="AE1565" s="92"/>
      <c r="AF1565" s="92"/>
      <c r="AG1565" s="92"/>
    </row>
    <row r="1566" hidden="1">
      <c r="A1566" s="262"/>
      <c r="B1566" s="25"/>
      <c r="C1566" s="80" t="s">
        <v>78</v>
      </c>
      <c r="D1566" s="97"/>
      <c r="E1566" s="306"/>
      <c r="F1566" s="98"/>
      <c r="G1566" s="41"/>
      <c r="H1566" s="98"/>
      <c r="I1566" s="98"/>
      <c r="J1566" s="98"/>
      <c r="K1566" s="91"/>
      <c r="L1566" s="91"/>
      <c r="M1566" s="91"/>
      <c r="N1566" s="96" t="b">
        <v>0</v>
      </c>
      <c r="O1566" s="96" t="b">
        <v>0</v>
      </c>
      <c r="P1566" s="92"/>
      <c r="Q1566" s="92"/>
      <c r="R1566" s="92"/>
      <c r="S1566" s="92"/>
      <c r="T1566" s="92"/>
      <c r="U1566" s="92"/>
      <c r="V1566" s="92"/>
      <c r="W1566" s="92"/>
      <c r="X1566" s="92"/>
      <c r="Y1566" s="92"/>
      <c r="Z1566" s="92"/>
      <c r="AA1566" s="92"/>
      <c r="AB1566" s="92"/>
      <c r="AC1566" s="92"/>
      <c r="AD1566" s="92"/>
      <c r="AE1566" s="92"/>
      <c r="AF1566" s="92"/>
      <c r="AG1566" s="92"/>
    </row>
    <row r="1567" hidden="1">
      <c r="A1567" s="262"/>
      <c r="B1567" s="25"/>
      <c r="C1567" s="80" t="s">
        <v>78</v>
      </c>
      <c r="D1567" s="97"/>
      <c r="E1567" s="306"/>
      <c r="F1567" s="307" t="s">
        <v>3093</v>
      </c>
      <c r="G1567" s="41"/>
      <c r="H1567" s="98"/>
      <c r="I1567" s="98"/>
      <c r="J1567" s="98"/>
      <c r="K1567" s="91"/>
      <c r="L1567" s="91"/>
      <c r="M1567" s="91"/>
      <c r="N1567" s="96" t="b">
        <v>0</v>
      </c>
      <c r="O1567" s="96" t="b">
        <v>0</v>
      </c>
      <c r="P1567" s="92"/>
      <c r="Q1567" s="92"/>
      <c r="R1567" s="92"/>
      <c r="S1567" s="92"/>
      <c r="T1567" s="92"/>
      <c r="U1567" s="92"/>
      <c r="V1567" s="92"/>
      <c r="W1567" s="92"/>
      <c r="X1567" s="92"/>
      <c r="Y1567" s="92"/>
      <c r="Z1567" s="92"/>
      <c r="AA1567" s="92"/>
      <c r="AB1567" s="92"/>
      <c r="AC1567" s="92"/>
      <c r="AD1567" s="92"/>
      <c r="AE1567" s="92"/>
      <c r="AF1567" s="92"/>
      <c r="AG1567" s="92"/>
    </row>
    <row r="1568" hidden="1">
      <c r="A1568" s="262"/>
      <c r="B1568" s="25"/>
      <c r="C1568" s="80" t="s">
        <v>78</v>
      </c>
      <c r="D1568" s="97"/>
      <c r="E1568" s="248"/>
      <c r="F1568" s="98"/>
      <c r="G1568" s="41"/>
      <c r="H1568" s="98"/>
      <c r="I1568" s="98"/>
      <c r="J1568" s="98"/>
      <c r="K1568" s="91"/>
      <c r="L1568" s="91"/>
      <c r="M1568" s="91"/>
      <c r="N1568" s="96" t="b">
        <v>0</v>
      </c>
      <c r="O1568" s="96" t="b">
        <v>0</v>
      </c>
      <c r="P1568" s="92"/>
      <c r="Q1568" s="92"/>
      <c r="R1568" s="92"/>
      <c r="S1568" s="92"/>
      <c r="T1568" s="92"/>
      <c r="U1568" s="92"/>
      <c r="V1568" s="92"/>
      <c r="W1568" s="92"/>
      <c r="X1568" s="92"/>
      <c r="Y1568" s="92"/>
      <c r="Z1568" s="92"/>
      <c r="AA1568" s="92"/>
      <c r="AB1568" s="92"/>
      <c r="AC1568" s="92"/>
      <c r="AD1568" s="92"/>
      <c r="AE1568" s="92"/>
      <c r="AF1568" s="92"/>
      <c r="AG1568" s="92"/>
    </row>
    <row r="1569" hidden="1">
      <c r="A1569" s="262"/>
      <c r="B1569" s="25"/>
      <c r="C1569" s="80" t="s">
        <v>78</v>
      </c>
      <c r="D1569" s="97"/>
      <c r="E1569" s="98"/>
      <c r="F1569" s="98"/>
      <c r="G1569" s="41"/>
      <c r="H1569" s="98"/>
      <c r="I1569" s="98"/>
      <c r="J1569" s="98"/>
      <c r="K1569" s="91"/>
      <c r="L1569" s="91"/>
      <c r="M1569" s="91"/>
      <c r="N1569" s="96" t="b">
        <v>0</v>
      </c>
      <c r="O1569" s="96" t="b">
        <v>0</v>
      </c>
      <c r="P1569" s="92"/>
      <c r="Q1569" s="92"/>
      <c r="R1569" s="92"/>
      <c r="S1569" s="92"/>
      <c r="T1569" s="92"/>
      <c r="U1569" s="92"/>
      <c r="V1569" s="92"/>
      <c r="W1569" s="92"/>
      <c r="X1569" s="92"/>
      <c r="Y1569" s="92"/>
      <c r="Z1569" s="92"/>
      <c r="AA1569" s="92"/>
      <c r="AB1569" s="92"/>
      <c r="AC1569" s="92"/>
      <c r="AD1569" s="92"/>
      <c r="AE1569" s="92"/>
      <c r="AF1569" s="92"/>
      <c r="AG1569" s="92"/>
    </row>
    <row r="1570" hidden="1">
      <c r="A1570" s="262"/>
      <c r="B1570" s="39"/>
      <c r="C1570" s="80" t="s">
        <v>78</v>
      </c>
      <c r="D1570" s="97"/>
      <c r="E1570" s="98"/>
      <c r="F1570" s="98"/>
      <c r="G1570" s="41"/>
      <c r="H1570" s="98"/>
      <c r="I1570" s="98"/>
      <c r="J1570" s="98"/>
      <c r="K1570" s="91"/>
      <c r="L1570" s="91"/>
      <c r="M1570" s="91"/>
      <c r="N1570" s="96" t="b">
        <v>0</v>
      </c>
      <c r="O1570" s="96" t="b">
        <v>0</v>
      </c>
      <c r="P1570" s="92"/>
      <c r="Q1570" s="92"/>
      <c r="R1570" s="92"/>
      <c r="S1570" s="92"/>
      <c r="T1570" s="92"/>
      <c r="U1570" s="92"/>
      <c r="V1570" s="92"/>
      <c r="W1570" s="92"/>
      <c r="X1570" s="92"/>
      <c r="Y1570" s="92"/>
      <c r="Z1570" s="92"/>
      <c r="AA1570" s="92"/>
      <c r="AB1570" s="92"/>
      <c r="AC1570" s="92"/>
      <c r="AD1570" s="92"/>
      <c r="AE1570" s="92"/>
      <c r="AF1570" s="92"/>
      <c r="AG1570" s="92"/>
    </row>
    <row r="1571" hidden="1">
      <c r="A1571" s="262"/>
      <c r="B1571" s="166"/>
      <c r="C1571" s="88">
        <v>44516.0</v>
      </c>
      <c r="D1571" s="97"/>
      <c r="E1571" s="98"/>
      <c r="F1571" s="98"/>
      <c r="G1571" s="41"/>
      <c r="H1571" s="98"/>
      <c r="I1571" s="98"/>
      <c r="J1571" s="98"/>
      <c r="K1571" s="91"/>
      <c r="L1571" s="91"/>
      <c r="M1571" s="91"/>
      <c r="N1571" s="96" t="b">
        <v>0</v>
      </c>
      <c r="O1571" s="96" t="b">
        <v>0</v>
      </c>
      <c r="P1571" s="92"/>
      <c r="Q1571" s="92"/>
      <c r="R1571" s="92"/>
      <c r="S1571" s="92"/>
      <c r="T1571" s="92"/>
      <c r="U1571" s="92"/>
      <c r="V1571" s="92"/>
      <c r="W1571" s="92"/>
      <c r="X1571" s="92"/>
      <c r="Y1571" s="92"/>
      <c r="Z1571" s="92"/>
      <c r="AA1571" s="92"/>
      <c r="AB1571" s="92"/>
      <c r="AC1571" s="92"/>
      <c r="AD1571" s="92"/>
      <c r="AE1571" s="92"/>
      <c r="AF1571" s="92"/>
      <c r="AG1571" s="92"/>
    </row>
    <row r="1572" hidden="1">
      <c r="A1572" s="262"/>
      <c r="B1572" s="18" t="s">
        <v>1668</v>
      </c>
      <c r="C1572" s="234"/>
      <c r="D1572" s="97"/>
      <c r="E1572" s="98"/>
      <c r="F1572" s="98"/>
      <c r="G1572" s="41"/>
      <c r="H1572" s="98"/>
      <c r="I1572" s="98"/>
      <c r="J1572" s="98"/>
      <c r="K1572" s="91"/>
      <c r="L1572" s="91"/>
      <c r="M1572" s="91"/>
      <c r="N1572" s="96" t="b">
        <v>0</v>
      </c>
      <c r="O1572" s="96" t="b">
        <v>0</v>
      </c>
      <c r="P1572" s="92"/>
      <c r="Q1572" s="92"/>
      <c r="R1572" s="92"/>
      <c r="S1572" s="92"/>
      <c r="T1572" s="92"/>
      <c r="U1572" s="92"/>
      <c r="V1572" s="92"/>
      <c r="W1572" s="92"/>
      <c r="X1572" s="92"/>
      <c r="Y1572" s="92"/>
      <c r="Z1572" s="92"/>
      <c r="AA1572" s="92"/>
      <c r="AB1572" s="92"/>
      <c r="AC1572" s="92"/>
      <c r="AD1572" s="92"/>
      <c r="AE1572" s="92"/>
      <c r="AF1572" s="92"/>
      <c r="AG1572" s="92"/>
    </row>
    <row r="1573" hidden="1">
      <c r="A1573" s="262"/>
      <c r="B1573" s="25"/>
      <c r="C1573" s="78" t="s">
        <v>78</v>
      </c>
      <c r="D1573" s="97"/>
      <c r="E1573" s="98"/>
      <c r="F1573" s="98"/>
      <c r="G1573" s="41"/>
      <c r="H1573" s="98"/>
      <c r="I1573" s="98"/>
      <c r="J1573" s="98"/>
      <c r="K1573" s="91"/>
      <c r="L1573" s="91"/>
      <c r="M1573" s="91"/>
      <c r="N1573" s="96" t="b">
        <v>0</v>
      </c>
      <c r="O1573" s="96" t="b">
        <v>0</v>
      </c>
      <c r="P1573" s="92"/>
      <c r="Q1573" s="92"/>
      <c r="R1573" s="92"/>
      <c r="S1573" s="92"/>
      <c r="T1573" s="92"/>
      <c r="U1573" s="92"/>
      <c r="V1573" s="92"/>
      <c r="W1573" s="92"/>
      <c r="X1573" s="92"/>
      <c r="Y1573" s="92"/>
      <c r="Z1573" s="92"/>
      <c r="AA1573" s="92"/>
      <c r="AB1573" s="92"/>
      <c r="AC1573" s="92"/>
      <c r="AD1573" s="92"/>
      <c r="AE1573" s="92"/>
      <c r="AF1573" s="92"/>
      <c r="AG1573" s="92"/>
    </row>
    <row r="1574" hidden="1">
      <c r="A1574" s="262"/>
      <c r="B1574" s="25"/>
      <c r="C1574" s="80" t="s">
        <v>78</v>
      </c>
      <c r="D1574" s="97"/>
      <c r="E1574" s="98"/>
      <c r="F1574" s="98"/>
      <c r="G1574" s="41"/>
      <c r="H1574" s="98"/>
      <c r="I1574" s="98"/>
      <c r="J1574" s="98"/>
      <c r="K1574" s="91"/>
      <c r="L1574" s="91"/>
      <c r="M1574" s="91"/>
      <c r="N1574" s="96" t="b">
        <v>0</v>
      </c>
      <c r="O1574" s="96" t="b">
        <v>0</v>
      </c>
      <c r="P1574" s="92"/>
      <c r="Q1574" s="92"/>
      <c r="R1574" s="92"/>
      <c r="S1574" s="92"/>
      <c r="T1574" s="92"/>
      <c r="U1574" s="92"/>
      <c r="V1574" s="92"/>
      <c r="W1574" s="92"/>
      <c r="X1574" s="92"/>
      <c r="Y1574" s="92"/>
      <c r="Z1574" s="92"/>
      <c r="AA1574" s="92"/>
      <c r="AB1574" s="92"/>
      <c r="AC1574" s="92"/>
      <c r="AD1574" s="92"/>
      <c r="AE1574" s="92"/>
      <c r="AF1574" s="92"/>
      <c r="AG1574" s="92"/>
    </row>
    <row r="1575" hidden="1">
      <c r="A1575" s="262"/>
      <c r="B1575" s="25"/>
      <c r="C1575" s="80" t="s">
        <v>78</v>
      </c>
      <c r="D1575" s="97"/>
      <c r="E1575" s="98"/>
      <c r="F1575" s="307" t="s">
        <v>3093</v>
      </c>
      <c r="G1575" s="41"/>
      <c r="H1575" s="98"/>
      <c r="I1575" s="98"/>
      <c r="J1575" s="98"/>
      <c r="K1575" s="91"/>
      <c r="L1575" s="91"/>
      <c r="M1575" s="91"/>
      <c r="N1575" s="96" t="b">
        <v>0</v>
      </c>
      <c r="O1575" s="96" t="b">
        <v>0</v>
      </c>
      <c r="P1575" s="92"/>
      <c r="Q1575" s="92"/>
      <c r="R1575" s="92"/>
      <c r="S1575" s="92"/>
      <c r="T1575" s="92"/>
      <c r="U1575" s="92"/>
      <c r="V1575" s="92"/>
      <c r="W1575" s="92"/>
      <c r="X1575" s="92"/>
      <c r="Y1575" s="92"/>
      <c r="Z1575" s="92"/>
      <c r="AA1575" s="92"/>
      <c r="AB1575" s="92"/>
      <c r="AC1575" s="92"/>
      <c r="AD1575" s="92"/>
      <c r="AE1575" s="92"/>
      <c r="AF1575" s="92"/>
      <c r="AG1575" s="92"/>
    </row>
    <row r="1576" hidden="1">
      <c r="A1576" s="262"/>
      <c r="B1576" s="25"/>
      <c r="C1576" s="80" t="s">
        <v>78</v>
      </c>
      <c r="D1576" s="97"/>
      <c r="E1576" s="98"/>
      <c r="F1576" s="98"/>
      <c r="G1576" s="41"/>
      <c r="H1576" s="98"/>
      <c r="I1576" s="98"/>
      <c r="J1576" s="98"/>
      <c r="K1576" s="91"/>
      <c r="L1576" s="91"/>
      <c r="M1576" s="91"/>
      <c r="N1576" s="96" t="b">
        <v>0</v>
      </c>
      <c r="O1576" s="96" t="b">
        <v>0</v>
      </c>
      <c r="P1576" s="92"/>
      <c r="Q1576" s="92"/>
      <c r="R1576" s="92"/>
      <c r="S1576" s="92"/>
      <c r="T1576" s="92"/>
      <c r="U1576" s="92"/>
      <c r="V1576" s="92"/>
      <c r="W1576" s="92"/>
      <c r="X1576" s="92"/>
      <c r="Y1576" s="92"/>
      <c r="Z1576" s="92"/>
      <c r="AA1576" s="92"/>
      <c r="AB1576" s="92"/>
      <c r="AC1576" s="92"/>
      <c r="AD1576" s="92"/>
      <c r="AE1576" s="92"/>
      <c r="AF1576" s="92"/>
      <c r="AG1576" s="92"/>
    </row>
    <row r="1577" hidden="1">
      <c r="A1577" s="262"/>
      <c r="B1577" s="25"/>
      <c r="C1577" s="80" t="s">
        <v>78</v>
      </c>
      <c r="D1577" s="97"/>
      <c r="E1577" s="98"/>
      <c r="F1577" s="98"/>
      <c r="G1577" s="41"/>
      <c r="H1577" s="98"/>
      <c r="I1577" s="98"/>
      <c r="J1577" s="98"/>
      <c r="K1577" s="91"/>
      <c r="L1577" s="91"/>
      <c r="M1577" s="91"/>
      <c r="N1577" s="96" t="b">
        <v>0</v>
      </c>
      <c r="O1577" s="96" t="b">
        <v>0</v>
      </c>
      <c r="P1577" s="92"/>
      <c r="Q1577" s="92"/>
      <c r="R1577" s="92"/>
      <c r="S1577" s="92"/>
      <c r="T1577" s="92"/>
      <c r="U1577" s="92"/>
      <c r="V1577" s="92"/>
      <c r="W1577" s="92"/>
      <c r="X1577" s="92"/>
      <c r="Y1577" s="92"/>
      <c r="Z1577" s="92"/>
      <c r="AA1577" s="92"/>
      <c r="AB1577" s="92"/>
      <c r="AC1577" s="92"/>
      <c r="AD1577" s="92"/>
      <c r="AE1577" s="92"/>
      <c r="AF1577" s="92"/>
      <c r="AG1577" s="92"/>
    </row>
    <row r="1578" hidden="1">
      <c r="A1578" s="262"/>
      <c r="B1578" s="39"/>
      <c r="C1578" s="80" t="s">
        <v>78</v>
      </c>
      <c r="D1578" s="97"/>
      <c r="E1578" s="98"/>
      <c r="F1578" s="98"/>
      <c r="G1578" s="41"/>
      <c r="H1578" s="98"/>
      <c r="I1578" s="98"/>
      <c r="J1578" s="98"/>
      <c r="K1578" s="91"/>
      <c r="L1578" s="91"/>
      <c r="M1578" s="91"/>
      <c r="N1578" s="96" t="b">
        <v>0</v>
      </c>
      <c r="O1578" s="96" t="b">
        <v>0</v>
      </c>
      <c r="P1578" s="92"/>
      <c r="Q1578" s="92"/>
      <c r="R1578" s="92"/>
      <c r="S1578" s="92"/>
      <c r="T1578" s="92"/>
      <c r="U1578" s="92"/>
      <c r="V1578" s="92"/>
      <c r="W1578" s="92"/>
      <c r="X1578" s="92"/>
      <c r="Y1578" s="92"/>
      <c r="Z1578" s="92"/>
      <c r="AA1578" s="92"/>
      <c r="AB1578" s="92"/>
      <c r="AC1578" s="92"/>
      <c r="AD1578" s="92"/>
      <c r="AE1578" s="92"/>
      <c r="AF1578" s="92"/>
      <c r="AG1578" s="92"/>
    </row>
    <row r="1579" hidden="1">
      <c r="A1579" s="262"/>
      <c r="B1579" s="166"/>
      <c r="C1579" s="88">
        <v>44517.0</v>
      </c>
      <c r="D1579" s="97"/>
      <c r="E1579" s="98"/>
      <c r="F1579" s="98"/>
      <c r="G1579" s="41"/>
      <c r="H1579" s="98"/>
      <c r="I1579" s="98"/>
      <c r="J1579" s="98"/>
      <c r="K1579" s="91"/>
      <c r="L1579" s="91"/>
      <c r="M1579" s="91"/>
      <c r="N1579" s="96" t="b">
        <v>0</v>
      </c>
      <c r="O1579" s="96" t="b">
        <v>0</v>
      </c>
      <c r="P1579" s="92"/>
      <c r="Q1579" s="92"/>
      <c r="R1579" s="92"/>
      <c r="S1579" s="92"/>
      <c r="T1579" s="92"/>
      <c r="U1579" s="92"/>
      <c r="V1579" s="92"/>
      <c r="W1579" s="92"/>
      <c r="X1579" s="92"/>
      <c r="Y1579" s="92"/>
      <c r="Z1579" s="92"/>
      <c r="AA1579" s="92"/>
      <c r="AB1579" s="92"/>
      <c r="AC1579" s="92"/>
      <c r="AD1579" s="92"/>
      <c r="AE1579" s="92"/>
      <c r="AF1579" s="92"/>
      <c r="AG1579" s="92"/>
    </row>
    <row r="1580" hidden="1">
      <c r="A1580" s="262"/>
      <c r="B1580" s="18" t="s">
        <v>1668</v>
      </c>
      <c r="C1580" s="78" t="s">
        <v>78</v>
      </c>
      <c r="D1580" s="97"/>
      <c r="E1580" s="98"/>
      <c r="F1580" s="98"/>
      <c r="G1580" s="41"/>
      <c r="H1580" s="98"/>
      <c r="I1580" s="98"/>
      <c r="J1580" s="98"/>
      <c r="K1580" s="91"/>
      <c r="L1580" s="91"/>
      <c r="M1580" s="91"/>
      <c r="N1580" s="96" t="b">
        <v>0</v>
      </c>
      <c r="O1580" s="96" t="b">
        <v>0</v>
      </c>
      <c r="P1580" s="92"/>
      <c r="Q1580" s="92"/>
      <c r="R1580" s="92"/>
      <c r="S1580" s="92"/>
      <c r="T1580" s="92"/>
      <c r="U1580" s="92"/>
      <c r="V1580" s="92"/>
      <c r="W1580" s="92"/>
      <c r="X1580" s="92"/>
      <c r="Y1580" s="92"/>
      <c r="Z1580" s="92"/>
      <c r="AA1580" s="92"/>
      <c r="AB1580" s="92"/>
      <c r="AC1580" s="92"/>
      <c r="AD1580" s="92"/>
      <c r="AE1580" s="92"/>
      <c r="AF1580" s="92"/>
      <c r="AG1580" s="92"/>
    </row>
    <row r="1581" hidden="1">
      <c r="A1581" s="262"/>
      <c r="B1581" s="25"/>
      <c r="C1581" s="78" t="s">
        <v>78</v>
      </c>
      <c r="D1581" s="97"/>
      <c r="E1581" s="98"/>
      <c r="F1581" s="98"/>
      <c r="G1581" s="41"/>
      <c r="H1581" s="98"/>
      <c r="I1581" s="98"/>
      <c r="J1581" s="98"/>
      <c r="K1581" s="91"/>
      <c r="L1581" s="91"/>
      <c r="M1581" s="91"/>
      <c r="N1581" s="96" t="b">
        <v>0</v>
      </c>
      <c r="O1581" s="96" t="b">
        <v>0</v>
      </c>
      <c r="P1581" s="92"/>
      <c r="Q1581" s="92"/>
      <c r="R1581" s="92"/>
      <c r="S1581" s="92"/>
      <c r="T1581" s="92"/>
      <c r="U1581" s="92"/>
      <c r="V1581" s="92"/>
      <c r="W1581" s="92"/>
      <c r="X1581" s="92"/>
      <c r="Y1581" s="92"/>
      <c r="Z1581" s="92"/>
      <c r="AA1581" s="92"/>
      <c r="AB1581" s="92"/>
      <c r="AC1581" s="92"/>
      <c r="AD1581" s="92"/>
      <c r="AE1581" s="92"/>
      <c r="AF1581" s="92"/>
      <c r="AG1581" s="92"/>
    </row>
    <row r="1582" hidden="1">
      <c r="A1582" s="262"/>
      <c r="B1582" s="25"/>
      <c r="C1582" s="80" t="s">
        <v>78</v>
      </c>
      <c r="D1582" s="302" t="s">
        <v>2941</v>
      </c>
      <c r="E1582" s="263" t="s">
        <v>727</v>
      </c>
      <c r="F1582" s="263" t="s">
        <v>728</v>
      </c>
      <c r="G1582" s="108">
        <v>0.5</v>
      </c>
      <c r="H1582" s="109" t="s">
        <v>3094</v>
      </c>
      <c r="I1582" s="109" t="s">
        <v>3095</v>
      </c>
      <c r="J1582" s="263" t="s">
        <v>730</v>
      </c>
      <c r="K1582" s="91"/>
      <c r="L1582" s="91"/>
      <c r="M1582" s="91"/>
      <c r="N1582" s="96" t="b">
        <v>0</v>
      </c>
      <c r="O1582" s="96" t="b">
        <v>0</v>
      </c>
      <c r="P1582" s="92"/>
      <c r="Q1582" s="92"/>
      <c r="R1582" s="92"/>
      <c r="S1582" s="92"/>
      <c r="T1582" s="92"/>
      <c r="U1582" s="92"/>
      <c r="V1582" s="92"/>
      <c r="W1582" s="92"/>
      <c r="X1582" s="92"/>
      <c r="Y1582" s="92"/>
      <c r="Z1582" s="92"/>
      <c r="AA1582" s="92"/>
      <c r="AB1582" s="92"/>
      <c r="AC1582" s="92"/>
      <c r="AD1582" s="92"/>
      <c r="AE1582" s="92"/>
      <c r="AF1582" s="92"/>
      <c r="AG1582" s="92"/>
    </row>
    <row r="1583" hidden="1">
      <c r="A1583" s="262"/>
      <c r="B1583" s="25"/>
      <c r="C1583" s="80" t="s">
        <v>78</v>
      </c>
      <c r="D1583" s="270" t="s">
        <v>2542</v>
      </c>
      <c r="E1583" s="269" t="s">
        <v>3096</v>
      </c>
      <c r="F1583" s="269" t="s">
        <v>3097</v>
      </c>
      <c r="G1583" s="270" t="s">
        <v>449</v>
      </c>
      <c r="H1583" s="162" t="s">
        <v>439</v>
      </c>
      <c r="I1583" s="162" t="s">
        <v>3098</v>
      </c>
      <c r="J1583" s="162" t="s">
        <v>3099</v>
      </c>
      <c r="K1583" s="91"/>
      <c r="L1583" s="91"/>
      <c r="M1583" s="91"/>
      <c r="N1583" s="96" t="b">
        <v>0</v>
      </c>
      <c r="O1583" s="96" t="b">
        <v>0</v>
      </c>
      <c r="P1583" s="92"/>
      <c r="Q1583" s="92"/>
      <c r="R1583" s="92"/>
      <c r="S1583" s="92"/>
      <c r="T1583" s="92"/>
      <c r="U1583" s="92"/>
      <c r="V1583" s="92"/>
      <c r="W1583" s="92"/>
      <c r="X1583" s="92"/>
      <c r="Y1583" s="92"/>
      <c r="Z1583" s="92"/>
      <c r="AA1583" s="92"/>
      <c r="AB1583" s="92"/>
      <c r="AC1583" s="92"/>
      <c r="AD1583" s="92"/>
      <c r="AE1583" s="92"/>
      <c r="AF1583" s="92"/>
      <c r="AG1583" s="92"/>
    </row>
    <row r="1584" hidden="1">
      <c r="A1584" s="262"/>
      <c r="B1584" s="25"/>
      <c r="C1584" s="80" t="s">
        <v>78</v>
      </c>
      <c r="D1584" s="270" t="s">
        <v>2542</v>
      </c>
      <c r="E1584" s="269" t="s">
        <v>3100</v>
      </c>
      <c r="F1584" s="269" t="s">
        <v>3101</v>
      </c>
      <c r="G1584" s="270" t="s">
        <v>180</v>
      </c>
      <c r="H1584" s="162" t="s">
        <v>1275</v>
      </c>
      <c r="I1584" s="162" t="s">
        <v>3102</v>
      </c>
      <c r="J1584" s="162" t="s">
        <v>3103</v>
      </c>
      <c r="K1584" s="162" t="s">
        <v>3104</v>
      </c>
      <c r="L1584" s="91"/>
      <c r="M1584" s="91"/>
      <c r="N1584" s="96" t="b">
        <v>0</v>
      </c>
      <c r="O1584" s="96" t="b">
        <v>0</v>
      </c>
      <c r="P1584" s="92"/>
      <c r="Q1584" s="92"/>
      <c r="R1584" s="92"/>
      <c r="S1584" s="92"/>
      <c r="T1584" s="92"/>
      <c r="U1584" s="92"/>
      <c r="V1584" s="92"/>
      <c r="W1584" s="92"/>
      <c r="X1584" s="92"/>
      <c r="Y1584" s="92"/>
      <c r="Z1584" s="92"/>
      <c r="AA1584" s="92"/>
      <c r="AB1584" s="92"/>
      <c r="AC1584" s="92"/>
      <c r="AD1584" s="92"/>
      <c r="AE1584" s="92"/>
      <c r="AF1584" s="92"/>
      <c r="AG1584" s="92"/>
    </row>
    <row r="1585" hidden="1">
      <c r="A1585" s="262"/>
      <c r="B1585" s="25"/>
      <c r="C1585" s="80" t="s">
        <v>78</v>
      </c>
      <c r="D1585" s="112" t="s">
        <v>2542</v>
      </c>
      <c r="E1585" s="263" t="s">
        <v>3105</v>
      </c>
      <c r="F1585" s="263" t="s">
        <v>3106</v>
      </c>
      <c r="G1585" s="112" t="s">
        <v>248</v>
      </c>
      <c r="H1585" s="109" t="s">
        <v>367</v>
      </c>
      <c r="I1585" s="109" t="s">
        <v>3107</v>
      </c>
      <c r="J1585" s="109" t="s">
        <v>3108</v>
      </c>
      <c r="K1585" s="109" t="s">
        <v>3104</v>
      </c>
      <c r="L1585" s="91"/>
      <c r="M1585" s="91"/>
      <c r="N1585" s="96" t="b">
        <v>0</v>
      </c>
      <c r="O1585" s="96" t="b">
        <v>0</v>
      </c>
      <c r="P1585" s="92"/>
      <c r="Q1585" s="92"/>
      <c r="R1585" s="92"/>
      <c r="S1585" s="92"/>
      <c r="T1585" s="92"/>
      <c r="U1585" s="92"/>
      <c r="V1585" s="92"/>
      <c r="W1585" s="92"/>
      <c r="X1585" s="92"/>
      <c r="Y1585" s="92"/>
      <c r="Z1585" s="92"/>
      <c r="AA1585" s="92"/>
      <c r="AB1585" s="92"/>
      <c r="AC1585" s="92"/>
      <c r="AD1585" s="92"/>
      <c r="AE1585" s="92"/>
      <c r="AF1585" s="92"/>
      <c r="AG1585" s="92"/>
    </row>
    <row r="1586" hidden="1">
      <c r="A1586" s="262"/>
      <c r="B1586" s="39"/>
      <c r="C1586" s="80" t="s">
        <v>78</v>
      </c>
      <c r="D1586" s="97"/>
      <c r="E1586" s="98"/>
      <c r="F1586" s="98"/>
      <c r="G1586" s="41"/>
      <c r="H1586" s="98"/>
      <c r="I1586" s="98"/>
      <c r="J1586" s="98"/>
      <c r="K1586" s="91"/>
      <c r="L1586" s="91"/>
      <c r="M1586" s="91"/>
      <c r="N1586" s="96" t="b">
        <v>0</v>
      </c>
      <c r="O1586" s="96" t="b">
        <v>0</v>
      </c>
      <c r="P1586" s="92"/>
      <c r="Q1586" s="92"/>
      <c r="R1586" s="92"/>
      <c r="S1586" s="92"/>
      <c r="T1586" s="92"/>
      <c r="U1586" s="92"/>
      <c r="V1586" s="92"/>
      <c r="W1586" s="92"/>
      <c r="X1586" s="92"/>
      <c r="Y1586" s="92"/>
      <c r="Z1586" s="92"/>
      <c r="AA1586" s="92"/>
      <c r="AB1586" s="92"/>
      <c r="AC1586" s="92"/>
      <c r="AD1586" s="92"/>
      <c r="AE1586" s="92"/>
      <c r="AF1586" s="92"/>
      <c r="AG1586" s="92"/>
    </row>
    <row r="1587" hidden="1">
      <c r="A1587" s="262"/>
      <c r="B1587" s="166"/>
      <c r="C1587" s="88">
        <v>44518.0</v>
      </c>
      <c r="D1587" s="97"/>
      <c r="E1587" s="98"/>
      <c r="F1587" s="98"/>
      <c r="G1587" s="41"/>
      <c r="H1587" s="98"/>
      <c r="I1587" s="98"/>
      <c r="J1587" s="98"/>
      <c r="K1587" s="91"/>
      <c r="L1587" s="91"/>
      <c r="M1587" s="91"/>
      <c r="N1587" s="217" t="b">
        <v>0</v>
      </c>
      <c r="O1587" s="96" t="b">
        <v>0</v>
      </c>
      <c r="P1587" s="92"/>
      <c r="Q1587" s="92"/>
      <c r="R1587" s="92"/>
      <c r="S1587" s="92"/>
      <c r="T1587" s="92"/>
      <c r="U1587" s="92"/>
      <c r="V1587" s="92"/>
      <c r="W1587" s="92"/>
      <c r="X1587" s="92"/>
      <c r="Y1587" s="92"/>
      <c r="Z1587" s="92"/>
      <c r="AA1587" s="92"/>
      <c r="AB1587" s="92"/>
      <c r="AC1587" s="92"/>
      <c r="AD1587" s="92"/>
      <c r="AE1587" s="92"/>
      <c r="AF1587" s="92"/>
      <c r="AG1587" s="92"/>
    </row>
    <row r="1588" hidden="1">
      <c r="A1588" s="262"/>
      <c r="B1588" s="18" t="s">
        <v>1668</v>
      </c>
      <c r="C1588" s="234"/>
      <c r="D1588" s="97"/>
      <c r="E1588" s="98"/>
      <c r="F1588" s="98"/>
      <c r="G1588" s="41"/>
      <c r="H1588" s="98"/>
      <c r="I1588" s="98"/>
      <c r="J1588" s="98"/>
      <c r="K1588" s="91"/>
      <c r="L1588" s="91"/>
      <c r="M1588" s="91"/>
      <c r="N1588" s="96" t="b">
        <v>0</v>
      </c>
      <c r="O1588" s="96" t="b">
        <v>0</v>
      </c>
      <c r="P1588" s="92"/>
      <c r="Q1588" s="92"/>
      <c r="R1588" s="92"/>
      <c r="S1588" s="92"/>
      <c r="T1588" s="92"/>
      <c r="U1588" s="92"/>
      <c r="V1588" s="92"/>
      <c r="W1588" s="92"/>
      <c r="X1588" s="92"/>
      <c r="Y1588" s="92"/>
      <c r="Z1588" s="92"/>
      <c r="AA1588" s="92"/>
      <c r="AB1588" s="92"/>
      <c r="AC1588" s="92"/>
      <c r="AD1588" s="92"/>
      <c r="AE1588" s="92"/>
      <c r="AF1588" s="92"/>
      <c r="AG1588" s="92"/>
    </row>
    <row r="1589" hidden="1">
      <c r="A1589" s="262"/>
      <c r="B1589" s="25"/>
      <c r="C1589" s="78" t="s">
        <v>78</v>
      </c>
      <c r="D1589" s="97"/>
      <c r="E1589" s="98"/>
      <c r="F1589" s="98"/>
      <c r="G1589" s="41"/>
      <c r="H1589" s="98"/>
      <c r="I1589" s="98"/>
      <c r="J1589" s="98"/>
      <c r="K1589" s="91"/>
      <c r="L1589" s="91"/>
      <c r="M1589" s="91"/>
      <c r="N1589" s="96" t="b">
        <v>0</v>
      </c>
      <c r="O1589" s="96" t="b">
        <v>0</v>
      </c>
      <c r="P1589" s="92"/>
      <c r="Q1589" s="92"/>
      <c r="R1589" s="92"/>
      <c r="S1589" s="92"/>
      <c r="T1589" s="92"/>
      <c r="U1589" s="92"/>
      <c r="V1589" s="92"/>
      <c r="W1589" s="92"/>
      <c r="X1589" s="92"/>
      <c r="Y1589" s="92"/>
      <c r="Z1589" s="92"/>
      <c r="AA1589" s="92"/>
      <c r="AB1589" s="92"/>
      <c r="AC1589" s="92"/>
      <c r="AD1589" s="92"/>
      <c r="AE1589" s="92"/>
      <c r="AF1589" s="92"/>
      <c r="AG1589" s="92"/>
    </row>
    <row r="1590" hidden="1">
      <c r="A1590" s="262"/>
      <c r="B1590" s="25"/>
      <c r="C1590" s="80" t="s">
        <v>78</v>
      </c>
      <c r="D1590" s="97"/>
      <c r="E1590" s="98"/>
      <c r="F1590" s="98"/>
      <c r="G1590" s="41"/>
      <c r="H1590" s="98"/>
      <c r="I1590" s="98"/>
      <c r="J1590" s="98"/>
      <c r="K1590" s="91"/>
      <c r="L1590" s="91"/>
      <c r="M1590" s="91"/>
      <c r="N1590" s="96" t="b">
        <v>0</v>
      </c>
      <c r="O1590" s="96" t="b">
        <v>0</v>
      </c>
      <c r="P1590" s="92"/>
      <c r="Q1590" s="92"/>
      <c r="R1590" s="92"/>
      <c r="S1590" s="92"/>
      <c r="T1590" s="92"/>
      <c r="U1590" s="92"/>
      <c r="V1590" s="92"/>
      <c r="W1590" s="92"/>
      <c r="X1590" s="92"/>
      <c r="Y1590" s="92"/>
      <c r="Z1590" s="92"/>
      <c r="AA1590" s="92"/>
      <c r="AB1590" s="92"/>
      <c r="AC1590" s="92"/>
      <c r="AD1590" s="92"/>
      <c r="AE1590" s="92"/>
      <c r="AF1590" s="92"/>
      <c r="AG1590" s="92"/>
    </row>
    <row r="1591" hidden="1">
      <c r="A1591" s="262"/>
      <c r="B1591" s="25"/>
      <c r="C1591" s="80" t="s">
        <v>78</v>
      </c>
      <c r="D1591" s="97"/>
      <c r="E1591" s="98"/>
      <c r="F1591" s="98"/>
      <c r="G1591" s="41"/>
      <c r="H1591" s="98"/>
      <c r="I1591" s="98"/>
      <c r="J1591" s="98"/>
      <c r="K1591" s="91"/>
      <c r="L1591" s="91"/>
      <c r="M1591" s="91"/>
      <c r="N1591" s="96" t="b">
        <v>0</v>
      </c>
      <c r="O1591" s="96" t="b">
        <v>0</v>
      </c>
      <c r="P1591" s="92"/>
      <c r="Q1591" s="92"/>
      <c r="R1591" s="92"/>
      <c r="S1591" s="92"/>
      <c r="T1591" s="92"/>
      <c r="U1591" s="92"/>
      <c r="V1591" s="92"/>
      <c r="W1591" s="92"/>
      <c r="X1591" s="92"/>
      <c r="Y1591" s="92"/>
      <c r="Z1591" s="92"/>
      <c r="AA1591" s="92"/>
      <c r="AB1591" s="92"/>
      <c r="AC1591" s="92"/>
      <c r="AD1591" s="92"/>
      <c r="AE1591" s="92"/>
      <c r="AF1591" s="92"/>
      <c r="AG1591" s="92"/>
    </row>
    <row r="1592" hidden="1">
      <c r="A1592" s="262"/>
      <c r="B1592" s="25"/>
      <c r="C1592" s="80" t="s">
        <v>78</v>
      </c>
      <c r="D1592" s="107" t="s">
        <v>2576</v>
      </c>
      <c r="E1592" s="263" t="s">
        <v>2979</v>
      </c>
      <c r="F1592" s="263" t="s">
        <v>2980</v>
      </c>
      <c r="G1592" s="108">
        <v>0.5416666666666666</v>
      </c>
      <c r="H1592" s="109" t="s">
        <v>82</v>
      </c>
      <c r="I1592" s="109" t="s">
        <v>3109</v>
      </c>
      <c r="J1592" s="263" t="s">
        <v>2982</v>
      </c>
      <c r="K1592" s="98" t="s">
        <v>3110</v>
      </c>
      <c r="L1592" s="91"/>
      <c r="M1592" s="91"/>
      <c r="N1592" s="96" t="b">
        <v>0</v>
      </c>
      <c r="O1592" s="96" t="b">
        <v>0</v>
      </c>
      <c r="P1592" s="92"/>
      <c r="Q1592" s="92"/>
      <c r="R1592" s="92"/>
      <c r="S1592" s="92"/>
      <c r="T1592" s="92"/>
      <c r="U1592" s="92"/>
      <c r="V1592" s="92"/>
      <c r="W1592" s="92"/>
      <c r="X1592" s="92"/>
      <c r="Y1592" s="92"/>
      <c r="Z1592" s="92"/>
      <c r="AA1592" s="92"/>
      <c r="AB1592" s="92"/>
      <c r="AC1592" s="92"/>
      <c r="AD1592" s="92"/>
      <c r="AE1592" s="92"/>
      <c r="AF1592" s="92"/>
      <c r="AG1592" s="92"/>
    </row>
    <row r="1593" hidden="1">
      <c r="A1593" s="262"/>
      <c r="B1593" s="25"/>
      <c r="C1593" s="80" t="s">
        <v>78</v>
      </c>
      <c r="D1593" s="112" t="s">
        <v>2744</v>
      </c>
      <c r="E1593" s="263" t="s">
        <v>3111</v>
      </c>
      <c r="F1593" s="263" t="s">
        <v>3112</v>
      </c>
      <c r="G1593" s="112" t="s">
        <v>567</v>
      </c>
      <c r="H1593" s="109" t="s">
        <v>118</v>
      </c>
      <c r="I1593" s="109" t="s">
        <v>3113</v>
      </c>
      <c r="J1593" s="109" t="s">
        <v>3114</v>
      </c>
      <c r="K1593" s="111"/>
      <c r="L1593" s="98" t="s">
        <v>3115</v>
      </c>
      <c r="M1593" s="91"/>
      <c r="N1593" s="96" t="b">
        <v>0</v>
      </c>
      <c r="O1593" s="96" t="b">
        <v>0</v>
      </c>
      <c r="P1593" s="92"/>
      <c r="Q1593" s="92"/>
      <c r="R1593" s="92"/>
      <c r="S1593" s="92"/>
      <c r="T1593" s="92"/>
      <c r="U1593" s="92"/>
      <c r="V1593" s="92"/>
      <c r="W1593" s="92"/>
      <c r="X1593" s="92"/>
      <c r="Y1593" s="92"/>
      <c r="Z1593" s="92"/>
      <c r="AA1593" s="92"/>
      <c r="AB1593" s="92"/>
      <c r="AC1593" s="92"/>
      <c r="AD1593" s="92"/>
      <c r="AE1593" s="92"/>
      <c r="AF1593" s="92"/>
      <c r="AG1593" s="92"/>
    </row>
    <row r="1594" hidden="1">
      <c r="A1594" s="262"/>
      <c r="B1594" s="25"/>
      <c r="C1594" s="80" t="s">
        <v>78</v>
      </c>
      <c r="D1594" s="270" t="s">
        <v>2744</v>
      </c>
      <c r="E1594" s="269" t="s">
        <v>3116</v>
      </c>
      <c r="F1594" s="269" t="s">
        <v>3117</v>
      </c>
      <c r="G1594" s="270" t="s">
        <v>180</v>
      </c>
      <c r="H1594" s="162" t="s">
        <v>82</v>
      </c>
      <c r="I1594" s="162" t="s">
        <v>3118</v>
      </c>
      <c r="J1594" s="162" t="s">
        <v>3119</v>
      </c>
      <c r="K1594" s="98" t="s">
        <v>3120</v>
      </c>
      <c r="L1594" s="91"/>
      <c r="M1594" s="91"/>
      <c r="N1594" s="96" t="b">
        <v>0</v>
      </c>
      <c r="O1594" s="96" t="b">
        <v>0</v>
      </c>
      <c r="P1594" s="92"/>
      <c r="Q1594" s="92"/>
      <c r="R1594" s="92"/>
      <c r="S1594" s="92"/>
      <c r="T1594" s="92"/>
      <c r="U1594" s="92"/>
      <c r="V1594" s="92"/>
      <c r="W1594" s="92"/>
      <c r="X1594" s="92"/>
      <c r="Y1594" s="92"/>
      <c r="Z1594" s="92"/>
      <c r="AA1594" s="92"/>
      <c r="AB1594" s="92"/>
      <c r="AC1594" s="92"/>
      <c r="AD1594" s="92"/>
      <c r="AE1594" s="92"/>
      <c r="AF1594" s="92"/>
      <c r="AG1594" s="92"/>
    </row>
    <row r="1595" hidden="1">
      <c r="A1595" s="262"/>
      <c r="B1595" s="39"/>
      <c r="C1595" s="80" t="s">
        <v>78</v>
      </c>
      <c r="D1595" s="112" t="s">
        <v>2744</v>
      </c>
      <c r="E1595" s="263" t="s">
        <v>3121</v>
      </c>
      <c r="F1595" s="263" t="s">
        <v>3122</v>
      </c>
      <c r="G1595" s="112" t="s">
        <v>283</v>
      </c>
      <c r="H1595" s="109" t="s">
        <v>82</v>
      </c>
      <c r="I1595" s="109" t="s">
        <v>3123</v>
      </c>
      <c r="J1595" s="109" t="s">
        <v>3124</v>
      </c>
      <c r="K1595" s="109" t="s">
        <v>3125</v>
      </c>
      <c r="L1595" s="91"/>
      <c r="M1595" s="91"/>
      <c r="N1595" s="96" t="b">
        <v>0</v>
      </c>
      <c r="O1595" s="96" t="b">
        <v>0</v>
      </c>
      <c r="P1595" s="92"/>
      <c r="Q1595" s="92"/>
      <c r="R1595" s="92"/>
      <c r="S1595" s="92"/>
      <c r="T1595" s="92"/>
      <c r="U1595" s="92"/>
      <c r="V1595" s="92"/>
      <c r="W1595" s="92"/>
      <c r="X1595" s="92"/>
      <c r="Y1595" s="92"/>
      <c r="Z1595" s="92"/>
      <c r="AA1595" s="92"/>
      <c r="AB1595" s="92"/>
      <c r="AC1595" s="92"/>
      <c r="AD1595" s="92"/>
      <c r="AE1595" s="92"/>
      <c r="AF1595" s="92"/>
      <c r="AG1595" s="92"/>
    </row>
    <row r="1596" hidden="1">
      <c r="A1596" s="262"/>
      <c r="B1596" s="166"/>
      <c r="C1596" s="88">
        <v>44519.0</v>
      </c>
      <c r="D1596" s="97"/>
      <c r="E1596" s="98"/>
      <c r="F1596" s="98"/>
      <c r="G1596" s="41"/>
      <c r="H1596" s="98"/>
      <c r="I1596" s="98"/>
      <c r="J1596" s="98"/>
      <c r="K1596" s="91"/>
      <c r="L1596" s="91"/>
      <c r="M1596" s="91"/>
      <c r="N1596" s="96" t="b">
        <v>0</v>
      </c>
      <c r="O1596" s="96" t="b">
        <v>0</v>
      </c>
      <c r="P1596" s="92"/>
      <c r="Q1596" s="92"/>
      <c r="R1596" s="92"/>
      <c r="S1596" s="92"/>
      <c r="T1596" s="92"/>
      <c r="U1596" s="92"/>
      <c r="V1596" s="92"/>
      <c r="W1596" s="92"/>
      <c r="X1596" s="92"/>
      <c r="Y1596" s="92"/>
      <c r="Z1596" s="92"/>
      <c r="AA1596" s="92"/>
      <c r="AB1596" s="92"/>
      <c r="AC1596" s="92"/>
      <c r="AD1596" s="92"/>
      <c r="AE1596" s="92"/>
      <c r="AF1596" s="92"/>
      <c r="AG1596" s="92"/>
    </row>
    <row r="1597" hidden="1">
      <c r="A1597" s="262"/>
      <c r="B1597" s="18"/>
      <c r="C1597" s="78" t="s">
        <v>78</v>
      </c>
      <c r="D1597" s="97"/>
      <c r="E1597" s="98"/>
      <c r="F1597" s="98"/>
      <c r="G1597" s="41"/>
      <c r="H1597" s="98"/>
      <c r="I1597" s="98"/>
      <c r="J1597" s="98"/>
      <c r="K1597" s="91"/>
      <c r="L1597" s="91"/>
      <c r="M1597" s="91"/>
      <c r="N1597" s="96" t="b">
        <v>0</v>
      </c>
      <c r="O1597" s="96" t="b">
        <v>0</v>
      </c>
      <c r="P1597" s="92"/>
      <c r="Q1597" s="92"/>
      <c r="R1597" s="92"/>
      <c r="S1597" s="92"/>
      <c r="T1597" s="92"/>
      <c r="U1597" s="92"/>
      <c r="V1597" s="92"/>
      <c r="W1597" s="92"/>
      <c r="X1597" s="92"/>
      <c r="Y1597" s="92"/>
      <c r="Z1597" s="92"/>
      <c r="AA1597" s="92"/>
      <c r="AB1597" s="92"/>
      <c r="AC1597" s="92"/>
      <c r="AD1597" s="92"/>
      <c r="AE1597" s="92"/>
      <c r="AF1597" s="92"/>
      <c r="AG1597" s="92"/>
    </row>
    <row r="1598" hidden="1">
      <c r="A1598" s="262"/>
      <c r="B1598" s="25"/>
      <c r="C1598" s="80" t="s">
        <v>78</v>
      </c>
      <c r="D1598" s="97"/>
      <c r="E1598" s="98"/>
      <c r="F1598" s="308"/>
      <c r="G1598" s="41"/>
      <c r="H1598" s="98"/>
      <c r="I1598" s="98"/>
      <c r="J1598" s="98"/>
      <c r="K1598" s="91"/>
      <c r="L1598" s="91"/>
      <c r="M1598" s="91"/>
      <c r="N1598" s="96" t="b">
        <v>0</v>
      </c>
      <c r="O1598" s="96" t="b">
        <v>0</v>
      </c>
      <c r="P1598" s="92"/>
      <c r="Q1598" s="92"/>
      <c r="R1598" s="92"/>
      <c r="S1598" s="92"/>
      <c r="T1598" s="92"/>
      <c r="U1598" s="92"/>
      <c r="V1598" s="92"/>
      <c r="W1598" s="92"/>
      <c r="X1598" s="92"/>
      <c r="Y1598" s="92"/>
      <c r="Z1598" s="92"/>
      <c r="AA1598" s="92"/>
      <c r="AB1598" s="92"/>
      <c r="AC1598" s="92"/>
      <c r="AD1598" s="92"/>
      <c r="AE1598" s="92"/>
      <c r="AF1598" s="92"/>
      <c r="AG1598" s="92"/>
    </row>
    <row r="1599" hidden="1">
      <c r="A1599" s="262"/>
      <c r="B1599" s="25"/>
      <c r="C1599" s="80" t="s">
        <v>78</v>
      </c>
      <c r="D1599" s="97"/>
      <c r="E1599" s="98"/>
      <c r="F1599" s="308"/>
      <c r="G1599" s="41"/>
      <c r="H1599" s="98"/>
      <c r="I1599" s="98"/>
      <c r="J1599" s="98"/>
      <c r="K1599" s="91"/>
      <c r="L1599" s="91"/>
      <c r="M1599" s="91"/>
      <c r="N1599" s="96" t="b">
        <v>0</v>
      </c>
      <c r="O1599" s="96" t="b">
        <v>0</v>
      </c>
      <c r="P1599" s="92"/>
      <c r="Q1599" s="92"/>
      <c r="R1599" s="92"/>
      <c r="S1599" s="92"/>
      <c r="T1599" s="92"/>
      <c r="U1599" s="92"/>
      <c r="V1599" s="92"/>
      <c r="W1599" s="92"/>
      <c r="X1599" s="92"/>
      <c r="Y1599" s="92"/>
      <c r="Z1599" s="92"/>
      <c r="AA1599" s="92"/>
      <c r="AB1599" s="92"/>
      <c r="AC1599" s="92"/>
      <c r="AD1599" s="92"/>
      <c r="AE1599" s="92"/>
      <c r="AF1599" s="92"/>
      <c r="AG1599" s="92"/>
    </row>
    <row r="1600" hidden="1">
      <c r="A1600" s="262"/>
      <c r="B1600" s="25"/>
      <c r="C1600" s="80" t="s">
        <v>78</v>
      </c>
      <c r="D1600" s="97"/>
      <c r="E1600" s="98"/>
      <c r="F1600" s="98"/>
      <c r="G1600" s="41"/>
      <c r="H1600" s="98"/>
      <c r="I1600" s="98"/>
      <c r="J1600" s="98"/>
      <c r="K1600" s="91"/>
      <c r="L1600" s="91"/>
      <c r="M1600" s="91"/>
      <c r="N1600" s="96" t="b">
        <v>0</v>
      </c>
      <c r="O1600" s="96" t="b">
        <v>0</v>
      </c>
      <c r="P1600" s="92"/>
      <c r="Q1600" s="92"/>
      <c r="R1600" s="92"/>
      <c r="S1600" s="92"/>
      <c r="T1600" s="92"/>
      <c r="U1600" s="92"/>
      <c r="V1600" s="92"/>
      <c r="W1600" s="92"/>
      <c r="X1600" s="92"/>
      <c r="Y1600" s="92"/>
      <c r="Z1600" s="92"/>
      <c r="AA1600" s="92"/>
      <c r="AB1600" s="92"/>
      <c r="AC1600" s="92"/>
      <c r="AD1600" s="92"/>
      <c r="AE1600" s="92"/>
      <c r="AF1600" s="92"/>
      <c r="AG1600" s="92"/>
    </row>
    <row r="1601" hidden="1">
      <c r="A1601" s="262"/>
      <c r="B1601" s="25"/>
      <c r="C1601" s="80" t="s">
        <v>78</v>
      </c>
      <c r="D1601" s="97"/>
      <c r="E1601" s="98"/>
      <c r="F1601" s="307" t="s">
        <v>3093</v>
      </c>
      <c r="G1601" s="41"/>
      <c r="H1601" s="98"/>
      <c r="I1601" s="98"/>
      <c r="J1601" s="98"/>
      <c r="K1601" s="91"/>
      <c r="L1601" s="91"/>
      <c r="M1601" s="91"/>
      <c r="N1601" s="96" t="b">
        <v>0</v>
      </c>
      <c r="O1601" s="96" t="b">
        <v>0</v>
      </c>
      <c r="P1601" s="92"/>
      <c r="Q1601" s="92"/>
      <c r="R1601" s="92"/>
      <c r="S1601" s="92"/>
      <c r="T1601" s="92"/>
      <c r="U1601" s="92"/>
      <c r="V1601" s="92"/>
      <c r="W1601" s="92"/>
      <c r="X1601" s="92"/>
      <c r="Y1601" s="92"/>
      <c r="Z1601" s="92"/>
      <c r="AA1601" s="92"/>
      <c r="AB1601" s="92"/>
      <c r="AC1601" s="92"/>
      <c r="AD1601" s="92"/>
      <c r="AE1601" s="92"/>
      <c r="AF1601" s="92"/>
      <c r="AG1601" s="92"/>
    </row>
    <row r="1602" hidden="1">
      <c r="A1602" s="262"/>
      <c r="B1602" s="39"/>
      <c r="C1602" s="80" t="s">
        <v>78</v>
      </c>
      <c r="D1602" s="97"/>
      <c r="E1602" s="98"/>
      <c r="F1602" s="98"/>
      <c r="G1602" s="41"/>
      <c r="H1602" s="98"/>
      <c r="I1602" s="98"/>
      <c r="J1602" s="98"/>
      <c r="K1602" s="91"/>
      <c r="L1602" s="91"/>
      <c r="M1602" s="91"/>
      <c r="N1602" s="96" t="b">
        <v>0</v>
      </c>
      <c r="O1602" s="96" t="b">
        <v>0</v>
      </c>
      <c r="P1602" s="92"/>
      <c r="Q1602" s="92"/>
      <c r="R1602" s="92"/>
      <c r="S1602" s="92"/>
      <c r="T1602" s="92"/>
      <c r="U1602" s="92"/>
      <c r="V1602" s="92"/>
      <c r="W1602" s="92"/>
      <c r="X1602" s="92"/>
      <c r="Y1602" s="92"/>
      <c r="Z1602" s="92"/>
      <c r="AA1602" s="92"/>
      <c r="AB1602" s="92"/>
      <c r="AC1602" s="92"/>
      <c r="AD1602" s="92"/>
      <c r="AE1602" s="92"/>
      <c r="AF1602" s="92"/>
      <c r="AG1602" s="92"/>
    </row>
    <row r="1603" hidden="1">
      <c r="A1603" s="262"/>
      <c r="B1603" s="166"/>
      <c r="C1603" s="88">
        <v>44522.0</v>
      </c>
      <c r="D1603" s="97"/>
      <c r="E1603" s="98"/>
      <c r="F1603" s="98"/>
      <c r="G1603" s="41"/>
      <c r="H1603" s="98"/>
      <c r="I1603" s="98"/>
      <c r="J1603" s="98"/>
      <c r="K1603" s="91"/>
      <c r="L1603" s="91"/>
      <c r="M1603" s="91"/>
      <c r="N1603" s="96" t="b">
        <v>0</v>
      </c>
      <c r="O1603" s="96" t="b">
        <v>0</v>
      </c>
      <c r="P1603" s="92"/>
      <c r="Q1603" s="92"/>
      <c r="R1603" s="92"/>
      <c r="S1603" s="92"/>
      <c r="T1603" s="92"/>
      <c r="U1603" s="92"/>
      <c r="V1603" s="92"/>
      <c r="W1603" s="92"/>
      <c r="X1603" s="92"/>
      <c r="Y1603" s="92"/>
      <c r="Z1603" s="92"/>
      <c r="AA1603" s="92"/>
      <c r="AB1603" s="92"/>
      <c r="AC1603" s="92"/>
      <c r="AD1603" s="92"/>
      <c r="AE1603" s="92"/>
      <c r="AF1603" s="92"/>
      <c r="AG1603" s="92"/>
    </row>
    <row r="1604" hidden="1">
      <c r="A1604" s="262"/>
      <c r="B1604" s="18"/>
      <c r="C1604" s="78" t="s">
        <v>78</v>
      </c>
      <c r="D1604" s="97"/>
      <c r="E1604" s="98"/>
      <c r="F1604" s="98"/>
      <c r="G1604" s="41"/>
      <c r="H1604" s="98"/>
      <c r="I1604" s="98"/>
      <c r="J1604" s="98"/>
      <c r="K1604" s="91"/>
      <c r="L1604" s="91"/>
      <c r="M1604" s="91"/>
      <c r="N1604" s="96" t="b">
        <v>0</v>
      </c>
      <c r="O1604" s="96" t="b">
        <v>0</v>
      </c>
      <c r="P1604" s="92"/>
      <c r="Q1604" s="92"/>
      <c r="R1604" s="92"/>
      <c r="S1604" s="92"/>
      <c r="T1604" s="92"/>
      <c r="U1604" s="92"/>
      <c r="V1604" s="92"/>
      <c r="W1604" s="92"/>
      <c r="X1604" s="92"/>
      <c r="Y1604" s="92"/>
      <c r="Z1604" s="92"/>
      <c r="AA1604" s="92"/>
      <c r="AB1604" s="92"/>
      <c r="AC1604" s="92"/>
      <c r="AD1604" s="92"/>
      <c r="AE1604" s="92"/>
      <c r="AF1604" s="92"/>
      <c r="AG1604" s="92"/>
    </row>
    <row r="1605" hidden="1">
      <c r="A1605" s="262"/>
      <c r="B1605" s="25"/>
      <c r="C1605" s="80" t="s">
        <v>78</v>
      </c>
      <c r="D1605" s="97"/>
      <c r="E1605" s="98"/>
      <c r="F1605" s="98"/>
      <c r="G1605" s="41"/>
      <c r="H1605" s="98"/>
      <c r="I1605" s="98"/>
      <c r="J1605" s="98"/>
      <c r="K1605" s="91"/>
      <c r="L1605" s="91"/>
      <c r="M1605" s="91"/>
      <c r="N1605" s="96" t="b">
        <v>0</v>
      </c>
      <c r="O1605" s="96" t="b">
        <v>0</v>
      </c>
      <c r="P1605" s="92"/>
      <c r="Q1605" s="92"/>
      <c r="R1605" s="92"/>
      <c r="S1605" s="92"/>
      <c r="T1605" s="92"/>
      <c r="U1605" s="92"/>
      <c r="V1605" s="92"/>
      <c r="W1605" s="92"/>
      <c r="X1605" s="92"/>
      <c r="Y1605" s="92"/>
      <c r="Z1605" s="92"/>
      <c r="AA1605" s="92"/>
      <c r="AB1605" s="92"/>
      <c r="AC1605" s="92"/>
      <c r="AD1605" s="92"/>
      <c r="AE1605" s="92"/>
      <c r="AF1605" s="92"/>
      <c r="AG1605" s="92"/>
    </row>
    <row r="1606" hidden="1">
      <c r="A1606" s="262"/>
      <c r="B1606" s="25"/>
      <c r="C1606" s="80" t="s">
        <v>78</v>
      </c>
      <c r="D1606" s="97"/>
      <c r="E1606" s="98"/>
      <c r="F1606" s="307" t="s">
        <v>3093</v>
      </c>
      <c r="G1606" s="41"/>
      <c r="H1606" s="98"/>
      <c r="I1606" s="98"/>
      <c r="J1606" s="98"/>
      <c r="K1606" s="91"/>
      <c r="L1606" s="91"/>
      <c r="M1606" s="91"/>
      <c r="N1606" s="96" t="b">
        <v>0</v>
      </c>
      <c r="O1606" s="96" t="b">
        <v>0</v>
      </c>
      <c r="P1606" s="92"/>
      <c r="Q1606" s="92"/>
      <c r="R1606" s="92"/>
      <c r="S1606" s="92"/>
      <c r="T1606" s="92"/>
      <c r="U1606" s="92"/>
      <c r="V1606" s="92"/>
      <c r="W1606" s="92"/>
      <c r="X1606" s="92"/>
      <c r="Y1606" s="92"/>
      <c r="Z1606" s="92"/>
      <c r="AA1606" s="92"/>
      <c r="AB1606" s="92"/>
      <c r="AC1606" s="92"/>
      <c r="AD1606" s="92"/>
      <c r="AE1606" s="92"/>
      <c r="AF1606" s="92"/>
      <c r="AG1606" s="92"/>
    </row>
    <row r="1607" hidden="1">
      <c r="A1607" s="262"/>
      <c r="B1607" s="25"/>
      <c r="C1607" s="80" t="s">
        <v>78</v>
      </c>
      <c r="D1607" s="97"/>
      <c r="E1607" s="98"/>
      <c r="F1607" s="98"/>
      <c r="G1607" s="41"/>
      <c r="H1607" s="98"/>
      <c r="I1607" s="98"/>
      <c r="J1607" s="98"/>
      <c r="K1607" s="91"/>
      <c r="L1607" s="91"/>
      <c r="M1607" s="91"/>
      <c r="N1607" s="96" t="b">
        <v>0</v>
      </c>
      <c r="O1607" s="96" t="b">
        <v>0</v>
      </c>
      <c r="P1607" s="92"/>
      <c r="Q1607" s="92"/>
      <c r="R1607" s="92"/>
      <c r="S1607" s="92"/>
      <c r="T1607" s="92"/>
      <c r="U1607" s="92"/>
      <c r="V1607" s="92"/>
      <c r="W1607" s="92"/>
      <c r="X1607" s="92"/>
      <c r="Y1607" s="92"/>
      <c r="Z1607" s="92"/>
      <c r="AA1607" s="92"/>
      <c r="AB1607" s="92"/>
      <c r="AC1607" s="92"/>
      <c r="AD1607" s="92"/>
      <c r="AE1607" s="92"/>
      <c r="AF1607" s="92"/>
      <c r="AG1607" s="92"/>
    </row>
    <row r="1608" hidden="1">
      <c r="A1608" s="262"/>
      <c r="B1608" s="25"/>
      <c r="C1608" s="80" t="s">
        <v>78</v>
      </c>
      <c r="D1608" s="97"/>
      <c r="E1608" s="98"/>
      <c r="F1608" s="98"/>
      <c r="G1608" s="41"/>
      <c r="H1608" s="98"/>
      <c r="I1608" s="98"/>
      <c r="J1608" s="98"/>
      <c r="K1608" s="91"/>
      <c r="L1608" s="91"/>
      <c r="M1608" s="91"/>
      <c r="N1608" s="96" t="b">
        <v>0</v>
      </c>
      <c r="O1608" s="96" t="b">
        <v>0</v>
      </c>
      <c r="P1608" s="92"/>
      <c r="Q1608" s="92"/>
      <c r="R1608" s="92"/>
      <c r="S1608" s="92"/>
      <c r="T1608" s="92"/>
      <c r="U1608" s="92"/>
      <c r="V1608" s="92"/>
      <c r="W1608" s="92"/>
      <c r="X1608" s="92"/>
      <c r="Y1608" s="92"/>
      <c r="Z1608" s="92"/>
      <c r="AA1608" s="92"/>
      <c r="AB1608" s="92"/>
      <c r="AC1608" s="92"/>
      <c r="AD1608" s="92"/>
      <c r="AE1608" s="92"/>
      <c r="AF1608" s="92"/>
      <c r="AG1608" s="92"/>
    </row>
    <row r="1609" hidden="1">
      <c r="A1609" s="262"/>
      <c r="B1609" s="39"/>
      <c r="C1609" s="80" t="s">
        <v>78</v>
      </c>
      <c r="D1609" s="97"/>
      <c r="E1609" s="98"/>
      <c r="F1609" s="98"/>
      <c r="G1609" s="41"/>
      <c r="H1609" s="98"/>
      <c r="I1609" s="98"/>
      <c r="J1609" s="98"/>
      <c r="K1609" s="91"/>
      <c r="L1609" s="91"/>
      <c r="M1609" s="91"/>
      <c r="N1609" s="96" t="b">
        <v>0</v>
      </c>
      <c r="O1609" s="96" t="b">
        <v>0</v>
      </c>
      <c r="P1609" s="92"/>
      <c r="Q1609" s="92"/>
      <c r="R1609" s="92"/>
      <c r="S1609" s="92"/>
      <c r="T1609" s="92"/>
      <c r="U1609" s="92"/>
      <c r="V1609" s="92"/>
      <c r="W1609" s="92"/>
      <c r="X1609" s="92"/>
      <c r="Y1609" s="92"/>
      <c r="Z1609" s="92"/>
      <c r="AA1609" s="92"/>
      <c r="AB1609" s="92"/>
      <c r="AC1609" s="92"/>
      <c r="AD1609" s="92"/>
      <c r="AE1609" s="92"/>
      <c r="AF1609" s="92"/>
      <c r="AG1609" s="92"/>
    </row>
    <row r="1610" hidden="1">
      <c r="A1610" s="262"/>
      <c r="B1610" s="166"/>
      <c r="C1610" s="88">
        <v>44523.0</v>
      </c>
      <c r="D1610" s="97"/>
      <c r="E1610" s="98"/>
      <c r="F1610" s="98"/>
      <c r="G1610" s="41"/>
      <c r="H1610" s="98"/>
      <c r="I1610" s="98"/>
      <c r="J1610" s="98"/>
      <c r="K1610" s="91"/>
      <c r="L1610" s="91"/>
      <c r="M1610" s="91"/>
      <c r="N1610" s="96" t="b">
        <v>0</v>
      </c>
      <c r="O1610" s="96" t="b">
        <v>0</v>
      </c>
      <c r="P1610" s="92"/>
      <c r="Q1610" s="92"/>
      <c r="R1610" s="92"/>
      <c r="S1610" s="92"/>
      <c r="T1610" s="92"/>
      <c r="U1610" s="92"/>
      <c r="V1610" s="92"/>
      <c r="W1610" s="92"/>
      <c r="X1610" s="92"/>
      <c r="Y1610" s="92"/>
      <c r="Z1610" s="92"/>
      <c r="AA1610" s="92"/>
      <c r="AB1610" s="92"/>
      <c r="AC1610" s="92"/>
      <c r="AD1610" s="92"/>
      <c r="AE1610" s="92"/>
      <c r="AF1610" s="92"/>
      <c r="AG1610" s="92"/>
    </row>
    <row r="1611" hidden="1">
      <c r="A1611" s="262"/>
      <c r="B1611" s="18"/>
      <c r="C1611" s="78" t="s">
        <v>78</v>
      </c>
      <c r="D1611" s="97"/>
      <c r="E1611" s="98"/>
      <c r="F1611" s="98"/>
      <c r="G1611" s="41"/>
      <c r="H1611" s="98"/>
      <c r="I1611" s="98"/>
      <c r="J1611" s="98"/>
      <c r="K1611" s="91"/>
      <c r="L1611" s="91"/>
      <c r="M1611" s="91"/>
      <c r="N1611" s="96" t="b">
        <v>0</v>
      </c>
      <c r="O1611" s="96" t="b">
        <v>0</v>
      </c>
      <c r="P1611" s="92"/>
      <c r="Q1611" s="92"/>
      <c r="R1611" s="92"/>
      <c r="S1611" s="92"/>
      <c r="T1611" s="92"/>
      <c r="U1611" s="92"/>
      <c r="V1611" s="92"/>
      <c r="W1611" s="92"/>
      <c r="X1611" s="92"/>
      <c r="Y1611" s="92"/>
      <c r="Z1611" s="92"/>
      <c r="AA1611" s="92"/>
      <c r="AB1611" s="92"/>
      <c r="AC1611" s="92"/>
      <c r="AD1611" s="92"/>
      <c r="AE1611" s="92"/>
      <c r="AF1611" s="92"/>
      <c r="AG1611" s="92"/>
    </row>
    <row r="1612" hidden="1">
      <c r="A1612" s="262"/>
      <c r="B1612" s="25"/>
      <c r="C1612" s="80" t="s">
        <v>78</v>
      </c>
      <c r="D1612" s="97"/>
      <c r="E1612" s="98"/>
      <c r="F1612" s="307" t="s">
        <v>3093</v>
      </c>
      <c r="G1612" s="41"/>
      <c r="H1612" s="98"/>
      <c r="I1612" s="98"/>
      <c r="J1612" s="98"/>
      <c r="K1612" s="91"/>
      <c r="L1612" s="91"/>
      <c r="M1612" s="91"/>
      <c r="N1612" s="96" t="b">
        <v>0</v>
      </c>
      <c r="O1612" s="96" t="b">
        <v>0</v>
      </c>
      <c r="P1612" s="92"/>
      <c r="Q1612" s="92"/>
      <c r="R1612" s="92"/>
      <c r="S1612" s="92"/>
      <c r="T1612" s="92"/>
      <c r="U1612" s="92"/>
      <c r="V1612" s="92"/>
      <c r="W1612" s="92"/>
      <c r="X1612" s="92"/>
      <c r="Y1612" s="92"/>
      <c r="Z1612" s="92"/>
      <c r="AA1612" s="92"/>
      <c r="AB1612" s="92"/>
      <c r="AC1612" s="92"/>
      <c r="AD1612" s="92"/>
      <c r="AE1612" s="92"/>
      <c r="AF1612" s="92"/>
      <c r="AG1612" s="92"/>
    </row>
    <row r="1613" hidden="1">
      <c r="A1613" s="262"/>
      <c r="B1613" s="25"/>
      <c r="C1613" s="80" t="s">
        <v>78</v>
      </c>
      <c r="D1613" s="97"/>
      <c r="E1613" s="98"/>
      <c r="F1613" s="98"/>
      <c r="G1613" s="41"/>
      <c r="H1613" s="98"/>
      <c r="I1613" s="98"/>
      <c r="J1613" s="98"/>
      <c r="K1613" s="91"/>
      <c r="L1613" s="91"/>
      <c r="M1613" s="91"/>
      <c r="N1613" s="96" t="b">
        <v>0</v>
      </c>
      <c r="O1613" s="96" t="b">
        <v>0</v>
      </c>
      <c r="P1613" s="92"/>
      <c r="Q1613" s="92"/>
      <c r="R1613" s="92"/>
      <c r="S1613" s="92"/>
      <c r="T1613" s="92"/>
      <c r="U1613" s="92"/>
      <c r="V1613" s="92"/>
      <c r="W1613" s="92"/>
      <c r="X1613" s="92"/>
      <c r="Y1613" s="92"/>
      <c r="Z1613" s="92"/>
      <c r="AA1613" s="92"/>
      <c r="AB1613" s="92"/>
      <c r="AC1613" s="92"/>
      <c r="AD1613" s="92"/>
      <c r="AE1613" s="92"/>
      <c r="AF1613" s="92"/>
      <c r="AG1613" s="92"/>
    </row>
    <row r="1614" hidden="1">
      <c r="A1614" s="262"/>
      <c r="B1614" s="25"/>
      <c r="C1614" s="80" t="s">
        <v>78</v>
      </c>
      <c r="D1614" s="97"/>
      <c r="E1614" s="98"/>
      <c r="F1614" s="98"/>
      <c r="G1614" s="41"/>
      <c r="H1614" s="98"/>
      <c r="I1614" s="98"/>
      <c r="J1614" s="98"/>
      <c r="K1614" s="91"/>
      <c r="L1614" s="91"/>
      <c r="M1614" s="91"/>
      <c r="N1614" s="96" t="b">
        <v>0</v>
      </c>
      <c r="O1614" s="96" t="b">
        <v>0</v>
      </c>
      <c r="P1614" s="92"/>
      <c r="Q1614" s="92"/>
      <c r="R1614" s="92"/>
      <c r="S1614" s="92"/>
      <c r="T1614" s="92"/>
      <c r="U1614" s="92"/>
      <c r="V1614" s="92"/>
      <c r="W1614" s="92"/>
      <c r="X1614" s="92"/>
      <c r="Y1614" s="92"/>
      <c r="Z1614" s="92"/>
      <c r="AA1614" s="92"/>
      <c r="AB1614" s="92"/>
      <c r="AC1614" s="92"/>
      <c r="AD1614" s="92"/>
      <c r="AE1614" s="92"/>
      <c r="AF1614" s="92"/>
      <c r="AG1614" s="92"/>
    </row>
    <row r="1615" hidden="1">
      <c r="A1615" s="262"/>
      <c r="B1615" s="25"/>
      <c r="C1615" s="80" t="s">
        <v>78</v>
      </c>
      <c r="D1615" s="97"/>
      <c r="E1615" s="98"/>
      <c r="F1615" s="98"/>
      <c r="G1615" s="41"/>
      <c r="H1615" s="98"/>
      <c r="I1615" s="98"/>
      <c r="J1615" s="98"/>
      <c r="K1615" s="91"/>
      <c r="L1615" s="91"/>
      <c r="M1615" s="91"/>
      <c r="N1615" s="96" t="b">
        <v>0</v>
      </c>
      <c r="O1615" s="96" t="b">
        <v>0</v>
      </c>
      <c r="P1615" s="92"/>
      <c r="Q1615" s="92"/>
      <c r="R1615" s="92"/>
      <c r="S1615" s="92"/>
      <c r="T1615" s="92"/>
      <c r="U1615" s="92"/>
      <c r="V1615" s="92"/>
      <c r="W1615" s="92"/>
      <c r="X1615" s="92"/>
      <c r="Y1615" s="92"/>
      <c r="Z1615" s="92"/>
      <c r="AA1615" s="92"/>
      <c r="AB1615" s="92"/>
      <c r="AC1615" s="92"/>
      <c r="AD1615" s="92"/>
      <c r="AE1615" s="92"/>
      <c r="AF1615" s="92"/>
      <c r="AG1615" s="92"/>
    </row>
    <row r="1616" hidden="1">
      <c r="A1616" s="262"/>
      <c r="B1616" s="39"/>
      <c r="C1616" s="80" t="s">
        <v>78</v>
      </c>
      <c r="D1616" s="97"/>
      <c r="E1616" s="98"/>
      <c r="F1616" s="98"/>
      <c r="G1616" s="41"/>
      <c r="H1616" s="98"/>
      <c r="I1616" s="98"/>
      <c r="J1616" s="98"/>
      <c r="K1616" s="91"/>
      <c r="L1616" s="91"/>
      <c r="M1616" s="91"/>
      <c r="N1616" s="96" t="b">
        <v>0</v>
      </c>
      <c r="O1616" s="96" t="b">
        <v>0</v>
      </c>
      <c r="P1616" s="92"/>
      <c r="Q1616" s="92"/>
      <c r="R1616" s="92"/>
      <c r="S1616" s="92"/>
      <c r="T1616" s="92"/>
      <c r="U1616" s="92"/>
      <c r="V1616" s="92"/>
      <c r="W1616" s="92"/>
      <c r="X1616" s="92"/>
      <c r="Y1616" s="92"/>
      <c r="Z1616" s="92"/>
      <c r="AA1616" s="92"/>
      <c r="AB1616" s="92"/>
      <c r="AC1616" s="92"/>
      <c r="AD1616" s="92"/>
      <c r="AE1616" s="92"/>
      <c r="AF1616" s="92"/>
      <c r="AG1616" s="92"/>
    </row>
    <row r="1617" hidden="1">
      <c r="A1617" s="262"/>
      <c r="B1617" s="166"/>
      <c r="C1617" s="88">
        <v>44524.0</v>
      </c>
      <c r="D1617" s="97"/>
      <c r="E1617" s="98"/>
      <c r="F1617" s="309" t="s">
        <v>3126</v>
      </c>
      <c r="G1617" s="41"/>
      <c r="H1617" s="98"/>
      <c r="I1617" s="98"/>
      <c r="J1617" s="98"/>
      <c r="K1617" s="91"/>
      <c r="L1617" s="91"/>
      <c r="M1617" s="91"/>
      <c r="N1617" s="96" t="b">
        <v>0</v>
      </c>
      <c r="O1617" s="96" t="b">
        <v>0</v>
      </c>
      <c r="P1617" s="92"/>
      <c r="Q1617" s="92"/>
      <c r="R1617" s="92"/>
      <c r="S1617" s="92"/>
      <c r="T1617" s="92"/>
      <c r="U1617" s="92"/>
      <c r="V1617" s="92"/>
      <c r="W1617" s="92"/>
      <c r="X1617" s="92"/>
      <c r="Y1617" s="92"/>
      <c r="Z1617" s="92"/>
      <c r="AA1617" s="92"/>
      <c r="AB1617" s="92"/>
      <c r="AC1617" s="92"/>
      <c r="AD1617" s="92"/>
      <c r="AE1617" s="92"/>
      <c r="AF1617" s="92"/>
      <c r="AG1617" s="92"/>
    </row>
    <row r="1618" hidden="1">
      <c r="A1618" s="262"/>
      <c r="B1618" s="18"/>
      <c r="C1618" s="78" t="s">
        <v>78</v>
      </c>
      <c r="D1618" s="302" t="s">
        <v>3127</v>
      </c>
      <c r="E1618" s="263" t="s">
        <v>3128</v>
      </c>
      <c r="F1618" s="263" t="s">
        <v>3129</v>
      </c>
      <c r="G1618" s="108">
        <v>0.4375</v>
      </c>
      <c r="H1618" s="304" t="s">
        <v>996</v>
      </c>
      <c r="I1618" s="109" t="s">
        <v>3130</v>
      </c>
      <c r="J1618" s="263" t="s">
        <v>3131</v>
      </c>
      <c r="K1618" s="98" t="s">
        <v>3132</v>
      </c>
      <c r="M1618" s="91"/>
      <c r="N1618" s="96" t="b">
        <v>0</v>
      </c>
      <c r="O1618" s="96" t="b">
        <v>0</v>
      </c>
      <c r="P1618" s="92"/>
      <c r="Q1618" s="92"/>
      <c r="R1618" s="92"/>
      <c r="S1618" s="92"/>
      <c r="T1618" s="92"/>
      <c r="U1618" s="92"/>
      <c r="V1618" s="92"/>
      <c r="W1618" s="92"/>
      <c r="X1618" s="92"/>
      <c r="Y1618" s="92"/>
      <c r="Z1618" s="92"/>
      <c r="AA1618" s="92"/>
      <c r="AB1618" s="92"/>
      <c r="AC1618" s="92"/>
      <c r="AD1618" s="92"/>
      <c r="AE1618" s="92"/>
      <c r="AF1618" s="92"/>
      <c r="AG1618" s="92"/>
    </row>
    <row r="1619" hidden="1">
      <c r="A1619" s="262"/>
      <c r="B1619" s="25"/>
      <c r="C1619" s="80" t="s">
        <v>78</v>
      </c>
      <c r="D1619" s="300" t="s">
        <v>3127</v>
      </c>
      <c r="E1619" s="269" t="s">
        <v>3133</v>
      </c>
      <c r="F1619" s="269" t="s">
        <v>3134</v>
      </c>
      <c r="G1619" s="161">
        <v>0.5416666666666666</v>
      </c>
      <c r="H1619" s="162" t="s">
        <v>996</v>
      </c>
      <c r="I1619" s="162" t="s">
        <v>3135</v>
      </c>
      <c r="J1619" s="269" t="s">
        <v>3136</v>
      </c>
      <c r="K1619" s="91"/>
      <c r="M1619" s="91"/>
      <c r="N1619" s="96" t="b">
        <v>0</v>
      </c>
      <c r="O1619" s="96" t="b">
        <v>0</v>
      </c>
      <c r="P1619" s="92"/>
      <c r="Q1619" s="92"/>
      <c r="R1619" s="92"/>
      <c r="S1619" s="92"/>
      <c r="T1619" s="92"/>
      <c r="U1619" s="92"/>
      <c r="V1619" s="92"/>
      <c r="W1619" s="92"/>
      <c r="X1619" s="92"/>
      <c r="Y1619" s="92"/>
      <c r="Z1619" s="92"/>
      <c r="AA1619" s="92"/>
      <c r="AB1619" s="92"/>
      <c r="AC1619" s="92"/>
      <c r="AD1619" s="92"/>
      <c r="AE1619" s="92"/>
      <c r="AF1619" s="92"/>
      <c r="AG1619" s="92"/>
    </row>
    <row r="1620" hidden="1">
      <c r="A1620" s="262"/>
      <c r="B1620" s="25"/>
      <c r="C1620" s="80" t="s">
        <v>78</v>
      </c>
      <c r="D1620" s="302" t="s">
        <v>3127</v>
      </c>
      <c r="E1620" s="263" t="s">
        <v>3137</v>
      </c>
      <c r="F1620" s="263" t="s">
        <v>3138</v>
      </c>
      <c r="G1620" s="108">
        <v>0.625</v>
      </c>
      <c r="H1620" s="109" t="s">
        <v>233</v>
      </c>
      <c r="I1620" s="109" t="s">
        <v>3139</v>
      </c>
      <c r="J1620" s="263" t="s">
        <v>3140</v>
      </c>
      <c r="K1620" s="98" t="s">
        <v>3141</v>
      </c>
      <c r="M1620" s="91"/>
      <c r="N1620" s="96" t="b">
        <v>0</v>
      </c>
      <c r="O1620" s="96" t="b">
        <v>0</v>
      </c>
      <c r="P1620" s="92"/>
      <c r="Q1620" s="92"/>
      <c r="R1620" s="92"/>
      <c r="S1620" s="92"/>
      <c r="T1620" s="92"/>
      <c r="U1620" s="92"/>
      <c r="V1620" s="92"/>
      <c r="W1620" s="92"/>
      <c r="X1620" s="92"/>
      <c r="Y1620" s="92"/>
      <c r="Z1620" s="92"/>
      <c r="AA1620" s="92"/>
      <c r="AB1620" s="92"/>
      <c r="AC1620" s="92"/>
      <c r="AD1620" s="92"/>
      <c r="AE1620" s="92"/>
      <c r="AF1620" s="92"/>
      <c r="AG1620" s="92"/>
    </row>
    <row r="1621" hidden="1">
      <c r="A1621" s="262"/>
      <c r="B1621" s="25"/>
      <c r="C1621" s="80" t="s">
        <v>78</v>
      </c>
      <c r="D1621" s="302" t="s">
        <v>3127</v>
      </c>
      <c r="E1621" s="263" t="s">
        <v>3142</v>
      </c>
      <c r="F1621" s="263" t="s">
        <v>3143</v>
      </c>
      <c r="G1621" s="108">
        <v>0.7083333333333334</v>
      </c>
      <c r="H1621" s="304" t="s">
        <v>996</v>
      </c>
      <c r="I1621" s="310" t="s">
        <v>3144</v>
      </c>
      <c r="J1621" s="263" t="s">
        <v>2888</v>
      </c>
      <c r="K1621" s="98" t="s">
        <v>3145</v>
      </c>
      <c r="L1621" s="91"/>
      <c r="M1621" s="91"/>
      <c r="N1621" s="96" t="b">
        <v>0</v>
      </c>
      <c r="O1621" s="96" t="b">
        <v>0</v>
      </c>
      <c r="P1621" s="92"/>
      <c r="Q1621" s="92"/>
      <c r="R1621" s="92"/>
      <c r="S1621" s="92"/>
      <c r="T1621" s="92"/>
      <c r="U1621" s="92"/>
      <c r="V1621" s="92"/>
      <c r="W1621" s="92"/>
      <c r="X1621" s="92"/>
      <c r="Y1621" s="92"/>
      <c r="Z1621" s="92"/>
      <c r="AA1621" s="92"/>
      <c r="AB1621" s="92"/>
      <c r="AC1621" s="92"/>
      <c r="AD1621" s="92"/>
      <c r="AE1621" s="92"/>
      <c r="AF1621" s="92"/>
      <c r="AG1621" s="92"/>
    </row>
    <row r="1622" hidden="1">
      <c r="A1622" s="262"/>
      <c r="B1622" s="25"/>
      <c r="C1622" s="80" t="s">
        <v>78</v>
      </c>
      <c r="D1622" s="97"/>
      <c r="E1622" s="98"/>
      <c r="F1622" s="98"/>
      <c r="G1622" s="41"/>
      <c r="H1622" s="98"/>
      <c r="I1622" s="98"/>
      <c r="J1622" s="98"/>
      <c r="K1622" s="91"/>
      <c r="L1622" s="91"/>
      <c r="M1622" s="91"/>
      <c r="N1622" s="96" t="b">
        <v>0</v>
      </c>
      <c r="O1622" s="96" t="b">
        <v>0</v>
      </c>
      <c r="P1622" s="92"/>
      <c r="Q1622" s="92"/>
      <c r="R1622" s="92"/>
      <c r="S1622" s="92"/>
      <c r="T1622" s="92"/>
      <c r="U1622" s="92"/>
      <c r="V1622" s="92"/>
      <c r="W1622" s="92"/>
      <c r="X1622" s="92"/>
      <c r="Y1622" s="92"/>
      <c r="Z1622" s="92"/>
      <c r="AA1622" s="92"/>
      <c r="AB1622" s="92"/>
      <c r="AC1622" s="92"/>
      <c r="AD1622" s="92"/>
      <c r="AE1622" s="92"/>
      <c r="AF1622" s="92"/>
      <c r="AG1622" s="92"/>
    </row>
    <row r="1623" hidden="1">
      <c r="A1623" s="262"/>
      <c r="B1623" s="39"/>
      <c r="C1623" s="80" t="s">
        <v>78</v>
      </c>
      <c r="D1623" s="97"/>
      <c r="E1623" s="98"/>
      <c r="F1623" s="98"/>
      <c r="G1623" s="41"/>
      <c r="H1623" s="98"/>
      <c r="I1623" s="98"/>
      <c r="J1623" s="98"/>
      <c r="K1623" s="91"/>
      <c r="L1623" s="91"/>
      <c r="M1623" s="91"/>
      <c r="N1623" s="96" t="b">
        <v>0</v>
      </c>
      <c r="O1623" s="96" t="b">
        <v>0</v>
      </c>
      <c r="P1623" s="92"/>
      <c r="Q1623" s="92"/>
      <c r="R1623" s="92"/>
      <c r="S1623" s="92"/>
      <c r="T1623" s="92"/>
      <c r="U1623" s="92"/>
      <c r="V1623" s="92"/>
      <c r="W1623" s="92"/>
      <c r="X1623" s="92"/>
      <c r="Y1623" s="92"/>
      <c r="Z1623" s="92"/>
      <c r="AA1623" s="92"/>
      <c r="AB1623" s="92"/>
      <c r="AC1623" s="92"/>
      <c r="AD1623" s="92"/>
      <c r="AE1623" s="92"/>
      <c r="AF1623" s="92"/>
      <c r="AG1623" s="92"/>
    </row>
    <row r="1624" hidden="1">
      <c r="A1624" s="262"/>
      <c r="B1624" s="166"/>
      <c r="C1624" s="88">
        <v>44525.0</v>
      </c>
      <c r="D1624" s="97"/>
      <c r="E1624" s="98"/>
      <c r="F1624" s="309" t="s">
        <v>3126</v>
      </c>
      <c r="G1624" s="41"/>
      <c r="H1624" s="149" t="s">
        <v>3146</v>
      </c>
      <c r="I1624" s="149"/>
      <c r="J1624" s="98"/>
      <c r="K1624" s="91"/>
      <c r="L1624" s="91"/>
      <c r="M1624" s="91"/>
      <c r="N1624" s="96" t="b">
        <v>0</v>
      </c>
      <c r="O1624" s="96" t="b">
        <v>0</v>
      </c>
      <c r="P1624" s="92"/>
      <c r="Q1624" s="92"/>
      <c r="R1624" s="92"/>
      <c r="S1624" s="92"/>
      <c r="T1624" s="92"/>
      <c r="U1624" s="92"/>
      <c r="V1624" s="92"/>
      <c r="W1624" s="92"/>
      <c r="X1624" s="92"/>
      <c r="Y1624" s="92"/>
      <c r="Z1624" s="92"/>
      <c r="AA1624" s="92"/>
      <c r="AB1624" s="92"/>
      <c r="AC1624" s="92"/>
      <c r="AD1624" s="92"/>
      <c r="AE1624" s="92"/>
      <c r="AF1624" s="92"/>
      <c r="AG1624" s="92"/>
    </row>
    <row r="1625" hidden="1">
      <c r="A1625" s="262"/>
      <c r="B1625" s="18"/>
      <c r="C1625" s="78" t="s">
        <v>78</v>
      </c>
      <c r="D1625" s="97"/>
      <c r="E1625" s="98"/>
      <c r="F1625" s="98"/>
      <c r="G1625" s="99"/>
      <c r="H1625" s="98"/>
      <c r="I1625" s="98"/>
      <c r="J1625" s="98"/>
      <c r="K1625" s="91"/>
      <c r="L1625" s="91"/>
      <c r="M1625" s="91"/>
      <c r="N1625" s="96" t="b">
        <v>0</v>
      </c>
      <c r="O1625" s="96" t="b">
        <v>0</v>
      </c>
      <c r="P1625" s="92"/>
      <c r="Q1625" s="92"/>
      <c r="R1625" s="92"/>
      <c r="S1625" s="92"/>
      <c r="T1625" s="92"/>
      <c r="U1625" s="92"/>
      <c r="V1625" s="92"/>
      <c r="W1625" s="92"/>
      <c r="X1625" s="92"/>
      <c r="Y1625" s="92"/>
      <c r="Z1625" s="92"/>
      <c r="AA1625" s="92"/>
      <c r="AB1625" s="92"/>
      <c r="AC1625" s="92"/>
      <c r="AD1625" s="92"/>
      <c r="AE1625" s="92"/>
      <c r="AF1625" s="92"/>
      <c r="AG1625" s="92"/>
    </row>
    <row r="1626" hidden="1">
      <c r="A1626" s="262"/>
      <c r="B1626" s="25"/>
      <c r="C1626" s="80" t="s">
        <v>78</v>
      </c>
      <c r="D1626" s="270" t="s">
        <v>2744</v>
      </c>
      <c r="E1626" s="269" t="s">
        <v>3147</v>
      </c>
      <c r="F1626" s="269" t="s">
        <v>3148</v>
      </c>
      <c r="G1626" s="161">
        <v>0.5416666666666666</v>
      </c>
      <c r="H1626" s="162" t="s">
        <v>439</v>
      </c>
      <c r="I1626" s="162" t="s">
        <v>3149</v>
      </c>
      <c r="J1626" s="162" t="s">
        <v>3150</v>
      </c>
      <c r="K1626" s="91"/>
      <c r="L1626" s="91"/>
      <c r="M1626" s="91"/>
      <c r="N1626" s="96" t="b">
        <v>0</v>
      </c>
      <c r="O1626" s="96" t="b">
        <v>0</v>
      </c>
      <c r="P1626" s="92"/>
      <c r="Q1626" s="92"/>
      <c r="R1626" s="92"/>
      <c r="S1626" s="92"/>
      <c r="T1626" s="92"/>
      <c r="U1626" s="92"/>
      <c r="V1626" s="92"/>
      <c r="W1626" s="92"/>
      <c r="X1626" s="92"/>
      <c r="Y1626" s="92"/>
      <c r="Z1626" s="92"/>
      <c r="AA1626" s="92"/>
      <c r="AB1626" s="92"/>
      <c r="AC1626" s="92"/>
      <c r="AD1626" s="92"/>
      <c r="AE1626" s="92"/>
      <c r="AF1626" s="92"/>
      <c r="AG1626" s="92"/>
    </row>
    <row r="1627" hidden="1">
      <c r="A1627" s="262"/>
      <c r="B1627" s="25"/>
      <c r="C1627" s="80" t="s">
        <v>78</v>
      </c>
      <c r="D1627" s="302" t="s">
        <v>2941</v>
      </c>
      <c r="E1627" s="263" t="s">
        <v>1674</v>
      </c>
      <c r="F1627" s="263" t="s">
        <v>1675</v>
      </c>
      <c r="G1627" s="108">
        <v>0.625</v>
      </c>
      <c r="H1627" s="109" t="s">
        <v>3151</v>
      </c>
      <c r="I1627" s="109" t="s">
        <v>3152</v>
      </c>
      <c r="J1627" s="263" t="s">
        <v>1677</v>
      </c>
      <c r="K1627" s="98" t="s">
        <v>3153</v>
      </c>
      <c r="L1627" s="91"/>
      <c r="M1627" s="91"/>
      <c r="N1627" s="96" t="b">
        <v>0</v>
      </c>
      <c r="O1627" s="96" t="b">
        <v>0</v>
      </c>
      <c r="P1627" s="92"/>
      <c r="Q1627" s="92"/>
      <c r="R1627" s="92"/>
      <c r="S1627" s="92"/>
      <c r="T1627" s="92"/>
      <c r="U1627" s="92"/>
      <c r="V1627" s="92"/>
      <c r="W1627" s="92"/>
      <c r="X1627" s="92"/>
      <c r="Y1627" s="92"/>
      <c r="Z1627" s="92"/>
      <c r="AA1627" s="92"/>
      <c r="AB1627" s="92"/>
      <c r="AC1627" s="92"/>
      <c r="AD1627" s="92"/>
      <c r="AE1627" s="92"/>
      <c r="AF1627" s="92"/>
      <c r="AG1627" s="92"/>
    </row>
    <row r="1628" hidden="1">
      <c r="A1628" s="262"/>
      <c r="B1628" s="25"/>
      <c r="C1628" s="80" t="s">
        <v>78</v>
      </c>
      <c r="D1628" s="109" t="s">
        <v>3154</v>
      </c>
      <c r="E1628" s="263" t="s">
        <v>256</v>
      </c>
      <c r="F1628" s="263" t="s">
        <v>257</v>
      </c>
      <c r="G1628" s="108">
        <v>0.7083333333333334</v>
      </c>
      <c r="H1628" s="109" t="s">
        <v>185</v>
      </c>
      <c r="I1628" s="109" t="s">
        <v>3155</v>
      </c>
      <c r="J1628" s="263" t="s">
        <v>3156</v>
      </c>
      <c r="K1628" s="98" t="s">
        <v>3157</v>
      </c>
      <c r="L1628" s="91"/>
      <c r="M1628" s="91"/>
      <c r="N1628" s="96" t="b">
        <v>0</v>
      </c>
      <c r="O1628" s="96" t="b">
        <v>0</v>
      </c>
      <c r="P1628" s="92"/>
      <c r="Q1628" s="92"/>
      <c r="R1628" s="92"/>
      <c r="S1628" s="92"/>
      <c r="T1628" s="92"/>
      <c r="U1628" s="92"/>
      <c r="V1628" s="92"/>
      <c r="W1628" s="92"/>
      <c r="X1628" s="92"/>
      <c r="Y1628" s="92"/>
      <c r="Z1628" s="92"/>
      <c r="AA1628" s="92"/>
      <c r="AB1628" s="92"/>
      <c r="AC1628" s="92"/>
      <c r="AD1628" s="92"/>
      <c r="AE1628" s="92"/>
      <c r="AF1628" s="92"/>
      <c r="AG1628" s="92"/>
    </row>
    <row r="1629" hidden="1">
      <c r="A1629" s="262"/>
      <c r="B1629" s="25"/>
      <c r="C1629" s="80" t="s">
        <v>78</v>
      </c>
      <c r="D1629" s="112" t="s">
        <v>2744</v>
      </c>
      <c r="E1629" s="263" t="s">
        <v>3137</v>
      </c>
      <c r="F1629" s="263" t="s">
        <v>3138</v>
      </c>
      <c r="G1629" s="112" t="s">
        <v>248</v>
      </c>
      <c r="H1629" s="109" t="s">
        <v>233</v>
      </c>
      <c r="I1629" s="109" t="s">
        <v>3139</v>
      </c>
      <c r="J1629" s="263" t="s">
        <v>3140</v>
      </c>
      <c r="K1629" s="98" t="s">
        <v>3158</v>
      </c>
      <c r="L1629" s="91"/>
      <c r="M1629" s="91"/>
      <c r="N1629" s="96" t="b">
        <v>0</v>
      </c>
      <c r="O1629" s="96" t="b">
        <v>0</v>
      </c>
      <c r="P1629" s="92"/>
      <c r="Q1629" s="92"/>
      <c r="R1629" s="92"/>
      <c r="S1629" s="92"/>
      <c r="T1629" s="92"/>
      <c r="U1629" s="92"/>
      <c r="V1629" s="92"/>
      <c r="W1629" s="92"/>
      <c r="X1629" s="92"/>
      <c r="Y1629" s="92"/>
      <c r="Z1629" s="92"/>
      <c r="AA1629" s="92"/>
      <c r="AB1629" s="92"/>
      <c r="AC1629" s="92"/>
      <c r="AD1629" s="92"/>
      <c r="AE1629" s="92"/>
      <c r="AF1629" s="92"/>
      <c r="AG1629" s="92"/>
    </row>
    <row r="1630" hidden="1">
      <c r="A1630" s="262"/>
      <c r="B1630" s="39"/>
      <c r="C1630" s="80" t="s">
        <v>78</v>
      </c>
      <c r="D1630" s="97"/>
      <c r="E1630" s="98"/>
      <c r="F1630" s="98"/>
      <c r="G1630" s="41"/>
      <c r="H1630" s="98"/>
      <c r="I1630" s="98"/>
      <c r="J1630" s="98"/>
      <c r="K1630" s="91"/>
      <c r="L1630" s="91"/>
      <c r="M1630" s="91"/>
      <c r="N1630" s="96" t="b">
        <v>0</v>
      </c>
      <c r="O1630" s="96" t="b">
        <v>0</v>
      </c>
      <c r="P1630" s="92"/>
      <c r="Q1630" s="92"/>
      <c r="R1630" s="92"/>
      <c r="S1630" s="92"/>
      <c r="T1630" s="92"/>
      <c r="U1630" s="92"/>
      <c r="V1630" s="92"/>
      <c r="W1630" s="92"/>
      <c r="X1630" s="92"/>
      <c r="Y1630" s="92"/>
      <c r="Z1630" s="92"/>
      <c r="AA1630" s="92"/>
      <c r="AB1630" s="92"/>
      <c r="AC1630" s="92"/>
      <c r="AD1630" s="92"/>
      <c r="AE1630" s="92"/>
      <c r="AF1630" s="92"/>
      <c r="AG1630" s="92"/>
    </row>
    <row r="1631" hidden="1">
      <c r="A1631" s="262"/>
      <c r="B1631" s="166"/>
      <c r="C1631" s="88">
        <v>44526.0</v>
      </c>
      <c r="D1631" s="97"/>
      <c r="E1631" s="98"/>
      <c r="F1631" s="98"/>
      <c r="G1631" s="41"/>
      <c r="H1631" s="98"/>
      <c r="I1631" s="98"/>
      <c r="J1631" s="98"/>
      <c r="K1631" s="91"/>
      <c r="L1631" s="91"/>
      <c r="M1631" s="91"/>
      <c r="N1631" s="96" t="b">
        <v>0</v>
      </c>
      <c r="O1631" s="96" t="b">
        <v>0</v>
      </c>
      <c r="P1631" s="92"/>
      <c r="Q1631" s="92"/>
      <c r="R1631" s="92"/>
      <c r="S1631" s="92"/>
      <c r="T1631" s="92"/>
      <c r="U1631" s="92"/>
      <c r="V1631" s="92"/>
      <c r="W1631" s="92"/>
      <c r="X1631" s="92"/>
      <c r="Y1631" s="92"/>
      <c r="Z1631" s="92"/>
      <c r="AA1631" s="92"/>
      <c r="AB1631" s="92"/>
      <c r="AC1631" s="92"/>
      <c r="AD1631" s="92"/>
      <c r="AE1631" s="92"/>
      <c r="AF1631" s="92"/>
      <c r="AG1631" s="92"/>
    </row>
    <row r="1632" hidden="1">
      <c r="A1632" s="262"/>
      <c r="B1632" s="18"/>
      <c r="C1632" s="78" t="s">
        <v>78</v>
      </c>
      <c r="D1632" s="97"/>
      <c r="E1632" s="98"/>
      <c r="F1632" s="98"/>
      <c r="G1632" s="41"/>
      <c r="H1632" s="98"/>
      <c r="I1632" s="98"/>
      <c r="J1632" s="98"/>
      <c r="K1632" s="91"/>
      <c r="L1632" s="91"/>
      <c r="M1632" s="91"/>
      <c r="N1632" s="96" t="b">
        <v>0</v>
      </c>
      <c r="O1632" s="96" t="b">
        <v>0</v>
      </c>
      <c r="P1632" s="92"/>
      <c r="Q1632" s="92"/>
      <c r="R1632" s="92"/>
      <c r="S1632" s="92"/>
      <c r="T1632" s="92"/>
      <c r="U1632" s="92"/>
      <c r="V1632" s="92"/>
      <c r="W1632" s="92"/>
      <c r="X1632" s="92"/>
      <c r="Y1632" s="92"/>
      <c r="Z1632" s="92"/>
      <c r="AA1632" s="92"/>
      <c r="AB1632" s="92"/>
      <c r="AC1632" s="92"/>
      <c r="AD1632" s="92"/>
      <c r="AE1632" s="92"/>
      <c r="AF1632" s="92"/>
      <c r="AG1632" s="92"/>
    </row>
    <row r="1633" hidden="1">
      <c r="A1633" s="262"/>
      <c r="B1633" s="25"/>
      <c r="C1633" s="80" t="s">
        <v>78</v>
      </c>
      <c r="D1633" s="97"/>
      <c r="E1633" s="98"/>
      <c r="F1633" s="308"/>
      <c r="G1633" s="41"/>
      <c r="H1633" s="98"/>
      <c r="I1633" s="98"/>
      <c r="J1633" s="98"/>
      <c r="K1633" s="91"/>
      <c r="L1633" s="91"/>
      <c r="M1633" s="91"/>
      <c r="N1633" s="96" t="b">
        <v>0</v>
      </c>
      <c r="O1633" s="96" t="b">
        <v>0</v>
      </c>
      <c r="P1633" s="92"/>
      <c r="Q1633" s="92"/>
      <c r="R1633" s="92"/>
      <c r="S1633" s="92"/>
      <c r="T1633" s="92"/>
      <c r="U1633" s="92"/>
      <c r="V1633" s="92"/>
      <c r="W1633" s="92"/>
      <c r="X1633" s="92"/>
      <c r="Y1633" s="92"/>
      <c r="Z1633" s="92"/>
      <c r="AA1633" s="92"/>
      <c r="AB1633" s="92"/>
      <c r="AC1633" s="92"/>
      <c r="AD1633" s="92"/>
      <c r="AE1633" s="92"/>
      <c r="AF1633" s="92"/>
      <c r="AG1633" s="92"/>
    </row>
    <row r="1634" hidden="1">
      <c r="A1634" s="262"/>
      <c r="B1634" s="25"/>
      <c r="C1634" s="80" t="s">
        <v>78</v>
      </c>
      <c r="D1634" s="97"/>
      <c r="E1634" s="98"/>
      <c r="F1634" s="98"/>
      <c r="G1634" s="41"/>
      <c r="H1634" s="98"/>
      <c r="I1634" s="98"/>
      <c r="J1634" s="98"/>
      <c r="K1634" s="91"/>
      <c r="L1634" s="91"/>
      <c r="M1634" s="91"/>
      <c r="N1634" s="96" t="b">
        <v>0</v>
      </c>
      <c r="O1634" s="96" t="b">
        <v>0</v>
      </c>
      <c r="P1634" s="92"/>
      <c r="Q1634" s="92"/>
      <c r="R1634" s="92"/>
      <c r="S1634" s="92"/>
      <c r="T1634" s="92"/>
      <c r="U1634" s="92"/>
      <c r="V1634" s="92"/>
      <c r="W1634" s="92"/>
      <c r="X1634" s="92"/>
      <c r="Y1634" s="92"/>
      <c r="Z1634" s="92"/>
      <c r="AA1634" s="92"/>
      <c r="AB1634" s="92"/>
      <c r="AC1634" s="92"/>
      <c r="AD1634" s="92"/>
      <c r="AE1634" s="92"/>
      <c r="AF1634" s="92"/>
      <c r="AG1634" s="92"/>
    </row>
    <row r="1635" hidden="1">
      <c r="A1635" s="262"/>
      <c r="B1635" s="25"/>
      <c r="C1635" s="80" t="s">
        <v>78</v>
      </c>
      <c r="D1635" s="97"/>
      <c r="E1635" s="98"/>
      <c r="F1635" s="307" t="s">
        <v>3093</v>
      </c>
      <c r="G1635" s="41"/>
      <c r="H1635" s="98"/>
      <c r="I1635" s="98"/>
      <c r="J1635" s="98"/>
      <c r="K1635" s="91"/>
      <c r="L1635" s="91"/>
      <c r="M1635" s="91"/>
      <c r="N1635" s="96" t="b">
        <v>0</v>
      </c>
      <c r="O1635" s="96" t="b">
        <v>0</v>
      </c>
      <c r="P1635" s="92"/>
      <c r="Q1635" s="92"/>
      <c r="R1635" s="92"/>
      <c r="S1635" s="92"/>
      <c r="T1635" s="92"/>
      <c r="U1635" s="92"/>
      <c r="V1635" s="92"/>
      <c r="W1635" s="92"/>
      <c r="X1635" s="92"/>
      <c r="Y1635" s="92"/>
      <c r="Z1635" s="92"/>
      <c r="AA1635" s="92"/>
      <c r="AB1635" s="92"/>
      <c r="AC1635" s="92"/>
      <c r="AD1635" s="92"/>
      <c r="AE1635" s="92"/>
      <c r="AF1635" s="92"/>
      <c r="AG1635" s="92"/>
    </row>
    <row r="1636" hidden="1">
      <c r="A1636" s="262"/>
      <c r="B1636" s="25"/>
      <c r="C1636" s="80" t="s">
        <v>78</v>
      </c>
      <c r="D1636" s="97"/>
      <c r="E1636" s="98"/>
      <c r="F1636" s="98"/>
      <c r="G1636" s="41"/>
      <c r="H1636" s="98"/>
      <c r="I1636" s="98"/>
      <c r="J1636" s="98"/>
      <c r="K1636" s="91"/>
      <c r="L1636" s="91"/>
      <c r="M1636" s="91"/>
      <c r="N1636" s="96" t="b">
        <v>0</v>
      </c>
      <c r="O1636" s="96" t="b">
        <v>0</v>
      </c>
      <c r="P1636" s="92"/>
      <c r="Q1636" s="92"/>
      <c r="R1636" s="92"/>
      <c r="S1636" s="92"/>
      <c r="T1636" s="92"/>
      <c r="U1636" s="92"/>
      <c r="V1636" s="92"/>
      <c r="W1636" s="92"/>
      <c r="X1636" s="92"/>
      <c r="Y1636" s="92"/>
      <c r="Z1636" s="92"/>
      <c r="AA1636" s="92"/>
      <c r="AB1636" s="92"/>
      <c r="AC1636" s="92"/>
      <c r="AD1636" s="92"/>
      <c r="AE1636" s="92"/>
      <c r="AF1636" s="92"/>
      <c r="AG1636" s="92"/>
    </row>
    <row r="1637" hidden="1">
      <c r="A1637" s="262"/>
      <c r="B1637" s="39"/>
      <c r="C1637" s="80" t="s">
        <v>78</v>
      </c>
      <c r="D1637" s="97"/>
      <c r="E1637" s="98"/>
      <c r="F1637" s="98"/>
      <c r="G1637" s="41"/>
      <c r="H1637" s="98"/>
      <c r="I1637" s="98"/>
      <c r="J1637" s="98"/>
      <c r="K1637" s="91"/>
      <c r="L1637" s="91"/>
      <c r="M1637" s="91"/>
      <c r="N1637" s="96" t="b">
        <v>0</v>
      </c>
      <c r="O1637" s="96" t="b">
        <v>0</v>
      </c>
      <c r="P1637" s="92"/>
      <c r="Q1637" s="92"/>
      <c r="R1637" s="92"/>
      <c r="S1637" s="92"/>
      <c r="T1637" s="92"/>
      <c r="U1637" s="92"/>
      <c r="V1637" s="92"/>
      <c r="W1637" s="92"/>
      <c r="X1637" s="92"/>
      <c r="Y1637" s="92"/>
      <c r="Z1637" s="92"/>
      <c r="AA1637" s="92"/>
      <c r="AB1637" s="92"/>
      <c r="AC1637" s="92"/>
      <c r="AD1637" s="92"/>
      <c r="AE1637" s="92"/>
      <c r="AF1637" s="92"/>
      <c r="AG1637" s="92"/>
    </row>
    <row r="1638" hidden="1">
      <c r="A1638" s="262"/>
      <c r="B1638" s="166"/>
      <c r="C1638" s="88">
        <v>44531.0</v>
      </c>
      <c r="D1638" s="97"/>
      <c r="E1638" s="98"/>
      <c r="F1638" s="98"/>
      <c r="G1638" s="41"/>
      <c r="H1638" s="98"/>
      <c r="I1638" s="98"/>
      <c r="J1638" s="98"/>
      <c r="K1638" s="91"/>
      <c r="L1638" s="91"/>
      <c r="M1638" s="91"/>
      <c r="N1638" s="96" t="b">
        <v>0</v>
      </c>
      <c r="O1638" s="96" t="b">
        <v>0</v>
      </c>
      <c r="P1638" s="92"/>
      <c r="Q1638" s="92"/>
      <c r="R1638" s="92"/>
      <c r="S1638" s="92"/>
      <c r="T1638" s="92"/>
      <c r="U1638" s="92"/>
      <c r="V1638" s="92"/>
      <c r="W1638" s="92"/>
      <c r="X1638" s="92"/>
      <c r="Y1638" s="92"/>
      <c r="Z1638" s="92"/>
      <c r="AA1638" s="92"/>
      <c r="AB1638" s="92"/>
      <c r="AC1638" s="92"/>
      <c r="AD1638" s="92"/>
      <c r="AE1638" s="92"/>
      <c r="AF1638" s="92"/>
      <c r="AG1638" s="92"/>
    </row>
    <row r="1639" hidden="1">
      <c r="A1639" s="262"/>
      <c r="B1639" s="18"/>
      <c r="C1639" s="78" t="s">
        <v>78</v>
      </c>
      <c r="D1639" s="300" t="s">
        <v>2941</v>
      </c>
      <c r="E1639" s="269" t="s">
        <v>3159</v>
      </c>
      <c r="F1639" s="269" t="s">
        <v>3023</v>
      </c>
      <c r="G1639" s="161">
        <v>0.4583333333333333</v>
      </c>
      <c r="H1639" s="162" t="s">
        <v>2311</v>
      </c>
      <c r="I1639" s="162" t="s">
        <v>3160</v>
      </c>
      <c r="J1639" s="269" t="s">
        <v>3161</v>
      </c>
      <c r="K1639" s="91"/>
      <c r="L1639" s="91"/>
      <c r="M1639" s="91"/>
      <c r="N1639" s="96" t="b">
        <v>0</v>
      </c>
      <c r="O1639" s="96" t="b">
        <v>0</v>
      </c>
      <c r="P1639" s="92"/>
      <c r="Q1639" s="92"/>
      <c r="R1639" s="92"/>
      <c r="S1639" s="92"/>
      <c r="T1639" s="92"/>
      <c r="U1639" s="92"/>
      <c r="V1639" s="92"/>
      <c r="W1639" s="92"/>
      <c r="X1639" s="92"/>
      <c r="Y1639" s="92"/>
      <c r="Z1639" s="92"/>
      <c r="AA1639" s="92"/>
      <c r="AB1639" s="92"/>
      <c r="AC1639" s="92"/>
      <c r="AD1639" s="92"/>
      <c r="AE1639" s="92"/>
      <c r="AF1639" s="92"/>
      <c r="AG1639" s="92"/>
    </row>
    <row r="1640" hidden="1">
      <c r="A1640" s="262"/>
      <c r="B1640" s="25"/>
      <c r="C1640" s="80" t="s">
        <v>78</v>
      </c>
      <c r="D1640" s="300" t="s">
        <v>2941</v>
      </c>
      <c r="E1640" s="269" t="s">
        <v>3162</v>
      </c>
      <c r="F1640" s="269" t="s">
        <v>3163</v>
      </c>
      <c r="G1640" s="161">
        <v>0.5416666666666666</v>
      </c>
      <c r="H1640" s="162" t="s">
        <v>2311</v>
      </c>
      <c r="I1640" s="162" t="s">
        <v>3164</v>
      </c>
      <c r="J1640" s="269" t="s">
        <v>3165</v>
      </c>
      <c r="K1640" s="91"/>
      <c r="L1640" s="91"/>
      <c r="M1640" s="91"/>
      <c r="N1640" s="96" t="b">
        <v>0</v>
      </c>
      <c r="O1640" s="96" t="b">
        <v>0</v>
      </c>
      <c r="P1640" s="92"/>
      <c r="Q1640" s="92"/>
      <c r="R1640" s="92"/>
      <c r="S1640" s="92"/>
      <c r="T1640" s="92"/>
      <c r="U1640" s="92"/>
      <c r="V1640" s="92"/>
      <c r="W1640" s="92"/>
      <c r="X1640" s="92"/>
      <c r="Y1640" s="92"/>
      <c r="Z1640" s="92"/>
      <c r="AA1640" s="92"/>
      <c r="AB1640" s="92"/>
      <c r="AC1640" s="92"/>
      <c r="AD1640" s="92"/>
      <c r="AE1640" s="92"/>
      <c r="AF1640" s="92"/>
      <c r="AG1640" s="92"/>
    </row>
    <row r="1641" hidden="1">
      <c r="A1641" s="262"/>
      <c r="B1641" s="25"/>
      <c r="C1641" s="80" t="s">
        <v>78</v>
      </c>
      <c r="D1641" s="302" t="s">
        <v>2941</v>
      </c>
      <c r="E1641" s="263" t="s">
        <v>3166</v>
      </c>
      <c r="F1641" s="263" t="s">
        <v>3167</v>
      </c>
      <c r="G1641" s="108">
        <v>0.625</v>
      </c>
      <c r="H1641" s="109" t="s">
        <v>3168</v>
      </c>
      <c r="I1641" s="109" t="s">
        <v>3169</v>
      </c>
      <c r="J1641" s="263" t="s">
        <v>3170</v>
      </c>
      <c r="K1641" s="91"/>
      <c r="L1641" s="91"/>
      <c r="M1641" s="91"/>
      <c r="N1641" s="96" t="b">
        <v>0</v>
      </c>
      <c r="O1641" s="96" t="b">
        <v>0</v>
      </c>
      <c r="P1641" s="92"/>
      <c r="Q1641" s="92"/>
      <c r="R1641" s="92"/>
      <c r="S1641" s="92"/>
      <c r="T1641" s="92"/>
      <c r="U1641" s="92"/>
      <c r="V1641" s="92"/>
      <c r="W1641" s="92"/>
      <c r="X1641" s="92"/>
      <c r="Y1641" s="92"/>
      <c r="Z1641" s="92"/>
      <c r="AA1641" s="92"/>
      <c r="AB1641" s="92"/>
      <c r="AC1641" s="92"/>
      <c r="AD1641" s="92"/>
      <c r="AE1641" s="92"/>
      <c r="AF1641" s="92"/>
      <c r="AG1641" s="92"/>
    </row>
    <row r="1642" hidden="1">
      <c r="A1642" s="262"/>
      <c r="B1642" s="25"/>
      <c r="C1642" s="80" t="s">
        <v>78</v>
      </c>
      <c r="D1642" s="302" t="s">
        <v>2941</v>
      </c>
      <c r="E1642" s="263" t="s">
        <v>3171</v>
      </c>
      <c r="F1642" s="263" t="s">
        <v>3172</v>
      </c>
      <c r="G1642" s="108">
        <v>0.7083333333333334</v>
      </c>
      <c r="H1642" s="109" t="s">
        <v>3168</v>
      </c>
      <c r="I1642" s="109" t="s">
        <v>3173</v>
      </c>
      <c r="J1642" s="109" t="s">
        <v>3174</v>
      </c>
      <c r="K1642" s="98" t="s">
        <v>1325</v>
      </c>
      <c r="L1642" s="91"/>
      <c r="M1642" s="91"/>
      <c r="N1642" s="96" t="b">
        <v>0</v>
      </c>
      <c r="O1642" s="96" t="b">
        <v>0</v>
      </c>
      <c r="P1642" s="92"/>
      <c r="Q1642" s="92"/>
      <c r="R1642" s="92"/>
      <c r="S1642" s="92"/>
      <c r="T1642" s="92"/>
      <c r="U1642" s="92"/>
      <c r="V1642" s="92"/>
      <c r="W1642" s="92"/>
      <c r="X1642" s="92"/>
      <c r="Y1642" s="92"/>
      <c r="Z1642" s="92"/>
      <c r="AA1642" s="92"/>
      <c r="AB1642" s="92"/>
      <c r="AC1642" s="92"/>
      <c r="AD1642" s="92"/>
      <c r="AE1642" s="92"/>
      <c r="AF1642" s="92"/>
      <c r="AG1642" s="92"/>
    </row>
    <row r="1643" hidden="1">
      <c r="A1643" s="262"/>
      <c r="B1643" s="25"/>
      <c r="C1643" s="80" t="s">
        <v>78</v>
      </c>
      <c r="D1643" s="97"/>
      <c r="E1643" s="98"/>
      <c r="F1643" s="98"/>
      <c r="G1643" s="41"/>
      <c r="H1643" s="98"/>
      <c r="I1643" s="98"/>
      <c r="J1643" s="98"/>
      <c r="K1643" s="91"/>
      <c r="L1643" s="91"/>
      <c r="M1643" s="91"/>
      <c r="N1643" s="96" t="b">
        <v>0</v>
      </c>
      <c r="O1643" s="96" t="b">
        <v>0</v>
      </c>
      <c r="P1643" s="92"/>
      <c r="Q1643" s="92"/>
      <c r="R1643" s="92"/>
      <c r="S1643" s="92"/>
      <c r="T1643" s="92"/>
      <c r="U1643" s="92"/>
      <c r="V1643" s="92"/>
      <c r="W1643" s="92"/>
      <c r="X1643" s="92"/>
      <c r="Y1643" s="92"/>
      <c r="Z1643" s="92"/>
      <c r="AA1643" s="92"/>
      <c r="AB1643" s="92"/>
      <c r="AC1643" s="92"/>
      <c r="AD1643" s="92"/>
      <c r="AE1643" s="92"/>
      <c r="AF1643" s="92"/>
      <c r="AG1643" s="92"/>
    </row>
    <row r="1644" hidden="1">
      <c r="A1644" s="262"/>
      <c r="B1644" s="39"/>
      <c r="C1644" s="80" t="s">
        <v>78</v>
      </c>
      <c r="D1644" s="97"/>
      <c r="E1644" s="98"/>
      <c r="F1644" s="98"/>
      <c r="G1644" s="41"/>
      <c r="H1644" s="98"/>
      <c r="I1644" s="98"/>
      <c r="J1644" s="98"/>
      <c r="K1644" s="91"/>
      <c r="L1644" s="91"/>
      <c r="M1644" s="91"/>
      <c r="N1644" s="96" t="b">
        <v>0</v>
      </c>
      <c r="O1644" s="96" t="b">
        <v>0</v>
      </c>
      <c r="P1644" s="92"/>
      <c r="Q1644" s="92"/>
      <c r="R1644" s="92"/>
      <c r="S1644" s="92"/>
      <c r="T1644" s="92"/>
      <c r="U1644" s="92"/>
      <c r="V1644" s="92"/>
      <c r="W1644" s="92"/>
      <c r="X1644" s="92"/>
      <c r="Y1644" s="92"/>
      <c r="Z1644" s="92"/>
      <c r="AA1644" s="92"/>
      <c r="AB1644" s="92"/>
      <c r="AC1644" s="92"/>
      <c r="AD1644" s="92"/>
      <c r="AE1644" s="92"/>
      <c r="AF1644" s="92"/>
      <c r="AG1644" s="92"/>
    </row>
    <row r="1645" hidden="1">
      <c r="A1645" s="262"/>
      <c r="B1645" s="166"/>
      <c r="C1645" s="88">
        <v>44532.0</v>
      </c>
      <c r="D1645" s="97"/>
      <c r="E1645" s="98"/>
      <c r="F1645" s="98"/>
      <c r="G1645" s="41"/>
      <c r="H1645" s="98"/>
      <c r="I1645" s="98"/>
      <c r="J1645" s="98"/>
      <c r="K1645" s="91"/>
      <c r="L1645" s="91"/>
      <c r="M1645" s="91"/>
      <c r="N1645" s="96" t="b">
        <v>0</v>
      </c>
      <c r="O1645" s="96" t="b">
        <v>0</v>
      </c>
      <c r="P1645" s="92"/>
      <c r="Q1645" s="92"/>
      <c r="R1645" s="92"/>
      <c r="S1645" s="92"/>
      <c r="T1645" s="92"/>
      <c r="U1645" s="92"/>
      <c r="V1645" s="92"/>
      <c r="W1645" s="92"/>
      <c r="X1645" s="92"/>
      <c r="Y1645" s="92"/>
      <c r="Z1645" s="92"/>
      <c r="AA1645" s="92"/>
      <c r="AB1645" s="92"/>
      <c r="AC1645" s="92"/>
      <c r="AD1645" s="92"/>
      <c r="AE1645" s="92"/>
      <c r="AF1645" s="92"/>
      <c r="AG1645" s="92"/>
    </row>
    <row r="1646" hidden="1">
      <c r="A1646" s="262"/>
      <c r="B1646" s="18"/>
      <c r="C1646" s="78" t="s">
        <v>78</v>
      </c>
      <c r="D1646" s="97"/>
      <c r="E1646" s="98"/>
      <c r="F1646" s="98"/>
      <c r="G1646" s="41"/>
      <c r="H1646" s="98"/>
      <c r="I1646" s="98"/>
      <c r="J1646" s="98"/>
      <c r="K1646" s="91"/>
      <c r="L1646" s="91"/>
      <c r="M1646" s="91"/>
      <c r="N1646" s="96" t="b">
        <v>0</v>
      </c>
      <c r="O1646" s="96" t="b">
        <v>0</v>
      </c>
      <c r="P1646" s="92"/>
      <c r="Q1646" s="92"/>
      <c r="R1646" s="92"/>
      <c r="S1646" s="92"/>
      <c r="T1646" s="92"/>
      <c r="U1646" s="92"/>
      <c r="V1646" s="92"/>
      <c r="W1646" s="92"/>
      <c r="X1646" s="92"/>
      <c r="Y1646" s="92"/>
      <c r="Z1646" s="92"/>
      <c r="AA1646" s="92"/>
      <c r="AB1646" s="92"/>
      <c r="AC1646" s="92"/>
      <c r="AD1646" s="92"/>
      <c r="AE1646" s="92"/>
      <c r="AF1646" s="92"/>
      <c r="AG1646" s="92"/>
    </row>
    <row r="1647" hidden="1">
      <c r="A1647" s="262"/>
      <c r="B1647" s="25"/>
      <c r="C1647" s="80" t="s">
        <v>78</v>
      </c>
      <c r="D1647" s="97"/>
      <c r="E1647" s="98"/>
      <c r="F1647" s="98"/>
      <c r="G1647" s="99"/>
      <c r="H1647" s="98"/>
      <c r="I1647" s="98"/>
      <c r="J1647" s="98"/>
      <c r="K1647" s="91"/>
      <c r="L1647" s="91"/>
      <c r="M1647" s="91"/>
      <c r="N1647" s="96" t="b">
        <v>0</v>
      </c>
      <c r="O1647" s="96" t="b">
        <v>0</v>
      </c>
      <c r="P1647" s="92"/>
      <c r="Q1647" s="92"/>
      <c r="R1647" s="92"/>
      <c r="S1647" s="92"/>
      <c r="T1647" s="92"/>
      <c r="U1647" s="92"/>
      <c r="V1647" s="92"/>
      <c r="W1647" s="92"/>
      <c r="X1647" s="92"/>
      <c r="Y1647" s="92"/>
      <c r="Z1647" s="92"/>
      <c r="AA1647" s="92"/>
      <c r="AB1647" s="92"/>
      <c r="AC1647" s="92"/>
      <c r="AD1647" s="92"/>
      <c r="AE1647" s="92"/>
      <c r="AF1647" s="92"/>
      <c r="AG1647" s="92"/>
    </row>
    <row r="1648" hidden="1">
      <c r="A1648" s="262"/>
      <c r="B1648" s="25"/>
      <c r="C1648" s="80" t="s">
        <v>78</v>
      </c>
      <c r="D1648" s="107" t="s">
        <v>2192</v>
      </c>
      <c r="E1648" s="263" t="s">
        <v>3175</v>
      </c>
      <c r="F1648" s="263" t="s">
        <v>3176</v>
      </c>
      <c r="G1648" s="108">
        <v>0.5416666666666666</v>
      </c>
      <c r="H1648" s="109" t="s">
        <v>1242</v>
      </c>
      <c r="I1648" s="109" t="s">
        <v>3177</v>
      </c>
      <c r="J1648" s="263" t="s">
        <v>3178</v>
      </c>
      <c r="K1648" s="98" t="s">
        <v>3179</v>
      </c>
      <c r="L1648" s="91"/>
      <c r="M1648" s="91"/>
      <c r="N1648" s="96" t="b">
        <v>0</v>
      </c>
      <c r="O1648" s="96" t="b">
        <v>0</v>
      </c>
      <c r="P1648" s="92"/>
      <c r="Q1648" s="92"/>
      <c r="R1648" s="92"/>
      <c r="S1648" s="92"/>
      <c r="T1648" s="92"/>
      <c r="U1648" s="92"/>
      <c r="V1648" s="92"/>
      <c r="W1648" s="92"/>
      <c r="X1648" s="92"/>
      <c r="Y1648" s="92"/>
      <c r="Z1648" s="92"/>
      <c r="AA1648" s="92"/>
      <c r="AB1648" s="92"/>
      <c r="AC1648" s="92"/>
      <c r="AD1648" s="92"/>
      <c r="AE1648" s="92"/>
      <c r="AF1648" s="92"/>
      <c r="AG1648" s="92"/>
    </row>
    <row r="1649" hidden="1">
      <c r="A1649" s="262"/>
      <c r="B1649" s="25"/>
      <c r="C1649" s="80" t="s">
        <v>78</v>
      </c>
      <c r="D1649" s="159" t="s">
        <v>2192</v>
      </c>
      <c r="E1649" s="269" t="s">
        <v>3180</v>
      </c>
      <c r="F1649" s="269" t="s">
        <v>2438</v>
      </c>
      <c r="G1649" s="161">
        <v>0.625</v>
      </c>
      <c r="H1649" s="162" t="s">
        <v>724</v>
      </c>
      <c r="I1649" s="162" t="s">
        <v>3181</v>
      </c>
      <c r="J1649" s="269" t="s">
        <v>3182</v>
      </c>
      <c r="K1649" s="271"/>
      <c r="L1649" s="271"/>
      <c r="M1649" s="91"/>
      <c r="N1649" s="96" t="b">
        <v>0</v>
      </c>
      <c r="O1649" s="96" t="b">
        <v>0</v>
      </c>
      <c r="P1649" s="92"/>
      <c r="Q1649" s="92"/>
      <c r="R1649" s="92"/>
      <c r="S1649" s="92"/>
      <c r="T1649" s="92"/>
      <c r="U1649" s="92"/>
      <c r="V1649" s="92"/>
      <c r="W1649" s="92"/>
      <c r="X1649" s="92"/>
      <c r="Y1649" s="92"/>
      <c r="Z1649" s="92"/>
      <c r="AA1649" s="92"/>
      <c r="AB1649" s="92"/>
      <c r="AC1649" s="92"/>
      <c r="AD1649" s="92"/>
      <c r="AE1649" s="92"/>
      <c r="AF1649" s="92"/>
      <c r="AG1649" s="92"/>
    </row>
    <row r="1650" hidden="1">
      <c r="A1650" s="262"/>
      <c r="B1650" s="25"/>
      <c r="C1650" s="80"/>
      <c r="D1650" s="107" t="s">
        <v>2192</v>
      </c>
      <c r="E1650" s="263" t="s">
        <v>3183</v>
      </c>
      <c r="F1650" s="263" t="s">
        <v>3184</v>
      </c>
      <c r="G1650" s="108">
        <v>0.6666666666666666</v>
      </c>
      <c r="H1650" s="109" t="s">
        <v>1419</v>
      </c>
      <c r="I1650" s="109" t="s">
        <v>3185</v>
      </c>
      <c r="J1650" s="263" t="s">
        <v>3186</v>
      </c>
      <c r="K1650" s="257" t="s">
        <v>3187</v>
      </c>
      <c r="L1650" s="91"/>
      <c r="M1650" s="91"/>
      <c r="N1650" s="96" t="b">
        <v>0</v>
      </c>
      <c r="O1650" s="96" t="b">
        <v>0</v>
      </c>
      <c r="P1650" s="92"/>
      <c r="Q1650" s="92"/>
      <c r="R1650" s="92"/>
      <c r="S1650" s="92"/>
      <c r="T1650" s="92"/>
      <c r="U1650" s="92"/>
      <c r="V1650" s="92"/>
      <c r="W1650" s="92"/>
      <c r="X1650" s="92"/>
      <c r="Y1650" s="92"/>
      <c r="Z1650" s="92"/>
      <c r="AA1650" s="92"/>
      <c r="AB1650" s="92"/>
      <c r="AC1650" s="92"/>
      <c r="AD1650" s="92"/>
      <c r="AE1650" s="92"/>
      <c r="AF1650" s="92"/>
      <c r="AG1650" s="92"/>
    </row>
    <row r="1651" hidden="1">
      <c r="A1651" s="262"/>
      <c r="B1651" s="25"/>
      <c r="C1651" s="80" t="s">
        <v>78</v>
      </c>
      <c r="D1651" s="107" t="s">
        <v>2192</v>
      </c>
      <c r="E1651" s="263" t="s">
        <v>3188</v>
      </c>
      <c r="F1651" s="263" t="s">
        <v>3189</v>
      </c>
      <c r="G1651" s="108">
        <v>0.7083333333333334</v>
      </c>
      <c r="H1651" s="109" t="s">
        <v>1552</v>
      </c>
      <c r="I1651" s="109" t="s">
        <v>3190</v>
      </c>
      <c r="J1651" s="263" t="s">
        <v>3191</v>
      </c>
      <c r="K1651" s="257" t="s">
        <v>3192</v>
      </c>
      <c r="L1651" s="91"/>
      <c r="M1651" s="91"/>
      <c r="N1651" s="96" t="b">
        <v>0</v>
      </c>
      <c r="O1651" s="96" t="b">
        <v>0</v>
      </c>
      <c r="P1651" s="92"/>
      <c r="Q1651" s="92"/>
      <c r="R1651" s="92"/>
      <c r="S1651" s="92"/>
      <c r="T1651" s="92"/>
      <c r="U1651" s="92"/>
      <c r="V1651" s="92"/>
      <c r="W1651" s="92"/>
      <c r="X1651" s="92"/>
      <c r="Y1651" s="92"/>
      <c r="Z1651" s="92"/>
      <c r="AA1651" s="92"/>
      <c r="AB1651" s="92"/>
      <c r="AC1651" s="92"/>
      <c r="AD1651" s="92"/>
      <c r="AE1651" s="92"/>
      <c r="AF1651" s="92"/>
      <c r="AG1651" s="92"/>
    </row>
    <row r="1652" hidden="1">
      <c r="A1652" s="262"/>
      <c r="B1652" s="39"/>
      <c r="C1652" s="80" t="s">
        <v>78</v>
      </c>
      <c r="D1652" s="97"/>
      <c r="E1652" s="98"/>
      <c r="F1652" s="98"/>
      <c r="G1652" s="41"/>
      <c r="H1652" s="98"/>
      <c r="I1652" s="98"/>
      <c r="J1652" s="98"/>
      <c r="K1652" s="91"/>
      <c r="L1652" s="91"/>
      <c r="M1652" s="91"/>
      <c r="N1652" s="96" t="b">
        <v>0</v>
      </c>
      <c r="O1652" s="96" t="b">
        <v>0</v>
      </c>
      <c r="P1652" s="92"/>
      <c r="Q1652" s="92"/>
      <c r="R1652" s="92"/>
      <c r="S1652" s="92"/>
      <c r="T1652" s="92"/>
      <c r="U1652" s="92"/>
      <c r="V1652" s="92"/>
      <c r="W1652" s="92"/>
      <c r="X1652" s="92"/>
      <c r="Y1652" s="92"/>
      <c r="Z1652" s="92"/>
      <c r="AA1652" s="92"/>
      <c r="AB1652" s="92"/>
      <c r="AC1652" s="92"/>
      <c r="AD1652" s="92"/>
      <c r="AE1652" s="92"/>
      <c r="AF1652" s="92"/>
      <c r="AG1652" s="92"/>
    </row>
    <row r="1653" hidden="1">
      <c r="A1653" s="262"/>
      <c r="B1653" s="166"/>
      <c r="C1653" s="88">
        <v>44533.0</v>
      </c>
      <c r="D1653" s="97"/>
      <c r="E1653" s="98"/>
      <c r="F1653" s="98"/>
      <c r="G1653" s="41"/>
      <c r="H1653" s="98"/>
      <c r="I1653" s="98"/>
      <c r="J1653" s="98"/>
      <c r="K1653" s="91"/>
      <c r="L1653" s="91"/>
      <c r="M1653" s="91"/>
      <c r="N1653" s="96" t="b">
        <v>0</v>
      </c>
      <c r="O1653" s="96" t="b">
        <v>0</v>
      </c>
      <c r="P1653" s="92"/>
      <c r="Q1653" s="92"/>
      <c r="R1653" s="92"/>
      <c r="S1653" s="92"/>
      <c r="T1653" s="92"/>
      <c r="U1653" s="92"/>
      <c r="V1653" s="92"/>
      <c r="W1653" s="92"/>
      <c r="X1653" s="92"/>
      <c r="Y1653" s="92"/>
      <c r="Z1653" s="92"/>
      <c r="AA1653" s="92"/>
      <c r="AB1653" s="92"/>
      <c r="AC1653" s="92"/>
      <c r="AD1653" s="92"/>
      <c r="AE1653" s="92"/>
      <c r="AF1653" s="92"/>
      <c r="AG1653" s="92"/>
    </row>
    <row r="1654" hidden="1">
      <c r="A1654" s="262"/>
      <c r="B1654" s="18"/>
      <c r="C1654" s="78" t="s">
        <v>78</v>
      </c>
      <c r="D1654" s="97"/>
      <c r="E1654" s="98"/>
      <c r="F1654" s="98"/>
      <c r="G1654" s="41"/>
      <c r="H1654" s="98"/>
      <c r="I1654" s="98"/>
      <c r="J1654" s="98"/>
      <c r="K1654" s="91"/>
      <c r="L1654" s="91"/>
      <c r="M1654" s="91"/>
      <c r="N1654" s="96" t="b">
        <v>0</v>
      </c>
      <c r="O1654" s="96" t="b">
        <v>0</v>
      </c>
      <c r="P1654" s="92"/>
      <c r="Q1654" s="92"/>
      <c r="R1654" s="92"/>
      <c r="S1654" s="92"/>
      <c r="T1654" s="92"/>
      <c r="U1654" s="92"/>
      <c r="V1654" s="92"/>
      <c r="W1654" s="92"/>
      <c r="X1654" s="92"/>
      <c r="Y1654" s="92"/>
      <c r="Z1654" s="92"/>
      <c r="AA1654" s="92"/>
      <c r="AB1654" s="92"/>
      <c r="AC1654" s="92"/>
      <c r="AD1654" s="92"/>
      <c r="AE1654" s="92"/>
      <c r="AF1654" s="92"/>
      <c r="AG1654" s="92"/>
    </row>
    <row r="1655" hidden="1">
      <c r="A1655" s="262"/>
      <c r="B1655" s="25"/>
      <c r="C1655" s="80" t="s">
        <v>78</v>
      </c>
      <c r="D1655" s="97"/>
      <c r="E1655" s="98"/>
      <c r="F1655" s="307" t="s">
        <v>3093</v>
      </c>
      <c r="G1655" s="41"/>
      <c r="H1655" s="98"/>
      <c r="I1655" s="98"/>
      <c r="J1655" s="98"/>
      <c r="K1655" s="91"/>
      <c r="L1655" s="91"/>
      <c r="M1655" s="91"/>
      <c r="N1655" s="96" t="b">
        <v>0</v>
      </c>
      <c r="O1655" s="96" t="b">
        <v>0</v>
      </c>
      <c r="P1655" s="92"/>
      <c r="Q1655" s="92"/>
      <c r="R1655" s="92"/>
      <c r="S1655" s="92"/>
      <c r="T1655" s="92"/>
      <c r="U1655" s="92"/>
      <c r="V1655" s="92"/>
      <c r="W1655" s="92"/>
      <c r="X1655" s="92"/>
      <c r="Y1655" s="92"/>
      <c r="Z1655" s="92"/>
      <c r="AA1655" s="92"/>
      <c r="AB1655" s="92"/>
      <c r="AC1655" s="92"/>
      <c r="AD1655" s="92"/>
      <c r="AE1655" s="92"/>
      <c r="AF1655" s="92"/>
      <c r="AG1655" s="92"/>
    </row>
    <row r="1656" hidden="1">
      <c r="A1656" s="262"/>
      <c r="B1656" s="25"/>
      <c r="C1656" s="80" t="s">
        <v>78</v>
      </c>
      <c r="D1656" s="97"/>
      <c r="E1656" s="98"/>
      <c r="F1656" s="98"/>
      <c r="G1656" s="41"/>
      <c r="H1656" s="98"/>
      <c r="I1656" s="98"/>
      <c r="J1656" s="98"/>
      <c r="K1656" s="91"/>
      <c r="L1656" s="91"/>
      <c r="M1656" s="91"/>
      <c r="N1656" s="96" t="b">
        <v>0</v>
      </c>
      <c r="O1656" s="96" t="b">
        <v>0</v>
      </c>
      <c r="P1656" s="92"/>
      <c r="Q1656" s="92"/>
      <c r="R1656" s="92"/>
      <c r="S1656" s="92"/>
      <c r="T1656" s="92"/>
      <c r="U1656" s="92"/>
      <c r="V1656" s="92"/>
      <c r="W1656" s="92"/>
      <c r="X1656" s="92"/>
      <c r="Y1656" s="92"/>
      <c r="Z1656" s="92"/>
      <c r="AA1656" s="92"/>
      <c r="AB1656" s="92"/>
      <c r="AC1656" s="92"/>
      <c r="AD1656" s="92"/>
      <c r="AE1656" s="92"/>
      <c r="AF1656" s="92"/>
      <c r="AG1656" s="92"/>
    </row>
    <row r="1657" hidden="1">
      <c r="A1657" s="262"/>
      <c r="B1657" s="25"/>
      <c r="C1657" s="80" t="s">
        <v>78</v>
      </c>
      <c r="D1657" s="97"/>
      <c r="E1657" s="98"/>
      <c r="F1657" s="98"/>
      <c r="G1657" s="41"/>
      <c r="H1657" s="98"/>
      <c r="I1657" s="98"/>
      <c r="J1657" s="98"/>
      <c r="K1657" s="91"/>
      <c r="L1657" s="91"/>
      <c r="M1657" s="91"/>
      <c r="N1657" s="96" t="b">
        <v>0</v>
      </c>
      <c r="O1657" s="96" t="b">
        <v>0</v>
      </c>
      <c r="P1657" s="92"/>
      <c r="Q1657" s="92"/>
      <c r="R1657" s="92"/>
      <c r="S1657" s="92"/>
      <c r="T1657" s="92"/>
      <c r="U1657" s="92"/>
      <c r="V1657" s="92"/>
      <c r="W1657" s="92"/>
      <c r="X1657" s="92"/>
      <c r="Y1657" s="92"/>
      <c r="Z1657" s="92"/>
      <c r="AA1657" s="92"/>
      <c r="AB1657" s="92"/>
      <c r="AC1657" s="92"/>
      <c r="AD1657" s="92"/>
      <c r="AE1657" s="92"/>
      <c r="AF1657" s="92"/>
      <c r="AG1657" s="92"/>
    </row>
    <row r="1658" hidden="1">
      <c r="A1658" s="262"/>
      <c r="B1658" s="25"/>
      <c r="C1658" s="80" t="s">
        <v>78</v>
      </c>
      <c r="D1658" s="97"/>
      <c r="E1658" s="98"/>
      <c r="F1658" s="98"/>
      <c r="G1658" s="41"/>
      <c r="H1658" s="98"/>
      <c r="I1658" s="98"/>
      <c r="J1658" s="98"/>
      <c r="K1658" s="91"/>
      <c r="L1658" s="91"/>
      <c r="M1658" s="91"/>
      <c r="N1658" s="96" t="b">
        <v>0</v>
      </c>
      <c r="O1658" s="96" t="b">
        <v>0</v>
      </c>
      <c r="P1658" s="92"/>
      <c r="Q1658" s="92"/>
      <c r="R1658" s="92"/>
      <c r="S1658" s="92"/>
      <c r="T1658" s="92"/>
      <c r="U1658" s="92"/>
      <c r="V1658" s="92"/>
      <c r="W1658" s="92"/>
      <c r="X1658" s="92"/>
      <c r="Y1658" s="92"/>
      <c r="Z1658" s="92"/>
      <c r="AA1658" s="92"/>
      <c r="AB1658" s="92"/>
      <c r="AC1658" s="92"/>
      <c r="AD1658" s="92"/>
      <c r="AE1658" s="92"/>
      <c r="AF1658" s="92"/>
      <c r="AG1658" s="92"/>
    </row>
    <row r="1659" hidden="1">
      <c r="A1659" s="262"/>
      <c r="B1659" s="39"/>
      <c r="C1659" s="80" t="s">
        <v>78</v>
      </c>
      <c r="D1659" s="97"/>
      <c r="E1659" s="98"/>
      <c r="F1659" s="98"/>
      <c r="G1659" s="41"/>
      <c r="H1659" s="98"/>
      <c r="I1659" s="98"/>
      <c r="J1659" s="98"/>
      <c r="K1659" s="91"/>
      <c r="L1659" s="91"/>
      <c r="M1659" s="91"/>
      <c r="N1659" s="96" t="b">
        <v>0</v>
      </c>
      <c r="O1659" s="96" t="b">
        <v>0</v>
      </c>
      <c r="P1659" s="92"/>
      <c r="Q1659" s="92"/>
      <c r="R1659" s="92"/>
      <c r="S1659" s="92"/>
      <c r="T1659" s="92"/>
      <c r="U1659" s="92"/>
      <c r="V1659" s="92"/>
      <c r="W1659" s="92"/>
      <c r="X1659" s="92"/>
      <c r="Y1659" s="92"/>
      <c r="Z1659" s="92"/>
      <c r="AA1659" s="92"/>
      <c r="AB1659" s="92"/>
      <c r="AC1659" s="92"/>
      <c r="AD1659" s="92"/>
      <c r="AE1659" s="92"/>
      <c r="AF1659" s="92"/>
      <c r="AG1659" s="92"/>
    </row>
    <row r="1660" hidden="1">
      <c r="A1660" s="262"/>
      <c r="B1660" s="166"/>
      <c r="C1660" s="88">
        <v>44536.0</v>
      </c>
      <c r="D1660" s="97"/>
      <c r="E1660" s="98"/>
      <c r="F1660" s="98"/>
      <c r="G1660" s="41"/>
      <c r="H1660" s="98"/>
      <c r="I1660" s="98"/>
      <c r="J1660" s="98"/>
      <c r="K1660" s="91"/>
      <c r="L1660" s="91"/>
      <c r="M1660" s="91"/>
      <c r="N1660" s="96" t="b">
        <v>0</v>
      </c>
      <c r="O1660" s="96" t="b">
        <v>0</v>
      </c>
      <c r="P1660" s="92"/>
      <c r="Q1660" s="92"/>
      <c r="R1660" s="92"/>
      <c r="S1660" s="92"/>
      <c r="T1660" s="92"/>
      <c r="U1660" s="92"/>
      <c r="V1660" s="92"/>
      <c r="W1660" s="92"/>
      <c r="X1660" s="92"/>
      <c r="Y1660" s="92"/>
      <c r="Z1660" s="92"/>
      <c r="AA1660" s="92"/>
      <c r="AB1660" s="92"/>
      <c r="AC1660" s="92"/>
      <c r="AD1660" s="92"/>
      <c r="AE1660" s="92"/>
      <c r="AF1660" s="92"/>
      <c r="AG1660" s="92"/>
    </row>
    <row r="1661" hidden="1">
      <c r="A1661" s="262"/>
      <c r="B1661" s="18"/>
      <c r="C1661" s="78" t="s">
        <v>78</v>
      </c>
      <c r="D1661" s="97"/>
      <c r="E1661" s="98"/>
      <c r="F1661" s="307" t="s">
        <v>3093</v>
      </c>
      <c r="G1661" s="41"/>
      <c r="H1661" s="98"/>
      <c r="I1661" s="98"/>
      <c r="J1661" s="98"/>
      <c r="K1661" s="91"/>
      <c r="L1661" s="91"/>
      <c r="M1661" s="91"/>
      <c r="N1661" s="96" t="b">
        <v>0</v>
      </c>
      <c r="O1661" s="96" t="b">
        <v>0</v>
      </c>
      <c r="P1661" s="92"/>
      <c r="Q1661" s="92"/>
      <c r="R1661" s="92"/>
      <c r="S1661" s="92"/>
      <c r="T1661" s="92"/>
      <c r="U1661" s="92"/>
      <c r="V1661" s="92"/>
      <c r="W1661" s="92"/>
      <c r="X1661" s="92"/>
      <c r="Y1661" s="92"/>
      <c r="Z1661" s="92"/>
      <c r="AA1661" s="92"/>
      <c r="AB1661" s="92"/>
      <c r="AC1661" s="92"/>
      <c r="AD1661" s="92"/>
      <c r="AE1661" s="92"/>
      <c r="AF1661" s="92"/>
      <c r="AG1661" s="92"/>
    </row>
    <row r="1662" hidden="1">
      <c r="A1662" s="262"/>
      <c r="B1662" s="25"/>
      <c r="C1662" s="80" t="s">
        <v>78</v>
      </c>
      <c r="D1662" s="97"/>
      <c r="E1662" s="98"/>
      <c r="F1662" s="98"/>
      <c r="G1662" s="41"/>
      <c r="H1662" s="98"/>
      <c r="I1662" s="98"/>
      <c r="J1662" s="98"/>
      <c r="K1662" s="91"/>
      <c r="L1662" s="91"/>
      <c r="M1662" s="91"/>
      <c r="N1662" s="96" t="b">
        <v>0</v>
      </c>
      <c r="O1662" s="96" t="b">
        <v>0</v>
      </c>
      <c r="P1662" s="92"/>
      <c r="Q1662" s="92"/>
      <c r="R1662" s="92"/>
      <c r="S1662" s="92"/>
      <c r="T1662" s="92"/>
      <c r="U1662" s="92"/>
      <c r="V1662" s="92"/>
      <c r="W1662" s="92"/>
      <c r="X1662" s="92"/>
      <c r="Y1662" s="92"/>
      <c r="Z1662" s="92"/>
      <c r="AA1662" s="92"/>
      <c r="AB1662" s="92"/>
      <c r="AC1662" s="92"/>
      <c r="AD1662" s="92"/>
      <c r="AE1662" s="92"/>
      <c r="AF1662" s="92"/>
      <c r="AG1662" s="92"/>
    </row>
    <row r="1663" hidden="1">
      <c r="A1663" s="262"/>
      <c r="B1663" s="25"/>
      <c r="C1663" s="80" t="s">
        <v>78</v>
      </c>
      <c r="D1663" s="97"/>
      <c r="E1663" s="98"/>
      <c r="F1663" s="98"/>
      <c r="G1663" s="41"/>
      <c r="H1663" s="98"/>
      <c r="I1663" s="98"/>
      <c r="J1663" s="98"/>
      <c r="K1663" s="91"/>
      <c r="L1663" s="91"/>
      <c r="M1663" s="91"/>
      <c r="N1663" s="96" t="b">
        <v>0</v>
      </c>
      <c r="O1663" s="96" t="b">
        <v>0</v>
      </c>
      <c r="P1663" s="92"/>
      <c r="Q1663" s="92"/>
      <c r="R1663" s="92"/>
      <c r="S1663" s="92"/>
      <c r="T1663" s="92"/>
      <c r="U1663" s="92"/>
      <c r="V1663" s="92"/>
      <c r="W1663" s="92"/>
      <c r="X1663" s="92"/>
      <c r="Y1663" s="92"/>
      <c r="Z1663" s="92"/>
      <c r="AA1663" s="92"/>
      <c r="AB1663" s="92"/>
      <c r="AC1663" s="92"/>
      <c r="AD1663" s="92"/>
      <c r="AE1663" s="92"/>
      <c r="AF1663" s="92"/>
      <c r="AG1663" s="92"/>
    </row>
    <row r="1664" hidden="1">
      <c r="A1664" s="262"/>
      <c r="B1664" s="25"/>
      <c r="C1664" s="80" t="s">
        <v>78</v>
      </c>
      <c r="D1664" s="97"/>
      <c r="E1664" s="98"/>
      <c r="F1664" s="98"/>
      <c r="G1664" s="41"/>
      <c r="H1664" s="98"/>
      <c r="I1664" s="98"/>
      <c r="J1664" s="98"/>
      <c r="K1664" s="91"/>
      <c r="L1664" s="91"/>
      <c r="M1664" s="91"/>
      <c r="N1664" s="96" t="b">
        <v>0</v>
      </c>
      <c r="O1664" s="96" t="b">
        <v>0</v>
      </c>
      <c r="P1664" s="92"/>
      <c r="Q1664" s="92"/>
      <c r="R1664" s="92"/>
      <c r="S1664" s="92"/>
      <c r="T1664" s="92"/>
      <c r="U1664" s="92"/>
      <c r="V1664" s="92"/>
      <c r="W1664" s="92"/>
      <c r="X1664" s="92"/>
      <c r="Y1664" s="92"/>
      <c r="Z1664" s="92"/>
      <c r="AA1664" s="92"/>
      <c r="AB1664" s="92"/>
      <c r="AC1664" s="92"/>
      <c r="AD1664" s="92"/>
      <c r="AE1664" s="92"/>
      <c r="AF1664" s="92"/>
      <c r="AG1664" s="92"/>
    </row>
    <row r="1665" hidden="1">
      <c r="A1665" s="262"/>
      <c r="B1665" s="25"/>
      <c r="C1665" s="80" t="s">
        <v>78</v>
      </c>
      <c r="D1665" s="97"/>
      <c r="E1665" s="98"/>
      <c r="F1665" s="98"/>
      <c r="G1665" s="41"/>
      <c r="H1665" s="98"/>
      <c r="I1665" s="98"/>
      <c r="J1665" s="98"/>
      <c r="K1665" s="91"/>
      <c r="L1665" s="91"/>
      <c r="M1665" s="91"/>
      <c r="N1665" s="96" t="b">
        <v>0</v>
      </c>
      <c r="O1665" s="96" t="b">
        <v>0</v>
      </c>
      <c r="P1665" s="92"/>
      <c r="Q1665" s="92"/>
      <c r="R1665" s="92"/>
      <c r="S1665" s="92"/>
      <c r="T1665" s="92"/>
      <c r="U1665" s="92"/>
      <c r="V1665" s="92"/>
      <c r="W1665" s="92"/>
      <c r="X1665" s="92"/>
      <c r="Y1665" s="92"/>
      <c r="Z1665" s="92"/>
      <c r="AA1665" s="92"/>
      <c r="AB1665" s="92"/>
      <c r="AC1665" s="92"/>
      <c r="AD1665" s="92"/>
      <c r="AE1665" s="92"/>
      <c r="AF1665" s="92"/>
      <c r="AG1665" s="92"/>
    </row>
    <row r="1666" hidden="1">
      <c r="A1666" s="262"/>
      <c r="B1666" s="39"/>
      <c r="C1666" s="80" t="s">
        <v>78</v>
      </c>
      <c r="D1666" s="97"/>
      <c r="E1666" s="98"/>
      <c r="F1666" s="98"/>
      <c r="G1666" s="41"/>
      <c r="H1666" s="98"/>
      <c r="I1666" s="98"/>
      <c r="J1666" s="98"/>
      <c r="K1666" s="91"/>
      <c r="L1666" s="91"/>
      <c r="M1666" s="91"/>
      <c r="N1666" s="96" t="b">
        <v>0</v>
      </c>
      <c r="O1666" s="96" t="b">
        <v>0</v>
      </c>
      <c r="P1666" s="92"/>
      <c r="Q1666" s="92"/>
      <c r="R1666" s="92"/>
      <c r="S1666" s="92"/>
      <c r="T1666" s="92"/>
      <c r="U1666" s="92"/>
      <c r="V1666" s="92"/>
      <c r="W1666" s="92"/>
      <c r="X1666" s="92"/>
      <c r="Y1666" s="92"/>
      <c r="Z1666" s="92"/>
      <c r="AA1666" s="92"/>
      <c r="AB1666" s="92"/>
      <c r="AC1666" s="92"/>
      <c r="AD1666" s="92"/>
      <c r="AE1666" s="92"/>
      <c r="AF1666" s="92"/>
      <c r="AG1666" s="92"/>
    </row>
    <row r="1667" hidden="1">
      <c r="A1667" s="262"/>
      <c r="B1667" s="166"/>
      <c r="C1667" s="88">
        <v>44537.0</v>
      </c>
      <c r="D1667" s="97"/>
      <c r="E1667" s="98"/>
      <c r="F1667" s="98"/>
      <c r="G1667" s="41"/>
      <c r="H1667" s="98"/>
      <c r="I1667" s="98"/>
      <c r="J1667" s="98"/>
      <c r="K1667" s="91"/>
      <c r="L1667" s="91"/>
      <c r="M1667" s="91"/>
      <c r="N1667" s="96" t="b">
        <v>0</v>
      </c>
      <c r="O1667" s="96" t="b">
        <v>0</v>
      </c>
      <c r="P1667" s="92"/>
      <c r="Q1667" s="92"/>
      <c r="R1667" s="92"/>
      <c r="S1667" s="92"/>
      <c r="T1667" s="92"/>
      <c r="U1667" s="92"/>
      <c r="V1667" s="92"/>
      <c r="W1667" s="92"/>
      <c r="X1667" s="92"/>
      <c r="Y1667" s="92"/>
      <c r="Z1667" s="92"/>
      <c r="AA1667" s="92"/>
      <c r="AB1667" s="92"/>
      <c r="AC1667" s="92"/>
      <c r="AD1667" s="92"/>
      <c r="AE1667" s="92"/>
      <c r="AF1667" s="92"/>
      <c r="AG1667" s="92"/>
    </row>
    <row r="1668" hidden="1">
      <c r="A1668" s="262"/>
      <c r="B1668" s="18"/>
      <c r="C1668" s="78" t="s">
        <v>78</v>
      </c>
      <c r="D1668" s="97"/>
      <c r="E1668" s="98"/>
      <c r="F1668" s="307" t="s">
        <v>3093</v>
      </c>
      <c r="G1668" s="41"/>
      <c r="H1668" s="98"/>
      <c r="I1668" s="98"/>
      <c r="J1668" s="98"/>
      <c r="K1668" s="91"/>
      <c r="L1668" s="91"/>
      <c r="M1668" s="91"/>
      <c r="N1668" s="96" t="b">
        <v>0</v>
      </c>
      <c r="O1668" s="96" t="b">
        <v>0</v>
      </c>
      <c r="P1668" s="92"/>
      <c r="Q1668" s="92"/>
      <c r="R1668" s="92"/>
      <c r="S1668" s="92"/>
      <c r="T1668" s="92"/>
      <c r="U1668" s="92"/>
      <c r="V1668" s="92"/>
      <c r="W1668" s="92"/>
      <c r="X1668" s="92"/>
      <c r="Y1668" s="92"/>
      <c r="Z1668" s="92"/>
      <c r="AA1668" s="92"/>
      <c r="AB1668" s="92"/>
      <c r="AC1668" s="92"/>
      <c r="AD1668" s="92"/>
      <c r="AE1668" s="92"/>
      <c r="AF1668" s="92"/>
      <c r="AG1668" s="92"/>
    </row>
    <row r="1669" hidden="1">
      <c r="A1669" s="262"/>
      <c r="B1669" s="25"/>
      <c r="C1669" s="80" t="s">
        <v>78</v>
      </c>
      <c r="D1669" s="97"/>
      <c r="E1669" s="98"/>
      <c r="F1669" s="98"/>
      <c r="G1669" s="41"/>
      <c r="H1669" s="98"/>
      <c r="I1669" s="98"/>
      <c r="J1669" s="98"/>
      <c r="K1669" s="91"/>
      <c r="L1669" s="91"/>
      <c r="M1669" s="91"/>
      <c r="N1669" s="96" t="b">
        <v>0</v>
      </c>
      <c r="O1669" s="96" t="b">
        <v>0</v>
      </c>
      <c r="P1669" s="92"/>
      <c r="Q1669" s="92"/>
      <c r="R1669" s="92"/>
      <c r="S1669" s="92"/>
      <c r="T1669" s="92"/>
      <c r="U1669" s="92"/>
      <c r="V1669" s="92"/>
      <c r="W1669" s="92"/>
      <c r="X1669" s="92"/>
      <c r="Y1669" s="92"/>
      <c r="Z1669" s="92"/>
      <c r="AA1669" s="92"/>
      <c r="AB1669" s="92"/>
      <c r="AC1669" s="92"/>
      <c r="AD1669" s="92"/>
      <c r="AE1669" s="92"/>
      <c r="AF1669" s="92"/>
      <c r="AG1669" s="92"/>
    </row>
    <row r="1670" hidden="1">
      <c r="A1670" s="262"/>
      <c r="B1670" s="25"/>
      <c r="C1670" s="80" t="s">
        <v>78</v>
      </c>
      <c r="D1670" s="97"/>
      <c r="E1670" s="98"/>
      <c r="F1670" s="98"/>
      <c r="G1670" s="41"/>
      <c r="H1670" s="98"/>
      <c r="I1670" s="98"/>
      <c r="J1670" s="98"/>
      <c r="K1670" s="91"/>
      <c r="L1670" s="91"/>
      <c r="M1670" s="91"/>
      <c r="N1670" s="96" t="b">
        <v>0</v>
      </c>
      <c r="O1670" s="96" t="b">
        <v>0</v>
      </c>
      <c r="P1670" s="92"/>
      <c r="Q1670" s="92"/>
      <c r="R1670" s="92"/>
      <c r="S1670" s="92"/>
      <c r="T1670" s="92"/>
      <c r="U1670" s="92"/>
      <c r="V1670" s="92"/>
      <c r="W1670" s="92"/>
      <c r="X1670" s="92"/>
      <c r="Y1670" s="92"/>
      <c r="Z1670" s="92"/>
      <c r="AA1670" s="92"/>
      <c r="AB1670" s="92"/>
      <c r="AC1670" s="92"/>
      <c r="AD1670" s="92"/>
      <c r="AE1670" s="92"/>
      <c r="AF1670" s="92"/>
      <c r="AG1670" s="92"/>
    </row>
    <row r="1671" hidden="1">
      <c r="A1671" s="262"/>
      <c r="B1671" s="25"/>
      <c r="C1671" s="80" t="s">
        <v>78</v>
      </c>
      <c r="D1671" s="97"/>
      <c r="E1671" s="98"/>
      <c r="F1671" s="98"/>
      <c r="G1671" s="41"/>
      <c r="H1671" s="98"/>
      <c r="I1671" s="98"/>
      <c r="J1671" s="98"/>
      <c r="K1671" s="91"/>
      <c r="L1671" s="91"/>
      <c r="M1671" s="91"/>
      <c r="N1671" s="96" t="b">
        <v>0</v>
      </c>
      <c r="O1671" s="96" t="b">
        <v>0</v>
      </c>
      <c r="P1671" s="92"/>
      <c r="Q1671" s="92"/>
      <c r="R1671" s="92"/>
      <c r="S1671" s="92"/>
      <c r="T1671" s="92"/>
      <c r="U1671" s="92"/>
      <c r="V1671" s="92"/>
      <c r="W1671" s="92"/>
      <c r="X1671" s="92"/>
      <c r="Y1671" s="92"/>
      <c r="Z1671" s="92"/>
      <c r="AA1671" s="92"/>
      <c r="AB1671" s="92"/>
      <c r="AC1671" s="92"/>
      <c r="AD1671" s="92"/>
      <c r="AE1671" s="92"/>
      <c r="AF1671" s="92"/>
      <c r="AG1671" s="92"/>
    </row>
    <row r="1672" hidden="1">
      <c r="A1672" s="262"/>
      <c r="B1672" s="25"/>
      <c r="C1672" s="80" t="s">
        <v>78</v>
      </c>
      <c r="D1672" s="97"/>
      <c r="E1672" s="98"/>
      <c r="F1672" s="98"/>
      <c r="G1672" s="41"/>
      <c r="H1672" s="98"/>
      <c r="I1672" s="98"/>
      <c r="J1672" s="98"/>
      <c r="K1672" s="91"/>
      <c r="L1672" s="91"/>
      <c r="M1672" s="91"/>
      <c r="N1672" s="96" t="b">
        <v>0</v>
      </c>
      <c r="O1672" s="96" t="b">
        <v>0</v>
      </c>
      <c r="P1672" s="92"/>
      <c r="Q1672" s="92"/>
      <c r="R1672" s="92"/>
      <c r="S1672" s="92"/>
      <c r="T1672" s="92"/>
      <c r="U1672" s="92"/>
      <c r="V1672" s="92"/>
      <c r="W1672" s="92"/>
      <c r="X1672" s="92"/>
      <c r="Y1672" s="92"/>
      <c r="Z1672" s="92"/>
      <c r="AA1672" s="92"/>
      <c r="AB1672" s="92"/>
      <c r="AC1672" s="92"/>
      <c r="AD1672" s="92"/>
      <c r="AE1672" s="92"/>
      <c r="AF1672" s="92"/>
      <c r="AG1672" s="92"/>
    </row>
    <row r="1673" hidden="1">
      <c r="A1673" s="262"/>
      <c r="B1673" s="39"/>
      <c r="C1673" s="80" t="s">
        <v>78</v>
      </c>
      <c r="D1673" s="97"/>
      <c r="E1673" s="98"/>
      <c r="F1673" s="98"/>
      <c r="G1673" s="41"/>
      <c r="H1673" s="98"/>
      <c r="I1673" s="98"/>
      <c r="J1673" s="98"/>
      <c r="K1673" s="91"/>
      <c r="L1673" s="91"/>
      <c r="M1673" s="91"/>
      <c r="N1673" s="96" t="b">
        <v>0</v>
      </c>
      <c r="O1673" s="96" t="b">
        <v>0</v>
      </c>
      <c r="P1673" s="92"/>
      <c r="Q1673" s="92"/>
      <c r="R1673" s="92"/>
      <c r="S1673" s="92"/>
      <c r="T1673" s="92"/>
      <c r="U1673" s="92"/>
      <c r="V1673" s="92"/>
      <c r="W1673" s="92"/>
      <c r="X1673" s="92"/>
      <c r="Y1673" s="92"/>
      <c r="Z1673" s="92"/>
      <c r="AA1673" s="92"/>
      <c r="AB1673" s="92"/>
      <c r="AC1673" s="92"/>
      <c r="AD1673" s="92"/>
      <c r="AE1673" s="92"/>
      <c r="AF1673" s="92"/>
      <c r="AG1673" s="92"/>
    </row>
    <row r="1674" hidden="1">
      <c r="A1674" s="262"/>
      <c r="B1674" s="166"/>
      <c r="C1674" s="88">
        <v>44538.0</v>
      </c>
      <c r="D1674" s="97"/>
      <c r="E1674" s="98"/>
      <c r="F1674" s="98"/>
      <c r="G1674" s="41"/>
      <c r="H1674" s="98"/>
      <c r="I1674" s="98"/>
      <c r="J1674" s="98"/>
      <c r="K1674" s="91"/>
      <c r="L1674" s="91"/>
      <c r="M1674" s="91"/>
      <c r="N1674" s="96" t="b">
        <v>0</v>
      </c>
      <c r="O1674" s="96" t="b">
        <v>0</v>
      </c>
      <c r="P1674" s="92"/>
      <c r="Q1674" s="92"/>
      <c r="R1674" s="92"/>
      <c r="S1674" s="92"/>
      <c r="T1674" s="92"/>
      <c r="U1674" s="92"/>
      <c r="V1674" s="92"/>
      <c r="W1674" s="92"/>
      <c r="X1674" s="92"/>
      <c r="Y1674" s="92"/>
      <c r="Z1674" s="92"/>
      <c r="AA1674" s="92"/>
      <c r="AB1674" s="92"/>
      <c r="AC1674" s="92"/>
      <c r="AD1674" s="92"/>
      <c r="AE1674" s="92"/>
      <c r="AF1674" s="92"/>
      <c r="AG1674" s="92"/>
    </row>
    <row r="1675" hidden="1">
      <c r="A1675" s="262"/>
      <c r="B1675" s="18"/>
      <c r="C1675" s="78" t="s">
        <v>78</v>
      </c>
      <c r="D1675" s="97"/>
      <c r="E1675" s="98"/>
      <c r="F1675" s="98"/>
      <c r="G1675" s="41"/>
      <c r="H1675" s="98"/>
      <c r="I1675" s="98"/>
      <c r="J1675" s="98"/>
      <c r="K1675" s="91"/>
      <c r="L1675" s="91"/>
      <c r="M1675" s="91"/>
      <c r="N1675" s="96" t="b">
        <v>0</v>
      </c>
      <c r="O1675" s="96" t="b">
        <v>0</v>
      </c>
      <c r="P1675" s="92"/>
      <c r="Q1675" s="92"/>
      <c r="R1675" s="92"/>
      <c r="S1675" s="92"/>
      <c r="T1675" s="92"/>
      <c r="U1675" s="92"/>
      <c r="V1675" s="92"/>
      <c r="W1675" s="92"/>
      <c r="X1675" s="92"/>
      <c r="Y1675" s="92"/>
      <c r="Z1675" s="92"/>
      <c r="AA1675" s="92"/>
      <c r="AB1675" s="92"/>
      <c r="AC1675" s="92"/>
      <c r="AD1675" s="92"/>
      <c r="AE1675" s="92"/>
      <c r="AF1675" s="92"/>
      <c r="AG1675" s="92"/>
    </row>
    <row r="1676" hidden="1">
      <c r="A1676" s="262"/>
      <c r="B1676" s="25"/>
      <c r="C1676" s="80" t="s">
        <v>78</v>
      </c>
      <c r="D1676" s="107" t="s">
        <v>2192</v>
      </c>
      <c r="E1676" s="263" t="s">
        <v>3193</v>
      </c>
      <c r="F1676" s="184" t="s">
        <v>3194</v>
      </c>
      <c r="G1676" s="108">
        <v>0.5</v>
      </c>
      <c r="H1676" s="263" t="s">
        <v>996</v>
      </c>
      <c r="I1676" s="184" t="s">
        <v>3195</v>
      </c>
      <c r="J1676" s="263" t="s">
        <v>3196</v>
      </c>
      <c r="K1676" s="98" t="s">
        <v>3197</v>
      </c>
      <c r="L1676" s="91"/>
      <c r="M1676" s="91"/>
      <c r="N1676" s="96" t="b">
        <v>0</v>
      </c>
      <c r="O1676" s="96" t="b">
        <v>0</v>
      </c>
      <c r="P1676" s="92"/>
      <c r="Q1676" s="92"/>
      <c r="R1676" s="92"/>
      <c r="S1676" s="92"/>
      <c r="T1676" s="92"/>
      <c r="U1676" s="92"/>
      <c r="V1676" s="92"/>
      <c r="W1676" s="92"/>
      <c r="X1676" s="92"/>
      <c r="Y1676" s="92"/>
      <c r="Z1676" s="92"/>
      <c r="AA1676" s="92"/>
      <c r="AB1676" s="92"/>
      <c r="AC1676" s="92"/>
      <c r="AD1676" s="92"/>
      <c r="AE1676" s="92"/>
      <c r="AF1676" s="92"/>
      <c r="AG1676" s="92"/>
    </row>
    <row r="1677" hidden="1">
      <c r="A1677" s="262"/>
      <c r="B1677" s="25"/>
      <c r="C1677" s="80" t="s">
        <v>78</v>
      </c>
      <c r="D1677" s="107" t="s">
        <v>2192</v>
      </c>
      <c r="E1677" s="184" t="s">
        <v>3198</v>
      </c>
      <c r="F1677" s="263" t="s">
        <v>3199</v>
      </c>
      <c r="G1677" s="108">
        <v>0.5833333333333334</v>
      </c>
      <c r="H1677" s="184" t="s">
        <v>185</v>
      </c>
      <c r="I1677" s="184" t="s">
        <v>3200</v>
      </c>
      <c r="J1677" s="184" t="s">
        <v>3201</v>
      </c>
      <c r="K1677" s="98" t="s">
        <v>3202</v>
      </c>
      <c r="L1677" s="91"/>
      <c r="M1677" s="91"/>
      <c r="N1677" s="96" t="b">
        <v>0</v>
      </c>
      <c r="O1677" s="96" t="b">
        <v>0</v>
      </c>
      <c r="P1677" s="92"/>
      <c r="Q1677" s="92"/>
      <c r="R1677" s="92"/>
      <c r="S1677" s="92"/>
      <c r="T1677" s="92"/>
      <c r="U1677" s="92"/>
      <c r="V1677" s="92"/>
      <c r="W1677" s="92"/>
      <c r="X1677" s="92"/>
      <c r="Y1677" s="92"/>
      <c r="Z1677" s="92"/>
      <c r="AA1677" s="92"/>
      <c r="AB1677" s="92"/>
      <c r="AC1677" s="92"/>
      <c r="AD1677" s="92"/>
      <c r="AE1677" s="92"/>
      <c r="AF1677" s="92"/>
      <c r="AG1677" s="92"/>
    </row>
    <row r="1678" hidden="1">
      <c r="A1678" s="262"/>
      <c r="B1678" s="25"/>
      <c r="C1678" s="80" t="s">
        <v>78</v>
      </c>
      <c r="D1678" s="107" t="s">
        <v>2192</v>
      </c>
      <c r="E1678" s="263" t="s">
        <v>3203</v>
      </c>
      <c r="F1678" s="184" t="s">
        <v>3204</v>
      </c>
      <c r="G1678" s="108">
        <v>0.625</v>
      </c>
      <c r="H1678" s="263" t="s">
        <v>233</v>
      </c>
      <c r="I1678" s="184" t="s">
        <v>3205</v>
      </c>
      <c r="J1678" s="263" t="s">
        <v>3206</v>
      </c>
      <c r="K1678" s="98" t="s">
        <v>3207</v>
      </c>
      <c r="L1678" s="91"/>
      <c r="M1678" s="91"/>
      <c r="N1678" s="96" t="b">
        <v>0</v>
      </c>
      <c r="O1678" s="96" t="b">
        <v>0</v>
      </c>
      <c r="P1678" s="92"/>
      <c r="Q1678" s="92"/>
      <c r="R1678" s="92"/>
      <c r="S1678" s="92"/>
      <c r="T1678" s="92"/>
      <c r="U1678" s="92"/>
      <c r="V1678" s="92"/>
      <c r="W1678" s="92"/>
      <c r="X1678" s="92"/>
      <c r="Y1678" s="92"/>
      <c r="Z1678" s="92"/>
      <c r="AA1678" s="92"/>
      <c r="AB1678" s="92"/>
      <c r="AC1678" s="92"/>
      <c r="AD1678" s="92"/>
      <c r="AE1678" s="92"/>
      <c r="AF1678" s="92"/>
      <c r="AG1678" s="92"/>
    </row>
    <row r="1679" hidden="1">
      <c r="A1679" s="262"/>
      <c r="B1679" s="25"/>
      <c r="C1679" s="80" t="s">
        <v>78</v>
      </c>
      <c r="D1679" s="107" t="s">
        <v>2192</v>
      </c>
      <c r="E1679" s="184" t="s">
        <v>3208</v>
      </c>
      <c r="F1679" s="263" t="s">
        <v>3209</v>
      </c>
      <c r="G1679" s="108">
        <v>0.7083333333333334</v>
      </c>
      <c r="H1679" s="184" t="s">
        <v>233</v>
      </c>
      <c r="I1679" s="184" t="s">
        <v>3210</v>
      </c>
      <c r="J1679" s="184" t="s">
        <v>3211</v>
      </c>
      <c r="K1679" s="98" t="s">
        <v>3212</v>
      </c>
      <c r="L1679" s="91"/>
      <c r="M1679" s="91"/>
      <c r="N1679" s="96" t="b">
        <v>0</v>
      </c>
      <c r="O1679" s="96" t="b">
        <v>0</v>
      </c>
      <c r="P1679" s="92"/>
      <c r="Q1679" s="92"/>
      <c r="R1679" s="92"/>
      <c r="S1679" s="92"/>
      <c r="T1679" s="92"/>
      <c r="U1679" s="92"/>
      <c r="V1679" s="92"/>
      <c r="W1679" s="92"/>
      <c r="X1679" s="92"/>
      <c r="Y1679" s="92"/>
      <c r="Z1679" s="92"/>
      <c r="AA1679" s="92"/>
      <c r="AB1679" s="92"/>
      <c r="AC1679" s="92"/>
      <c r="AD1679" s="92"/>
      <c r="AE1679" s="92"/>
      <c r="AF1679" s="92"/>
      <c r="AG1679" s="92"/>
    </row>
    <row r="1680" hidden="1">
      <c r="A1680" s="262"/>
      <c r="B1680" s="39"/>
      <c r="C1680" s="80" t="s">
        <v>78</v>
      </c>
      <c r="D1680" s="97"/>
      <c r="E1680" s="98"/>
      <c r="F1680" s="98"/>
      <c r="G1680" s="41"/>
      <c r="H1680" s="98"/>
      <c r="I1680" s="98"/>
      <c r="J1680" s="98"/>
      <c r="K1680" s="91"/>
      <c r="L1680" s="91"/>
      <c r="M1680" s="91"/>
      <c r="N1680" s="96" t="b">
        <v>0</v>
      </c>
      <c r="O1680" s="96" t="b">
        <v>0</v>
      </c>
      <c r="P1680" s="92"/>
      <c r="Q1680" s="92"/>
      <c r="R1680" s="92"/>
      <c r="S1680" s="92"/>
      <c r="T1680" s="92"/>
      <c r="U1680" s="92"/>
      <c r="V1680" s="92"/>
      <c r="W1680" s="92"/>
      <c r="X1680" s="92"/>
      <c r="Y1680" s="92"/>
      <c r="Z1680" s="92"/>
      <c r="AA1680" s="92"/>
      <c r="AB1680" s="92"/>
      <c r="AC1680" s="92"/>
      <c r="AD1680" s="92"/>
      <c r="AE1680" s="92"/>
      <c r="AF1680" s="92"/>
      <c r="AG1680" s="92"/>
    </row>
    <row r="1681" hidden="1">
      <c r="A1681" s="262"/>
      <c r="B1681" s="166"/>
      <c r="C1681" s="88">
        <v>44539.0</v>
      </c>
      <c r="D1681" s="97"/>
      <c r="E1681" s="98"/>
      <c r="F1681" s="98"/>
      <c r="G1681" s="41"/>
      <c r="H1681" s="98"/>
      <c r="I1681" s="98"/>
      <c r="J1681" s="98"/>
      <c r="K1681" s="91"/>
      <c r="L1681" s="91"/>
      <c r="M1681" s="91"/>
      <c r="N1681" s="96" t="b">
        <v>0</v>
      </c>
      <c r="O1681" s="96" t="b">
        <v>0</v>
      </c>
      <c r="P1681" s="92"/>
      <c r="Q1681" s="92"/>
      <c r="R1681" s="92"/>
      <c r="S1681" s="92"/>
      <c r="T1681" s="92"/>
      <c r="U1681" s="92"/>
      <c r="V1681" s="92"/>
      <c r="W1681" s="92"/>
      <c r="X1681" s="92"/>
      <c r="Y1681" s="92"/>
      <c r="Z1681" s="92"/>
      <c r="AA1681" s="92"/>
      <c r="AB1681" s="92"/>
      <c r="AC1681" s="92"/>
      <c r="AD1681" s="92"/>
      <c r="AE1681" s="92"/>
      <c r="AF1681" s="92"/>
      <c r="AG1681" s="92"/>
    </row>
    <row r="1682" hidden="1">
      <c r="A1682" s="262"/>
      <c r="B1682" s="18"/>
      <c r="C1682" s="78" t="s">
        <v>78</v>
      </c>
      <c r="D1682" s="97"/>
      <c r="E1682" s="98"/>
      <c r="F1682" s="98"/>
      <c r="G1682" s="41"/>
      <c r="H1682" s="98"/>
      <c r="I1682" s="98"/>
      <c r="J1682" s="98"/>
      <c r="K1682" s="91"/>
      <c r="L1682" s="91"/>
      <c r="M1682" s="91"/>
      <c r="N1682" s="96" t="b">
        <v>0</v>
      </c>
      <c r="O1682" s="96" t="b">
        <v>0</v>
      </c>
      <c r="P1682" s="92"/>
      <c r="Q1682" s="92"/>
      <c r="R1682" s="92"/>
      <c r="S1682" s="92"/>
      <c r="T1682" s="92"/>
      <c r="U1682" s="92"/>
      <c r="V1682" s="92"/>
      <c r="W1682" s="92"/>
      <c r="X1682" s="92"/>
      <c r="Y1682" s="92"/>
      <c r="Z1682" s="92"/>
      <c r="AA1682" s="92"/>
      <c r="AB1682" s="92"/>
      <c r="AC1682" s="92"/>
      <c r="AD1682" s="92"/>
      <c r="AE1682" s="92"/>
      <c r="AF1682" s="92"/>
      <c r="AG1682" s="92"/>
    </row>
    <row r="1683" hidden="1">
      <c r="A1683" s="262"/>
      <c r="B1683" s="25"/>
      <c r="C1683" s="80" t="s">
        <v>78</v>
      </c>
      <c r="D1683" s="302" t="s">
        <v>3213</v>
      </c>
      <c r="E1683" s="263" t="s">
        <v>3214</v>
      </c>
      <c r="F1683" s="263" t="s">
        <v>3215</v>
      </c>
      <c r="G1683" s="108">
        <v>0.5</v>
      </c>
      <c r="H1683" s="109" t="s">
        <v>1419</v>
      </c>
      <c r="I1683" s="109" t="s">
        <v>3216</v>
      </c>
      <c r="J1683" s="263" t="s">
        <v>3217</v>
      </c>
      <c r="K1683" s="98" t="s">
        <v>3218</v>
      </c>
      <c r="L1683" s="91"/>
      <c r="M1683" s="91"/>
      <c r="N1683" s="96" t="b">
        <v>0</v>
      </c>
      <c r="O1683" s="96" t="b">
        <v>0</v>
      </c>
      <c r="P1683" s="92"/>
      <c r="Q1683" s="92"/>
      <c r="R1683" s="92"/>
      <c r="S1683" s="92"/>
      <c r="T1683" s="92"/>
      <c r="U1683" s="92"/>
      <c r="V1683" s="92"/>
      <c r="W1683" s="92"/>
      <c r="X1683" s="92"/>
      <c r="Y1683" s="92"/>
      <c r="Z1683" s="92"/>
      <c r="AA1683" s="92"/>
      <c r="AB1683" s="92"/>
      <c r="AC1683" s="92"/>
      <c r="AD1683" s="92"/>
      <c r="AE1683" s="92"/>
      <c r="AF1683" s="92"/>
      <c r="AG1683" s="92"/>
    </row>
    <row r="1684" hidden="1">
      <c r="A1684" s="262"/>
      <c r="B1684" s="25"/>
      <c r="C1684" s="80" t="s">
        <v>78</v>
      </c>
      <c r="D1684" s="300" t="s">
        <v>3213</v>
      </c>
      <c r="E1684" s="269" t="s">
        <v>3219</v>
      </c>
      <c r="F1684" s="269" t="s">
        <v>3220</v>
      </c>
      <c r="G1684" s="161">
        <v>0.5833333333333334</v>
      </c>
      <c r="H1684" s="162" t="s">
        <v>1419</v>
      </c>
      <c r="I1684" s="269" t="s">
        <v>3221</v>
      </c>
      <c r="J1684" s="269" t="s">
        <v>397</v>
      </c>
      <c r="K1684" s="91"/>
      <c r="L1684" s="91"/>
      <c r="M1684" s="91"/>
      <c r="N1684" s="96" t="b">
        <v>0</v>
      </c>
      <c r="O1684" s="96" t="b">
        <v>0</v>
      </c>
      <c r="P1684" s="92"/>
      <c r="Q1684" s="92"/>
      <c r="R1684" s="92"/>
      <c r="S1684" s="92"/>
      <c r="T1684" s="92"/>
      <c r="U1684" s="92"/>
      <c r="V1684" s="92"/>
      <c r="W1684" s="92"/>
      <c r="X1684" s="92"/>
      <c r="Y1684" s="92"/>
      <c r="Z1684" s="92"/>
      <c r="AA1684" s="92"/>
      <c r="AB1684" s="92"/>
      <c r="AC1684" s="92"/>
      <c r="AD1684" s="92"/>
      <c r="AE1684" s="92"/>
      <c r="AF1684" s="92"/>
      <c r="AG1684" s="92"/>
    </row>
    <row r="1685" hidden="1">
      <c r="A1685" s="262"/>
      <c r="B1685" s="25"/>
      <c r="C1685" s="80" t="s">
        <v>78</v>
      </c>
      <c r="D1685" s="302" t="s">
        <v>3213</v>
      </c>
      <c r="E1685" s="263" t="s">
        <v>1774</v>
      </c>
      <c r="F1685" s="263" t="s">
        <v>1775</v>
      </c>
      <c r="G1685" s="108">
        <v>0.6666666666666666</v>
      </c>
      <c r="H1685" s="109" t="s">
        <v>407</v>
      </c>
      <c r="I1685" s="109" t="s">
        <v>3222</v>
      </c>
      <c r="J1685" s="263" t="s">
        <v>1416</v>
      </c>
      <c r="K1685" s="98" t="s">
        <v>3223</v>
      </c>
      <c r="L1685" s="91"/>
      <c r="M1685" s="91"/>
      <c r="N1685" s="96" t="b">
        <v>0</v>
      </c>
      <c r="O1685" s="96" t="b">
        <v>0</v>
      </c>
      <c r="P1685" s="92"/>
      <c r="Q1685" s="92"/>
      <c r="R1685" s="92"/>
      <c r="S1685" s="92"/>
      <c r="T1685" s="92"/>
      <c r="U1685" s="92"/>
      <c r="V1685" s="92"/>
      <c r="W1685" s="92"/>
      <c r="X1685" s="92"/>
      <c r="Y1685" s="92"/>
      <c r="Z1685" s="92"/>
      <c r="AA1685" s="92"/>
      <c r="AB1685" s="92"/>
      <c r="AC1685" s="92"/>
      <c r="AD1685" s="92"/>
      <c r="AE1685" s="92"/>
      <c r="AF1685" s="92"/>
      <c r="AG1685" s="92"/>
    </row>
    <row r="1686" hidden="1">
      <c r="A1686" s="262"/>
      <c r="B1686" s="25"/>
      <c r="C1686" s="80" t="s">
        <v>78</v>
      </c>
      <c r="D1686" s="300" t="s">
        <v>3213</v>
      </c>
      <c r="E1686" s="269" t="s">
        <v>3224</v>
      </c>
      <c r="F1686" s="269" t="s">
        <v>3225</v>
      </c>
      <c r="G1686" s="161">
        <v>0.75</v>
      </c>
      <c r="H1686" s="162" t="s">
        <v>1242</v>
      </c>
      <c r="I1686" s="269" t="s">
        <v>3226</v>
      </c>
      <c r="J1686" s="269" t="s">
        <v>2515</v>
      </c>
      <c r="K1686" s="91"/>
      <c r="L1686" s="91"/>
      <c r="M1686" s="91"/>
      <c r="N1686" s="96" t="b">
        <v>0</v>
      </c>
      <c r="O1686" s="96" t="b">
        <v>0</v>
      </c>
      <c r="P1686" s="92"/>
      <c r="Q1686" s="92"/>
      <c r="R1686" s="92"/>
      <c r="S1686" s="92"/>
      <c r="T1686" s="92"/>
      <c r="U1686" s="92"/>
      <c r="V1686" s="92"/>
      <c r="W1686" s="92"/>
      <c r="X1686" s="92"/>
      <c r="Y1686" s="92"/>
      <c r="Z1686" s="92"/>
      <c r="AA1686" s="92"/>
      <c r="AB1686" s="92"/>
      <c r="AC1686" s="92"/>
      <c r="AD1686" s="92"/>
      <c r="AE1686" s="92"/>
      <c r="AF1686" s="92"/>
      <c r="AG1686" s="92"/>
    </row>
    <row r="1687" hidden="1">
      <c r="A1687" s="262"/>
      <c r="B1687" s="39"/>
      <c r="C1687" s="80" t="s">
        <v>78</v>
      </c>
      <c r="D1687" s="97"/>
      <c r="E1687" s="98"/>
      <c r="F1687" s="98"/>
      <c r="G1687" s="41"/>
      <c r="H1687" s="98"/>
      <c r="I1687" s="98"/>
      <c r="J1687" s="98"/>
      <c r="K1687" s="91"/>
      <c r="L1687" s="91"/>
      <c r="M1687" s="91"/>
      <c r="N1687" s="96" t="b">
        <v>0</v>
      </c>
      <c r="O1687" s="96" t="b">
        <v>0</v>
      </c>
      <c r="P1687" s="92"/>
      <c r="Q1687" s="92"/>
      <c r="R1687" s="92"/>
      <c r="S1687" s="92"/>
      <c r="T1687" s="92"/>
      <c r="U1687" s="92"/>
      <c r="V1687" s="92"/>
      <c r="W1687" s="92"/>
      <c r="X1687" s="92"/>
      <c r="Y1687" s="92"/>
      <c r="Z1687" s="92"/>
      <c r="AA1687" s="92"/>
      <c r="AB1687" s="92"/>
      <c r="AC1687" s="92"/>
      <c r="AD1687" s="92"/>
      <c r="AE1687" s="92"/>
      <c r="AF1687" s="92"/>
      <c r="AG1687" s="92"/>
    </row>
    <row r="1688" hidden="1">
      <c r="A1688" s="262"/>
      <c r="B1688" s="166"/>
      <c r="C1688" s="88">
        <v>44540.0</v>
      </c>
      <c r="D1688" s="97"/>
      <c r="E1688" s="98"/>
      <c r="F1688" s="98"/>
      <c r="G1688" s="41"/>
      <c r="H1688" s="98"/>
      <c r="I1688" s="98"/>
      <c r="J1688" s="98"/>
      <c r="K1688" s="91"/>
      <c r="L1688" s="91"/>
      <c r="M1688" s="91"/>
      <c r="N1688" s="96" t="b">
        <v>0</v>
      </c>
      <c r="O1688" s="96" t="b">
        <v>0</v>
      </c>
      <c r="P1688" s="92"/>
      <c r="Q1688" s="92"/>
      <c r="R1688" s="92"/>
      <c r="S1688" s="92"/>
      <c r="T1688" s="92"/>
      <c r="U1688" s="92"/>
      <c r="V1688" s="92"/>
      <c r="W1688" s="92"/>
      <c r="X1688" s="92"/>
      <c r="Y1688" s="92"/>
      <c r="Z1688" s="92"/>
      <c r="AA1688" s="92"/>
      <c r="AB1688" s="92"/>
      <c r="AC1688" s="92"/>
      <c r="AD1688" s="92"/>
      <c r="AE1688" s="92"/>
      <c r="AF1688" s="92"/>
      <c r="AG1688" s="92"/>
    </row>
    <row r="1689" hidden="1">
      <c r="A1689" s="262"/>
      <c r="B1689" s="18"/>
      <c r="C1689" s="78" t="s">
        <v>78</v>
      </c>
      <c r="D1689" s="97"/>
      <c r="E1689" s="98"/>
      <c r="F1689" s="308"/>
      <c r="G1689" s="41"/>
      <c r="H1689" s="98"/>
      <c r="I1689" s="98"/>
      <c r="J1689" s="98"/>
      <c r="K1689" s="91"/>
      <c r="L1689" s="91"/>
      <c r="M1689" s="91"/>
      <c r="N1689" s="96" t="b">
        <v>0</v>
      </c>
      <c r="O1689" s="96" t="b">
        <v>0</v>
      </c>
      <c r="P1689" s="92"/>
      <c r="Q1689" s="92"/>
      <c r="R1689" s="92"/>
      <c r="S1689" s="92"/>
      <c r="T1689" s="92"/>
      <c r="U1689" s="92"/>
      <c r="V1689" s="92"/>
      <c r="W1689" s="92"/>
      <c r="X1689" s="92"/>
      <c r="Y1689" s="92"/>
      <c r="Z1689" s="92"/>
      <c r="AA1689" s="92"/>
      <c r="AB1689" s="92"/>
      <c r="AC1689" s="92"/>
      <c r="AD1689" s="92"/>
      <c r="AE1689" s="92"/>
      <c r="AF1689" s="92"/>
      <c r="AG1689" s="92"/>
    </row>
    <row r="1690" hidden="1">
      <c r="A1690" s="262"/>
      <c r="B1690" s="25"/>
      <c r="C1690" s="80" t="s">
        <v>78</v>
      </c>
      <c r="D1690" s="97"/>
      <c r="E1690" s="98"/>
      <c r="F1690" s="98"/>
      <c r="G1690" s="41"/>
      <c r="H1690" s="98"/>
      <c r="I1690" s="98"/>
      <c r="J1690" s="98"/>
      <c r="K1690" s="91"/>
      <c r="L1690" s="91"/>
      <c r="M1690" s="91"/>
      <c r="N1690" s="96" t="b">
        <v>0</v>
      </c>
      <c r="O1690" s="96" t="b">
        <v>0</v>
      </c>
      <c r="P1690" s="92"/>
      <c r="Q1690" s="92"/>
      <c r="R1690" s="92"/>
      <c r="S1690" s="92"/>
      <c r="T1690" s="92"/>
      <c r="U1690" s="92"/>
      <c r="V1690" s="92"/>
      <c r="W1690" s="92"/>
      <c r="X1690" s="92"/>
      <c r="Y1690" s="92"/>
      <c r="Z1690" s="92"/>
      <c r="AA1690" s="92"/>
      <c r="AB1690" s="92"/>
      <c r="AC1690" s="92"/>
      <c r="AD1690" s="92"/>
      <c r="AE1690" s="92"/>
      <c r="AF1690" s="92"/>
      <c r="AG1690" s="92"/>
    </row>
    <row r="1691" hidden="1">
      <c r="A1691" s="262"/>
      <c r="B1691" s="25"/>
      <c r="C1691" s="80" t="s">
        <v>78</v>
      </c>
      <c r="D1691" s="159" t="s">
        <v>2192</v>
      </c>
      <c r="E1691" s="269" t="s">
        <v>3193</v>
      </c>
      <c r="F1691" s="273" t="s">
        <v>3194</v>
      </c>
      <c r="G1691" s="161">
        <v>0.5</v>
      </c>
      <c r="H1691" s="269" t="s">
        <v>996</v>
      </c>
      <c r="I1691" s="273" t="s">
        <v>3195</v>
      </c>
      <c r="J1691" s="269" t="s">
        <v>3196</v>
      </c>
      <c r="K1691" s="91"/>
      <c r="L1691" s="91"/>
      <c r="M1691" s="91"/>
      <c r="N1691" s="96" t="b">
        <v>0</v>
      </c>
      <c r="O1691" s="96" t="b">
        <v>0</v>
      </c>
      <c r="P1691" s="92"/>
      <c r="Q1691" s="92"/>
      <c r="R1691" s="92"/>
      <c r="S1691" s="92"/>
      <c r="T1691" s="92"/>
      <c r="U1691" s="92"/>
      <c r="V1691" s="92"/>
      <c r="W1691" s="92"/>
      <c r="X1691" s="92"/>
      <c r="Y1691" s="92"/>
      <c r="Z1691" s="92"/>
      <c r="AA1691" s="92"/>
      <c r="AB1691" s="92"/>
      <c r="AC1691" s="92"/>
      <c r="AD1691" s="92"/>
      <c r="AE1691" s="92"/>
      <c r="AF1691" s="92"/>
      <c r="AG1691" s="92"/>
    </row>
    <row r="1692" hidden="1">
      <c r="A1692" s="262"/>
      <c r="B1692" s="25"/>
      <c r="C1692" s="80" t="s">
        <v>78</v>
      </c>
      <c r="D1692" s="159" t="s">
        <v>2192</v>
      </c>
      <c r="E1692" s="269" t="s">
        <v>3203</v>
      </c>
      <c r="F1692" s="273" t="s">
        <v>3204</v>
      </c>
      <c r="G1692" s="161">
        <v>0.6666666666666666</v>
      </c>
      <c r="H1692" s="269" t="s">
        <v>233</v>
      </c>
      <c r="I1692" s="273" t="s">
        <v>3205</v>
      </c>
      <c r="J1692" s="269" t="s">
        <v>3206</v>
      </c>
      <c r="K1692" s="91"/>
      <c r="L1692" s="91"/>
      <c r="M1692" s="91"/>
      <c r="N1692" s="96" t="b">
        <v>0</v>
      </c>
      <c r="O1692" s="96" t="b">
        <v>0</v>
      </c>
      <c r="P1692" s="92"/>
      <c r="Q1692" s="92"/>
      <c r="R1692" s="92"/>
      <c r="S1692" s="92"/>
      <c r="T1692" s="92"/>
      <c r="U1692" s="92"/>
      <c r="V1692" s="92"/>
      <c r="W1692" s="92"/>
      <c r="X1692" s="92"/>
      <c r="Y1692" s="92"/>
      <c r="Z1692" s="92"/>
      <c r="AA1692" s="92"/>
      <c r="AB1692" s="92"/>
      <c r="AC1692" s="92"/>
      <c r="AD1692" s="92"/>
      <c r="AE1692" s="92"/>
      <c r="AF1692" s="92"/>
      <c r="AG1692" s="92"/>
    </row>
    <row r="1693" hidden="1">
      <c r="A1693" s="262"/>
      <c r="B1693" s="25"/>
      <c r="C1693" s="80" t="s">
        <v>78</v>
      </c>
      <c r="D1693" s="159" t="s">
        <v>2192</v>
      </c>
      <c r="E1693" s="273" t="s">
        <v>3208</v>
      </c>
      <c r="F1693" s="269" t="s">
        <v>3209</v>
      </c>
      <c r="G1693" s="161">
        <v>0.7083333333333334</v>
      </c>
      <c r="H1693" s="273" t="s">
        <v>233</v>
      </c>
      <c r="I1693" s="273" t="s">
        <v>3210</v>
      </c>
      <c r="J1693" s="273" t="s">
        <v>3211</v>
      </c>
      <c r="K1693" s="91"/>
      <c r="L1693" s="91"/>
      <c r="M1693" s="91"/>
      <c r="N1693" s="96" t="b">
        <v>0</v>
      </c>
      <c r="O1693" s="96" t="b">
        <v>0</v>
      </c>
      <c r="P1693" s="92"/>
      <c r="Q1693" s="92"/>
      <c r="R1693" s="92"/>
      <c r="S1693" s="92"/>
      <c r="T1693" s="92"/>
      <c r="U1693" s="92"/>
      <c r="V1693" s="92"/>
      <c r="W1693" s="92"/>
      <c r="X1693" s="92"/>
      <c r="Y1693" s="92"/>
      <c r="Z1693" s="92"/>
      <c r="AA1693" s="92"/>
      <c r="AB1693" s="92"/>
      <c r="AC1693" s="92"/>
      <c r="AD1693" s="92"/>
      <c r="AE1693" s="92"/>
      <c r="AF1693" s="92"/>
      <c r="AG1693" s="92"/>
    </row>
    <row r="1694" hidden="1">
      <c r="A1694" s="262"/>
      <c r="B1694" s="39"/>
      <c r="C1694" s="80" t="s">
        <v>78</v>
      </c>
      <c r="D1694" s="97"/>
      <c r="E1694" s="98"/>
      <c r="F1694" s="98"/>
      <c r="G1694" s="41"/>
      <c r="H1694" s="98"/>
      <c r="I1694" s="98"/>
      <c r="J1694" s="98"/>
      <c r="K1694" s="91"/>
      <c r="L1694" s="91"/>
      <c r="M1694" s="91"/>
      <c r="N1694" s="96" t="b">
        <v>0</v>
      </c>
      <c r="O1694" s="96" t="b">
        <v>0</v>
      </c>
      <c r="P1694" s="92"/>
      <c r="Q1694" s="92"/>
      <c r="R1694" s="92"/>
      <c r="S1694" s="92"/>
      <c r="T1694" s="92"/>
      <c r="U1694" s="92"/>
      <c r="V1694" s="92"/>
      <c r="W1694" s="92"/>
      <c r="X1694" s="92"/>
      <c r="Y1694" s="92"/>
      <c r="Z1694" s="92"/>
      <c r="AA1694" s="92"/>
      <c r="AB1694" s="92"/>
      <c r="AC1694" s="92"/>
      <c r="AD1694" s="92"/>
      <c r="AE1694" s="92"/>
      <c r="AF1694" s="92"/>
      <c r="AG1694" s="92"/>
    </row>
    <row r="1695" hidden="1">
      <c r="A1695" s="262"/>
      <c r="B1695" s="166"/>
      <c r="C1695" s="88">
        <v>44545.0</v>
      </c>
      <c r="D1695" s="97"/>
      <c r="E1695" s="311"/>
      <c r="F1695" s="14"/>
      <c r="G1695" s="41"/>
      <c r="H1695" s="98"/>
      <c r="I1695" s="98"/>
      <c r="J1695" s="98"/>
      <c r="K1695" s="91"/>
      <c r="L1695" s="91"/>
      <c r="M1695" s="91"/>
      <c r="N1695" s="96" t="b">
        <v>0</v>
      </c>
      <c r="O1695" s="96" t="b">
        <v>0</v>
      </c>
      <c r="P1695" s="92"/>
      <c r="Q1695" s="92"/>
      <c r="R1695" s="92"/>
      <c r="S1695" s="92"/>
      <c r="T1695" s="92"/>
      <c r="U1695" s="92"/>
      <c r="V1695" s="92"/>
      <c r="W1695" s="92"/>
      <c r="X1695" s="92"/>
      <c r="Y1695" s="92"/>
      <c r="Z1695" s="92"/>
      <c r="AA1695" s="92"/>
      <c r="AB1695" s="92"/>
      <c r="AC1695" s="92"/>
      <c r="AD1695" s="92"/>
      <c r="AE1695" s="92"/>
      <c r="AF1695" s="92"/>
      <c r="AG1695" s="92"/>
    </row>
    <row r="1696" hidden="1">
      <c r="A1696" s="262"/>
      <c r="B1696" s="18"/>
      <c r="C1696" s="78" t="s">
        <v>78</v>
      </c>
      <c r="D1696" s="312" t="s">
        <v>3213</v>
      </c>
      <c r="E1696" s="313" t="s">
        <v>3227</v>
      </c>
      <c r="F1696" s="313" t="s">
        <v>3228</v>
      </c>
      <c r="G1696" s="314">
        <v>0.4583333333333333</v>
      </c>
      <c r="H1696" s="137" t="s">
        <v>3229</v>
      </c>
      <c r="I1696" s="137" t="s">
        <v>3230</v>
      </c>
      <c r="J1696" s="313" t="s">
        <v>3231</v>
      </c>
      <c r="K1696" s="98" t="s">
        <v>3232</v>
      </c>
      <c r="L1696" s="91"/>
      <c r="M1696" s="91"/>
      <c r="N1696" s="96" t="b">
        <v>0</v>
      </c>
      <c r="O1696" s="96" t="b">
        <v>0</v>
      </c>
      <c r="P1696" s="92"/>
      <c r="Q1696" s="92"/>
      <c r="R1696" s="92"/>
      <c r="S1696" s="92"/>
      <c r="T1696" s="92"/>
      <c r="U1696" s="92"/>
      <c r="V1696" s="92"/>
      <c r="W1696" s="92"/>
      <c r="X1696" s="92"/>
      <c r="Y1696" s="92"/>
      <c r="Z1696" s="92"/>
      <c r="AA1696" s="92"/>
      <c r="AB1696" s="92"/>
      <c r="AC1696" s="92"/>
      <c r="AD1696" s="92"/>
      <c r="AE1696" s="92"/>
      <c r="AF1696" s="92"/>
      <c r="AG1696" s="92"/>
    </row>
    <row r="1697" hidden="1">
      <c r="A1697" s="262"/>
      <c r="B1697" s="25"/>
      <c r="C1697" s="80" t="s">
        <v>78</v>
      </c>
      <c r="D1697" s="112" t="s">
        <v>2744</v>
      </c>
      <c r="E1697" s="184" t="s">
        <v>3233</v>
      </c>
      <c r="F1697" s="184" t="s">
        <v>3234</v>
      </c>
      <c r="G1697" s="108">
        <v>0.5416666666666666</v>
      </c>
      <c r="H1697" s="109" t="s">
        <v>82</v>
      </c>
      <c r="I1697" s="109" t="s">
        <v>3235</v>
      </c>
      <c r="J1697" s="109" t="s">
        <v>3236</v>
      </c>
      <c r="K1697" s="98" t="s">
        <v>3232</v>
      </c>
      <c r="L1697" s="91"/>
      <c r="M1697" s="91"/>
      <c r="N1697" s="96" t="b">
        <v>0</v>
      </c>
      <c r="O1697" s="96" t="b">
        <v>0</v>
      </c>
      <c r="P1697" s="92"/>
      <c r="Q1697" s="92"/>
      <c r="R1697" s="92"/>
      <c r="S1697" s="92"/>
      <c r="T1697" s="92"/>
      <c r="U1697" s="92"/>
      <c r="V1697" s="92"/>
      <c r="W1697" s="92"/>
      <c r="X1697" s="92"/>
      <c r="Y1697" s="92"/>
      <c r="Z1697" s="92"/>
      <c r="AA1697" s="92"/>
      <c r="AB1697" s="92"/>
      <c r="AC1697" s="92"/>
      <c r="AD1697" s="92"/>
      <c r="AE1697" s="92"/>
      <c r="AF1697" s="92"/>
      <c r="AG1697" s="92"/>
    </row>
    <row r="1698" hidden="1">
      <c r="A1698" s="262"/>
      <c r="B1698" s="25"/>
      <c r="C1698" s="80" t="s">
        <v>78</v>
      </c>
      <c r="D1698" s="302" t="s">
        <v>3213</v>
      </c>
      <c r="E1698" s="184" t="s">
        <v>3237</v>
      </c>
      <c r="F1698" s="184" t="s">
        <v>3238</v>
      </c>
      <c r="G1698" s="108">
        <v>0.625</v>
      </c>
      <c r="H1698" s="184" t="s">
        <v>3239</v>
      </c>
      <c r="I1698" s="184" t="s">
        <v>3240</v>
      </c>
      <c r="J1698" s="184" t="s">
        <v>3241</v>
      </c>
      <c r="K1698" s="98" t="s">
        <v>3242</v>
      </c>
      <c r="L1698" s="91"/>
      <c r="M1698" s="91"/>
      <c r="N1698" s="96" t="b">
        <v>0</v>
      </c>
      <c r="O1698" s="96" t="b">
        <v>0</v>
      </c>
      <c r="P1698" s="92"/>
      <c r="Q1698" s="92"/>
      <c r="R1698" s="92"/>
      <c r="S1698" s="92"/>
      <c r="T1698" s="92"/>
      <c r="U1698" s="92"/>
      <c r="V1698" s="92"/>
      <c r="W1698" s="92"/>
      <c r="X1698" s="92"/>
      <c r="Y1698" s="92"/>
      <c r="Z1698" s="92"/>
      <c r="AA1698" s="92"/>
      <c r="AB1698" s="92"/>
      <c r="AC1698" s="92"/>
      <c r="AD1698" s="92"/>
      <c r="AE1698" s="92"/>
      <c r="AF1698" s="92"/>
      <c r="AG1698" s="92"/>
    </row>
    <row r="1699" hidden="1">
      <c r="A1699" s="262"/>
      <c r="B1699" s="25"/>
      <c r="C1699" s="80" t="s">
        <v>78</v>
      </c>
      <c r="D1699" s="112" t="s">
        <v>2744</v>
      </c>
      <c r="E1699" s="184" t="s">
        <v>3111</v>
      </c>
      <c r="F1699" s="184" t="s">
        <v>3112</v>
      </c>
      <c r="G1699" s="112" t="s">
        <v>283</v>
      </c>
      <c r="H1699" s="109" t="s">
        <v>118</v>
      </c>
      <c r="I1699" s="109" t="s">
        <v>3113</v>
      </c>
      <c r="J1699" s="109" t="s">
        <v>3114</v>
      </c>
      <c r="K1699" s="111"/>
      <c r="L1699" s="98" t="s">
        <v>3243</v>
      </c>
      <c r="M1699" s="91"/>
      <c r="N1699" s="96" t="b">
        <v>0</v>
      </c>
      <c r="O1699" s="96" t="b">
        <v>0</v>
      </c>
      <c r="P1699" s="92"/>
      <c r="Q1699" s="92"/>
      <c r="R1699" s="92"/>
      <c r="S1699" s="92"/>
      <c r="T1699" s="92"/>
      <c r="U1699" s="92"/>
      <c r="V1699" s="92"/>
      <c r="W1699" s="92"/>
      <c r="X1699" s="92"/>
      <c r="Y1699" s="92"/>
      <c r="Z1699" s="92"/>
      <c r="AA1699" s="92"/>
      <c r="AB1699" s="92"/>
      <c r="AC1699" s="92"/>
      <c r="AD1699" s="92"/>
      <c r="AE1699" s="92"/>
      <c r="AF1699" s="92"/>
      <c r="AG1699" s="92"/>
    </row>
    <row r="1700" hidden="1">
      <c r="A1700" s="262"/>
      <c r="B1700" s="25"/>
      <c r="C1700" s="80" t="s">
        <v>78</v>
      </c>
      <c r="D1700" s="97"/>
      <c r="E1700" s="98"/>
      <c r="F1700" s="98"/>
      <c r="G1700" s="41"/>
      <c r="H1700" s="98"/>
      <c r="I1700" s="98"/>
      <c r="J1700" s="98"/>
      <c r="K1700" s="91"/>
      <c r="L1700" s="91"/>
      <c r="M1700" s="91"/>
      <c r="N1700" s="96" t="b">
        <v>0</v>
      </c>
      <c r="O1700" s="96" t="b">
        <v>0</v>
      </c>
      <c r="P1700" s="92"/>
      <c r="Q1700" s="92"/>
      <c r="R1700" s="92"/>
      <c r="S1700" s="92"/>
      <c r="T1700" s="92"/>
      <c r="U1700" s="92"/>
      <c r="V1700" s="92"/>
      <c r="W1700" s="92"/>
      <c r="X1700" s="92"/>
      <c r="Y1700" s="92"/>
      <c r="Z1700" s="92"/>
      <c r="AA1700" s="92"/>
      <c r="AB1700" s="92"/>
      <c r="AC1700" s="92"/>
      <c r="AD1700" s="92"/>
      <c r="AE1700" s="92"/>
      <c r="AF1700" s="92"/>
      <c r="AG1700" s="92"/>
    </row>
    <row r="1701" hidden="1">
      <c r="A1701" s="262"/>
      <c r="B1701" s="39"/>
      <c r="C1701" s="80" t="s">
        <v>78</v>
      </c>
      <c r="D1701" s="97"/>
      <c r="E1701" s="98"/>
      <c r="F1701" s="98"/>
      <c r="G1701" s="41"/>
      <c r="H1701" s="98"/>
      <c r="I1701" s="98"/>
      <c r="J1701" s="98"/>
      <c r="K1701" s="91"/>
      <c r="L1701" s="91"/>
      <c r="M1701" s="91"/>
      <c r="N1701" s="96" t="b">
        <v>0</v>
      </c>
      <c r="O1701" s="96" t="b">
        <v>0</v>
      </c>
      <c r="P1701" s="92"/>
      <c r="Q1701" s="92"/>
      <c r="R1701" s="92"/>
      <c r="S1701" s="92"/>
      <c r="T1701" s="92"/>
      <c r="U1701" s="92"/>
      <c r="V1701" s="92"/>
      <c r="W1701" s="92"/>
      <c r="X1701" s="92"/>
      <c r="Y1701" s="92"/>
      <c r="Z1701" s="92"/>
      <c r="AA1701" s="92"/>
      <c r="AB1701" s="92"/>
      <c r="AC1701" s="92"/>
      <c r="AD1701" s="92"/>
      <c r="AE1701" s="92"/>
      <c r="AF1701" s="92"/>
      <c r="AG1701" s="92"/>
    </row>
    <row r="1702" hidden="1">
      <c r="A1702" s="262"/>
      <c r="B1702" s="166"/>
      <c r="C1702" s="88">
        <v>44546.0</v>
      </c>
      <c r="D1702" s="97"/>
      <c r="E1702" s="98"/>
      <c r="F1702" s="98"/>
      <c r="G1702" s="41"/>
      <c r="H1702" s="98"/>
      <c r="I1702" s="98"/>
      <c r="J1702" s="98"/>
      <c r="K1702" s="91"/>
      <c r="L1702" s="91"/>
      <c r="M1702" s="91"/>
      <c r="N1702" s="96" t="b">
        <v>0</v>
      </c>
      <c r="O1702" s="96" t="b">
        <v>0</v>
      </c>
      <c r="P1702" s="92"/>
      <c r="Q1702" s="92"/>
      <c r="R1702" s="92"/>
      <c r="S1702" s="92"/>
      <c r="T1702" s="92"/>
      <c r="U1702" s="92"/>
      <c r="V1702" s="92"/>
      <c r="W1702" s="92"/>
      <c r="X1702" s="92"/>
      <c r="Y1702" s="92"/>
      <c r="Z1702" s="92"/>
      <c r="AA1702" s="92"/>
      <c r="AB1702" s="92"/>
      <c r="AC1702" s="92"/>
      <c r="AD1702" s="92"/>
      <c r="AE1702" s="92"/>
      <c r="AF1702" s="92"/>
      <c r="AG1702" s="92"/>
    </row>
    <row r="1703" hidden="1">
      <c r="A1703" s="262"/>
      <c r="B1703" s="18"/>
      <c r="C1703" s="78" t="s">
        <v>78</v>
      </c>
      <c r="D1703" s="97"/>
      <c r="E1703" s="98"/>
      <c r="F1703" s="98"/>
      <c r="G1703" s="41"/>
      <c r="H1703" s="98"/>
      <c r="I1703" s="98"/>
      <c r="J1703" s="98"/>
      <c r="K1703" s="91"/>
      <c r="L1703" s="91"/>
      <c r="M1703" s="91"/>
      <c r="N1703" s="96" t="b">
        <v>0</v>
      </c>
      <c r="O1703" s="96" t="b">
        <v>0</v>
      </c>
      <c r="P1703" s="92"/>
      <c r="Q1703" s="92"/>
      <c r="R1703" s="92"/>
      <c r="S1703" s="92"/>
      <c r="T1703" s="92"/>
      <c r="U1703" s="92"/>
      <c r="V1703" s="92"/>
      <c r="W1703" s="92"/>
      <c r="X1703" s="92"/>
      <c r="Y1703" s="92"/>
      <c r="Z1703" s="92"/>
      <c r="AA1703" s="92"/>
      <c r="AB1703" s="92"/>
      <c r="AC1703" s="92"/>
      <c r="AD1703" s="92"/>
      <c r="AE1703" s="92"/>
      <c r="AF1703" s="92"/>
      <c r="AG1703" s="92"/>
    </row>
    <row r="1704" hidden="1">
      <c r="A1704" s="262"/>
      <c r="B1704" s="25"/>
      <c r="C1704" s="80" t="s">
        <v>78</v>
      </c>
      <c r="D1704" s="97"/>
      <c r="E1704" s="98"/>
      <c r="F1704" s="98"/>
      <c r="G1704" s="99"/>
      <c r="H1704" s="98"/>
      <c r="I1704" s="98"/>
      <c r="J1704" s="98"/>
      <c r="K1704" s="91"/>
      <c r="L1704" s="91"/>
      <c r="M1704" s="91"/>
      <c r="N1704" s="96" t="b">
        <v>0</v>
      </c>
      <c r="O1704" s="96" t="b">
        <v>0</v>
      </c>
      <c r="P1704" s="92"/>
      <c r="Q1704" s="92"/>
      <c r="R1704" s="92"/>
      <c r="S1704" s="92"/>
      <c r="T1704" s="92"/>
      <c r="U1704" s="92"/>
      <c r="V1704" s="92"/>
      <c r="W1704" s="92"/>
      <c r="X1704" s="92"/>
      <c r="Y1704" s="92"/>
      <c r="Z1704" s="92"/>
      <c r="AA1704" s="92"/>
      <c r="AB1704" s="92"/>
      <c r="AC1704" s="92"/>
      <c r="AD1704" s="92"/>
      <c r="AE1704" s="92"/>
      <c r="AF1704" s="92"/>
      <c r="AG1704" s="92"/>
    </row>
    <row r="1705" hidden="1">
      <c r="A1705" s="262"/>
      <c r="B1705" s="25"/>
      <c r="C1705" s="80" t="s">
        <v>78</v>
      </c>
      <c r="D1705" s="159" t="s">
        <v>2192</v>
      </c>
      <c r="E1705" s="273" t="s">
        <v>2749</v>
      </c>
      <c r="F1705" s="273" t="s">
        <v>2750</v>
      </c>
      <c r="G1705" s="161">
        <v>0.5416666666666666</v>
      </c>
      <c r="H1705" s="273" t="s">
        <v>739</v>
      </c>
      <c r="I1705" s="273" t="s">
        <v>3244</v>
      </c>
      <c r="J1705" s="273" t="s">
        <v>3245</v>
      </c>
      <c r="K1705" s="98"/>
      <c r="L1705" s="91"/>
      <c r="M1705" s="91"/>
      <c r="N1705" s="96" t="b">
        <v>0</v>
      </c>
      <c r="O1705" s="96" t="b">
        <v>0</v>
      </c>
      <c r="P1705" s="92"/>
      <c r="Q1705" s="92"/>
      <c r="R1705" s="92"/>
      <c r="S1705" s="92"/>
      <c r="T1705" s="92"/>
      <c r="U1705" s="92"/>
      <c r="V1705" s="92"/>
      <c r="W1705" s="92"/>
      <c r="X1705" s="92"/>
      <c r="Y1705" s="92"/>
      <c r="Z1705" s="92"/>
      <c r="AA1705" s="92"/>
      <c r="AB1705" s="92"/>
      <c r="AC1705" s="92"/>
      <c r="AD1705" s="92"/>
      <c r="AE1705" s="92"/>
      <c r="AF1705" s="92"/>
      <c r="AG1705" s="92"/>
    </row>
    <row r="1706" hidden="1">
      <c r="A1706" s="262"/>
      <c r="B1706" s="25"/>
      <c r="C1706" s="80" t="s">
        <v>78</v>
      </c>
      <c r="D1706" s="109" t="s">
        <v>2744</v>
      </c>
      <c r="E1706" s="184" t="s">
        <v>1674</v>
      </c>
      <c r="F1706" s="184" t="s">
        <v>1675</v>
      </c>
      <c r="G1706" s="108">
        <v>0.625</v>
      </c>
      <c r="H1706" s="109" t="s">
        <v>3151</v>
      </c>
      <c r="I1706" s="109" t="s">
        <v>3152</v>
      </c>
      <c r="J1706" s="184" t="s">
        <v>1677</v>
      </c>
      <c r="K1706" s="98" t="s">
        <v>3246</v>
      </c>
      <c r="L1706" s="91"/>
      <c r="M1706" s="91"/>
      <c r="N1706" s="96" t="b">
        <v>0</v>
      </c>
      <c r="O1706" s="96" t="b">
        <v>0</v>
      </c>
      <c r="P1706" s="92"/>
      <c r="Q1706" s="92"/>
      <c r="R1706" s="92"/>
      <c r="S1706" s="92"/>
      <c r="T1706" s="92"/>
      <c r="U1706" s="92"/>
      <c r="V1706" s="92"/>
      <c r="W1706" s="92"/>
      <c r="X1706" s="92"/>
      <c r="Y1706" s="92"/>
      <c r="Z1706" s="92"/>
      <c r="AA1706" s="92"/>
      <c r="AB1706" s="92"/>
      <c r="AC1706" s="92"/>
      <c r="AD1706" s="92"/>
      <c r="AE1706" s="92"/>
      <c r="AF1706" s="92"/>
      <c r="AG1706" s="92"/>
    </row>
    <row r="1707" hidden="1">
      <c r="A1707" s="262"/>
      <c r="B1707" s="25"/>
      <c r="C1707" s="80" t="s">
        <v>78</v>
      </c>
      <c r="D1707" s="300" t="s">
        <v>3073</v>
      </c>
      <c r="E1707" s="273" t="s">
        <v>938</v>
      </c>
      <c r="F1707" s="273" t="s">
        <v>939</v>
      </c>
      <c r="G1707" s="161">
        <v>0.7083333333333334</v>
      </c>
      <c r="H1707" s="162" t="s">
        <v>3247</v>
      </c>
      <c r="I1707" s="162" t="s">
        <v>3248</v>
      </c>
      <c r="J1707" s="273" t="s">
        <v>941</v>
      </c>
      <c r="K1707" s="98"/>
      <c r="L1707" s="91"/>
      <c r="M1707" s="91"/>
      <c r="N1707" s="96" t="b">
        <v>0</v>
      </c>
      <c r="O1707" s="96" t="b">
        <v>0</v>
      </c>
      <c r="P1707" s="92"/>
      <c r="Q1707" s="92"/>
      <c r="R1707" s="92"/>
      <c r="S1707" s="92"/>
      <c r="T1707" s="92"/>
      <c r="U1707" s="92"/>
      <c r="V1707" s="92"/>
      <c r="W1707" s="92"/>
      <c r="X1707" s="92"/>
      <c r="Y1707" s="92"/>
      <c r="Z1707" s="92"/>
      <c r="AA1707" s="92"/>
      <c r="AB1707" s="92"/>
      <c r="AC1707" s="92"/>
      <c r="AD1707" s="92"/>
      <c r="AE1707" s="92"/>
      <c r="AF1707" s="92"/>
      <c r="AG1707" s="92"/>
    </row>
    <row r="1708" hidden="1">
      <c r="A1708" s="262"/>
      <c r="B1708" s="39"/>
      <c r="C1708" s="80" t="s">
        <v>78</v>
      </c>
      <c r="D1708" s="302" t="s">
        <v>3127</v>
      </c>
      <c r="E1708" s="184" t="s">
        <v>902</v>
      </c>
      <c r="F1708" s="184" t="s">
        <v>903</v>
      </c>
      <c r="G1708" s="108">
        <v>0.7708333333333334</v>
      </c>
      <c r="H1708" s="109" t="s">
        <v>488</v>
      </c>
      <c r="I1708" s="109" t="s">
        <v>3249</v>
      </c>
      <c r="J1708" s="184" t="s">
        <v>905</v>
      </c>
      <c r="K1708" s="98" t="s">
        <v>3250</v>
      </c>
      <c r="L1708" s="91"/>
      <c r="M1708" s="91"/>
      <c r="N1708" s="96" t="b">
        <v>0</v>
      </c>
      <c r="O1708" s="96" t="b">
        <v>0</v>
      </c>
      <c r="P1708" s="92"/>
      <c r="Q1708" s="92"/>
      <c r="R1708" s="92"/>
      <c r="S1708" s="92"/>
      <c r="T1708" s="92"/>
      <c r="U1708" s="92"/>
      <c r="V1708" s="92"/>
      <c r="W1708" s="92"/>
      <c r="X1708" s="92"/>
      <c r="Y1708" s="92"/>
      <c r="Z1708" s="92"/>
      <c r="AA1708" s="92"/>
      <c r="AB1708" s="92"/>
      <c r="AC1708" s="92"/>
      <c r="AD1708" s="92"/>
      <c r="AE1708" s="92"/>
      <c r="AF1708" s="92"/>
      <c r="AG1708" s="92"/>
    </row>
    <row r="1709" hidden="1">
      <c r="A1709" s="262"/>
      <c r="B1709" s="166"/>
      <c r="C1709" s="88">
        <v>44552.0</v>
      </c>
      <c r="D1709" s="97"/>
      <c r="E1709" s="98"/>
      <c r="F1709" s="98"/>
      <c r="G1709" s="41"/>
      <c r="H1709" s="98"/>
      <c r="I1709" s="98"/>
      <c r="J1709" s="98"/>
      <c r="K1709" s="91"/>
      <c r="L1709" s="91"/>
      <c r="M1709" s="91"/>
      <c r="N1709" s="96" t="b">
        <v>0</v>
      </c>
      <c r="O1709" s="96" t="b">
        <v>0</v>
      </c>
      <c r="P1709" s="92"/>
      <c r="Q1709" s="92"/>
      <c r="R1709" s="92"/>
      <c r="S1709" s="92"/>
      <c r="T1709" s="92"/>
      <c r="U1709" s="92"/>
      <c r="V1709" s="92"/>
      <c r="W1709" s="92"/>
      <c r="X1709" s="92"/>
      <c r="Y1709" s="92"/>
      <c r="Z1709" s="92"/>
      <c r="AA1709" s="92"/>
      <c r="AB1709" s="92"/>
      <c r="AC1709" s="92"/>
      <c r="AD1709" s="92"/>
      <c r="AE1709" s="92"/>
      <c r="AF1709" s="92"/>
      <c r="AG1709" s="92"/>
    </row>
    <row r="1710" hidden="1">
      <c r="A1710" s="262"/>
      <c r="B1710" s="18"/>
      <c r="C1710" s="78" t="s">
        <v>78</v>
      </c>
      <c r="D1710" s="97"/>
      <c r="E1710" s="98"/>
      <c r="F1710" s="98"/>
      <c r="G1710" s="41"/>
      <c r="H1710" s="98"/>
      <c r="I1710" s="98"/>
      <c r="J1710" s="98"/>
      <c r="K1710" s="91"/>
      <c r="L1710" s="91"/>
      <c r="M1710" s="91"/>
      <c r="N1710" s="96" t="b">
        <v>0</v>
      </c>
      <c r="O1710" s="96" t="b">
        <v>0</v>
      </c>
      <c r="P1710" s="92"/>
      <c r="Q1710" s="92"/>
      <c r="R1710" s="92"/>
      <c r="S1710" s="92"/>
      <c r="T1710" s="92"/>
      <c r="U1710" s="92"/>
      <c r="V1710" s="92"/>
      <c r="W1710" s="92"/>
      <c r="X1710" s="92"/>
      <c r="Y1710" s="92"/>
      <c r="Z1710" s="92"/>
      <c r="AA1710" s="92"/>
      <c r="AB1710" s="92"/>
      <c r="AC1710" s="92"/>
      <c r="AD1710" s="92"/>
      <c r="AE1710" s="92"/>
      <c r="AF1710" s="92"/>
      <c r="AG1710" s="92"/>
    </row>
    <row r="1711" hidden="1">
      <c r="A1711" s="262"/>
      <c r="B1711" s="25"/>
      <c r="C1711" s="80" t="s">
        <v>78</v>
      </c>
      <c r="D1711" s="300" t="s">
        <v>3073</v>
      </c>
      <c r="E1711" s="269" t="s">
        <v>2638</v>
      </c>
      <c r="F1711" s="269" t="s">
        <v>2639</v>
      </c>
      <c r="G1711" s="270" t="s">
        <v>438</v>
      </c>
      <c r="H1711" s="162" t="s">
        <v>3251</v>
      </c>
      <c r="I1711" s="162" t="s">
        <v>3252</v>
      </c>
      <c r="J1711" s="269" t="s">
        <v>2641</v>
      </c>
      <c r="K1711" s="98" t="s">
        <v>838</v>
      </c>
      <c r="L1711" s="91"/>
      <c r="M1711" s="91"/>
      <c r="N1711" s="96" t="b">
        <v>0</v>
      </c>
      <c r="O1711" s="96" t="b">
        <v>0</v>
      </c>
      <c r="P1711" s="92"/>
      <c r="Q1711" s="92"/>
      <c r="R1711" s="92"/>
      <c r="S1711" s="92"/>
      <c r="T1711" s="92"/>
      <c r="U1711" s="92"/>
      <c r="V1711" s="92"/>
      <c r="W1711" s="92"/>
      <c r="X1711" s="92"/>
      <c r="Y1711" s="92"/>
      <c r="Z1711" s="92"/>
      <c r="AA1711" s="92"/>
      <c r="AB1711" s="92"/>
      <c r="AC1711" s="92"/>
      <c r="AD1711" s="92"/>
      <c r="AE1711" s="92"/>
      <c r="AF1711" s="92"/>
      <c r="AG1711" s="92"/>
    </row>
    <row r="1712" hidden="1">
      <c r="A1712" s="262"/>
      <c r="B1712" s="25"/>
      <c r="C1712" s="80" t="s">
        <v>78</v>
      </c>
      <c r="D1712" s="300" t="s">
        <v>3213</v>
      </c>
      <c r="E1712" s="269" t="s">
        <v>3253</v>
      </c>
      <c r="F1712" s="269" t="s">
        <v>3254</v>
      </c>
      <c r="G1712" s="161">
        <v>0.4583333333333333</v>
      </c>
      <c r="H1712" s="162" t="s">
        <v>3255</v>
      </c>
      <c r="I1712" s="162" t="s">
        <v>3256</v>
      </c>
      <c r="J1712" s="162" t="s">
        <v>3257</v>
      </c>
      <c r="K1712" s="91"/>
      <c r="L1712" s="91"/>
      <c r="M1712" s="91"/>
      <c r="N1712" s="96" t="b">
        <v>0</v>
      </c>
      <c r="O1712" s="96" t="b">
        <v>0</v>
      </c>
      <c r="P1712" s="92"/>
      <c r="Q1712" s="92"/>
      <c r="R1712" s="92"/>
      <c r="S1712" s="92"/>
      <c r="T1712" s="92"/>
      <c r="U1712" s="92"/>
      <c r="V1712" s="92"/>
      <c r="W1712" s="92"/>
      <c r="X1712" s="92"/>
      <c r="Y1712" s="92"/>
      <c r="Z1712" s="92"/>
      <c r="AA1712" s="92"/>
      <c r="AB1712" s="92"/>
      <c r="AC1712" s="92"/>
      <c r="AD1712" s="92"/>
      <c r="AE1712" s="92"/>
      <c r="AF1712" s="92"/>
      <c r="AG1712" s="92"/>
    </row>
    <row r="1713" hidden="1">
      <c r="A1713" s="262"/>
      <c r="B1713" s="25"/>
      <c r="C1713" s="80" t="s">
        <v>78</v>
      </c>
      <c r="D1713" s="300" t="s">
        <v>3213</v>
      </c>
      <c r="E1713" s="269" t="s">
        <v>3208</v>
      </c>
      <c r="F1713" s="269" t="s">
        <v>3209</v>
      </c>
      <c r="G1713" s="161">
        <v>0.5416666666666666</v>
      </c>
      <c r="H1713" s="162" t="s">
        <v>87</v>
      </c>
      <c r="I1713" s="162" t="s">
        <v>3258</v>
      </c>
      <c r="J1713" s="162" t="s">
        <v>3211</v>
      </c>
      <c r="K1713" s="98" t="s">
        <v>3067</v>
      </c>
      <c r="L1713" s="91"/>
      <c r="M1713" s="91"/>
      <c r="N1713" s="96" t="b">
        <v>0</v>
      </c>
      <c r="O1713" s="96" t="b">
        <v>0</v>
      </c>
      <c r="P1713" s="92"/>
      <c r="Q1713" s="92"/>
      <c r="R1713" s="92"/>
      <c r="S1713" s="92"/>
      <c r="T1713" s="92"/>
      <c r="U1713" s="92"/>
      <c r="V1713" s="92"/>
      <c r="W1713" s="92"/>
      <c r="X1713" s="92"/>
      <c r="Y1713" s="92"/>
      <c r="Z1713" s="92"/>
      <c r="AA1713" s="92"/>
      <c r="AB1713" s="92"/>
      <c r="AC1713" s="92"/>
      <c r="AD1713" s="92"/>
      <c r="AE1713" s="92"/>
      <c r="AF1713" s="92"/>
      <c r="AG1713" s="92"/>
    </row>
    <row r="1714" hidden="1">
      <c r="A1714" s="262"/>
      <c r="B1714" s="25"/>
      <c r="C1714" s="80" t="s">
        <v>78</v>
      </c>
      <c r="D1714" s="112" t="s">
        <v>2744</v>
      </c>
      <c r="E1714" s="184" t="s">
        <v>3233</v>
      </c>
      <c r="F1714" s="184" t="s">
        <v>3234</v>
      </c>
      <c r="G1714" s="112" t="s">
        <v>567</v>
      </c>
      <c r="H1714" s="109" t="s">
        <v>82</v>
      </c>
      <c r="I1714" s="109" t="s">
        <v>3235</v>
      </c>
      <c r="J1714" s="109" t="s">
        <v>3236</v>
      </c>
      <c r="K1714" s="98" t="s">
        <v>3259</v>
      </c>
      <c r="L1714" s="91"/>
      <c r="M1714" s="91"/>
      <c r="N1714" s="96" t="b">
        <v>0</v>
      </c>
      <c r="O1714" s="96" t="b">
        <v>0</v>
      </c>
      <c r="P1714" s="92"/>
      <c r="Q1714" s="92"/>
      <c r="R1714" s="92"/>
      <c r="S1714" s="92"/>
      <c r="T1714" s="92"/>
      <c r="U1714" s="92"/>
      <c r="V1714" s="92"/>
      <c r="W1714" s="92"/>
      <c r="X1714" s="92"/>
      <c r="Y1714" s="92"/>
      <c r="Z1714" s="92"/>
      <c r="AA1714" s="92"/>
      <c r="AB1714" s="92"/>
      <c r="AC1714" s="92"/>
      <c r="AD1714" s="92"/>
      <c r="AE1714" s="92"/>
      <c r="AF1714" s="92"/>
      <c r="AG1714" s="92"/>
    </row>
    <row r="1715" hidden="1">
      <c r="A1715" s="262"/>
      <c r="B1715" s="39"/>
      <c r="C1715" s="80" t="s">
        <v>78</v>
      </c>
      <c r="D1715" s="112" t="s">
        <v>2744</v>
      </c>
      <c r="E1715" s="263" t="s">
        <v>3137</v>
      </c>
      <c r="F1715" s="263" t="s">
        <v>3138</v>
      </c>
      <c r="G1715" s="112" t="s">
        <v>283</v>
      </c>
      <c r="H1715" s="109" t="s">
        <v>233</v>
      </c>
      <c r="I1715" s="109" t="s">
        <v>3139</v>
      </c>
      <c r="J1715" s="263" t="s">
        <v>3140</v>
      </c>
      <c r="K1715" s="98" t="s">
        <v>3260</v>
      </c>
      <c r="M1715" s="91"/>
      <c r="N1715" s="96" t="b">
        <v>0</v>
      </c>
      <c r="O1715" s="96" t="b">
        <v>0</v>
      </c>
      <c r="P1715" s="92"/>
      <c r="Q1715" s="92"/>
      <c r="R1715" s="92"/>
      <c r="S1715" s="92"/>
      <c r="T1715" s="92"/>
      <c r="U1715" s="92"/>
      <c r="V1715" s="92"/>
      <c r="W1715" s="92"/>
      <c r="X1715" s="92"/>
      <c r="Y1715" s="92"/>
      <c r="Z1715" s="92"/>
      <c r="AA1715" s="92"/>
      <c r="AB1715" s="92"/>
      <c r="AC1715" s="92"/>
      <c r="AD1715" s="92"/>
      <c r="AE1715" s="92"/>
      <c r="AF1715" s="92"/>
      <c r="AG1715" s="92"/>
    </row>
    <row r="1716" hidden="1">
      <c r="A1716" s="262"/>
      <c r="B1716" s="166"/>
      <c r="C1716" s="88">
        <v>44553.0</v>
      </c>
      <c r="D1716" s="270" t="s">
        <v>2744</v>
      </c>
      <c r="E1716" s="273" t="s">
        <v>3111</v>
      </c>
      <c r="F1716" s="273" t="s">
        <v>3112</v>
      </c>
      <c r="G1716" s="270" t="s">
        <v>43</v>
      </c>
      <c r="H1716" s="162" t="s">
        <v>118</v>
      </c>
      <c r="I1716" s="162" t="s">
        <v>3113</v>
      </c>
      <c r="J1716" s="162" t="s">
        <v>3114</v>
      </c>
      <c r="K1716" s="271"/>
      <c r="L1716" s="91"/>
      <c r="M1716" s="91"/>
      <c r="N1716" s="96" t="b">
        <v>0</v>
      </c>
      <c r="O1716" s="96" t="b">
        <v>0</v>
      </c>
      <c r="P1716" s="92"/>
      <c r="Q1716" s="92"/>
      <c r="R1716" s="92"/>
      <c r="S1716" s="92"/>
      <c r="T1716" s="92"/>
      <c r="U1716" s="92"/>
      <c r="V1716" s="92"/>
      <c r="W1716" s="92"/>
      <c r="X1716" s="92"/>
      <c r="Y1716" s="92"/>
      <c r="Z1716" s="92"/>
      <c r="AA1716" s="92"/>
      <c r="AB1716" s="92"/>
      <c r="AC1716" s="92"/>
      <c r="AD1716" s="92"/>
      <c r="AE1716" s="92"/>
      <c r="AF1716" s="92"/>
      <c r="AG1716" s="92"/>
    </row>
    <row r="1717" hidden="1">
      <c r="A1717" s="262"/>
      <c r="B1717" s="18"/>
      <c r="C1717" s="78" t="s">
        <v>78</v>
      </c>
      <c r="D1717" s="97"/>
      <c r="E1717" s="98"/>
      <c r="F1717" s="98"/>
      <c r="G1717" s="41"/>
      <c r="H1717" s="98"/>
      <c r="I1717" s="98"/>
      <c r="J1717" s="98"/>
      <c r="K1717" s="91"/>
      <c r="L1717" s="91"/>
      <c r="M1717" s="91"/>
      <c r="N1717" s="96" t="b">
        <v>0</v>
      </c>
      <c r="O1717" s="96" t="b">
        <v>0</v>
      </c>
      <c r="P1717" s="92"/>
      <c r="Q1717" s="92"/>
      <c r="R1717" s="92"/>
      <c r="S1717" s="92"/>
      <c r="T1717" s="92"/>
      <c r="U1717" s="92"/>
      <c r="V1717" s="92"/>
      <c r="W1717" s="92"/>
      <c r="X1717" s="92"/>
      <c r="Y1717" s="92"/>
      <c r="Z1717" s="92"/>
      <c r="AA1717" s="92"/>
      <c r="AB1717" s="92"/>
      <c r="AC1717" s="92"/>
      <c r="AD1717" s="92"/>
      <c r="AE1717" s="92"/>
      <c r="AF1717" s="92"/>
      <c r="AG1717" s="92"/>
    </row>
    <row r="1718" hidden="1">
      <c r="A1718" s="262"/>
      <c r="B1718" s="25"/>
      <c r="C1718" s="78" t="s">
        <v>78</v>
      </c>
      <c r="D1718" s="98"/>
      <c r="E1718" s="98"/>
      <c r="F1718" s="315" t="s">
        <v>3261</v>
      </c>
      <c r="G1718" s="13"/>
      <c r="H1718" s="14"/>
      <c r="I1718" s="165"/>
      <c r="J1718" s="165"/>
      <c r="K1718" s="165"/>
      <c r="L1718" s="91"/>
      <c r="M1718" s="91"/>
      <c r="N1718" s="96" t="b">
        <v>0</v>
      </c>
      <c r="O1718" s="96" t="b">
        <v>0</v>
      </c>
      <c r="P1718" s="92"/>
      <c r="Q1718" s="92"/>
      <c r="R1718" s="92"/>
      <c r="S1718" s="92"/>
      <c r="T1718" s="92"/>
      <c r="U1718" s="92"/>
      <c r="V1718" s="92"/>
      <c r="W1718" s="92"/>
      <c r="X1718" s="92"/>
      <c r="Y1718" s="92"/>
      <c r="Z1718" s="92"/>
      <c r="AA1718" s="92"/>
      <c r="AB1718" s="92"/>
      <c r="AC1718" s="92"/>
      <c r="AD1718" s="92"/>
      <c r="AE1718" s="92"/>
      <c r="AF1718" s="92"/>
      <c r="AG1718" s="92"/>
    </row>
    <row r="1719" hidden="1">
      <c r="A1719" s="262"/>
      <c r="B1719" s="25"/>
      <c r="C1719" s="78" t="s">
        <v>78</v>
      </c>
      <c r="D1719" s="98"/>
      <c r="E1719" s="98"/>
      <c r="F1719" s="165"/>
      <c r="G1719" s="98"/>
      <c r="H1719" s="165"/>
      <c r="I1719" s="165"/>
      <c r="J1719" s="165"/>
      <c r="K1719" s="165"/>
      <c r="L1719" s="91"/>
      <c r="M1719" s="91"/>
      <c r="N1719" s="96" t="b">
        <v>0</v>
      </c>
      <c r="O1719" s="96" t="b">
        <v>0</v>
      </c>
      <c r="P1719" s="92"/>
      <c r="Q1719" s="92"/>
      <c r="R1719" s="92"/>
      <c r="S1719" s="92"/>
      <c r="T1719" s="92"/>
      <c r="U1719" s="92"/>
      <c r="V1719" s="92"/>
      <c r="W1719" s="92"/>
      <c r="X1719" s="92"/>
      <c r="Y1719" s="92"/>
      <c r="Z1719" s="92"/>
      <c r="AA1719" s="92"/>
      <c r="AB1719" s="92"/>
      <c r="AC1719" s="92"/>
      <c r="AD1719" s="92"/>
      <c r="AE1719" s="92"/>
      <c r="AF1719" s="92"/>
      <c r="AG1719" s="92"/>
    </row>
    <row r="1720" hidden="1">
      <c r="A1720" s="262"/>
      <c r="B1720" s="25"/>
      <c r="C1720" s="80" t="s">
        <v>78</v>
      </c>
      <c r="D1720" s="304" t="s">
        <v>2744</v>
      </c>
      <c r="E1720" s="263" t="s">
        <v>2771</v>
      </c>
      <c r="F1720" s="263" t="s">
        <v>2772</v>
      </c>
      <c r="G1720" s="108">
        <v>0.4375</v>
      </c>
      <c r="H1720" s="109" t="s">
        <v>3074</v>
      </c>
      <c r="I1720" s="109" t="s">
        <v>3075</v>
      </c>
      <c r="J1720" s="263" t="s">
        <v>2774</v>
      </c>
      <c r="K1720" s="165" t="s">
        <v>3262</v>
      </c>
      <c r="L1720" s="91"/>
      <c r="M1720" s="91"/>
      <c r="N1720" s="96" t="b">
        <v>0</v>
      </c>
      <c r="O1720" s="96" t="b">
        <v>0</v>
      </c>
      <c r="P1720" s="92"/>
      <c r="Q1720" s="92"/>
      <c r="R1720" s="92"/>
      <c r="S1720" s="92"/>
      <c r="T1720" s="92"/>
      <c r="U1720" s="92"/>
      <c r="V1720" s="92"/>
      <c r="W1720" s="92"/>
      <c r="X1720" s="92"/>
      <c r="Y1720" s="92"/>
      <c r="Z1720" s="92"/>
      <c r="AA1720" s="92"/>
      <c r="AB1720" s="92"/>
      <c r="AC1720" s="92"/>
      <c r="AD1720" s="92"/>
      <c r="AE1720" s="92"/>
      <c r="AF1720" s="92"/>
      <c r="AG1720" s="92"/>
    </row>
    <row r="1721" hidden="1">
      <c r="A1721" s="262"/>
      <c r="B1721" s="25"/>
      <c r="C1721" s="80" t="s">
        <v>78</v>
      </c>
      <c r="D1721" s="302" t="s">
        <v>3213</v>
      </c>
      <c r="E1721" s="263" t="s">
        <v>1386</v>
      </c>
      <c r="F1721" s="263" t="s">
        <v>1387</v>
      </c>
      <c r="G1721" s="112" t="s">
        <v>2120</v>
      </c>
      <c r="H1721" s="109" t="s">
        <v>1345</v>
      </c>
      <c r="I1721" s="109" t="s">
        <v>3263</v>
      </c>
      <c r="J1721" s="263" t="s">
        <v>1391</v>
      </c>
      <c r="K1721" s="98" t="s">
        <v>3264</v>
      </c>
      <c r="L1721" s="91"/>
      <c r="M1721" s="91"/>
      <c r="N1721" s="96" t="b">
        <v>0</v>
      </c>
      <c r="O1721" s="96" t="b">
        <v>0</v>
      </c>
      <c r="P1721" s="92"/>
      <c r="Q1721" s="92"/>
      <c r="R1721" s="92"/>
      <c r="S1721" s="92"/>
      <c r="T1721" s="92"/>
      <c r="U1721" s="92"/>
      <c r="V1721" s="92"/>
      <c r="W1721" s="92"/>
      <c r="X1721" s="92"/>
      <c r="Y1721" s="92"/>
      <c r="Z1721" s="92"/>
      <c r="AA1721" s="92"/>
      <c r="AB1721" s="92"/>
      <c r="AC1721" s="92"/>
      <c r="AD1721" s="92"/>
      <c r="AE1721" s="92"/>
      <c r="AF1721" s="92"/>
      <c r="AG1721" s="92"/>
    </row>
    <row r="1722" hidden="1">
      <c r="A1722" s="262"/>
      <c r="B1722" s="25"/>
      <c r="C1722" s="80" t="s">
        <v>78</v>
      </c>
      <c r="D1722" s="302" t="s">
        <v>2542</v>
      </c>
      <c r="E1722" s="263" t="s">
        <v>3265</v>
      </c>
      <c r="F1722" s="263" t="s">
        <v>3266</v>
      </c>
      <c r="G1722" s="112" t="s">
        <v>449</v>
      </c>
      <c r="H1722" s="109" t="s">
        <v>362</v>
      </c>
      <c r="I1722" s="109" t="s">
        <v>3267</v>
      </c>
      <c r="J1722" s="263" t="s">
        <v>3268</v>
      </c>
      <c r="K1722" s="98" t="s">
        <v>3264</v>
      </c>
      <c r="L1722" s="91"/>
      <c r="M1722" s="91"/>
      <c r="N1722" s="96" t="b">
        <v>0</v>
      </c>
      <c r="O1722" s="96" t="b">
        <v>0</v>
      </c>
      <c r="P1722" s="92"/>
      <c r="Q1722" s="92"/>
      <c r="R1722" s="92"/>
      <c r="S1722" s="92"/>
      <c r="T1722" s="92"/>
      <c r="U1722" s="92"/>
      <c r="V1722" s="92"/>
      <c r="W1722" s="92"/>
      <c r="X1722" s="92"/>
      <c r="Y1722" s="92"/>
      <c r="Z1722" s="92"/>
      <c r="AA1722" s="92"/>
      <c r="AB1722" s="92"/>
      <c r="AC1722" s="92"/>
      <c r="AD1722" s="92"/>
      <c r="AE1722" s="92"/>
      <c r="AF1722" s="92"/>
      <c r="AG1722" s="92"/>
    </row>
    <row r="1723" hidden="1">
      <c r="A1723" s="262"/>
      <c r="B1723" s="25"/>
      <c r="C1723" s="80" t="s">
        <v>78</v>
      </c>
      <c r="D1723" s="302" t="s">
        <v>2542</v>
      </c>
      <c r="E1723" s="263" t="s">
        <v>1774</v>
      </c>
      <c r="F1723" s="263" t="s">
        <v>1775</v>
      </c>
      <c r="G1723" s="108">
        <v>0.6666666666666666</v>
      </c>
      <c r="H1723" s="109" t="s">
        <v>407</v>
      </c>
      <c r="I1723" s="109" t="s">
        <v>3269</v>
      </c>
      <c r="J1723" s="263" t="s">
        <v>1416</v>
      </c>
      <c r="K1723" s="98" t="s">
        <v>3264</v>
      </c>
      <c r="L1723" s="91"/>
      <c r="M1723" s="91"/>
      <c r="N1723" s="96" t="b">
        <v>0</v>
      </c>
      <c r="O1723" s="96" t="b">
        <v>0</v>
      </c>
      <c r="P1723" s="92"/>
      <c r="Q1723" s="92"/>
      <c r="R1723" s="92"/>
      <c r="S1723" s="92"/>
      <c r="T1723" s="92"/>
      <c r="U1723" s="92"/>
      <c r="V1723" s="92"/>
      <c r="W1723" s="92"/>
      <c r="X1723" s="92"/>
      <c r="Y1723" s="92"/>
      <c r="Z1723" s="92"/>
      <c r="AA1723" s="92"/>
      <c r="AB1723" s="92"/>
      <c r="AC1723" s="92"/>
      <c r="AD1723" s="92"/>
      <c r="AE1723" s="92"/>
      <c r="AF1723" s="92"/>
      <c r="AG1723" s="92"/>
    </row>
    <row r="1724" hidden="1">
      <c r="A1724" s="262"/>
      <c r="B1724" s="25"/>
      <c r="C1724" s="80" t="s">
        <v>78</v>
      </c>
      <c r="D1724" s="302" t="s">
        <v>3073</v>
      </c>
      <c r="E1724" s="263" t="s">
        <v>3270</v>
      </c>
      <c r="F1724" s="263" t="s">
        <v>3271</v>
      </c>
      <c r="G1724" s="108">
        <v>0.7291666666666666</v>
      </c>
      <c r="H1724" s="109" t="s">
        <v>853</v>
      </c>
      <c r="I1724" s="109" t="s">
        <v>3272</v>
      </c>
      <c r="J1724" s="263" t="s">
        <v>3273</v>
      </c>
      <c r="K1724" s="98" t="s">
        <v>3264</v>
      </c>
      <c r="L1724" s="98"/>
      <c r="M1724" s="98"/>
      <c r="N1724" s="96" t="b">
        <v>0</v>
      </c>
      <c r="O1724" s="96" t="b">
        <v>0</v>
      </c>
      <c r="P1724" s="92"/>
      <c r="Q1724" s="92"/>
      <c r="R1724" s="92"/>
      <c r="S1724" s="92"/>
      <c r="T1724" s="92"/>
      <c r="U1724" s="92"/>
      <c r="V1724" s="92"/>
      <c r="W1724" s="92"/>
      <c r="X1724" s="92"/>
      <c r="Y1724" s="92"/>
      <c r="Z1724" s="92"/>
      <c r="AA1724" s="92"/>
      <c r="AB1724" s="92"/>
      <c r="AC1724" s="92"/>
      <c r="AD1724" s="92"/>
      <c r="AE1724" s="92"/>
      <c r="AF1724" s="92"/>
      <c r="AG1724" s="92"/>
    </row>
    <row r="1725" hidden="1">
      <c r="A1725" s="262"/>
      <c r="B1725" s="39"/>
      <c r="C1725" s="80" t="s">
        <v>78</v>
      </c>
      <c r="D1725" s="97"/>
      <c r="E1725" s="98"/>
      <c r="F1725" s="98"/>
      <c r="G1725" s="41"/>
      <c r="H1725" s="98"/>
      <c r="I1725" s="98"/>
      <c r="J1725" s="98"/>
      <c r="K1725" s="91"/>
      <c r="L1725" s="91"/>
      <c r="M1725" s="91"/>
      <c r="N1725" s="96" t="b">
        <v>0</v>
      </c>
      <c r="O1725" s="96" t="b">
        <v>0</v>
      </c>
      <c r="P1725" s="92"/>
      <c r="Q1725" s="92"/>
      <c r="R1725" s="92"/>
      <c r="S1725" s="92"/>
      <c r="T1725" s="92"/>
      <c r="U1725" s="92"/>
      <c r="V1725" s="92"/>
      <c r="W1725" s="92"/>
      <c r="X1725" s="92"/>
      <c r="Y1725" s="92"/>
      <c r="Z1725" s="92"/>
      <c r="AA1725" s="92"/>
      <c r="AB1725" s="92"/>
      <c r="AC1725" s="92"/>
      <c r="AD1725" s="92"/>
      <c r="AE1725" s="92"/>
      <c r="AF1725" s="92"/>
      <c r="AG1725" s="92"/>
    </row>
    <row r="1726" hidden="1">
      <c r="A1726" s="262"/>
      <c r="B1726" s="166"/>
      <c r="C1726" s="88">
        <v>44559.0</v>
      </c>
      <c r="D1726" s="97"/>
      <c r="E1726" s="98"/>
      <c r="F1726" s="98"/>
      <c r="G1726" s="41"/>
      <c r="H1726" s="98"/>
      <c r="I1726" s="98"/>
      <c r="J1726" s="98"/>
      <c r="K1726" s="91"/>
      <c r="L1726" s="91"/>
      <c r="M1726" s="91"/>
      <c r="N1726" s="96" t="b">
        <v>0</v>
      </c>
      <c r="O1726" s="96" t="b">
        <v>0</v>
      </c>
      <c r="P1726" s="92"/>
      <c r="Q1726" s="92"/>
      <c r="R1726" s="92"/>
      <c r="S1726" s="92"/>
      <c r="T1726" s="92"/>
      <c r="U1726" s="92"/>
      <c r="V1726" s="92"/>
      <c r="W1726" s="92"/>
      <c r="X1726" s="92"/>
      <c r="Y1726" s="92"/>
      <c r="Z1726" s="92"/>
      <c r="AA1726" s="92"/>
      <c r="AB1726" s="92"/>
      <c r="AC1726" s="92"/>
      <c r="AD1726" s="92"/>
      <c r="AE1726" s="92"/>
      <c r="AF1726" s="92"/>
      <c r="AG1726" s="92"/>
    </row>
    <row r="1727" hidden="1">
      <c r="A1727" s="262"/>
      <c r="B1727" s="18"/>
      <c r="C1727" s="78" t="s">
        <v>78</v>
      </c>
      <c r="D1727" s="302" t="s">
        <v>3213</v>
      </c>
      <c r="E1727" s="184" t="s">
        <v>3227</v>
      </c>
      <c r="F1727" s="184" t="s">
        <v>3228</v>
      </c>
      <c r="G1727" s="108">
        <v>0.4375</v>
      </c>
      <c r="H1727" s="109" t="s">
        <v>3229</v>
      </c>
      <c r="I1727" s="109" t="s">
        <v>3230</v>
      </c>
      <c r="J1727" s="184" t="s">
        <v>3231</v>
      </c>
      <c r="K1727" s="98" t="s">
        <v>3274</v>
      </c>
      <c r="L1727" s="91"/>
      <c r="M1727" s="91"/>
      <c r="N1727" s="96" t="b">
        <v>0</v>
      </c>
      <c r="O1727" s="96" t="b">
        <v>0</v>
      </c>
      <c r="P1727" s="92"/>
      <c r="Q1727" s="92"/>
      <c r="R1727" s="92"/>
      <c r="S1727" s="92"/>
      <c r="T1727" s="92"/>
      <c r="U1727" s="92"/>
      <c r="V1727" s="92"/>
      <c r="W1727" s="92"/>
      <c r="X1727" s="92"/>
      <c r="Y1727" s="92"/>
      <c r="Z1727" s="92"/>
      <c r="AA1727" s="92"/>
      <c r="AB1727" s="92"/>
      <c r="AC1727" s="92"/>
      <c r="AD1727" s="92"/>
      <c r="AE1727" s="92"/>
      <c r="AF1727" s="92"/>
      <c r="AG1727" s="92"/>
    </row>
    <row r="1728" hidden="1">
      <c r="A1728" s="262"/>
      <c r="B1728" s="25"/>
      <c r="C1728" s="80" t="s">
        <v>78</v>
      </c>
      <c r="D1728" s="159" t="s">
        <v>2582</v>
      </c>
      <c r="E1728" s="269" t="s">
        <v>2848</v>
      </c>
      <c r="F1728" s="269" t="s">
        <v>2849</v>
      </c>
      <c r="G1728" s="270" t="s">
        <v>449</v>
      </c>
      <c r="H1728" s="162" t="s">
        <v>3275</v>
      </c>
      <c r="I1728" s="162" t="s">
        <v>2850</v>
      </c>
      <c r="J1728" s="162" t="s">
        <v>2851</v>
      </c>
      <c r="K1728" s="162" t="s">
        <v>3067</v>
      </c>
      <c r="L1728" s="91"/>
      <c r="M1728" s="91"/>
      <c r="N1728" s="96" t="b">
        <v>0</v>
      </c>
      <c r="O1728" s="96" t="b">
        <v>0</v>
      </c>
      <c r="P1728" s="92"/>
      <c r="Q1728" s="92"/>
      <c r="R1728" s="92"/>
      <c r="S1728" s="92"/>
      <c r="T1728" s="92"/>
      <c r="U1728" s="92"/>
      <c r="V1728" s="92"/>
      <c r="W1728" s="92"/>
      <c r="X1728" s="92"/>
      <c r="Y1728" s="92"/>
      <c r="Z1728" s="92"/>
      <c r="AA1728" s="92"/>
      <c r="AB1728" s="92"/>
      <c r="AC1728" s="92"/>
      <c r="AD1728" s="92"/>
      <c r="AE1728" s="92"/>
      <c r="AF1728" s="92"/>
      <c r="AG1728" s="92"/>
    </row>
    <row r="1729" hidden="1">
      <c r="A1729" s="262"/>
      <c r="B1729" s="25"/>
      <c r="C1729" s="80" t="s">
        <v>78</v>
      </c>
      <c r="D1729" s="159" t="s">
        <v>2582</v>
      </c>
      <c r="E1729" s="269" t="s">
        <v>3276</v>
      </c>
      <c r="F1729" s="269" t="s">
        <v>3277</v>
      </c>
      <c r="G1729" s="270" t="s">
        <v>180</v>
      </c>
      <c r="H1729" s="162" t="s">
        <v>211</v>
      </c>
      <c r="I1729" s="162" t="s">
        <v>3278</v>
      </c>
      <c r="J1729" s="162" t="s">
        <v>3279</v>
      </c>
      <c r="K1729" s="271"/>
      <c r="L1729" s="91"/>
      <c r="M1729" s="91"/>
      <c r="N1729" s="96" t="b">
        <v>0</v>
      </c>
      <c r="O1729" s="96" t="b">
        <v>0</v>
      </c>
      <c r="P1729" s="92"/>
      <c r="Q1729" s="92"/>
      <c r="R1729" s="92"/>
      <c r="S1729" s="92"/>
      <c r="T1729" s="92"/>
      <c r="U1729" s="92"/>
      <c r="V1729" s="92"/>
      <c r="W1729" s="92"/>
      <c r="X1729" s="92"/>
      <c r="Y1729" s="92"/>
      <c r="Z1729" s="92"/>
      <c r="AA1729" s="92"/>
      <c r="AB1729" s="92"/>
      <c r="AC1729" s="92"/>
      <c r="AD1729" s="92"/>
      <c r="AE1729" s="92"/>
      <c r="AF1729" s="92"/>
      <c r="AG1729" s="92"/>
    </row>
    <row r="1730" hidden="1">
      <c r="A1730" s="262"/>
      <c r="B1730" s="25"/>
      <c r="C1730" s="80" t="s">
        <v>78</v>
      </c>
      <c r="D1730" s="107" t="s">
        <v>2582</v>
      </c>
      <c r="E1730" s="263" t="s">
        <v>3280</v>
      </c>
      <c r="F1730" s="263" t="s">
        <v>3281</v>
      </c>
      <c r="G1730" s="112" t="s">
        <v>283</v>
      </c>
      <c r="H1730" s="109" t="s">
        <v>224</v>
      </c>
      <c r="I1730" s="109" t="s">
        <v>3282</v>
      </c>
      <c r="J1730" s="109" t="s">
        <v>3283</v>
      </c>
      <c r="K1730" s="98" t="s">
        <v>3284</v>
      </c>
      <c r="L1730" s="91"/>
      <c r="N1730" s="96" t="b">
        <v>0</v>
      </c>
      <c r="O1730" s="96" t="b">
        <v>0</v>
      </c>
      <c r="P1730" s="92"/>
      <c r="Q1730" s="92"/>
      <c r="R1730" s="92"/>
      <c r="S1730" s="92"/>
      <c r="T1730" s="92"/>
      <c r="U1730" s="92"/>
      <c r="V1730" s="92"/>
      <c r="W1730" s="92"/>
      <c r="X1730" s="92"/>
      <c r="Y1730" s="92"/>
      <c r="Z1730" s="92"/>
      <c r="AA1730" s="92"/>
      <c r="AB1730" s="92"/>
      <c r="AC1730" s="92"/>
      <c r="AD1730" s="92"/>
      <c r="AE1730" s="92"/>
      <c r="AF1730" s="92"/>
      <c r="AG1730" s="92"/>
    </row>
    <row r="1731" hidden="1">
      <c r="A1731" s="262"/>
      <c r="B1731" s="25"/>
      <c r="C1731" s="80" t="s">
        <v>78</v>
      </c>
      <c r="D1731" s="107" t="s">
        <v>2582</v>
      </c>
      <c r="E1731" s="263" t="s">
        <v>3285</v>
      </c>
      <c r="F1731" s="263" t="s">
        <v>3286</v>
      </c>
      <c r="G1731" s="112" t="s">
        <v>248</v>
      </c>
      <c r="H1731" s="263" t="s">
        <v>82</v>
      </c>
      <c r="I1731" s="109" t="s">
        <v>3287</v>
      </c>
      <c r="J1731" s="109" t="s">
        <v>3288</v>
      </c>
      <c r="K1731" s="98" t="s">
        <v>3289</v>
      </c>
      <c r="N1731" s="96" t="b">
        <v>0</v>
      </c>
      <c r="O1731" s="96" t="b">
        <v>0</v>
      </c>
      <c r="P1731" s="92"/>
      <c r="Q1731" s="92"/>
      <c r="R1731" s="92"/>
      <c r="S1731" s="92"/>
      <c r="T1731" s="92"/>
      <c r="U1731" s="92"/>
      <c r="V1731" s="92"/>
      <c r="W1731" s="92"/>
      <c r="X1731" s="92"/>
      <c r="Y1731" s="92"/>
      <c r="Z1731" s="92"/>
      <c r="AA1731" s="92"/>
      <c r="AB1731" s="92"/>
      <c r="AC1731" s="92"/>
      <c r="AD1731" s="92"/>
      <c r="AE1731" s="92"/>
      <c r="AF1731" s="92"/>
      <c r="AG1731" s="92"/>
    </row>
    <row r="1732" hidden="1">
      <c r="A1732" s="262"/>
      <c r="B1732" s="25"/>
      <c r="C1732" s="80" t="s">
        <v>78</v>
      </c>
      <c r="D1732" s="107" t="s">
        <v>2582</v>
      </c>
      <c r="E1732" s="263" t="s">
        <v>3290</v>
      </c>
      <c r="F1732" s="263" t="s">
        <v>3291</v>
      </c>
      <c r="G1732" s="112" t="s">
        <v>248</v>
      </c>
      <c r="H1732" s="263" t="s">
        <v>82</v>
      </c>
      <c r="I1732" s="109" t="s">
        <v>3287</v>
      </c>
      <c r="J1732" s="109" t="s">
        <v>3288</v>
      </c>
      <c r="K1732" s="98" t="s">
        <v>3289</v>
      </c>
      <c r="L1732" s="91"/>
      <c r="N1732" s="96" t="b">
        <v>0</v>
      </c>
      <c r="O1732" s="96" t="b">
        <v>0</v>
      </c>
      <c r="P1732" s="92"/>
      <c r="Q1732" s="92"/>
      <c r="R1732" s="92"/>
      <c r="S1732" s="92"/>
      <c r="T1732" s="92"/>
      <c r="U1732" s="92"/>
      <c r="V1732" s="92"/>
      <c r="W1732" s="92"/>
      <c r="X1732" s="92"/>
      <c r="Y1732" s="92"/>
      <c r="Z1732" s="92"/>
      <c r="AA1732" s="92"/>
      <c r="AB1732" s="92"/>
      <c r="AC1732" s="92"/>
      <c r="AD1732" s="92"/>
      <c r="AE1732" s="92"/>
      <c r="AF1732" s="92"/>
      <c r="AG1732" s="92"/>
    </row>
    <row r="1733" hidden="1">
      <c r="A1733" s="262"/>
      <c r="B1733" s="39"/>
      <c r="C1733" s="80" t="s">
        <v>78</v>
      </c>
      <c r="D1733" s="97"/>
      <c r="E1733" s="98"/>
      <c r="F1733" s="98"/>
      <c r="G1733" s="41"/>
      <c r="H1733" s="98"/>
      <c r="I1733" s="98"/>
      <c r="J1733" s="98"/>
      <c r="K1733" s="91"/>
      <c r="L1733" s="91"/>
      <c r="M1733" s="91"/>
      <c r="N1733" s="96" t="b">
        <v>0</v>
      </c>
      <c r="O1733" s="96" t="b">
        <v>0</v>
      </c>
      <c r="P1733" s="92"/>
      <c r="Q1733" s="92"/>
      <c r="R1733" s="92"/>
      <c r="S1733" s="92"/>
      <c r="T1733" s="92"/>
      <c r="U1733" s="92"/>
      <c r="V1733" s="92"/>
      <c r="W1733" s="92"/>
      <c r="X1733" s="92"/>
      <c r="Y1733" s="92"/>
      <c r="Z1733" s="92"/>
      <c r="AA1733" s="92"/>
      <c r="AB1733" s="92"/>
      <c r="AC1733" s="92"/>
      <c r="AD1733" s="92"/>
      <c r="AE1733" s="92"/>
      <c r="AF1733" s="92"/>
      <c r="AG1733" s="92"/>
    </row>
    <row r="1734" hidden="1">
      <c r="A1734" s="262"/>
      <c r="B1734" s="166"/>
      <c r="C1734" s="88">
        <v>44560.0</v>
      </c>
      <c r="D1734" s="97"/>
      <c r="E1734" s="316"/>
      <c r="F1734" s="13"/>
      <c r="G1734" s="13"/>
      <c r="H1734" s="13"/>
      <c r="I1734" s="14"/>
      <c r="J1734" s="98"/>
      <c r="K1734" s="91"/>
      <c r="L1734" s="91"/>
      <c r="M1734" s="91"/>
      <c r="N1734" s="96" t="b">
        <v>0</v>
      </c>
      <c r="O1734" s="96" t="b">
        <v>0</v>
      </c>
      <c r="P1734" s="92"/>
      <c r="Q1734" s="92"/>
      <c r="R1734" s="92"/>
      <c r="S1734" s="92"/>
      <c r="T1734" s="92"/>
      <c r="U1734" s="92"/>
      <c r="V1734" s="92"/>
      <c r="W1734" s="92"/>
      <c r="X1734" s="92"/>
      <c r="Y1734" s="92"/>
      <c r="Z1734" s="92"/>
      <c r="AA1734" s="92"/>
      <c r="AB1734" s="92"/>
      <c r="AC1734" s="92"/>
      <c r="AD1734" s="92"/>
      <c r="AE1734" s="92"/>
      <c r="AF1734" s="92"/>
      <c r="AG1734" s="92"/>
    </row>
    <row r="1735" hidden="1">
      <c r="A1735" s="262"/>
      <c r="B1735" s="18"/>
      <c r="C1735" s="78" t="s">
        <v>78</v>
      </c>
      <c r="D1735" s="304" t="s">
        <v>2744</v>
      </c>
      <c r="E1735" s="263" t="s">
        <v>2771</v>
      </c>
      <c r="F1735" s="263" t="s">
        <v>2772</v>
      </c>
      <c r="G1735" s="108">
        <v>0.4375</v>
      </c>
      <c r="H1735" s="109" t="s">
        <v>3074</v>
      </c>
      <c r="I1735" s="109" t="s">
        <v>3075</v>
      </c>
      <c r="J1735" s="263" t="s">
        <v>2774</v>
      </c>
      <c r="K1735" s="98" t="s">
        <v>3292</v>
      </c>
      <c r="L1735" s="91"/>
      <c r="M1735" s="91"/>
      <c r="N1735" s="96" t="b">
        <v>0</v>
      </c>
      <c r="O1735" s="96" t="b">
        <v>0</v>
      </c>
      <c r="P1735" s="92"/>
      <c r="Q1735" s="92"/>
      <c r="R1735" s="92"/>
      <c r="S1735" s="92"/>
      <c r="T1735" s="92"/>
      <c r="U1735" s="92"/>
      <c r="V1735" s="92"/>
      <c r="W1735" s="92"/>
      <c r="X1735" s="92"/>
      <c r="Y1735" s="92"/>
      <c r="Z1735" s="92"/>
      <c r="AA1735" s="92"/>
      <c r="AB1735" s="92"/>
      <c r="AC1735" s="92"/>
      <c r="AD1735" s="92"/>
      <c r="AE1735" s="92"/>
      <c r="AF1735" s="92"/>
      <c r="AG1735" s="92"/>
    </row>
    <row r="1736" hidden="1">
      <c r="A1736" s="262"/>
      <c r="B1736" s="25"/>
      <c r="C1736" s="80" t="s">
        <v>78</v>
      </c>
      <c r="D1736" s="302" t="s">
        <v>3213</v>
      </c>
      <c r="E1736" s="109" t="s">
        <v>3293</v>
      </c>
      <c r="F1736" s="109" t="s">
        <v>3294</v>
      </c>
      <c r="G1736" s="108">
        <v>0.5416666666666666</v>
      </c>
      <c r="H1736" s="109" t="s">
        <v>3295</v>
      </c>
      <c r="I1736" s="109" t="s">
        <v>3296</v>
      </c>
      <c r="J1736" s="109" t="s">
        <v>3297</v>
      </c>
      <c r="K1736" s="98" t="s">
        <v>3298</v>
      </c>
      <c r="L1736" s="91"/>
      <c r="M1736" s="91"/>
      <c r="N1736" s="96" t="b">
        <v>0</v>
      </c>
      <c r="O1736" s="96" t="b">
        <v>0</v>
      </c>
      <c r="P1736" s="92"/>
      <c r="Q1736" s="92"/>
      <c r="R1736" s="92"/>
      <c r="S1736" s="92"/>
      <c r="T1736" s="92"/>
      <c r="U1736" s="92"/>
      <c r="V1736" s="92"/>
      <c r="W1736" s="92"/>
      <c r="X1736" s="92"/>
      <c r="Y1736" s="92"/>
      <c r="Z1736" s="92"/>
      <c r="AA1736" s="92"/>
      <c r="AB1736" s="92"/>
      <c r="AC1736" s="92"/>
      <c r="AD1736" s="92"/>
      <c r="AE1736" s="92"/>
      <c r="AF1736" s="92"/>
      <c r="AG1736" s="92"/>
    </row>
    <row r="1737" hidden="1">
      <c r="A1737" s="262"/>
      <c r="B1737" s="25"/>
      <c r="C1737" s="80" t="s">
        <v>78</v>
      </c>
      <c r="D1737" s="302" t="s">
        <v>3213</v>
      </c>
      <c r="E1737" s="263" t="s">
        <v>1386</v>
      </c>
      <c r="F1737" s="263" t="s">
        <v>1387</v>
      </c>
      <c r="G1737" s="108">
        <v>0.5833333333333334</v>
      </c>
      <c r="H1737" s="109" t="s">
        <v>1345</v>
      </c>
      <c r="I1737" s="109" t="s">
        <v>3263</v>
      </c>
      <c r="J1737" s="263" t="s">
        <v>1391</v>
      </c>
      <c r="K1737" s="98" t="s">
        <v>3299</v>
      </c>
      <c r="L1737" s="91"/>
      <c r="M1737" s="91"/>
      <c r="N1737" s="96" t="b">
        <v>0</v>
      </c>
      <c r="O1737" s="96" t="b">
        <v>0</v>
      </c>
      <c r="P1737" s="92"/>
      <c r="Q1737" s="92"/>
      <c r="R1737" s="92"/>
      <c r="S1737" s="92"/>
      <c r="T1737" s="92"/>
      <c r="U1737" s="92"/>
      <c r="V1737" s="92"/>
      <c r="W1737" s="92"/>
      <c r="X1737" s="92"/>
      <c r="Y1737" s="92"/>
      <c r="Z1737" s="92"/>
      <c r="AA1737" s="92"/>
      <c r="AB1737" s="92"/>
      <c r="AC1737" s="92"/>
      <c r="AD1737" s="92"/>
      <c r="AE1737" s="92"/>
      <c r="AF1737" s="92"/>
      <c r="AG1737" s="92"/>
    </row>
    <row r="1738" hidden="1">
      <c r="A1738" s="262"/>
      <c r="B1738" s="25"/>
      <c r="C1738" s="80" t="s">
        <v>78</v>
      </c>
      <c r="D1738" s="302" t="s">
        <v>2542</v>
      </c>
      <c r="E1738" s="263" t="s">
        <v>3265</v>
      </c>
      <c r="F1738" s="263" t="s">
        <v>3266</v>
      </c>
      <c r="G1738" s="112" t="s">
        <v>567</v>
      </c>
      <c r="H1738" s="109" t="s">
        <v>362</v>
      </c>
      <c r="I1738" s="109" t="s">
        <v>3267</v>
      </c>
      <c r="J1738" s="263" t="s">
        <v>3268</v>
      </c>
      <c r="K1738" s="98" t="s">
        <v>3300</v>
      </c>
      <c r="L1738" s="91"/>
      <c r="M1738" s="91"/>
      <c r="N1738" s="96" t="b">
        <v>0</v>
      </c>
      <c r="O1738" s="96" t="b">
        <v>0</v>
      </c>
      <c r="P1738" s="92"/>
      <c r="Q1738" s="92"/>
      <c r="R1738" s="92"/>
      <c r="S1738" s="92"/>
      <c r="T1738" s="92"/>
      <c r="U1738" s="92"/>
      <c r="V1738" s="92"/>
      <c r="W1738" s="92"/>
      <c r="X1738" s="92"/>
      <c r="Y1738" s="92"/>
      <c r="Z1738" s="92"/>
      <c r="AA1738" s="92"/>
      <c r="AB1738" s="92"/>
      <c r="AC1738" s="92"/>
      <c r="AD1738" s="92"/>
      <c r="AE1738" s="92"/>
      <c r="AF1738" s="92"/>
      <c r="AG1738" s="92"/>
    </row>
    <row r="1739" hidden="1">
      <c r="A1739" s="262"/>
      <c r="B1739" s="25"/>
      <c r="C1739" s="80" t="s">
        <v>78</v>
      </c>
      <c r="D1739" s="302" t="s">
        <v>2542</v>
      </c>
      <c r="E1739" s="263" t="s">
        <v>1774</v>
      </c>
      <c r="F1739" s="263" t="s">
        <v>1775</v>
      </c>
      <c r="G1739" s="108">
        <v>0.6666666666666666</v>
      </c>
      <c r="H1739" s="109" t="s">
        <v>407</v>
      </c>
      <c r="I1739" s="109" t="s">
        <v>3269</v>
      </c>
      <c r="J1739" s="263" t="s">
        <v>1416</v>
      </c>
      <c r="K1739" s="98" t="s">
        <v>3300</v>
      </c>
      <c r="L1739" s="91"/>
      <c r="M1739" s="91"/>
      <c r="N1739" s="96" t="b">
        <v>0</v>
      </c>
      <c r="O1739" s="96" t="b">
        <v>0</v>
      </c>
      <c r="P1739" s="92"/>
      <c r="Q1739" s="92"/>
      <c r="R1739" s="92"/>
      <c r="S1739" s="92"/>
      <c r="T1739" s="92"/>
      <c r="U1739" s="92"/>
      <c r="V1739" s="92"/>
      <c r="W1739" s="92"/>
      <c r="X1739" s="92"/>
      <c r="Y1739" s="92"/>
      <c r="Z1739" s="92"/>
      <c r="AA1739" s="92"/>
      <c r="AB1739" s="92"/>
      <c r="AC1739" s="92"/>
      <c r="AD1739" s="92"/>
      <c r="AE1739" s="92"/>
      <c r="AF1739" s="92"/>
      <c r="AG1739" s="92"/>
    </row>
    <row r="1740" hidden="1">
      <c r="A1740" s="262"/>
      <c r="B1740" s="25"/>
      <c r="C1740" s="80" t="s">
        <v>78</v>
      </c>
      <c r="D1740" s="302" t="s">
        <v>3073</v>
      </c>
      <c r="E1740" s="263" t="s">
        <v>3270</v>
      </c>
      <c r="F1740" s="263" t="s">
        <v>3271</v>
      </c>
      <c r="G1740" s="108">
        <v>0.7291666666666666</v>
      </c>
      <c r="H1740" s="109" t="s">
        <v>853</v>
      </c>
      <c r="I1740" s="109" t="s">
        <v>3272</v>
      </c>
      <c r="J1740" s="263" t="s">
        <v>3273</v>
      </c>
      <c r="K1740" s="98" t="s">
        <v>3300</v>
      </c>
      <c r="L1740" s="91"/>
      <c r="M1740" s="91"/>
      <c r="N1740" s="96" t="b">
        <v>0</v>
      </c>
      <c r="O1740" s="96" t="b">
        <v>0</v>
      </c>
      <c r="P1740" s="92"/>
      <c r="Q1740" s="92"/>
      <c r="R1740" s="92"/>
      <c r="S1740" s="92"/>
      <c r="T1740" s="92"/>
      <c r="U1740" s="92"/>
      <c r="V1740" s="92"/>
      <c r="W1740" s="92"/>
      <c r="X1740" s="92"/>
      <c r="Y1740" s="92"/>
      <c r="Z1740" s="92"/>
      <c r="AA1740" s="92"/>
      <c r="AB1740" s="92"/>
      <c r="AC1740" s="92"/>
      <c r="AD1740" s="92"/>
      <c r="AE1740" s="92"/>
      <c r="AF1740" s="92"/>
      <c r="AG1740" s="92"/>
    </row>
    <row r="1741" hidden="1">
      <c r="A1741" s="262"/>
      <c r="B1741" s="25"/>
      <c r="C1741" s="80" t="s">
        <v>78</v>
      </c>
      <c r="D1741" s="97"/>
      <c r="E1741" s="98"/>
      <c r="F1741" s="98"/>
      <c r="G1741" s="41"/>
      <c r="H1741" s="98"/>
      <c r="I1741" s="98"/>
      <c r="J1741" s="98"/>
      <c r="K1741" s="91"/>
      <c r="L1741" s="91"/>
      <c r="M1741" s="91"/>
      <c r="N1741" s="96" t="b">
        <v>0</v>
      </c>
      <c r="O1741" s="96" t="b">
        <v>0</v>
      </c>
      <c r="P1741" s="92"/>
      <c r="Q1741" s="92"/>
      <c r="R1741" s="92"/>
      <c r="S1741" s="92"/>
      <c r="T1741" s="92"/>
      <c r="U1741" s="92"/>
      <c r="V1741" s="92"/>
      <c r="W1741" s="92"/>
      <c r="X1741" s="92"/>
      <c r="Y1741" s="92"/>
      <c r="Z1741" s="92"/>
      <c r="AA1741" s="92"/>
      <c r="AB1741" s="92"/>
      <c r="AC1741" s="92"/>
      <c r="AD1741" s="92"/>
      <c r="AE1741" s="92"/>
      <c r="AF1741" s="92"/>
      <c r="AG1741" s="92"/>
    </row>
    <row r="1742" hidden="1">
      <c r="A1742" s="262"/>
      <c r="B1742" s="39"/>
      <c r="C1742" s="80" t="s">
        <v>78</v>
      </c>
      <c r="D1742" s="97"/>
      <c r="E1742" s="98"/>
      <c r="F1742" s="98"/>
      <c r="G1742" s="41"/>
      <c r="H1742" s="98"/>
      <c r="I1742" s="98"/>
      <c r="J1742" s="98"/>
      <c r="K1742" s="91"/>
      <c r="L1742" s="91"/>
      <c r="M1742" s="91"/>
      <c r="N1742" s="96" t="b">
        <v>0</v>
      </c>
      <c r="O1742" s="96" t="b">
        <v>0</v>
      </c>
      <c r="P1742" s="92"/>
      <c r="Q1742" s="92"/>
      <c r="R1742" s="92"/>
      <c r="S1742" s="92"/>
      <c r="T1742" s="92"/>
      <c r="U1742" s="92"/>
      <c r="V1742" s="92"/>
      <c r="W1742" s="92"/>
      <c r="X1742" s="92"/>
      <c r="Y1742" s="92"/>
      <c r="Z1742" s="92"/>
      <c r="AA1742" s="92"/>
      <c r="AB1742" s="92"/>
      <c r="AC1742" s="92"/>
      <c r="AD1742" s="92"/>
      <c r="AE1742" s="92"/>
      <c r="AF1742" s="92"/>
      <c r="AG1742" s="92"/>
    </row>
    <row r="1743" hidden="1">
      <c r="A1743" s="262"/>
      <c r="B1743" s="166"/>
      <c r="C1743" s="88">
        <v>44566.0</v>
      </c>
      <c r="D1743" s="97"/>
      <c r="E1743" s="98"/>
      <c r="F1743" s="98"/>
      <c r="G1743" s="41"/>
      <c r="H1743" s="98"/>
      <c r="I1743" s="98"/>
      <c r="J1743" s="98"/>
      <c r="K1743" s="91"/>
      <c r="L1743" s="91"/>
      <c r="M1743" s="91"/>
      <c r="N1743" s="96" t="b">
        <v>0</v>
      </c>
      <c r="O1743" s="96" t="b">
        <v>0</v>
      </c>
      <c r="P1743" s="92"/>
      <c r="Q1743" s="92"/>
      <c r="R1743" s="92"/>
      <c r="S1743" s="92"/>
      <c r="T1743" s="92"/>
      <c r="U1743" s="92"/>
      <c r="V1743" s="92"/>
      <c r="W1743" s="92"/>
      <c r="X1743" s="92"/>
      <c r="Y1743" s="92"/>
      <c r="Z1743" s="92"/>
      <c r="AA1743" s="92"/>
      <c r="AB1743" s="92"/>
      <c r="AC1743" s="92"/>
      <c r="AD1743" s="92"/>
      <c r="AE1743" s="92"/>
      <c r="AF1743" s="92"/>
      <c r="AG1743" s="92"/>
    </row>
    <row r="1744" hidden="1">
      <c r="A1744" s="262"/>
      <c r="B1744" s="18"/>
      <c r="C1744" s="78" t="s">
        <v>78</v>
      </c>
      <c r="D1744" s="97"/>
      <c r="E1744" s="98"/>
      <c r="F1744" s="98"/>
      <c r="G1744" s="41"/>
      <c r="H1744" s="98"/>
      <c r="I1744" s="98"/>
      <c r="J1744" s="98"/>
      <c r="K1744" s="91"/>
      <c r="L1744" s="91"/>
      <c r="M1744" s="91"/>
      <c r="N1744" s="96" t="b">
        <v>0</v>
      </c>
      <c r="O1744" s="96" t="b">
        <v>0</v>
      </c>
      <c r="P1744" s="92"/>
      <c r="Q1744" s="92"/>
      <c r="R1744" s="92"/>
      <c r="S1744" s="92"/>
      <c r="T1744" s="92"/>
      <c r="U1744" s="92"/>
      <c r="V1744" s="92"/>
      <c r="W1744" s="92"/>
      <c r="X1744" s="92"/>
      <c r="Y1744" s="92"/>
      <c r="Z1744" s="92"/>
      <c r="AA1744" s="92"/>
      <c r="AB1744" s="92"/>
      <c r="AC1744" s="92"/>
      <c r="AD1744" s="92"/>
      <c r="AE1744" s="92"/>
      <c r="AF1744" s="92"/>
      <c r="AG1744" s="92"/>
    </row>
    <row r="1745" hidden="1">
      <c r="A1745" s="262"/>
      <c r="B1745" s="25"/>
      <c r="C1745" s="80" t="s">
        <v>78</v>
      </c>
      <c r="D1745" s="97"/>
      <c r="E1745" s="98"/>
      <c r="F1745" s="98"/>
      <c r="G1745" s="41"/>
      <c r="H1745" s="98"/>
      <c r="I1745" s="98"/>
      <c r="J1745" s="98"/>
      <c r="K1745" s="91"/>
      <c r="L1745" s="91"/>
      <c r="M1745" s="91"/>
      <c r="N1745" s="96" t="b">
        <v>0</v>
      </c>
      <c r="O1745" s="96" t="b">
        <v>0</v>
      </c>
      <c r="P1745" s="92"/>
      <c r="Q1745" s="92"/>
      <c r="R1745" s="92"/>
      <c r="S1745" s="92"/>
      <c r="T1745" s="92"/>
      <c r="U1745" s="92"/>
      <c r="V1745" s="92"/>
      <c r="W1745" s="92"/>
      <c r="X1745" s="92"/>
      <c r="Y1745" s="92"/>
      <c r="Z1745" s="92"/>
      <c r="AA1745" s="92"/>
      <c r="AB1745" s="92"/>
      <c r="AC1745" s="92"/>
      <c r="AD1745" s="92"/>
      <c r="AE1745" s="92"/>
      <c r="AF1745" s="92"/>
      <c r="AG1745" s="92"/>
    </row>
    <row r="1746" hidden="1">
      <c r="A1746" s="262"/>
      <c r="B1746" s="25"/>
      <c r="C1746" s="80" t="s">
        <v>78</v>
      </c>
      <c r="D1746" s="97"/>
      <c r="E1746" s="98"/>
      <c r="F1746" s="98"/>
      <c r="G1746" s="41"/>
      <c r="H1746" s="98"/>
      <c r="I1746" s="98"/>
      <c r="J1746" s="98"/>
      <c r="K1746" s="91"/>
      <c r="L1746" s="91"/>
      <c r="M1746" s="91"/>
      <c r="N1746" s="96" t="b">
        <v>0</v>
      </c>
      <c r="O1746" s="96" t="b">
        <v>0</v>
      </c>
      <c r="P1746" s="92"/>
      <c r="Q1746" s="92"/>
      <c r="R1746" s="92"/>
      <c r="S1746" s="92"/>
      <c r="T1746" s="92"/>
      <c r="U1746" s="92"/>
      <c r="V1746" s="92"/>
      <c r="W1746" s="92"/>
      <c r="X1746" s="92"/>
      <c r="Y1746" s="92"/>
      <c r="Z1746" s="92"/>
      <c r="AA1746" s="92"/>
      <c r="AB1746" s="92"/>
      <c r="AC1746" s="92"/>
      <c r="AD1746" s="92"/>
      <c r="AE1746" s="92"/>
      <c r="AF1746" s="92"/>
      <c r="AG1746" s="92"/>
    </row>
    <row r="1747" hidden="1">
      <c r="A1747" s="262"/>
      <c r="B1747" s="25"/>
      <c r="C1747" s="80" t="s">
        <v>78</v>
      </c>
      <c r="D1747" s="302" t="s">
        <v>3213</v>
      </c>
      <c r="E1747" s="184" t="s">
        <v>3301</v>
      </c>
      <c r="F1747" s="184" t="s">
        <v>3302</v>
      </c>
      <c r="G1747" s="112" t="s">
        <v>449</v>
      </c>
      <c r="H1747" s="109" t="s">
        <v>211</v>
      </c>
      <c r="I1747" s="109" t="s">
        <v>3303</v>
      </c>
      <c r="J1747" s="263" t="s">
        <v>3304</v>
      </c>
      <c r="K1747" s="98" t="s">
        <v>1325</v>
      </c>
      <c r="L1747" s="91"/>
      <c r="M1747" s="91"/>
      <c r="N1747" s="96" t="b">
        <v>0</v>
      </c>
      <c r="O1747" s="96" t="b">
        <v>0</v>
      </c>
      <c r="P1747" s="92"/>
      <c r="Q1747" s="92"/>
      <c r="R1747" s="92"/>
      <c r="S1747" s="92"/>
      <c r="T1747" s="92"/>
      <c r="U1747" s="92"/>
      <c r="V1747" s="92"/>
      <c r="W1747" s="92"/>
      <c r="X1747" s="92"/>
      <c r="Y1747" s="92"/>
      <c r="Z1747" s="92"/>
      <c r="AA1747" s="92"/>
      <c r="AB1747" s="92"/>
      <c r="AC1747" s="92"/>
      <c r="AD1747" s="92"/>
      <c r="AE1747" s="92"/>
      <c r="AF1747" s="92"/>
      <c r="AG1747" s="92"/>
    </row>
    <row r="1748" hidden="1">
      <c r="A1748" s="262"/>
      <c r="B1748" s="25"/>
      <c r="C1748" s="80" t="s">
        <v>78</v>
      </c>
      <c r="D1748" s="159" t="s">
        <v>2582</v>
      </c>
      <c r="E1748" s="273" t="s">
        <v>3276</v>
      </c>
      <c r="F1748" s="273" t="s">
        <v>3277</v>
      </c>
      <c r="G1748" s="270" t="s">
        <v>180</v>
      </c>
      <c r="H1748" s="162" t="s">
        <v>211</v>
      </c>
      <c r="I1748" s="162" t="s">
        <v>3278</v>
      </c>
      <c r="J1748" s="162" t="s">
        <v>3279</v>
      </c>
      <c r="K1748" s="271"/>
      <c r="L1748" s="98" t="s">
        <v>838</v>
      </c>
      <c r="M1748" s="91"/>
      <c r="N1748" s="96" t="b">
        <v>0</v>
      </c>
      <c r="O1748" s="96" t="b">
        <v>0</v>
      </c>
      <c r="P1748" s="92"/>
      <c r="Q1748" s="92"/>
      <c r="R1748" s="92"/>
      <c r="S1748" s="92"/>
      <c r="T1748" s="92"/>
      <c r="U1748" s="92"/>
      <c r="V1748" s="92"/>
      <c r="W1748" s="92"/>
      <c r="X1748" s="92"/>
      <c r="Y1748" s="92"/>
      <c r="Z1748" s="92"/>
      <c r="AA1748" s="92"/>
      <c r="AB1748" s="92"/>
      <c r="AC1748" s="92"/>
      <c r="AD1748" s="92"/>
      <c r="AE1748" s="92"/>
      <c r="AF1748" s="92"/>
      <c r="AG1748" s="92"/>
    </row>
    <row r="1749" hidden="1">
      <c r="A1749" s="262"/>
      <c r="B1749" s="25"/>
      <c r="C1749" s="80" t="s">
        <v>78</v>
      </c>
      <c r="D1749" s="107" t="s">
        <v>2582</v>
      </c>
      <c r="E1749" s="184" t="s">
        <v>3285</v>
      </c>
      <c r="F1749" s="184" t="s">
        <v>3286</v>
      </c>
      <c r="G1749" s="112" t="s">
        <v>248</v>
      </c>
      <c r="H1749" s="184" t="s">
        <v>82</v>
      </c>
      <c r="I1749" s="109" t="s">
        <v>3305</v>
      </c>
      <c r="J1749" s="109" t="s">
        <v>3288</v>
      </c>
      <c r="K1749" s="111"/>
      <c r="L1749" s="111"/>
      <c r="M1749" s="98" t="s">
        <v>1325</v>
      </c>
      <c r="N1749" s="96" t="b">
        <v>0</v>
      </c>
      <c r="O1749" s="96" t="b">
        <v>0</v>
      </c>
      <c r="P1749" s="92"/>
      <c r="Q1749" s="92"/>
      <c r="R1749" s="92"/>
      <c r="S1749" s="92"/>
      <c r="T1749" s="92"/>
      <c r="U1749" s="92"/>
      <c r="V1749" s="92"/>
      <c r="W1749" s="92"/>
      <c r="X1749" s="92"/>
      <c r="Y1749" s="92"/>
      <c r="Z1749" s="92"/>
      <c r="AA1749" s="92"/>
      <c r="AB1749" s="92"/>
      <c r="AC1749" s="92"/>
      <c r="AD1749" s="92"/>
      <c r="AE1749" s="92"/>
      <c r="AF1749" s="92"/>
      <c r="AG1749" s="92"/>
    </row>
    <row r="1750" hidden="1">
      <c r="A1750" s="262"/>
      <c r="B1750" s="25"/>
      <c r="C1750" s="80" t="s">
        <v>78</v>
      </c>
      <c r="D1750" s="107" t="s">
        <v>2582</v>
      </c>
      <c r="E1750" s="184" t="s">
        <v>3290</v>
      </c>
      <c r="F1750" s="184" t="s">
        <v>3291</v>
      </c>
      <c r="G1750" s="112" t="s">
        <v>248</v>
      </c>
      <c r="H1750" s="184" t="s">
        <v>82</v>
      </c>
      <c r="I1750" s="109" t="s">
        <v>3305</v>
      </c>
      <c r="J1750" s="109" t="s">
        <v>3288</v>
      </c>
      <c r="K1750" s="111"/>
      <c r="L1750" s="111"/>
      <c r="M1750" s="98" t="s">
        <v>1325</v>
      </c>
      <c r="N1750" s="96" t="b">
        <v>0</v>
      </c>
      <c r="O1750" s="96" t="b">
        <v>0</v>
      </c>
      <c r="P1750" s="92"/>
      <c r="Q1750" s="92"/>
      <c r="R1750" s="92"/>
      <c r="S1750" s="92"/>
      <c r="T1750" s="92"/>
      <c r="U1750" s="92"/>
      <c r="V1750" s="92"/>
      <c r="W1750" s="92"/>
      <c r="X1750" s="92"/>
      <c r="Y1750" s="92"/>
      <c r="Z1750" s="92"/>
      <c r="AA1750" s="92"/>
      <c r="AB1750" s="92"/>
      <c r="AC1750" s="92"/>
      <c r="AD1750" s="92"/>
      <c r="AE1750" s="92"/>
      <c r="AF1750" s="92"/>
      <c r="AG1750" s="92"/>
    </row>
    <row r="1751" hidden="1">
      <c r="A1751" s="262"/>
      <c r="B1751" s="39"/>
      <c r="C1751" s="80" t="s">
        <v>78</v>
      </c>
      <c r="D1751" s="97"/>
      <c r="E1751" s="98"/>
      <c r="F1751" s="98"/>
      <c r="G1751" s="41"/>
      <c r="H1751" s="98"/>
      <c r="I1751" s="98"/>
      <c r="J1751" s="98"/>
      <c r="K1751" s="91"/>
      <c r="L1751" s="91"/>
      <c r="M1751" s="91"/>
      <c r="N1751" s="96" t="b">
        <v>0</v>
      </c>
      <c r="O1751" s="96" t="b">
        <v>0</v>
      </c>
      <c r="P1751" s="92"/>
      <c r="Q1751" s="92"/>
      <c r="R1751" s="92"/>
      <c r="S1751" s="92"/>
      <c r="T1751" s="92"/>
      <c r="U1751" s="92"/>
      <c r="V1751" s="92"/>
      <c r="W1751" s="92"/>
      <c r="X1751" s="92"/>
      <c r="Y1751" s="92"/>
      <c r="Z1751" s="92"/>
      <c r="AA1751" s="92"/>
      <c r="AB1751" s="92"/>
      <c r="AC1751" s="92"/>
      <c r="AD1751" s="92"/>
      <c r="AE1751" s="92"/>
      <c r="AF1751" s="92"/>
      <c r="AG1751" s="92"/>
    </row>
    <row r="1752" hidden="1">
      <c r="A1752" s="262"/>
      <c r="B1752" s="166"/>
      <c r="C1752" s="88">
        <v>44567.0</v>
      </c>
      <c r="D1752" s="97"/>
      <c r="E1752" s="98"/>
      <c r="F1752" s="98"/>
      <c r="G1752" s="41"/>
      <c r="H1752" s="98"/>
      <c r="I1752" s="98"/>
      <c r="J1752" s="98"/>
      <c r="K1752" s="91"/>
      <c r="L1752" s="91"/>
      <c r="M1752" s="91"/>
      <c r="N1752" s="96" t="b">
        <v>0</v>
      </c>
      <c r="O1752" s="96" t="b">
        <v>0</v>
      </c>
      <c r="P1752" s="92"/>
      <c r="Q1752" s="92"/>
      <c r="R1752" s="92"/>
      <c r="S1752" s="92"/>
      <c r="T1752" s="92"/>
      <c r="U1752" s="92"/>
      <c r="V1752" s="92"/>
      <c r="W1752" s="92"/>
      <c r="X1752" s="92"/>
      <c r="Y1752" s="92"/>
      <c r="Z1752" s="92"/>
      <c r="AA1752" s="92"/>
      <c r="AB1752" s="92"/>
      <c r="AC1752" s="92"/>
      <c r="AD1752" s="92"/>
      <c r="AE1752" s="92"/>
      <c r="AF1752" s="92"/>
      <c r="AG1752" s="92"/>
    </row>
    <row r="1753" hidden="1">
      <c r="A1753" s="262"/>
      <c r="B1753" s="18"/>
      <c r="C1753" s="78" t="s">
        <v>78</v>
      </c>
      <c r="D1753" s="97"/>
      <c r="E1753" s="98"/>
      <c r="F1753" s="98"/>
      <c r="G1753" s="41"/>
      <c r="H1753" s="98"/>
      <c r="I1753" s="98"/>
      <c r="J1753" s="98"/>
      <c r="K1753" s="91"/>
      <c r="L1753" s="91"/>
      <c r="M1753" s="91"/>
      <c r="N1753" s="96" t="b">
        <v>0</v>
      </c>
      <c r="O1753" s="96" t="b">
        <v>0</v>
      </c>
      <c r="P1753" s="92"/>
      <c r="Q1753" s="92"/>
      <c r="R1753" s="92"/>
      <c r="S1753" s="92"/>
      <c r="T1753" s="92"/>
      <c r="U1753" s="92"/>
      <c r="V1753" s="92"/>
      <c r="W1753" s="92"/>
      <c r="X1753" s="92"/>
      <c r="Y1753" s="92"/>
      <c r="Z1753" s="92"/>
      <c r="AA1753" s="92"/>
      <c r="AB1753" s="92"/>
      <c r="AC1753" s="92"/>
      <c r="AD1753" s="92"/>
      <c r="AE1753" s="92"/>
      <c r="AF1753" s="92"/>
      <c r="AG1753" s="92"/>
    </row>
    <row r="1754" hidden="1">
      <c r="A1754" s="262"/>
      <c r="B1754" s="25"/>
      <c r="C1754" s="80" t="s">
        <v>78</v>
      </c>
      <c r="D1754" s="300" t="s">
        <v>2192</v>
      </c>
      <c r="E1754" s="273" t="s">
        <v>3306</v>
      </c>
      <c r="F1754" s="269" t="s">
        <v>3307</v>
      </c>
      <c r="G1754" s="161">
        <v>0.4166666666666667</v>
      </c>
      <c r="H1754" s="269" t="s">
        <v>3308</v>
      </c>
      <c r="I1754" s="273" t="s">
        <v>3309</v>
      </c>
      <c r="J1754" s="269" t="s">
        <v>3310</v>
      </c>
      <c r="K1754" s="91"/>
      <c r="L1754" s="91"/>
      <c r="M1754" s="91"/>
      <c r="N1754" s="96" t="b">
        <v>0</v>
      </c>
      <c r="O1754" s="96" t="b">
        <v>0</v>
      </c>
      <c r="P1754" s="92"/>
      <c r="Q1754" s="92"/>
      <c r="R1754" s="92"/>
      <c r="S1754" s="92"/>
      <c r="T1754" s="92"/>
      <c r="U1754" s="92"/>
      <c r="V1754" s="92"/>
      <c r="W1754" s="92"/>
      <c r="X1754" s="92"/>
      <c r="Y1754" s="92"/>
      <c r="Z1754" s="92"/>
      <c r="AA1754" s="92"/>
      <c r="AB1754" s="92"/>
      <c r="AC1754" s="92"/>
      <c r="AD1754" s="92"/>
      <c r="AE1754" s="92"/>
      <c r="AF1754" s="92"/>
      <c r="AG1754" s="92"/>
    </row>
    <row r="1755" hidden="1">
      <c r="A1755" s="262"/>
      <c r="B1755" s="25"/>
      <c r="C1755" s="80" t="s">
        <v>78</v>
      </c>
      <c r="D1755" s="159" t="s">
        <v>2192</v>
      </c>
      <c r="E1755" s="273" t="s">
        <v>3311</v>
      </c>
      <c r="F1755" s="273" t="s">
        <v>3312</v>
      </c>
      <c r="G1755" s="161">
        <v>0.5</v>
      </c>
      <c r="H1755" s="273" t="s">
        <v>3006</v>
      </c>
      <c r="I1755" s="269" t="s">
        <v>3313</v>
      </c>
      <c r="J1755" s="273" t="s">
        <v>3314</v>
      </c>
      <c r="K1755" s="91"/>
      <c r="L1755" s="91"/>
      <c r="M1755" s="91"/>
      <c r="N1755" s="96" t="b">
        <v>0</v>
      </c>
      <c r="O1755" s="96" t="b">
        <v>0</v>
      </c>
      <c r="P1755" s="92"/>
      <c r="Q1755" s="92"/>
      <c r="R1755" s="92"/>
      <c r="S1755" s="92"/>
      <c r="T1755" s="92"/>
      <c r="U1755" s="92"/>
      <c r="V1755" s="92"/>
      <c r="W1755" s="92"/>
      <c r="X1755" s="92"/>
      <c r="Y1755" s="92"/>
      <c r="Z1755" s="92"/>
      <c r="AA1755" s="92"/>
      <c r="AB1755" s="92"/>
      <c r="AC1755" s="92"/>
      <c r="AD1755" s="92"/>
      <c r="AE1755" s="92"/>
      <c r="AF1755" s="92"/>
      <c r="AG1755" s="92"/>
    </row>
    <row r="1756" hidden="1">
      <c r="A1756" s="262"/>
      <c r="B1756" s="25"/>
      <c r="C1756" s="80" t="s">
        <v>78</v>
      </c>
      <c r="D1756" s="159" t="s">
        <v>2192</v>
      </c>
      <c r="E1756" s="269" t="s">
        <v>3315</v>
      </c>
      <c r="F1756" s="273" t="s">
        <v>3316</v>
      </c>
      <c r="G1756" s="161">
        <v>0.5833333333333334</v>
      </c>
      <c r="H1756" s="269" t="s">
        <v>3317</v>
      </c>
      <c r="I1756" s="273" t="s">
        <v>3318</v>
      </c>
      <c r="J1756" s="269" t="s">
        <v>3319</v>
      </c>
      <c r="K1756" s="91"/>
      <c r="L1756" s="91"/>
      <c r="M1756" s="91"/>
      <c r="N1756" s="96" t="b">
        <v>0</v>
      </c>
      <c r="O1756" s="96" t="b">
        <v>0</v>
      </c>
      <c r="P1756" s="92"/>
      <c r="Q1756" s="92"/>
      <c r="R1756" s="92"/>
      <c r="S1756" s="92"/>
      <c r="T1756" s="92"/>
      <c r="U1756" s="92"/>
      <c r="V1756" s="92"/>
      <c r="W1756" s="92"/>
      <c r="X1756" s="92"/>
      <c r="Y1756" s="92"/>
      <c r="Z1756" s="92"/>
      <c r="AA1756" s="92"/>
      <c r="AB1756" s="92"/>
      <c r="AC1756" s="92"/>
      <c r="AD1756" s="92"/>
      <c r="AE1756" s="92"/>
      <c r="AF1756" s="92"/>
      <c r="AG1756" s="92"/>
    </row>
    <row r="1757" hidden="1">
      <c r="A1757" s="262"/>
      <c r="B1757" s="25"/>
      <c r="C1757" s="80" t="s">
        <v>78</v>
      </c>
      <c r="D1757" s="159" t="s">
        <v>2192</v>
      </c>
      <c r="E1757" s="273" t="s">
        <v>3320</v>
      </c>
      <c r="F1757" s="269" t="s">
        <v>3321</v>
      </c>
      <c r="G1757" s="161">
        <v>0.6666666666666666</v>
      </c>
      <c r="H1757" s="273" t="s">
        <v>853</v>
      </c>
      <c r="I1757" s="273" t="s">
        <v>3322</v>
      </c>
      <c r="J1757" s="273" t="s">
        <v>3323</v>
      </c>
      <c r="K1757" s="91"/>
      <c r="L1757" s="91"/>
      <c r="M1757" s="91"/>
      <c r="N1757" s="96" t="b">
        <v>0</v>
      </c>
      <c r="O1757" s="96" t="b">
        <v>0</v>
      </c>
      <c r="P1757" s="92"/>
      <c r="Q1757" s="92"/>
      <c r="R1757" s="92"/>
      <c r="S1757" s="92"/>
      <c r="T1757" s="92"/>
      <c r="U1757" s="92"/>
      <c r="V1757" s="92"/>
      <c r="W1757" s="92"/>
      <c r="X1757" s="92"/>
      <c r="Y1757" s="92"/>
      <c r="Z1757" s="92"/>
      <c r="AA1757" s="92"/>
      <c r="AB1757" s="92"/>
      <c r="AC1757" s="92"/>
      <c r="AD1757" s="92"/>
      <c r="AE1757" s="92"/>
      <c r="AF1757" s="92"/>
      <c r="AG1757" s="92"/>
    </row>
    <row r="1758" hidden="1">
      <c r="A1758" s="262"/>
      <c r="B1758" s="25"/>
      <c r="C1758" s="80" t="s">
        <v>78</v>
      </c>
      <c r="D1758" s="159" t="s">
        <v>2192</v>
      </c>
      <c r="E1758" s="269" t="s">
        <v>3324</v>
      </c>
      <c r="F1758" s="273" t="s">
        <v>3325</v>
      </c>
      <c r="G1758" s="161">
        <v>0.75</v>
      </c>
      <c r="H1758" s="269" t="s">
        <v>3326</v>
      </c>
      <c r="I1758" s="273" t="s">
        <v>3327</v>
      </c>
      <c r="J1758" s="269" t="s">
        <v>3328</v>
      </c>
      <c r="K1758" s="231"/>
      <c r="L1758" s="91"/>
      <c r="M1758" s="91"/>
      <c r="N1758" s="96" t="b">
        <v>0</v>
      </c>
      <c r="O1758" s="96" t="b">
        <v>0</v>
      </c>
      <c r="P1758" s="92"/>
      <c r="Q1758" s="92"/>
      <c r="R1758" s="92"/>
      <c r="S1758" s="92"/>
      <c r="T1758" s="92"/>
      <c r="U1758" s="92"/>
      <c r="V1758" s="92"/>
      <c r="W1758" s="92"/>
      <c r="X1758" s="92"/>
      <c r="Y1758" s="92"/>
      <c r="Z1758" s="92"/>
      <c r="AA1758" s="92"/>
      <c r="AB1758" s="92"/>
      <c r="AC1758" s="92"/>
      <c r="AD1758" s="92"/>
      <c r="AE1758" s="92"/>
      <c r="AF1758" s="92"/>
      <c r="AG1758" s="92"/>
    </row>
    <row r="1759" hidden="1">
      <c r="A1759" s="262"/>
      <c r="B1759" s="25"/>
      <c r="C1759" s="80" t="s">
        <v>78</v>
      </c>
      <c r="D1759" s="102"/>
      <c r="E1759" s="228"/>
      <c r="F1759" s="228"/>
      <c r="G1759" s="229"/>
      <c r="H1759" s="98"/>
      <c r="I1759" s="165"/>
      <c r="J1759" s="165"/>
      <c r="K1759" s="231"/>
      <c r="L1759" s="91"/>
      <c r="M1759" s="91"/>
      <c r="N1759" s="96" t="b">
        <v>0</v>
      </c>
      <c r="O1759" s="96" t="b">
        <v>0</v>
      </c>
      <c r="P1759" s="92"/>
      <c r="Q1759" s="92"/>
      <c r="R1759" s="92"/>
      <c r="S1759" s="92"/>
      <c r="T1759" s="92"/>
      <c r="U1759" s="92"/>
      <c r="V1759" s="92"/>
      <c r="W1759" s="92"/>
      <c r="X1759" s="92"/>
      <c r="Y1759" s="92"/>
      <c r="Z1759" s="92"/>
      <c r="AA1759" s="92"/>
      <c r="AB1759" s="92"/>
      <c r="AC1759" s="92"/>
      <c r="AD1759" s="92"/>
      <c r="AE1759" s="92"/>
      <c r="AF1759" s="92"/>
      <c r="AG1759" s="92"/>
    </row>
    <row r="1760" hidden="1">
      <c r="A1760" s="262"/>
      <c r="B1760" s="39"/>
      <c r="C1760" s="80" t="s">
        <v>78</v>
      </c>
      <c r="D1760" s="97"/>
      <c r="E1760" s="98"/>
      <c r="F1760" s="98"/>
      <c r="G1760" s="41"/>
      <c r="H1760" s="98"/>
      <c r="I1760" s="98"/>
      <c r="J1760" s="98"/>
      <c r="K1760" s="91"/>
      <c r="L1760" s="91"/>
      <c r="M1760" s="91"/>
      <c r="N1760" s="96" t="b">
        <v>0</v>
      </c>
      <c r="O1760" s="96" t="b">
        <v>0</v>
      </c>
      <c r="P1760" s="92"/>
      <c r="Q1760" s="92"/>
      <c r="R1760" s="92"/>
      <c r="S1760" s="92"/>
      <c r="T1760" s="92"/>
      <c r="U1760" s="92"/>
      <c r="V1760" s="92"/>
      <c r="W1760" s="92"/>
      <c r="X1760" s="92"/>
      <c r="Y1760" s="92"/>
      <c r="Z1760" s="92"/>
      <c r="AA1760" s="92"/>
      <c r="AB1760" s="92"/>
      <c r="AC1760" s="92"/>
      <c r="AD1760" s="92"/>
      <c r="AE1760" s="92"/>
      <c r="AF1760" s="92"/>
      <c r="AG1760" s="92"/>
    </row>
    <row r="1761" hidden="1">
      <c r="A1761" s="262"/>
      <c r="B1761" s="166"/>
      <c r="C1761" s="88">
        <v>44568.0</v>
      </c>
      <c r="D1761" s="97"/>
      <c r="E1761" s="98"/>
      <c r="F1761" s="98"/>
      <c r="G1761" s="41"/>
      <c r="H1761" s="98"/>
      <c r="I1761" s="98"/>
      <c r="J1761" s="98"/>
      <c r="K1761" s="91"/>
      <c r="L1761" s="91"/>
      <c r="M1761" s="91"/>
      <c r="N1761" s="96" t="b">
        <v>0</v>
      </c>
      <c r="O1761" s="96" t="b">
        <v>0</v>
      </c>
      <c r="P1761" s="92"/>
      <c r="Q1761" s="92"/>
      <c r="R1761" s="92"/>
      <c r="S1761" s="92"/>
      <c r="T1761" s="92"/>
      <c r="U1761" s="92"/>
      <c r="V1761" s="92"/>
      <c r="W1761" s="92"/>
      <c r="X1761" s="92"/>
      <c r="Y1761" s="92"/>
      <c r="Z1761" s="92"/>
      <c r="AA1761" s="92"/>
      <c r="AB1761" s="92"/>
      <c r="AC1761" s="92"/>
      <c r="AD1761" s="92"/>
      <c r="AE1761" s="92"/>
      <c r="AF1761" s="92"/>
      <c r="AG1761" s="92"/>
    </row>
    <row r="1762" hidden="1">
      <c r="A1762" s="262"/>
      <c r="B1762" s="18"/>
      <c r="C1762" s="78" t="s">
        <v>78</v>
      </c>
      <c r="D1762" s="97"/>
      <c r="E1762" s="98"/>
      <c r="F1762" s="98"/>
      <c r="G1762" s="41"/>
      <c r="H1762" s="98"/>
      <c r="I1762" s="98"/>
      <c r="J1762" s="98"/>
      <c r="K1762" s="91"/>
      <c r="L1762" s="91"/>
      <c r="M1762" s="91"/>
      <c r="N1762" s="96" t="b">
        <v>0</v>
      </c>
      <c r="O1762" s="96" t="b">
        <v>0</v>
      </c>
      <c r="P1762" s="92"/>
      <c r="Q1762" s="92"/>
      <c r="R1762" s="92"/>
      <c r="S1762" s="92"/>
      <c r="T1762" s="92"/>
      <c r="U1762" s="92"/>
      <c r="V1762" s="92"/>
      <c r="W1762" s="92"/>
      <c r="X1762" s="92"/>
      <c r="Y1762" s="92"/>
      <c r="Z1762" s="92"/>
      <c r="AA1762" s="92"/>
      <c r="AB1762" s="92"/>
      <c r="AC1762" s="92"/>
      <c r="AD1762" s="92"/>
      <c r="AE1762" s="92"/>
      <c r="AF1762" s="92"/>
      <c r="AG1762" s="92"/>
    </row>
    <row r="1763" hidden="1">
      <c r="A1763" s="262"/>
      <c r="B1763" s="25"/>
      <c r="C1763" s="80" t="s">
        <v>78</v>
      </c>
      <c r="D1763" s="97"/>
      <c r="E1763" s="98"/>
      <c r="F1763" s="98"/>
      <c r="G1763" s="230"/>
      <c r="H1763" s="165"/>
      <c r="I1763" s="165"/>
      <c r="J1763" s="317"/>
      <c r="K1763" s="91"/>
      <c r="L1763" s="91"/>
      <c r="M1763" s="91"/>
      <c r="N1763" s="96" t="b">
        <v>0</v>
      </c>
      <c r="O1763" s="96" t="b">
        <v>0</v>
      </c>
      <c r="P1763" s="92"/>
      <c r="Q1763" s="92"/>
      <c r="R1763" s="92"/>
      <c r="S1763" s="92"/>
      <c r="T1763" s="92"/>
      <c r="U1763" s="92"/>
      <c r="V1763" s="92"/>
      <c r="W1763" s="92"/>
      <c r="X1763" s="92"/>
      <c r="Y1763" s="92"/>
      <c r="Z1763" s="92"/>
      <c r="AA1763" s="92"/>
      <c r="AB1763" s="92"/>
      <c r="AC1763" s="92"/>
      <c r="AD1763" s="92"/>
      <c r="AE1763" s="92"/>
      <c r="AF1763" s="92"/>
      <c r="AG1763" s="92"/>
    </row>
    <row r="1764" hidden="1">
      <c r="A1764" s="262"/>
      <c r="B1764" s="25"/>
      <c r="C1764" s="80" t="s">
        <v>78</v>
      </c>
      <c r="D1764" s="97"/>
      <c r="E1764" s="98"/>
      <c r="F1764" s="307" t="s">
        <v>3093</v>
      </c>
      <c r="G1764" s="230"/>
      <c r="H1764" s="165"/>
      <c r="I1764" s="165"/>
      <c r="J1764" s="228"/>
      <c r="K1764" s="91"/>
      <c r="L1764" s="91"/>
      <c r="M1764" s="91"/>
      <c r="N1764" s="96" t="b">
        <v>0</v>
      </c>
      <c r="O1764" s="96" t="b">
        <v>0</v>
      </c>
      <c r="P1764" s="92"/>
      <c r="Q1764" s="92"/>
      <c r="R1764" s="92"/>
      <c r="S1764" s="92"/>
      <c r="T1764" s="92"/>
      <c r="U1764" s="92"/>
      <c r="V1764" s="92"/>
      <c r="W1764" s="92"/>
      <c r="X1764" s="92"/>
      <c r="Y1764" s="92"/>
      <c r="Z1764" s="92"/>
      <c r="AA1764" s="92"/>
      <c r="AB1764" s="92"/>
      <c r="AC1764" s="92"/>
      <c r="AD1764" s="92"/>
      <c r="AE1764" s="92"/>
      <c r="AF1764" s="92"/>
      <c r="AG1764" s="92"/>
    </row>
    <row r="1765" hidden="1">
      <c r="A1765" s="262"/>
      <c r="B1765" s="25"/>
      <c r="C1765" s="80" t="s">
        <v>78</v>
      </c>
      <c r="D1765" s="97"/>
      <c r="E1765" s="98"/>
      <c r="F1765" s="98"/>
      <c r="G1765" s="230"/>
      <c r="H1765" s="165"/>
      <c r="I1765" s="165"/>
      <c r="J1765" s="98"/>
      <c r="K1765" s="91"/>
      <c r="L1765" s="91"/>
      <c r="M1765" s="91"/>
      <c r="N1765" s="96" t="b">
        <v>0</v>
      </c>
      <c r="O1765" s="96" t="b">
        <v>0</v>
      </c>
      <c r="P1765" s="92"/>
      <c r="Q1765" s="92"/>
      <c r="R1765" s="92"/>
      <c r="S1765" s="92"/>
      <c r="T1765" s="92"/>
      <c r="U1765" s="92"/>
      <c r="V1765" s="92"/>
      <c r="W1765" s="92"/>
      <c r="X1765" s="92"/>
      <c r="Y1765" s="92"/>
      <c r="Z1765" s="92"/>
      <c r="AA1765" s="92"/>
      <c r="AB1765" s="92"/>
      <c r="AC1765" s="92"/>
      <c r="AD1765" s="92"/>
      <c r="AE1765" s="92"/>
      <c r="AF1765" s="92"/>
      <c r="AG1765" s="92"/>
    </row>
    <row r="1766" hidden="1">
      <c r="A1766" s="262"/>
      <c r="B1766" s="25"/>
      <c r="C1766" s="80" t="s">
        <v>78</v>
      </c>
      <c r="D1766" s="97"/>
      <c r="E1766" s="98"/>
      <c r="F1766" s="98"/>
      <c r="G1766" s="229"/>
      <c r="H1766" s="165"/>
      <c r="I1766" s="165"/>
      <c r="J1766" s="98"/>
      <c r="K1766" s="91"/>
      <c r="L1766" s="91"/>
      <c r="M1766" s="91"/>
      <c r="N1766" s="96" t="b">
        <v>0</v>
      </c>
      <c r="O1766" s="96" t="b">
        <v>0</v>
      </c>
      <c r="P1766" s="92"/>
      <c r="Q1766" s="92"/>
      <c r="R1766" s="92"/>
      <c r="S1766" s="92"/>
      <c r="T1766" s="92"/>
      <c r="U1766" s="92"/>
      <c r="V1766" s="92"/>
      <c r="W1766" s="92"/>
      <c r="X1766" s="92"/>
      <c r="Y1766" s="92"/>
      <c r="Z1766" s="92"/>
      <c r="AA1766" s="92"/>
      <c r="AB1766" s="92"/>
      <c r="AC1766" s="92"/>
      <c r="AD1766" s="92"/>
      <c r="AE1766" s="92"/>
      <c r="AF1766" s="92"/>
      <c r="AG1766" s="92"/>
    </row>
    <row r="1767" hidden="1">
      <c r="A1767" s="262"/>
      <c r="B1767" s="25"/>
      <c r="C1767" s="80" t="s">
        <v>78</v>
      </c>
      <c r="D1767" s="97"/>
      <c r="E1767" s="98"/>
      <c r="F1767" s="98"/>
      <c r="G1767" s="230"/>
      <c r="H1767" s="165"/>
      <c r="I1767" s="165"/>
      <c r="J1767" s="98"/>
      <c r="K1767" s="91"/>
      <c r="L1767" s="91"/>
      <c r="M1767" s="91"/>
      <c r="N1767" s="96" t="b">
        <v>0</v>
      </c>
      <c r="O1767" s="96" t="b">
        <v>0</v>
      </c>
      <c r="P1767" s="92"/>
      <c r="Q1767" s="92"/>
      <c r="R1767" s="92"/>
      <c r="S1767" s="92"/>
      <c r="T1767" s="92"/>
      <c r="U1767" s="92"/>
      <c r="V1767" s="92"/>
      <c r="W1767" s="92"/>
      <c r="X1767" s="92"/>
      <c r="Y1767" s="92"/>
      <c r="Z1767" s="92"/>
      <c r="AA1767" s="92"/>
      <c r="AB1767" s="92"/>
      <c r="AC1767" s="92"/>
      <c r="AD1767" s="92"/>
      <c r="AE1767" s="92"/>
      <c r="AF1767" s="92"/>
      <c r="AG1767" s="92"/>
    </row>
    <row r="1768" hidden="1">
      <c r="A1768" s="262"/>
      <c r="B1768" s="25"/>
      <c r="C1768" s="80" t="s">
        <v>78</v>
      </c>
      <c r="D1768" s="97"/>
      <c r="E1768" s="98"/>
      <c r="F1768" s="98"/>
      <c r="G1768" s="230"/>
      <c r="H1768" s="165"/>
      <c r="I1768" s="165"/>
      <c r="J1768" s="98"/>
      <c r="K1768" s="91"/>
      <c r="L1768" s="91"/>
      <c r="M1768" s="91"/>
      <c r="N1768" s="96" t="b">
        <v>0</v>
      </c>
      <c r="O1768" s="96" t="b">
        <v>0</v>
      </c>
      <c r="P1768" s="92"/>
      <c r="Q1768" s="92"/>
      <c r="R1768" s="92"/>
      <c r="S1768" s="92"/>
      <c r="T1768" s="92"/>
      <c r="U1768" s="92"/>
      <c r="V1768" s="92"/>
      <c r="W1768" s="92"/>
      <c r="X1768" s="92"/>
      <c r="Y1768" s="92"/>
      <c r="Z1768" s="92"/>
      <c r="AA1768" s="92"/>
      <c r="AB1768" s="92"/>
      <c r="AC1768" s="92"/>
      <c r="AD1768" s="92"/>
      <c r="AE1768" s="92"/>
      <c r="AF1768" s="92"/>
      <c r="AG1768" s="92"/>
    </row>
    <row r="1769" hidden="1">
      <c r="A1769" s="262"/>
      <c r="B1769" s="39"/>
      <c r="C1769" s="80" t="s">
        <v>78</v>
      </c>
      <c r="D1769" s="97"/>
      <c r="E1769" s="98"/>
      <c r="F1769" s="98"/>
      <c r="G1769" s="41"/>
      <c r="H1769" s="98"/>
      <c r="I1769" s="98"/>
      <c r="J1769" s="98"/>
      <c r="K1769" s="91"/>
      <c r="L1769" s="91"/>
      <c r="M1769" s="91"/>
      <c r="N1769" s="96" t="b">
        <v>0</v>
      </c>
      <c r="O1769" s="96" t="b">
        <v>0</v>
      </c>
      <c r="P1769" s="92"/>
      <c r="Q1769" s="92"/>
      <c r="R1769" s="92"/>
      <c r="S1769" s="92"/>
      <c r="T1769" s="92"/>
      <c r="U1769" s="92"/>
      <c r="V1769" s="92"/>
      <c r="W1769" s="92"/>
      <c r="X1769" s="92"/>
      <c r="Y1769" s="92"/>
      <c r="Z1769" s="92"/>
      <c r="AA1769" s="92"/>
      <c r="AB1769" s="92"/>
      <c r="AC1769" s="92"/>
      <c r="AD1769" s="92"/>
      <c r="AE1769" s="92"/>
      <c r="AF1769" s="92"/>
      <c r="AG1769" s="92"/>
    </row>
    <row r="1770">
      <c r="A1770" s="262"/>
      <c r="B1770" s="166"/>
      <c r="C1770" s="88">
        <v>44620.0</v>
      </c>
      <c r="D1770" s="98"/>
      <c r="E1770" s="98"/>
      <c r="F1770" s="98"/>
      <c r="G1770" s="98"/>
      <c r="H1770" s="98"/>
      <c r="J1770" s="98"/>
      <c r="K1770" s="91"/>
      <c r="L1770" s="91"/>
      <c r="M1770" s="91"/>
      <c r="N1770" s="96" t="b">
        <v>0</v>
      </c>
      <c r="O1770" s="96" t="b">
        <v>0</v>
      </c>
      <c r="P1770" s="92"/>
      <c r="Q1770" s="92"/>
      <c r="R1770" s="92"/>
      <c r="S1770" s="92"/>
      <c r="T1770" s="92"/>
      <c r="U1770" s="92"/>
      <c r="V1770" s="92"/>
      <c r="W1770" s="92"/>
      <c r="X1770" s="92"/>
      <c r="Y1770" s="92"/>
      <c r="Z1770" s="92"/>
      <c r="AA1770" s="92"/>
      <c r="AB1770" s="92"/>
      <c r="AC1770" s="92"/>
      <c r="AD1770" s="92"/>
      <c r="AE1770" s="92"/>
      <c r="AF1770" s="92"/>
      <c r="AG1770" s="92"/>
    </row>
    <row r="1771">
      <c r="A1771" s="262"/>
      <c r="B1771" s="18" t="s">
        <v>3329</v>
      </c>
      <c r="C1771" s="78"/>
      <c r="D1771" s="41"/>
      <c r="E1771" s="318" t="s">
        <v>3330</v>
      </c>
      <c r="F1771" s="13"/>
      <c r="G1771" s="13"/>
      <c r="H1771" s="14"/>
      <c r="I1771" s="98"/>
      <c r="J1771" s="98"/>
      <c r="K1771" s="91"/>
      <c r="L1771" s="91"/>
      <c r="M1771" s="91"/>
      <c r="N1771" s="96" t="b">
        <v>0</v>
      </c>
      <c r="O1771" s="96" t="b">
        <v>0</v>
      </c>
      <c r="P1771" s="92"/>
      <c r="Q1771" s="92"/>
      <c r="R1771" s="92"/>
      <c r="S1771" s="92"/>
      <c r="T1771" s="92"/>
      <c r="U1771" s="92"/>
      <c r="V1771" s="92"/>
      <c r="W1771" s="92"/>
      <c r="X1771" s="92"/>
      <c r="Y1771" s="92"/>
      <c r="Z1771" s="92"/>
      <c r="AA1771" s="92"/>
      <c r="AB1771" s="92"/>
      <c r="AC1771" s="92"/>
      <c r="AD1771" s="92"/>
      <c r="AE1771" s="92"/>
      <c r="AF1771" s="92"/>
      <c r="AG1771" s="92"/>
    </row>
    <row r="1772">
      <c r="A1772" s="262"/>
      <c r="B1772" s="25"/>
      <c r="C1772" s="78" t="s">
        <v>3331</v>
      </c>
      <c r="D1772" s="319" t="s">
        <v>2576</v>
      </c>
      <c r="E1772" s="273" t="s">
        <v>3332</v>
      </c>
      <c r="F1772" s="273" t="s">
        <v>3333</v>
      </c>
      <c r="G1772" s="270" t="s">
        <v>713</v>
      </c>
      <c r="H1772" s="162" t="s">
        <v>3334</v>
      </c>
      <c r="I1772" s="162" t="s">
        <v>3335</v>
      </c>
      <c r="J1772" s="273" t="s">
        <v>3336</v>
      </c>
      <c r="K1772" s="91"/>
      <c r="L1772" s="91"/>
      <c r="M1772" s="91"/>
      <c r="N1772" s="96" t="b">
        <v>0</v>
      </c>
      <c r="O1772" s="96" t="b">
        <v>0</v>
      </c>
      <c r="P1772" s="92"/>
      <c r="Q1772" s="92"/>
      <c r="R1772" s="92"/>
      <c r="S1772" s="92"/>
      <c r="T1772" s="92"/>
      <c r="U1772" s="92"/>
      <c r="V1772" s="92"/>
      <c r="W1772" s="92"/>
      <c r="X1772" s="92"/>
      <c r="Y1772" s="92"/>
      <c r="Z1772" s="92"/>
      <c r="AA1772" s="92"/>
      <c r="AB1772" s="92"/>
      <c r="AC1772" s="92"/>
      <c r="AD1772" s="92"/>
      <c r="AE1772" s="92"/>
      <c r="AF1772" s="92"/>
      <c r="AG1772" s="92"/>
    </row>
    <row r="1773">
      <c r="A1773" s="262"/>
      <c r="B1773" s="25"/>
      <c r="C1773" s="78" t="s">
        <v>3331</v>
      </c>
      <c r="D1773" s="159" t="s">
        <v>2576</v>
      </c>
      <c r="E1773" s="273" t="s">
        <v>3337</v>
      </c>
      <c r="F1773" s="273" t="s">
        <v>3338</v>
      </c>
      <c r="G1773" s="270" t="s">
        <v>2120</v>
      </c>
      <c r="H1773" s="162" t="s">
        <v>3339</v>
      </c>
      <c r="I1773" s="162" t="s">
        <v>3340</v>
      </c>
      <c r="J1773" s="273" t="s">
        <v>3341</v>
      </c>
      <c r="K1773" s="91"/>
      <c r="L1773" s="91"/>
      <c r="M1773" s="91"/>
      <c r="N1773" s="96" t="b">
        <v>0</v>
      </c>
      <c r="O1773" s="96" t="b">
        <v>0</v>
      </c>
      <c r="P1773" s="92"/>
      <c r="Q1773" s="92"/>
      <c r="R1773" s="92"/>
      <c r="S1773" s="92"/>
      <c r="T1773" s="92"/>
      <c r="U1773" s="92"/>
      <c r="V1773" s="92"/>
      <c r="W1773" s="92"/>
      <c r="X1773" s="92"/>
      <c r="Y1773" s="92"/>
      <c r="Z1773" s="92"/>
      <c r="AA1773" s="92"/>
      <c r="AB1773" s="92"/>
      <c r="AC1773" s="92"/>
      <c r="AD1773" s="92"/>
      <c r="AE1773" s="92"/>
      <c r="AF1773" s="92"/>
      <c r="AG1773" s="92"/>
    </row>
    <row r="1774">
      <c r="A1774" s="262"/>
      <c r="B1774" s="25"/>
      <c r="C1774" s="78" t="s">
        <v>3331</v>
      </c>
      <c r="D1774" s="159" t="s">
        <v>2576</v>
      </c>
      <c r="E1774" s="273" t="s">
        <v>3342</v>
      </c>
      <c r="F1774" s="273" t="s">
        <v>3343</v>
      </c>
      <c r="G1774" s="270" t="s">
        <v>449</v>
      </c>
      <c r="H1774" s="162" t="s">
        <v>3344</v>
      </c>
      <c r="I1774" s="162" t="s">
        <v>3345</v>
      </c>
      <c r="J1774" s="273" t="s">
        <v>3346</v>
      </c>
      <c r="K1774" s="91"/>
      <c r="L1774" s="91"/>
      <c r="M1774" s="91"/>
      <c r="N1774" s="96" t="b">
        <v>0</v>
      </c>
      <c r="O1774" s="96" t="b">
        <v>0</v>
      </c>
      <c r="P1774" s="92"/>
      <c r="Q1774" s="92"/>
      <c r="R1774" s="92"/>
      <c r="S1774" s="92"/>
      <c r="T1774" s="92"/>
      <c r="U1774" s="92"/>
      <c r="V1774" s="92"/>
      <c r="W1774" s="92"/>
      <c r="X1774" s="92"/>
      <c r="Y1774" s="92"/>
      <c r="Z1774" s="92"/>
      <c r="AA1774" s="92"/>
      <c r="AB1774" s="92"/>
      <c r="AC1774" s="92"/>
      <c r="AD1774" s="92"/>
      <c r="AE1774" s="92"/>
      <c r="AF1774" s="92"/>
      <c r="AG1774" s="92"/>
    </row>
    <row r="1775">
      <c r="A1775" s="262"/>
      <c r="B1775" s="25"/>
      <c r="C1775" s="78" t="s">
        <v>3331</v>
      </c>
      <c r="D1775" s="159" t="s">
        <v>2576</v>
      </c>
      <c r="E1775" s="273" t="s">
        <v>3347</v>
      </c>
      <c r="F1775" s="273" t="s">
        <v>3348</v>
      </c>
      <c r="G1775" s="270" t="s">
        <v>2843</v>
      </c>
      <c r="H1775" s="162" t="s">
        <v>3349</v>
      </c>
      <c r="I1775" s="162" t="s">
        <v>3350</v>
      </c>
      <c r="J1775" s="273" t="s">
        <v>3351</v>
      </c>
      <c r="K1775" s="91"/>
      <c r="L1775" s="91"/>
      <c r="M1775" s="91"/>
      <c r="N1775" s="96" t="b">
        <v>0</v>
      </c>
      <c r="O1775" s="96" t="b">
        <v>0</v>
      </c>
      <c r="P1775" s="92"/>
      <c r="Q1775" s="92"/>
      <c r="R1775" s="92"/>
      <c r="S1775" s="92"/>
      <c r="T1775" s="92"/>
      <c r="U1775" s="92"/>
      <c r="V1775" s="92"/>
      <c r="W1775" s="92"/>
      <c r="X1775" s="92"/>
      <c r="Y1775" s="92"/>
      <c r="Z1775" s="92"/>
      <c r="AA1775" s="92"/>
      <c r="AB1775" s="92"/>
      <c r="AC1775" s="92"/>
      <c r="AD1775" s="92"/>
      <c r="AE1775" s="92"/>
      <c r="AF1775" s="92"/>
      <c r="AG1775" s="92"/>
    </row>
    <row r="1776">
      <c r="A1776" s="262"/>
      <c r="B1776" s="25"/>
      <c r="C1776" s="78" t="s">
        <v>3331</v>
      </c>
      <c r="D1776" s="107" t="s">
        <v>2576</v>
      </c>
      <c r="E1776" s="184" t="s">
        <v>3352</v>
      </c>
      <c r="F1776" s="184" t="s">
        <v>2927</v>
      </c>
      <c r="G1776" s="112" t="s">
        <v>283</v>
      </c>
      <c r="H1776" s="109" t="s">
        <v>3349</v>
      </c>
      <c r="I1776" s="109" t="s">
        <v>3353</v>
      </c>
      <c r="J1776" s="184" t="s">
        <v>2929</v>
      </c>
      <c r="K1776" s="98" t="s">
        <v>3354</v>
      </c>
      <c r="L1776" s="91"/>
      <c r="M1776" s="91"/>
      <c r="N1776" s="96" t="b">
        <v>0</v>
      </c>
      <c r="O1776" s="96" t="b">
        <v>0</v>
      </c>
      <c r="P1776" s="92"/>
      <c r="Q1776" s="92"/>
      <c r="R1776" s="92"/>
      <c r="S1776" s="92"/>
      <c r="T1776" s="92"/>
      <c r="U1776" s="92"/>
      <c r="V1776" s="92"/>
      <c r="W1776" s="92"/>
      <c r="X1776" s="92"/>
      <c r="Y1776" s="92"/>
      <c r="Z1776" s="92"/>
      <c r="AA1776" s="92"/>
      <c r="AB1776" s="92"/>
      <c r="AC1776" s="92"/>
      <c r="AD1776" s="92"/>
      <c r="AE1776" s="92"/>
      <c r="AF1776" s="92"/>
      <c r="AG1776" s="92"/>
    </row>
    <row r="1777">
      <c r="A1777" s="262"/>
      <c r="B1777" s="25"/>
      <c r="C1777" s="78" t="s">
        <v>3331</v>
      </c>
      <c r="D1777" s="97"/>
      <c r="E1777" s="98"/>
      <c r="F1777" s="98"/>
      <c r="G1777" s="41"/>
      <c r="H1777" s="98"/>
      <c r="I1777" s="98"/>
      <c r="J1777" s="98"/>
      <c r="K1777" s="91"/>
      <c r="L1777" s="91"/>
      <c r="M1777" s="91"/>
      <c r="N1777" s="96" t="b">
        <v>0</v>
      </c>
      <c r="O1777" s="96" t="b">
        <v>0</v>
      </c>
      <c r="P1777" s="92"/>
      <c r="Q1777" s="92"/>
      <c r="R1777" s="92"/>
      <c r="S1777" s="92"/>
      <c r="T1777" s="92"/>
      <c r="U1777" s="92"/>
      <c r="V1777" s="92"/>
      <c r="W1777" s="92"/>
      <c r="X1777" s="92"/>
      <c r="Y1777" s="92"/>
      <c r="Z1777" s="92"/>
      <c r="AA1777" s="92"/>
      <c r="AB1777" s="92"/>
      <c r="AC1777" s="92"/>
      <c r="AD1777" s="92"/>
      <c r="AE1777" s="92"/>
      <c r="AF1777" s="92"/>
      <c r="AG1777" s="92"/>
    </row>
    <row r="1778">
      <c r="A1778" s="262"/>
      <c r="B1778" s="25"/>
      <c r="C1778" s="78" t="s">
        <v>3331</v>
      </c>
      <c r="D1778" s="97"/>
      <c r="E1778" s="98"/>
      <c r="F1778" s="98"/>
      <c r="G1778" s="41"/>
      <c r="H1778" s="98"/>
      <c r="I1778" s="98"/>
      <c r="J1778" s="98"/>
      <c r="K1778" s="91"/>
      <c r="L1778" s="91"/>
      <c r="M1778" s="91"/>
      <c r="N1778" s="96" t="b">
        <v>0</v>
      </c>
      <c r="O1778" s="96" t="b">
        <v>0</v>
      </c>
      <c r="P1778" s="92"/>
      <c r="Q1778" s="92"/>
      <c r="R1778" s="92"/>
      <c r="S1778" s="92"/>
      <c r="T1778" s="92"/>
      <c r="U1778" s="92"/>
      <c r="V1778" s="92"/>
      <c r="W1778" s="92"/>
      <c r="X1778" s="92"/>
      <c r="Y1778" s="92"/>
      <c r="Z1778" s="92"/>
      <c r="AA1778" s="92"/>
      <c r="AB1778" s="92"/>
      <c r="AC1778" s="92"/>
      <c r="AD1778" s="92"/>
      <c r="AE1778" s="92"/>
      <c r="AF1778" s="92"/>
      <c r="AG1778" s="92"/>
    </row>
    <row r="1779">
      <c r="A1779" s="262"/>
      <c r="B1779" s="25"/>
      <c r="C1779" s="78" t="s">
        <v>3331</v>
      </c>
      <c r="D1779" s="97"/>
      <c r="E1779" s="98"/>
      <c r="F1779" s="98"/>
      <c r="G1779" s="41"/>
      <c r="H1779" s="98"/>
      <c r="I1779" s="98"/>
      <c r="J1779" s="98"/>
      <c r="K1779" s="91"/>
      <c r="L1779" s="91"/>
      <c r="M1779" s="91"/>
      <c r="N1779" s="96" t="b">
        <v>0</v>
      </c>
      <c r="O1779" s="96" t="b">
        <v>0</v>
      </c>
      <c r="P1779" s="92"/>
      <c r="Q1779" s="92"/>
      <c r="R1779" s="92"/>
      <c r="S1779" s="92"/>
      <c r="T1779" s="92"/>
      <c r="U1779" s="92"/>
      <c r="V1779" s="92"/>
      <c r="W1779" s="92"/>
      <c r="X1779" s="92"/>
      <c r="Y1779" s="92"/>
      <c r="Z1779" s="92"/>
      <c r="AA1779" s="92"/>
      <c r="AB1779" s="92"/>
      <c r="AC1779" s="92"/>
      <c r="AD1779" s="92"/>
      <c r="AE1779" s="92"/>
      <c r="AF1779" s="92"/>
      <c r="AG1779" s="92"/>
    </row>
    <row r="1780">
      <c r="A1780" s="262"/>
      <c r="B1780" s="166"/>
      <c r="C1780" s="88">
        <v>44621.0</v>
      </c>
      <c r="D1780" s="98"/>
      <c r="E1780" s="98"/>
      <c r="F1780" s="98"/>
      <c r="G1780" s="41"/>
      <c r="H1780" s="98"/>
      <c r="I1780" s="98"/>
      <c r="J1780" s="98"/>
      <c r="K1780" s="91"/>
      <c r="L1780" s="91"/>
      <c r="M1780" s="91"/>
      <c r="N1780" s="96" t="b">
        <v>0</v>
      </c>
      <c r="O1780" s="96" t="b">
        <v>0</v>
      </c>
      <c r="P1780" s="92"/>
      <c r="Q1780" s="92"/>
      <c r="R1780" s="92"/>
      <c r="S1780" s="92"/>
      <c r="T1780" s="92"/>
      <c r="U1780" s="92"/>
      <c r="V1780" s="92"/>
      <c r="W1780" s="92"/>
      <c r="X1780" s="92"/>
      <c r="Y1780" s="92"/>
      <c r="Z1780" s="92"/>
      <c r="AA1780" s="92"/>
      <c r="AB1780" s="92"/>
      <c r="AC1780" s="92"/>
      <c r="AD1780" s="92"/>
      <c r="AE1780" s="92"/>
      <c r="AF1780" s="92"/>
      <c r="AG1780" s="92"/>
    </row>
    <row r="1781">
      <c r="A1781" s="262"/>
      <c r="B1781" s="18" t="s">
        <v>3329</v>
      </c>
      <c r="C1781" s="78"/>
      <c r="D1781" s="97"/>
      <c r="E1781" s="98"/>
      <c r="F1781" s="98"/>
      <c r="G1781" s="41"/>
      <c r="H1781" s="98"/>
      <c r="I1781" s="98"/>
      <c r="J1781" s="98"/>
      <c r="K1781" s="91"/>
      <c r="L1781" s="91"/>
      <c r="M1781" s="91"/>
      <c r="N1781" s="96" t="b">
        <v>0</v>
      </c>
      <c r="O1781" s="96" t="b">
        <v>0</v>
      </c>
      <c r="P1781" s="92"/>
      <c r="Q1781" s="92"/>
      <c r="R1781" s="92"/>
      <c r="S1781" s="92"/>
      <c r="T1781" s="92"/>
      <c r="U1781" s="92"/>
      <c r="V1781" s="92"/>
      <c r="W1781" s="92"/>
      <c r="X1781" s="92"/>
      <c r="Y1781" s="92"/>
      <c r="Z1781" s="92"/>
      <c r="AA1781" s="92"/>
      <c r="AB1781" s="92"/>
      <c r="AC1781" s="92"/>
      <c r="AD1781" s="92"/>
      <c r="AE1781" s="92"/>
      <c r="AF1781" s="92"/>
      <c r="AG1781" s="92"/>
    </row>
    <row r="1782">
      <c r="A1782" s="262"/>
      <c r="B1782" s="25"/>
      <c r="C1782" s="78" t="s">
        <v>3331</v>
      </c>
      <c r="D1782" s="300" t="s">
        <v>2576</v>
      </c>
      <c r="E1782" s="273" t="s">
        <v>3355</v>
      </c>
      <c r="F1782" s="273" t="s">
        <v>3356</v>
      </c>
      <c r="G1782" s="270" t="s">
        <v>713</v>
      </c>
      <c r="H1782" s="162" t="s">
        <v>3357</v>
      </c>
      <c r="I1782" s="162" t="s">
        <v>3358</v>
      </c>
      <c r="J1782" s="273" t="s">
        <v>3359</v>
      </c>
      <c r="K1782" s="91"/>
      <c r="L1782" s="91"/>
      <c r="M1782" s="91"/>
      <c r="N1782" s="96" t="b">
        <v>0</v>
      </c>
      <c r="O1782" s="96" t="b">
        <v>0</v>
      </c>
      <c r="P1782" s="92"/>
      <c r="Q1782" s="92"/>
      <c r="R1782" s="92"/>
      <c r="S1782" s="92"/>
      <c r="T1782" s="92"/>
      <c r="U1782" s="92"/>
      <c r="V1782" s="92"/>
      <c r="W1782" s="92"/>
      <c r="X1782" s="92"/>
      <c r="Y1782" s="92"/>
      <c r="Z1782" s="92"/>
      <c r="AA1782" s="92"/>
      <c r="AB1782" s="92"/>
      <c r="AC1782" s="92"/>
      <c r="AD1782" s="92"/>
      <c r="AE1782" s="92"/>
      <c r="AF1782" s="92"/>
      <c r="AG1782" s="92"/>
    </row>
    <row r="1783">
      <c r="A1783" s="262"/>
      <c r="B1783" s="25"/>
      <c r="C1783" s="78" t="s">
        <v>3331</v>
      </c>
      <c r="D1783" s="159" t="s">
        <v>2576</v>
      </c>
      <c r="E1783" s="273" t="s">
        <v>3360</v>
      </c>
      <c r="F1783" s="273" t="s">
        <v>957</v>
      </c>
      <c r="G1783" s="161">
        <v>0.5416666666666666</v>
      </c>
      <c r="H1783" s="162" t="s">
        <v>3361</v>
      </c>
      <c r="I1783" s="162" t="s">
        <v>3362</v>
      </c>
      <c r="J1783" s="273" t="s">
        <v>959</v>
      </c>
      <c r="K1783" s="91"/>
      <c r="L1783" s="91"/>
      <c r="M1783" s="91"/>
      <c r="N1783" s="96" t="b">
        <v>0</v>
      </c>
      <c r="O1783" s="96" t="b">
        <v>0</v>
      </c>
      <c r="P1783" s="92"/>
      <c r="Q1783" s="92"/>
      <c r="R1783" s="92"/>
      <c r="S1783" s="92"/>
      <c r="T1783" s="92"/>
      <c r="U1783" s="92"/>
      <c r="V1783" s="92"/>
      <c r="W1783" s="92"/>
      <c r="X1783" s="92"/>
      <c r="Y1783" s="92"/>
      <c r="Z1783" s="92"/>
      <c r="AA1783" s="92"/>
      <c r="AB1783" s="92"/>
      <c r="AC1783" s="92"/>
      <c r="AD1783" s="92"/>
      <c r="AE1783" s="92"/>
      <c r="AF1783" s="92"/>
      <c r="AG1783" s="92"/>
    </row>
    <row r="1784">
      <c r="A1784" s="262"/>
      <c r="B1784" s="25"/>
      <c r="C1784" s="78" t="s">
        <v>3331</v>
      </c>
      <c r="D1784" s="159" t="s">
        <v>2576</v>
      </c>
      <c r="E1784" s="273" t="s">
        <v>3363</v>
      </c>
      <c r="F1784" s="273" t="s">
        <v>3364</v>
      </c>
      <c r="G1784" s="270" t="s">
        <v>2843</v>
      </c>
      <c r="H1784" s="162" t="s">
        <v>3365</v>
      </c>
      <c r="I1784" s="162" t="s">
        <v>3366</v>
      </c>
      <c r="J1784" s="273" t="s">
        <v>3367</v>
      </c>
      <c r="K1784" s="91"/>
      <c r="L1784" s="91"/>
      <c r="M1784" s="91"/>
      <c r="N1784" s="96" t="b">
        <v>0</v>
      </c>
      <c r="O1784" s="96" t="b">
        <v>0</v>
      </c>
      <c r="P1784" s="92"/>
      <c r="Q1784" s="92"/>
      <c r="R1784" s="92"/>
      <c r="S1784" s="92"/>
      <c r="T1784" s="92"/>
      <c r="U1784" s="92"/>
      <c r="V1784" s="92"/>
      <c r="W1784" s="92"/>
      <c r="X1784" s="92"/>
      <c r="Y1784" s="92"/>
      <c r="Z1784" s="92"/>
      <c r="AA1784" s="92"/>
      <c r="AB1784" s="92"/>
      <c r="AC1784" s="92"/>
      <c r="AD1784" s="92"/>
      <c r="AE1784" s="92"/>
      <c r="AF1784" s="92"/>
      <c r="AG1784" s="92"/>
    </row>
    <row r="1785">
      <c r="A1785" s="262"/>
      <c r="B1785" s="25"/>
      <c r="C1785" s="78" t="s">
        <v>3331</v>
      </c>
      <c r="D1785" s="107" t="s">
        <v>2576</v>
      </c>
      <c r="E1785" s="184" t="s">
        <v>3368</v>
      </c>
      <c r="F1785" s="184" t="s">
        <v>3369</v>
      </c>
      <c r="G1785" s="112" t="s">
        <v>283</v>
      </c>
      <c r="H1785" s="109" t="s">
        <v>3365</v>
      </c>
      <c r="I1785" s="109" t="s">
        <v>3370</v>
      </c>
      <c r="J1785" s="184" t="s">
        <v>3371</v>
      </c>
      <c r="K1785" s="98" t="s">
        <v>3372</v>
      </c>
      <c r="L1785" s="91"/>
      <c r="M1785" s="91"/>
      <c r="N1785" s="96" t="b">
        <v>0</v>
      </c>
      <c r="O1785" s="96" t="b">
        <v>0</v>
      </c>
      <c r="P1785" s="92"/>
      <c r="Q1785" s="92"/>
      <c r="R1785" s="92"/>
      <c r="S1785" s="92"/>
      <c r="T1785" s="92"/>
      <c r="U1785" s="92"/>
      <c r="V1785" s="92"/>
      <c r="W1785" s="92"/>
      <c r="X1785" s="92"/>
      <c r="Y1785" s="92"/>
      <c r="Z1785" s="92"/>
      <c r="AA1785" s="92"/>
      <c r="AB1785" s="92"/>
      <c r="AC1785" s="92"/>
      <c r="AD1785" s="92"/>
      <c r="AE1785" s="92"/>
      <c r="AF1785" s="92"/>
      <c r="AG1785" s="92"/>
    </row>
    <row r="1786">
      <c r="A1786" s="320"/>
      <c r="B1786" s="25"/>
      <c r="C1786" s="78" t="s">
        <v>3331</v>
      </c>
      <c r="D1786" s="321" t="s">
        <v>2576</v>
      </c>
      <c r="E1786" s="273" t="s">
        <v>3373</v>
      </c>
      <c r="F1786" s="273" t="s">
        <v>3374</v>
      </c>
      <c r="G1786" s="322">
        <v>0.7708333333333334</v>
      </c>
      <c r="H1786" s="321" t="s">
        <v>2690</v>
      </c>
      <c r="I1786" s="323" t="s">
        <v>3375</v>
      </c>
      <c r="J1786" s="273" t="s">
        <v>3376</v>
      </c>
      <c r="K1786" s="324" t="s">
        <v>3377</v>
      </c>
      <c r="L1786" s="289"/>
      <c r="M1786" s="289"/>
      <c r="N1786" s="325" t="b">
        <v>0</v>
      </c>
      <c r="O1786" s="325" t="b">
        <v>0</v>
      </c>
      <c r="P1786" s="92"/>
      <c r="Q1786" s="92"/>
      <c r="R1786" s="92"/>
      <c r="S1786" s="92"/>
      <c r="T1786" s="92"/>
      <c r="U1786" s="92"/>
      <c r="V1786" s="92"/>
      <c r="W1786" s="92"/>
      <c r="X1786" s="92"/>
      <c r="Y1786" s="92"/>
      <c r="Z1786" s="92"/>
      <c r="AA1786" s="92"/>
      <c r="AB1786" s="92"/>
      <c r="AC1786" s="92"/>
      <c r="AD1786" s="92"/>
      <c r="AE1786" s="92"/>
      <c r="AF1786" s="92"/>
      <c r="AG1786" s="92"/>
    </row>
    <row r="1787">
      <c r="A1787" s="320"/>
      <c r="B1787" s="25"/>
      <c r="C1787" s="78" t="s">
        <v>3331</v>
      </c>
      <c r="D1787" s="294"/>
      <c r="E1787" s="294"/>
      <c r="F1787" s="294"/>
      <c r="G1787" s="294"/>
      <c r="H1787" s="294"/>
      <c r="I1787" s="294"/>
      <c r="J1787" s="294"/>
      <c r="K1787" s="295"/>
      <c r="L1787" s="295"/>
      <c r="M1787" s="295"/>
      <c r="N1787" s="326" t="b">
        <v>0</v>
      </c>
      <c r="O1787" s="326" t="b">
        <v>0</v>
      </c>
      <c r="P1787" s="92"/>
      <c r="Q1787" s="92"/>
      <c r="R1787" s="92"/>
      <c r="S1787" s="92"/>
      <c r="T1787" s="92"/>
      <c r="U1787" s="92"/>
      <c r="V1787" s="92"/>
      <c r="W1787" s="92"/>
      <c r="X1787" s="92"/>
      <c r="Y1787" s="92"/>
      <c r="Z1787" s="92"/>
      <c r="AA1787" s="92"/>
      <c r="AB1787" s="92"/>
      <c r="AC1787" s="92"/>
      <c r="AD1787" s="92"/>
      <c r="AE1787" s="92"/>
      <c r="AF1787" s="92"/>
      <c r="AG1787" s="92"/>
    </row>
    <row r="1788">
      <c r="A1788" s="320"/>
      <c r="B1788" s="25"/>
      <c r="C1788" s="78" t="s">
        <v>3331</v>
      </c>
      <c r="D1788" s="294"/>
      <c r="E1788" s="327"/>
      <c r="F1788" s="327"/>
      <c r="G1788" s="328"/>
      <c r="H1788" s="329"/>
      <c r="I1788" s="329"/>
      <c r="J1788" s="327"/>
      <c r="K1788" s="295"/>
      <c r="L1788" s="295"/>
      <c r="M1788" s="295"/>
      <c r="N1788" s="326" t="b">
        <v>0</v>
      </c>
      <c r="O1788" s="326" t="b">
        <v>0</v>
      </c>
      <c r="P1788" s="92"/>
      <c r="Q1788" s="92"/>
      <c r="R1788" s="92"/>
      <c r="S1788" s="92"/>
      <c r="T1788" s="92"/>
      <c r="U1788" s="92"/>
      <c r="V1788" s="92"/>
      <c r="W1788" s="92"/>
      <c r="X1788" s="92"/>
      <c r="Y1788" s="92"/>
      <c r="Z1788" s="92"/>
      <c r="AA1788" s="92"/>
      <c r="AB1788" s="92"/>
      <c r="AC1788" s="92"/>
      <c r="AD1788" s="92"/>
      <c r="AE1788" s="92"/>
      <c r="AF1788" s="92"/>
      <c r="AG1788" s="92"/>
    </row>
    <row r="1789">
      <c r="A1789" s="262"/>
      <c r="B1789" s="166"/>
      <c r="C1789" s="88">
        <v>44622.0</v>
      </c>
      <c r="D1789" s="98"/>
      <c r="E1789" s="98"/>
      <c r="F1789" s="98"/>
      <c r="G1789" s="41"/>
      <c r="H1789" s="98"/>
      <c r="I1789" s="98"/>
      <c r="J1789" s="98"/>
      <c r="K1789" s="91"/>
      <c r="L1789" s="91"/>
      <c r="M1789" s="91"/>
      <c r="N1789" s="96" t="b">
        <v>0</v>
      </c>
      <c r="O1789" s="96" t="b">
        <v>0</v>
      </c>
      <c r="P1789" s="92"/>
      <c r="Q1789" s="92"/>
      <c r="R1789" s="92"/>
      <c r="S1789" s="92"/>
      <c r="T1789" s="92"/>
      <c r="U1789" s="92"/>
      <c r="V1789" s="92"/>
      <c r="W1789" s="92"/>
      <c r="X1789" s="92"/>
      <c r="Y1789" s="92"/>
      <c r="Z1789" s="92"/>
      <c r="AA1789" s="92"/>
      <c r="AB1789" s="92"/>
      <c r="AC1789" s="92"/>
      <c r="AD1789" s="92"/>
      <c r="AE1789" s="92"/>
      <c r="AF1789" s="92"/>
      <c r="AG1789" s="92"/>
    </row>
    <row r="1790">
      <c r="A1790" s="262"/>
      <c r="B1790" s="18" t="s">
        <v>3329</v>
      </c>
      <c r="C1790" s="78"/>
      <c r="D1790" s="97"/>
      <c r="E1790" s="98"/>
      <c r="F1790" s="98"/>
      <c r="G1790" s="41"/>
      <c r="H1790" s="98"/>
      <c r="I1790" s="98"/>
      <c r="J1790" s="98"/>
      <c r="K1790" s="91"/>
      <c r="L1790" s="91"/>
      <c r="M1790" s="91"/>
      <c r="N1790" s="96" t="b">
        <v>0</v>
      </c>
      <c r="O1790" s="96" t="b">
        <v>0</v>
      </c>
      <c r="P1790" s="92"/>
      <c r="Q1790" s="92"/>
      <c r="R1790" s="92"/>
      <c r="S1790" s="92"/>
      <c r="T1790" s="92"/>
      <c r="U1790" s="92"/>
      <c r="V1790" s="92"/>
      <c r="W1790" s="92"/>
      <c r="X1790" s="92"/>
      <c r="Y1790" s="92"/>
      <c r="Z1790" s="92"/>
      <c r="AA1790" s="92"/>
      <c r="AB1790" s="92"/>
      <c r="AC1790" s="92"/>
      <c r="AD1790" s="92"/>
      <c r="AE1790" s="92"/>
      <c r="AF1790" s="92"/>
      <c r="AG1790" s="92"/>
    </row>
    <row r="1791">
      <c r="A1791" s="262"/>
      <c r="B1791" s="25"/>
      <c r="C1791" s="78" t="s">
        <v>3331</v>
      </c>
      <c r="D1791" s="301"/>
      <c r="E1791" s="330" t="s">
        <v>3378</v>
      </c>
      <c r="F1791" s="13"/>
      <c r="G1791" s="13"/>
      <c r="H1791" s="13"/>
      <c r="I1791" s="14"/>
      <c r="J1791" s="228"/>
      <c r="K1791" s="91"/>
      <c r="L1791" s="91"/>
      <c r="M1791" s="91"/>
      <c r="N1791" s="96" t="b">
        <v>0</v>
      </c>
      <c r="O1791" s="96" t="b">
        <v>0</v>
      </c>
      <c r="P1791" s="92"/>
      <c r="Q1791" s="92"/>
      <c r="R1791" s="92"/>
      <c r="S1791" s="92"/>
      <c r="T1791" s="92"/>
      <c r="U1791" s="92"/>
      <c r="V1791" s="92"/>
      <c r="W1791" s="92"/>
      <c r="X1791" s="92"/>
      <c r="Y1791" s="92"/>
      <c r="Z1791" s="92"/>
      <c r="AA1791" s="92"/>
      <c r="AB1791" s="92"/>
      <c r="AC1791" s="92"/>
      <c r="AD1791" s="92"/>
      <c r="AE1791" s="92"/>
      <c r="AF1791" s="92"/>
      <c r="AG1791" s="92"/>
    </row>
    <row r="1792">
      <c r="A1792" s="262"/>
      <c r="B1792" s="25"/>
      <c r="C1792" s="78" t="s">
        <v>3331</v>
      </c>
      <c r="D1792" s="159" t="s">
        <v>2576</v>
      </c>
      <c r="E1792" s="273" t="s">
        <v>3379</v>
      </c>
      <c r="F1792" s="273" t="s">
        <v>3380</v>
      </c>
      <c r="G1792" s="161">
        <v>0.4583333333333333</v>
      </c>
      <c r="H1792" s="162" t="s">
        <v>3381</v>
      </c>
      <c r="I1792" s="162" t="s">
        <v>3382</v>
      </c>
      <c r="J1792" s="273" t="s">
        <v>3383</v>
      </c>
      <c r="K1792" s="91"/>
      <c r="L1792" s="91"/>
      <c r="M1792" s="91"/>
      <c r="N1792" s="96" t="b">
        <v>0</v>
      </c>
      <c r="O1792" s="96" t="b">
        <v>0</v>
      </c>
      <c r="P1792" s="92"/>
      <c r="Q1792" s="92"/>
      <c r="R1792" s="92"/>
      <c r="S1792" s="92"/>
      <c r="T1792" s="92"/>
      <c r="U1792" s="92"/>
      <c r="V1792" s="92"/>
      <c r="W1792" s="92"/>
      <c r="X1792" s="92"/>
      <c r="Y1792" s="92"/>
      <c r="Z1792" s="92"/>
      <c r="AA1792" s="92"/>
      <c r="AB1792" s="92"/>
      <c r="AC1792" s="92"/>
      <c r="AD1792" s="92"/>
      <c r="AE1792" s="92"/>
      <c r="AF1792" s="92"/>
      <c r="AG1792" s="92"/>
    </row>
    <row r="1793">
      <c r="A1793" s="262"/>
      <c r="B1793" s="25"/>
      <c r="C1793" s="78" t="s">
        <v>3331</v>
      </c>
      <c r="D1793" s="300" t="s">
        <v>2576</v>
      </c>
      <c r="E1793" s="273" t="s">
        <v>3384</v>
      </c>
      <c r="F1793" s="273" t="s">
        <v>3385</v>
      </c>
      <c r="G1793" s="331">
        <v>0.5208333333333334</v>
      </c>
      <c r="H1793" s="332" t="s">
        <v>3386</v>
      </c>
      <c r="I1793" s="332" t="s">
        <v>3387</v>
      </c>
      <c r="J1793" s="269" t="s">
        <v>3388</v>
      </c>
      <c r="K1793" s="91"/>
      <c r="L1793" s="91"/>
      <c r="M1793" s="91"/>
      <c r="N1793" s="96" t="b">
        <v>0</v>
      </c>
      <c r="O1793" s="96" t="b">
        <v>0</v>
      </c>
      <c r="P1793" s="92"/>
      <c r="Q1793" s="92"/>
      <c r="R1793" s="92"/>
      <c r="S1793" s="92"/>
      <c r="T1793" s="92"/>
      <c r="U1793" s="92"/>
      <c r="V1793" s="92"/>
      <c r="W1793" s="92"/>
      <c r="X1793" s="92"/>
      <c r="Y1793" s="92"/>
      <c r="Z1793" s="92"/>
      <c r="AA1793" s="92"/>
      <c r="AB1793" s="92"/>
      <c r="AC1793" s="92"/>
      <c r="AD1793" s="92"/>
      <c r="AE1793" s="92"/>
      <c r="AF1793" s="92"/>
      <c r="AG1793" s="92"/>
    </row>
    <row r="1794">
      <c r="A1794" s="262"/>
      <c r="B1794" s="25"/>
      <c r="C1794" s="78" t="s">
        <v>3331</v>
      </c>
      <c r="D1794" s="159" t="s">
        <v>2576</v>
      </c>
      <c r="E1794" s="273" t="s">
        <v>3389</v>
      </c>
      <c r="F1794" s="273" t="s">
        <v>3390</v>
      </c>
      <c r="G1794" s="161">
        <v>0.5833333333333334</v>
      </c>
      <c r="H1794" s="162" t="s">
        <v>3391</v>
      </c>
      <c r="I1794" s="162" t="s">
        <v>3392</v>
      </c>
      <c r="J1794" s="273" t="s">
        <v>3393</v>
      </c>
      <c r="K1794" s="91"/>
      <c r="L1794" s="91"/>
      <c r="M1794" s="91"/>
      <c r="N1794" s="96" t="b">
        <v>0</v>
      </c>
      <c r="O1794" s="96" t="b">
        <v>0</v>
      </c>
      <c r="P1794" s="92"/>
      <c r="Q1794" s="92"/>
      <c r="R1794" s="92"/>
      <c r="S1794" s="92"/>
      <c r="T1794" s="92"/>
      <c r="U1794" s="92"/>
      <c r="V1794" s="92"/>
      <c r="W1794" s="92"/>
      <c r="X1794" s="92"/>
      <c r="Y1794" s="92"/>
      <c r="Z1794" s="92"/>
      <c r="AA1794" s="92"/>
      <c r="AB1794" s="92"/>
      <c r="AC1794" s="92"/>
      <c r="AD1794" s="92"/>
      <c r="AE1794" s="92"/>
      <c r="AF1794" s="92"/>
      <c r="AG1794" s="92"/>
    </row>
    <row r="1795">
      <c r="A1795" s="262"/>
      <c r="B1795" s="25"/>
      <c r="C1795" s="78" t="s">
        <v>3331</v>
      </c>
      <c r="D1795" s="159" t="s">
        <v>2576</v>
      </c>
      <c r="E1795" s="273" t="s">
        <v>3394</v>
      </c>
      <c r="F1795" s="273" t="s">
        <v>3395</v>
      </c>
      <c r="G1795" s="161">
        <v>0.6458333333333334</v>
      </c>
      <c r="H1795" s="162" t="s">
        <v>3396</v>
      </c>
      <c r="I1795" s="162" t="s">
        <v>3397</v>
      </c>
      <c r="J1795" s="273" t="s">
        <v>3398</v>
      </c>
      <c r="K1795" s="91"/>
      <c r="L1795" s="91"/>
      <c r="M1795" s="91"/>
      <c r="N1795" s="96" t="b">
        <v>0</v>
      </c>
      <c r="O1795" s="96" t="b">
        <v>0</v>
      </c>
      <c r="P1795" s="92"/>
      <c r="Q1795" s="92"/>
      <c r="R1795" s="92"/>
      <c r="S1795" s="92"/>
      <c r="T1795" s="92"/>
      <c r="U1795" s="92"/>
      <c r="V1795" s="92"/>
      <c r="W1795" s="92"/>
      <c r="X1795" s="92"/>
      <c r="Y1795" s="92"/>
      <c r="Z1795" s="92"/>
      <c r="AA1795" s="92"/>
      <c r="AB1795" s="92"/>
      <c r="AC1795" s="92"/>
      <c r="AD1795" s="92"/>
      <c r="AE1795" s="92"/>
      <c r="AF1795" s="92"/>
      <c r="AG1795" s="92"/>
    </row>
    <row r="1796">
      <c r="A1796" s="262"/>
      <c r="B1796" s="25"/>
      <c r="C1796" s="78" t="s">
        <v>3331</v>
      </c>
      <c r="D1796" s="333" t="s">
        <v>2576</v>
      </c>
      <c r="E1796" s="273" t="s">
        <v>3399</v>
      </c>
      <c r="F1796" s="273" t="s">
        <v>3400</v>
      </c>
      <c r="G1796" s="161">
        <v>0.6666666666666666</v>
      </c>
      <c r="H1796" s="323" t="s">
        <v>3401</v>
      </c>
      <c r="I1796" s="162" t="s">
        <v>3402</v>
      </c>
      <c r="J1796" s="269" t="s">
        <v>3403</v>
      </c>
      <c r="K1796" s="334"/>
      <c r="L1796" s="334"/>
      <c r="M1796" s="334"/>
      <c r="N1796" s="335" t="b">
        <v>0</v>
      </c>
      <c r="O1796" s="335" t="b">
        <v>0</v>
      </c>
      <c r="P1796" s="92"/>
      <c r="Q1796" s="92"/>
      <c r="R1796" s="92"/>
      <c r="S1796" s="92"/>
      <c r="T1796" s="92"/>
      <c r="U1796" s="92"/>
      <c r="V1796" s="92"/>
      <c r="W1796" s="92"/>
      <c r="X1796" s="92"/>
      <c r="Y1796" s="92"/>
      <c r="Z1796" s="92"/>
      <c r="AA1796" s="92"/>
      <c r="AB1796" s="92"/>
      <c r="AC1796" s="92"/>
      <c r="AD1796" s="92"/>
      <c r="AE1796" s="92"/>
      <c r="AF1796" s="92"/>
      <c r="AG1796" s="92"/>
    </row>
    <row r="1797">
      <c r="A1797" s="320"/>
      <c r="B1797" s="25"/>
      <c r="C1797" s="78" t="s">
        <v>3331</v>
      </c>
      <c r="D1797" s="321" t="s">
        <v>2576</v>
      </c>
      <c r="E1797" s="273" t="s">
        <v>3404</v>
      </c>
      <c r="F1797" s="273" t="s">
        <v>3405</v>
      </c>
      <c r="G1797" s="161">
        <v>0.6875</v>
      </c>
      <c r="H1797" s="323" t="s">
        <v>3401</v>
      </c>
      <c r="I1797" s="323" t="s">
        <v>3406</v>
      </c>
      <c r="J1797" s="273" t="s">
        <v>3407</v>
      </c>
      <c r="K1797" s="289"/>
      <c r="L1797" s="289"/>
      <c r="M1797" s="289"/>
      <c r="N1797" s="325" t="b">
        <v>0</v>
      </c>
      <c r="O1797" s="325" t="b">
        <v>0</v>
      </c>
      <c r="P1797" s="92"/>
      <c r="Q1797" s="92"/>
      <c r="R1797" s="92"/>
      <c r="S1797" s="92"/>
      <c r="T1797" s="92"/>
      <c r="U1797" s="92"/>
      <c r="V1797" s="92"/>
      <c r="W1797" s="92"/>
      <c r="X1797" s="92"/>
      <c r="Y1797" s="92"/>
      <c r="Z1797" s="92"/>
      <c r="AA1797" s="92"/>
      <c r="AB1797" s="92"/>
      <c r="AC1797" s="92"/>
      <c r="AD1797" s="92"/>
      <c r="AE1797" s="92"/>
      <c r="AF1797" s="92"/>
      <c r="AG1797" s="92"/>
    </row>
    <row r="1798">
      <c r="A1798" s="320"/>
      <c r="B1798" s="25"/>
      <c r="C1798" s="78" t="s">
        <v>3331</v>
      </c>
      <c r="D1798" s="336" t="s">
        <v>2576</v>
      </c>
      <c r="E1798" s="184" t="s">
        <v>3408</v>
      </c>
      <c r="F1798" s="184" t="s">
        <v>3409</v>
      </c>
      <c r="G1798" s="108">
        <v>0.7083333333333334</v>
      </c>
      <c r="H1798" s="241" t="s">
        <v>3357</v>
      </c>
      <c r="I1798" s="241" t="s">
        <v>3410</v>
      </c>
      <c r="J1798" s="184" t="s">
        <v>3411</v>
      </c>
      <c r="K1798" s="337" t="s">
        <v>3412</v>
      </c>
      <c r="L1798" s="295"/>
      <c r="M1798" s="295"/>
      <c r="N1798" s="326" t="b">
        <v>0</v>
      </c>
      <c r="O1798" s="326" t="b">
        <v>0</v>
      </c>
      <c r="P1798" s="92"/>
      <c r="Q1798" s="92"/>
      <c r="R1798" s="92"/>
      <c r="S1798" s="92"/>
      <c r="T1798" s="92"/>
      <c r="U1798" s="92"/>
      <c r="V1798" s="92"/>
      <c r="W1798" s="92"/>
      <c r="X1798" s="92"/>
      <c r="Y1798" s="92"/>
      <c r="Z1798" s="92"/>
      <c r="AA1798" s="92"/>
      <c r="AB1798" s="92"/>
      <c r="AC1798" s="92"/>
      <c r="AD1798" s="92"/>
      <c r="AE1798" s="92"/>
      <c r="AF1798" s="92"/>
      <c r="AG1798" s="92"/>
    </row>
    <row r="1799">
      <c r="A1799" s="320"/>
      <c r="B1799" s="25"/>
      <c r="C1799" s="78" t="s">
        <v>3331</v>
      </c>
      <c r="D1799" s="338" t="s">
        <v>2576</v>
      </c>
      <c r="E1799" s="273" t="s">
        <v>3413</v>
      </c>
      <c r="F1799" s="273" t="s">
        <v>3414</v>
      </c>
      <c r="G1799" s="161">
        <v>0.7291666666666666</v>
      </c>
      <c r="H1799" s="323" t="s">
        <v>3357</v>
      </c>
      <c r="I1799" s="323" t="s">
        <v>3415</v>
      </c>
      <c r="J1799" s="269" t="s">
        <v>3416</v>
      </c>
      <c r="K1799" s="337"/>
      <c r="L1799" s="295"/>
      <c r="M1799" s="295"/>
      <c r="N1799" s="326" t="b">
        <v>0</v>
      </c>
      <c r="O1799" s="326" t="b">
        <v>0</v>
      </c>
      <c r="P1799" s="92"/>
      <c r="Q1799" s="92"/>
      <c r="R1799" s="92"/>
      <c r="S1799" s="92"/>
      <c r="T1799" s="92"/>
      <c r="U1799" s="92"/>
      <c r="V1799" s="92"/>
      <c r="W1799" s="92"/>
      <c r="X1799" s="92"/>
      <c r="Y1799" s="92"/>
      <c r="Z1799" s="92"/>
      <c r="AA1799" s="92"/>
      <c r="AB1799" s="92"/>
      <c r="AC1799" s="92"/>
      <c r="AD1799" s="92"/>
      <c r="AE1799" s="92"/>
      <c r="AF1799" s="92"/>
      <c r="AG1799" s="92"/>
    </row>
    <row r="1800">
      <c r="A1800" s="320"/>
      <c r="B1800" s="25"/>
      <c r="C1800" s="78" t="s">
        <v>3331</v>
      </c>
      <c r="D1800" s="336" t="s">
        <v>2576</v>
      </c>
      <c r="E1800" s="184" t="s">
        <v>3417</v>
      </c>
      <c r="F1800" s="184" t="s">
        <v>3418</v>
      </c>
      <c r="G1800" s="240">
        <v>0.75</v>
      </c>
      <c r="H1800" s="241" t="s">
        <v>3401</v>
      </c>
      <c r="I1800" s="241" t="s">
        <v>3419</v>
      </c>
      <c r="J1800" s="184" t="s">
        <v>3420</v>
      </c>
      <c r="K1800" s="337" t="s">
        <v>3421</v>
      </c>
      <c r="L1800" s="295"/>
      <c r="M1800" s="295"/>
      <c r="N1800" s="326" t="b">
        <v>0</v>
      </c>
      <c r="O1800" s="326" t="b">
        <v>0</v>
      </c>
      <c r="P1800" s="92"/>
      <c r="Q1800" s="92"/>
      <c r="R1800" s="92"/>
      <c r="S1800" s="92"/>
      <c r="T1800" s="92"/>
      <c r="U1800" s="92"/>
      <c r="V1800" s="92"/>
      <c r="W1800" s="92"/>
      <c r="X1800" s="92"/>
      <c r="Y1800" s="92"/>
      <c r="Z1800" s="92"/>
      <c r="AA1800" s="92"/>
      <c r="AB1800" s="92"/>
      <c r="AC1800" s="92"/>
      <c r="AD1800" s="92"/>
      <c r="AE1800" s="92"/>
      <c r="AF1800" s="92"/>
      <c r="AG1800" s="92"/>
    </row>
    <row r="1801">
      <c r="A1801" s="320"/>
      <c r="B1801" s="25"/>
      <c r="C1801" s="78" t="s">
        <v>3331</v>
      </c>
      <c r="D1801" s="336" t="s">
        <v>2576</v>
      </c>
      <c r="E1801" s="184" t="s">
        <v>3422</v>
      </c>
      <c r="F1801" s="184" t="s">
        <v>3423</v>
      </c>
      <c r="G1801" s="240">
        <v>0.8125</v>
      </c>
      <c r="H1801" s="241" t="s">
        <v>3401</v>
      </c>
      <c r="I1801" s="241" t="s">
        <v>3424</v>
      </c>
      <c r="J1801" s="184" t="s">
        <v>3425</v>
      </c>
      <c r="K1801" s="337" t="s">
        <v>3412</v>
      </c>
      <c r="L1801" s="295"/>
      <c r="M1801" s="295"/>
      <c r="N1801" s="326" t="b">
        <v>0</v>
      </c>
      <c r="O1801" s="326" t="b">
        <v>0</v>
      </c>
      <c r="P1801" s="92"/>
      <c r="Q1801" s="92"/>
      <c r="R1801" s="92"/>
      <c r="S1801" s="92"/>
      <c r="T1801" s="92"/>
      <c r="U1801" s="92"/>
      <c r="V1801" s="92"/>
      <c r="W1801" s="92"/>
      <c r="X1801" s="92"/>
      <c r="Y1801" s="92"/>
      <c r="Z1801" s="92"/>
      <c r="AA1801" s="92"/>
      <c r="AB1801" s="92"/>
      <c r="AC1801" s="92"/>
      <c r="AD1801" s="92"/>
      <c r="AE1801" s="92"/>
      <c r="AF1801" s="92"/>
      <c r="AG1801" s="92"/>
    </row>
    <row r="1802">
      <c r="A1802" s="339"/>
      <c r="B1802" s="25"/>
      <c r="C1802" s="78"/>
      <c r="D1802" s="337"/>
      <c r="E1802" s="183"/>
      <c r="F1802" s="183"/>
      <c r="G1802" s="340"/>
      <c r="H1802" s="324"/>
      <c r="I1802" s="341"/>
      <c r="J1802" s="257"/>
      <c r="K1802" s="295"/>
      <c r="L1802" s="295"/>
      <c r="M1802" s="295"/>
      <c r="N1802" s="326" t="b">
        <v>0</v>
      </c>
      <c r="O1802" s="326" t="b">
        <v>0</v>
      </c>
      <c r="P1802" s="92"/>
      <c r="Q1802" s="92"/>
      <c r="R1802" s="92"/>
      <c r="S1802" s="92"/>
      <c r="T1802" s="92"/>
      <c r="U1802" s="92"/>
      <c r="V1802" s="92"/>
      <c r="W1802" s="92"/>
      <c r="X1802" s="92"/>
      <c r="Y1802" s="92"/>
      <c r="Z1802" s="92"/>
      <c r="AA1802" s="92"/>
      <c r="AB1802" s="92"/>
      <c r="AC1802" s="92"/>
      <c r="AD1802" s="92"/>
      <c r="AE1802" s="92"/>
      <c r="AF1802" s="92"/>
      <c r="AG1802" s="92"/>
    </row>
    <row r="1803">
      <c r="A1803" s="262"/>
      <c r="B1803" s="166"/>
      <c r="C1803" s="88">
        <v>44629.0</v>
      </c>
      <c r="D1803" s="337"/>
      <c r="E1803" s="98"/>
      <c r="F1803" s="98"/>
      <c r="G1803" s="41"/>
      <c r="H1803" s="98"/>
      <c r="I1803" s="98"/>
      <c r="J1803" s="98"/>
      <c r="K1803" s="91"/>
      <c r="L1803" s="91"/>
      <c r="M1803" s="91"/>
      <c r="N1803" s="96" t="b">
        <v>0</v>
      </c>
      <c r="O1803" s="96" t="b">
        <v>0</v>
      </c>
      <c r="P1803" s="92"/>
      <c r="Q1803" s="92"/>
      <c r="R1803" s="92"/>
      <c r="S1803" s="92"/>
      <c r="T1803" s="92"/>
      <c r="U1803" s="92"/>
      <c r="V1803" s="92"/>
      <c r="W1803" s="92"/>
      <c r="X1803" s="92"/>
      <c r="Y1803" s="92"/>
      <c r="Z1803" s="92"/>
      <c r="AA1803" s="92"/>
      <c r="AB1803" s="92"/>
      <c r="AC1803" s="92"/>
      <c r="AD1803" s="92"/>
      <c r="AE1803" s="92"/>
      <c r="AF1803" s="92"/>
      <c r="AG1803" s="92"/>
    </row>
    <row r="1804">
      <c r="A1804" s="262"/>
      <c r="B1804" s="18" t="s">
        <v>3329</v>
      </c>
      <c r="C1804" s="78"/>
      <c r="D1804" s="337"/>
      <c r="E1804" s="98"/>
      <c r="F1804" s="98"/>
      <c r="G1804" s="41"/>
      <c r="H1804" s="98"/>
      <c r="I1804" s="98"/>
      <c r="J1804" s="98"/>
      <c r="K1804" s="91"/>
      <c r="L1804" s="91"/>
      <c r="M1804" s="91"/>
      <c r="N1804" s="96" t="b">
        <v>0</v>
      </c>
      <c r="O1804" s="96" t="b">
        <v>0</v>
      </c>
      <c r="P1804" s="92"/>
      <c r="Q1804" s="92"/>
      <c r="R1804" s="92"/>
      <c r="S1804" s="92"/>
      <c r="T1804" s="92"/>
      <c r="U1804" s="92"/>
      <c r="V1804" s="92"/>
      <c r="W1804" s="92"/>
      <c r="X1804" s="92"/>
      <c r="Y1804" s="92"/>
      <c r="Z1804" s="92"/>
      <c r="AA1804" s="92"/>
      <c r="AB1804" s="92"/>
      <c r="AC1804" s="92"/>
      <c r="AD1804" s="92"/>
      <c r="AE1804" s="92"/>
      <c r="AF1804" s="92"/>
      <c r="AG1804" s="92"/>
    </row>
    <row r="1805">
      <c r="A1805" s="262"/>
      <c r="B1805" s="25"/>
      <c r="C1805" s="78" t="s">
        <v>3331</v>
      </c>
      <c r="D1805" s="338" t="s">
        <v>2192</v>
      </c>
      <c r="E1805" s="273" t="s">
        <v>3426</v>
      </c>
      <c r="F1805" s="273" t="s">
        <v>3427</v>
      </c>
      <c r="G1805" s="161">
        <v>0.4583333333333333</v>
      </c>
      <c r="H1805" s="269" t="s">
        <v>1345</v>
      </c>
      <c r="I1805" s="273" t="s">
        <v>3428</v>
      </c>
      <c r="J1805" s="273" t="s">
        <v>3429</v>
      </c>
      <c r="K1805" s="257"/>
      <c r="M1805" s="91"/>
      <c r="N1805" s="96" t="b">
        <v>0</v>
      </c>
      <c r="O1805" s="96" t="b">
        <v>0</v>
      </c>
      <c r="P1805" s="92"/>
      <c r="Q1805" s="92"/>
      <c r="R1805" s="92"/>
      <c r="S1805" s="92"/>
      <c r="T1805" s="92"/>
      <c r="U1805" s="92"/>
      <c r="V1805" s="92"/>
      <c r="W1805" s="92"/>
      <c r="X1805" s="92"/>
      <c r="Y1805" s="92"/>
      <c r="Z1805" s="92"/>
      <c r="AA1805" s="92"/>
      <c r="AB1805" s="92"/>
      <c r="AC1805" s="92"/>
      <c r="AD1805" s="92"/>
      <c r="AE1805" s="92"/>
      <c r="AF1805" s="92"/>
      <c r="AG1805" s="92"/>
    </row>
    <row r="1806">
      <c r="A1806" s="262"/>
      <c r="B1806" s="25"/>
      <c r="C1806" s="78" t="s">
        <v>3331</v>
      </c>
      <c r="D1806" s="273" t="s">
        <v>3213</v>
      </c>
      <c r="E1806" s="269" t="s">
        <v>3430</v>
      </c>
      <c r="F1806" s="273" t="s">
        <v>3431</v>
      </c>
      <c r="G1806" s="161">
        <v>0.5</v>
      </c>
      <c r="H1806" s="162" t="s">
        <v>1242</v>
      </c>
      <c r="I1806" s="162" t="s">
        <v>3432</v>
      </c>
      <c r="J1806" s="273" t="s">
        <v>3433</v>
      </c>
      <c r="K1806" s="91"/>
      <c r="L1806" s="91"/>
      <c r="M1806" s="91"/>
      <c r="N1806" s="96" t="b">
        <v>0</v>
      </c>
      <c r="O1806" s="96" t="b">
        <v>0</v>
      </c>
      <c r="P1806" s="92"/>
      <c r="Q1806" s="92"/>
      <c r="R1806" s="92"/>
      <c r="S1806" s="92"/>
      <c r="T1806" s="92"/>
      <c r="U1806" s="92"/>
      <c r="V1806" s="92"/>
      <c r="W1806" s="92"/>
      <c r="X1806" s="92"/>
      <c r="Y1806" s="92"/>
      <c r="Z1806" s="92"/>
      <c r="AA1806" s="92"/>
      <c r="AB1806" s="92"/>
      <c r="AC1806" s="92"/>
      <c r="AD1806" s="92"/>
      <c r="AE1806" s="92"/>
      <c r="AF1806" s="92"/>
      <c r="AG1806" s="92"/>
    </row>
    <row r="1807">
      <c r="A1807" s="262"/>
      <c r="B1807" s="25"/>
      <c r="C1807" s="78" t="s">
        <v>3331</v>
      </c>
      <c r="D1807" s="338" t="s">
        <v>2192</v>
      </c>
      <c r="E1807" s="273" t="s">
        <v>3434</v>
      </c>
      <c r="F1807" s="273" t="s">
        <v>3435</v>
      </c>
      <c r="G1807" s="161">
        <v>0.5416666666666666</v>
      </c>
      <c r="H1807" s="269" t="s">
        <v>1345</v>
      </c>
      <c r="I1807" s="273" t="s">
        <v>3436</v>
      </c>
      <c r="J1807" s="269" t="s">
        <v>3437</v>
      </c>
      <c r="K1807" s="91"/>
      <c r="L1807" s="91"/>
      <c r="M1807" s="91"/>
      <c r="N1807" s="96" t="b">
        <v>0</v>
      </c>
      <c r="O1807" s="96" t="b">
        <v>0</v>
      </c>
      <c r="P1807" s="92"/>
      <c r="Q1807" s="92"/>
      <c r="R1807" s="92"/>
      <c r="S1807" s="92"/>
      <c r="T1807" s="92"/>
      <c r="U1807" s="92"/>
      <c r="V1807" s="92"/>
      <c r="W1807" s="92"/>
      <c r="X1807" s="92"/>
      <c r="Y1807" s="92"/>
      <c r="Z1807" s="92"/>
      <c r="AA1807" s="92"/>
      <c r="AB1807" s="92"/>
      <c r="AC1807" s="92"/>
      <c r="AD1807" s="92"/>
      <c r="AE1807" s="92"/>
      <c r="AF1807" s="92"/>
      <c r="AG1807" s="92"/>
    </row>
    <row r="1808">
      <c r="A1808" s="262"/>
      <c r="B1808" s="25"/>
      <c r="C1808" s="78" t="s">
        <v>3331</v>
      </c>
      <c r="D1808" s="336" t="s">
        <v>2192</v>
      </c>
      <c r="E1808" s="184" t="s">
        <v>3438</v>
      </c>
      <c r="F1808" s="263" t="s">
        <v>3439</v>
      </c>
      <c r="G1808" s="108">
        <v>0.5833333333333334</v>
      </c>
      <c r="H1808" s="184" t="s">
        <v>3440</v>
      </c>
      <c r="I1808" s="115" t="s">
        <v>3441</v>
      </c>
      <c r="J1808" s="184" t="s">
        <v>3442</v>
      </c>
      <c r="K1808" s="98" t="s">
        <v>3443</v>
      </c>
      <c r="L1808" s="91"/>
      <c r="M1808" s="91"/>
      <c r="N1808" s="96" t="b">
        <v>0</v>
      </c>
      <c r="O1808" s="96" t="b">
        <v>0</v>
      </c>
      <c r="P1808" s="92"/>
      <c r="Q1808" s="92"/>
      <c r="R1808" s="92"/>
      <c r="S1808" s="92"/>
      <c r="T1808" s="92"/>
      <c r="U1808" s="92"/>
      <c r="V1808" s="92"/>
      <c r="W1808" s="92"/>
      <c r="X1808" s="92"/>
      <c r="Y1808" s="92"/>
      <c r="Z1808" s="92"/>
      <c r="AA1808" s="92"/>
      <c r="AB1808" s="92"/>
      <c r="AC1808" s="92"/>
      <c r="AD1808" s="92"/>
      <c r="AE1808" s="92"/>
      <c r="AF1808" s="92"/>
      <c r="AG1808" s="92"/>
    </row>
    <row r="1809">
      <c r="A1809" s="262"/>
      <c r="B1809" s="25"/>
      <c r="C1809" s="78" t="s">
        <v>3331</v>
      </c>
      <c r="D1809" s="336" t="s">
        <v>2192</v>
      </c>
      <c r="E1809" s="263" t="s">
        <v>3444</v>
      </c>
      <c r="F1809" s="184" t="s">
        <v>1316</v>
      </c>
      <c r="G1809" s="108">
        <v>0.625</v>
      </c>
      <c r="H1809" s="263" t="s">
        <v>3445</v>
      </c>
      <c r="I1809" s="115" t="s">
        <v>3446</v>
      </c>
      <c r="J1809" s="263" t="s">
        <v>3447</v>
      </c>
      <c r="K1809" s="98" t="s">
        <v>3448</v>
      </c>
      <c r="L1809" s="91"/>
      <c r="M1809" s="91"/>
      <c r="N1809" s="96" t="b">
        <v>0</v>
      </c>
      <c r="O1809" s="96" t="b">
        <v>0</v>
      </c>
      <c r="P1809" s="92"/>
      <c r="Q1809" s="92"/>
      <c r="R1809" s="92"/>
      <c r="S1809" s="92"/>
      <c r="T1809" s="92"/>
      <c r="U1809" s="92"/>
      <c r="V1809" s="92"/>
      <c r="W1809" s="92"/>
      <c r="X1809" s="92"/>
      <c r="Y1809" s="92"/>
      <c r="Z1809" s="92"/>
      <c r="AA1809" s="92"/>
      <c r="AB1809" s="92"/>
      <c r="AC1809" s="92"/>
      <c r="AD1809" s="92"/>
      <c r="AE1809" s="92"/>
      <c r="AF1809" s="92"/>
      <c r="AG1809" s="92"/>
    </row>
    <row r="1810">
      <c r="A1810" s="262"/>
      <c r="B1810" s="25"/>
      <c r="C1810" s="78" t="s">
        <v>3331</v>
      </c>
      <c r="D1810" s="336" t="s">
        <v>2192</v>
      </c>
      <c r="E1810" s="184" t="s">
        <v>3265</v>
      </c>
      <c r="F1810" s="263" t="s">
        <v>3266</v>
      </c>
      <c r="G1810" s="240">
        <v>0.6458333333333334</v>
      </c>
      <c r="H1810" s="184" t="s">
        <v>3445</v>
      </c>
      <c r="I1810" s="184" t="s">
        <v>3449</v>
      </c>
      <c r="J1810" s="184" t="s">
        <v>3268</v>
      </c>
      <c r="K1810" s="98" t="s">
        <v>3450</v>
      </c>
      <c r="L1810" s="91"/>
      <c r="M1810" s="91"/>
      <c r="N1810" s="96" t="b">
        <v>0</v>
      </c>
      <c r="O1810" s="96" t="b">
        <v>0</v>
      </c>
      <c r="P1810" s="92"/>
      <c r="Q1810" s="92"/>
      <c r="R1810" s="92"/>
      <c r="S1810" s="92"/>
      <c r="T1810" s="92"/>
      <c r="U1810" s="92"/>
      <c r="V1810" s="92"/>
      <c r="W1810" s="92"/>
      <c r="X1810" s="92"/>
      <c r="Y1810" s="92"/>
      <c r="Z1810" s="92"/>
      <c r="AA1810" s="92"/>
      <c r="AB1810" s="92"/>
      <c r="AC1810" s="92"/>
      <c r="AD1810" s="92"/>
      <c r="AE1810" s="92"/>
      <c r="AF1810" s="92"/>
      <c r="AG1810" s="92"/>
    </row>
    <row r="1811">
      <c r="A1811" s="262"/>
      <c r="B1811" s="25"/>
      <c r="C1811" s="78" t="s">
        <v>3331</v>
      </c>
      <c r="D1811" s="338" t="s">
        <v>2576</v>
      </c>
      <c r="E1811" s="273" t="s">
        <v>3417</v>
      </c>
      <c r="F1811" s="273" t="s">
        <v>3418</v>
      </c>
      <c r="G1811" s="322">
        <v>0.6666666666666666</v>
      </c>
      <c r="H1811" s="323" t="s">
        <v>3401</v>
      </c>
      <c r="I1811" s="323" t="s">
        <v>3419</v>
      </c>
      <c r="J1811" s="273" t="s">
        <v>3420</v>
      </c>
      <c r="K1811" s="91"/>
      <c r="L1811" s="91"/>
      <c r="M1811" s="91"/>
      <c r="N1811" s="96" t="b">
        <v>0</v>
      </c>
      <c r="O1811" s="96" t="b">
        <v>0</v>
      </c>
      <c r="P1811" s="92"/>
      <c r="Q1811" s="92"/>
      <c r="R1811" s="92"/>
      <c r="S1811" s="92"/>
      <c r="T1811" s="92"/>
      <c r="U1811" s="92"/>
      <c r="V1811" s="92"/>
      <c r="W1811" s="92"/>
      <c r="X1811" s="92"/>
      <c r="Y1811" s="92"/>
      <c r="Z1811" s="92"/>
      <c r="AA1811" s="92"/>
      <c r="AB1811" s="92"/>
      <c r="AC1811" s="92"/>
      <c r="AD1811" s="92"/>
      <c r="AE1811" s="92"/>
      <c r="AF1811" s="92"/>
      <c r="AG1811" s="92"/>
    </row>
    <row r="1812">
      <c r="A1812" s="320"/>
      <c r="B1812" s="25"/>
      <c r="C1812" s="78" t="s">
        <v>3331</v>
      </c>
      <c r="D1812" s="338" t="s">
        <v>2192</v>
      </c>
      <c r="E1812" s="269" t="s">
        <v>3451</v>
      </c>
      <c r="F1812" s="273" t="s">
        <v>3452</v>
      </c>
      <c r="G1812" s="161">
        <v>0.7083333333333334</v>
      </c>
      <c r="H1812" s="273" t="s">
        <v>1722</v>
      </c>
      <c r="I1812" s="273" t="s">
        <v>3453</v>
      </c>
      <c r="J1812" s="273" t="s">
        <v>3454</v>
      </c>
      <c r="K1812" s="289"/>
      <c r="L1812" s="289"/>
      <c r="M1812" s="289"/>
      <c r="N1812" s="325" t="b">
        <v>0</v>
      </c>
      <c r="O1812" s="325" t="b">
        <v>0</v>
      </c>
      <c r="P1812" s="92"/>
      <c r="Q1812" s="92"/>
      <c r="R1812" s="92"/>
      <c r="S1812" s="92"/>
      <c r="T1812" s="92"/>
      <c r="U1812" s="92"/>
      <c r="V1812" s="92"/>
      <c r="W1812" s="92"/>
      <c r="X1812" s="92"/>
      <c r="Y1812" s="92"/>
      <c r="Z1812" s="92"/>
      <c r="AA1812" s="92"/>
      <c r="AB1812" s="92"/>
      <c r="AC1812" s="92"/>
      <c r="AD1812" s="92"/>
      <c r="AE1812" s="92"/>
      <c r="AF1812" s="92"/>
      <c r="AG1812" s="92"/>
    </row>
    <row r="1813">
      <c r="A1813" s="320"/>
      <c r="B1813" s="25"/>
      <c r="C1813" s="78" t="s">
        <v>3331</v>
      </c>
      <c r="D1813" s="338" t="s">
        <v>2192</v>
      </c>
      <c r="E1813" s="273" t="s">
        <v>3057</v>
      </c>
      <c r="F1813" s="273" t="s">
        <v>3058</v>
      </c>
      <c r="G1813" s="322">
        <v>0.75</v>
      </c>
      <c r="H1813" s="273" t="s">
        <v>1345</v>
      </c>
      <c r="I1813" s="273" t="s">
        <v>3455</v>
      </c>
      <c r="J1813" s="273" t="s">
        <v>3060</v>
      </c>
      <c r="K1813" s="295"/>
      <c r="L1813" s="295"/>
      <c r="M1813" s="295"/>
      <c r="N1813" s="326" t="b">
        <v>0</v>
      </c>
      <c r="O1813" s="326" t="b">
        <v>0</v>
      </c>
      <c r="P1813" s="92"/>
      <c r="Q1813" s="92"/>
      <c r="R1813" s="92"/>
      <c r="S1813" s="92"/>
      <c r="T1813" s="92"/>
      <c r="U1813" s="92"/>
      <c r="V1813" s="92"/>
      <c r="W1813" s="92"/>
      <c r="X1813" s="92"/>
      <c r="Y1813" s="92"/>
      <c r="Z1813" s="92"/>
      <c r="AA1813" s="92"/>
      <c r="AB1813" s="92"/>
      <c r="AC1813" s="92"/>
      <c r="AD1813" s="92"/>
      <c r="AE1813" s="92"/>
      <c r="AF1813" s="92"/>
      <c r="AG1813" s="92"/>
    </row>
    <row r="1814">
      <c r="A1814" s="320"/>
      <c r="B1814" s="25"/>
      <c r="C1814" s="78" t="s">
        <v>3331</v>
      </c>
      <c r="D1814" s="294"/>
      <c r="E1814" s="183"/>
      <c r="F1814" s="183"/>
      <c r="G1814" s="342"/>
      <c r="H1814" s="294"/>
      <c r="I1814" s="294"/>
      <c r="J1814" s="294"/>
      <c r="K1814" s="295"/>
      <c r="L1814" s="295"/>
      <c r="M1814" s="295"/>
      <c r="N1814" s="326" t="b">
        <v>0</v>
      </c>
      <c r="O1814" s="326" t="b">
        <v>0</v>
      </c>
      <c r="P1814" s="92"/>
      <c r="Q1814" s="92"/>
      <c r="R1814" s="92"/>
      <c r="S1814" s="92"/>
      <c r="T1814" s="92"/>
      <c r="U1814" s="92"/>
      <c r="V1814" s="92"/>
      <c r="W1814" s="92"/>
      <c r="X1814" s="92"/>
      <c r="Y1814" s="92"/>
      <c r="Z1814" s="92"/>
      <c r="AA1814" s="92"/>
      <c r="AB1814" s="92"/>
      <c r="AC1814" s="92"/>
      <c r="AD1814" s="92"/>
      <c r="AE1814" s="92"/>
      <c r="AF1814" s="92"/>
      <c r="AG1814" s="92"/>
    </row>
    <row r="1815">
      <c r="A1815" s="320"/>
      <c r="B1815" s="39"/>
      <c r="C1815" s="78" t="s">
        <v>3331</v>
      </c>
      <c r="D1815" s="294"/>
      <c r="E1815" s="343"/>
      <c r="F1815" s="343"/>
      <c r="G1815" s="328"/>
      <c r="H1815" s="329"/>
      <c r="I1815" s="329"/>
      <c r="J1815" s="327"/>
      <c r="K1815" s="295"/>
      <c r="L1815" s="295"/>
      <c r="M1815" s="295"/>
      <c r="N1815" s="326" t="b">
        <v>0</v>
      </c>
      <c r="O1815" s="326" t="b">
        <v>0</v>
      </c>
      <c r="P1815" s="92"/>
      <c r="Q1815" s="92"/>
      <c r="R1815" s="92"/>
      <c r="S1815" s="92"/>
      <c r="T1815" s="92"/>
      <c r="U1815" s="92"/>
      <c r="V1815" s="92"/>
      <c r="W1815" s="92"/>
      <c r="X1815" s="92"/>
      <c r="Y1815" s="92"/>
      <c r="Z1815" s="92"/>
      <c r="AA1815" s="92"/>
      <c r="AB1815" s="92"/>
      <c r="AC1815" s="92"/>
      <c r="AD1815" s="92"/>
      <c r="AE1815" s="92"/>
      <c r="AF1815" s="92"/>
      <c r="AG1815" s="92"/>
    </row>
    <row r="1816">
      <c r="A1816" s="262"/>
      <c r="B1816" s="197"/>
      <c r="C1816" s="198">
        <v>44631.0</v>
      </c>
      <c r="D1816" s="97"/>
      <c r="E1816" s="98"/>
      <c r="F1816" s="98"/>
      <c r="G1816" s="41"/>
      <c r="H1816" s="98"/>
      <c r="I1816" s="98"/>
      <c r="J1816" s="98"/>
      <c r="K1816" s="91"/>
      <c r="L1816" s="91"/>
      <c r="M1816" s="91"/>
      <c r="N1816" s="96" t="b">
        <v>0</v>
      </c>
      <c r="O1816" s="96" t="b">
        <v>0</v>
      </c>
      <c r="P1816" s="92"/>
      <c r="Q1816" s="92"/>
      <c r="R1816" s="92"/>
      <c r="S1816" s="92"/>
      <c r="T1816" s="92"/>
      <c r="U1816" s="92"/>
      <c r="V1816" s="92"/>
      <c r="W1816" s="92"/>
      <c r="X1816" s="92"/>
      <c r="Y1816" s="92"/>
      <c r="Z1816" s="92"/>
      <c r="AA1816" s="92"/>
      <c r="AB1816" s="92"/>
      <c r="AC1816" s="92"/>
      <c r="AD1816" s="92"/>
      <c r="AE1816" s="92"/>
      <c r="AF1816" s="92"/>
      <c r="AG1816" s="92"/>
    </row>
    <row r="1817">
      <c r="A1817" s="262"/>
      <c r="B1817" s="344" t="s">
        <v>3329</v>
      </c>
      <c r="C1817" s="345"/>
      <c r="D1817" s="97"/>
      <c r="F1817" s="346"/>
      <c r="G1817" s="318" t="s">
        <v>3456</v>
      </c>
      <c r="H1817" s="346"/>
      <c r="I1817" s="347"/>
      <c r="J1817" s="98"/>
      <c r="K1817" s="91"/>
      <c r="L1817" s="91"/>
      <c r="M1817" s="91"/>
      <c r="N1817" s="96" t="b">
        <v>0</v>
      </c>
      <c r="O1817" s="96" t="b">
        <v>0</v>
      </c>
      <c r="P1817" s="92"/>
      <c r="Q1817" s="92"/>
      <c r="R1817" s="92"/>
      <c r="S1817" s="92"/>
      <c r="T1817" s="92"/>
      <c r="U1817" s="92"/>
      <c r="V1817" s="92"/>
      <c r="W1817" s="92"/>
      <c r="X1817" s="92"/>
      <c r="Y1817" s="92"/>
      <c r="Z1817" s="92"/>
      <c r="AA1817" s="92"/>
      <c r="AB1817" s="92"/>
      <c r="AC1817" s="92"/>
      <c r="AD1817" s="92"/>
      <c r="AE1817" s="92"/>
      <c r="AF1817" s="92"/>
      <c r="AG1817" s="92"/>
    </row>
    <row r="1818">
      <c r="A1818" s="262"/>
      <c r="B1818" s="25"/>
      <c r="C1818" s="345" t="s">
        <v>3331</v>
      </c>
      <c r="D1818" s="159" t="s">
        <v>2576</v>
      </c>
      <c r="E1818" s="273" t="s">
        <v>3457</v>
      </c>
      <c r="F1818" s="273" t="s">
        <v>3458</v>
      </c>
      <c r="G1818" s="161">
        <v>0.4166666666666667</v>
      </c>
      <c r="H1818" s="162" t="s">
        <v>3459</v>
      </c>
      <c r="I1818" s="162" t="s">
        <v>3460</v>
      </c>
      <c r="J1818" s="273" t="s">
        <v>3461</v>
      </c>
      <c r="K1818" s="91"/>
      <c r="L1818" s="91"/>
      <c r="M1818" s="91"/>
      <c r="N1818" s="96" t="b">
        <v>0</v>
      </c>
      <c r="O1818" s="96" t="b">
        <v>0</v>
      </c>
      <c r="P1818" s="92"/>
      <c r="Q1818" s="92"/>
      <c r="R1818" s="92"/>
      <c r="S1818" s="92"/>
      <c r="T1818" s="92"/>
      <c r="U1818" s="92"/>
      <c r="V1818" s="92"/>
      <c r="W1818" s="92"/>
      <c r="X1818" s="92"/>
      <c r="Y1818" s="92"/>
      <c r="Z1818" s="92"/>
      <c r="AA1818" s="92"/>
      <c r="AB1818" s="92"/>
      <c r="AC1818" s="92"/>
      <c r="AD1818" s="92"/>
      <c r="AE1818" s="92"/>
      <c r="AF1818" s="92"/>
      <c r="AG1818" s="92"/>
    </row>
    <row r="1819">
      <c r="A1819" s="262"/>
      <c r="B1819" s="25"/>
      <c r="C1819" s="345" t="s">
        <v>3331</v>
      </c>
      <c r="D1819" s="109" t="s">
        <v>3462</v>
      </c>
      <c r="E1819" s="184" t="s">
        <v>3463</v>
      </c>
      <c r="F1819" s="184" t="s">
        <v>3464</v>
      </c>
      <c r="G1819" s="192">
        <v>0.4583333333333333</v>
      </c>
      <c r="H1819" s="191" t="s">
        <v>2633</v>
      </c>
      <c r="I1819" s="191" t="s">
        <v>3465</v>
      </c>
      <c r="J1819" s="191" t="s">
        <v>3466</v>
      </c>
      <c r="K1819" s="98" t="s">
        <v>3467</v>
      </c>
      <c r="L1819" s="91"/>
      <c r="M1819" s="91"/>
      <c r="N1819" s="96" t="b">
        <v>0</v>
      </c>
      <c r="O1819" s="96" t="b">
        <v>0</v>
      </c>
      <c r="P1819" s="92"/>
      <c r="Q1819" s="92"/>
      <c r="R1819" s="92"/>
      <c r="S1819" s="92"/>
      <c r="T1819" s="92"/>
      <c r="U1819" s="92"/>
      <c r="V1819" s="92"/>
      <c r="W1819" s="92"/>
      <c r="X1819" s="92"/>
      <c r="Y1819" s="92"/>
      <c r="Z1819" s="92"/>
      <c r="AA1819" s="92"/>
      <c r="AB1819" s="92"/>
      <c r="AC1819" s="92"/>
      <c r="AD1819" s="92"/>
      <c r="AE1819" s="92"/>
      <c r="AF1819" s="92"/>
      <c r="AG1819" s="92"/>
    </row>
    <row r="1820">
      <c r="A1820" s="262"/>
      <c r="B1820" s="25"/>
      <c r="C1820" s="345" t="s">
        <v>3331</v>
      </c>
      <c r="D1820" s="159" t="s">
        <v>2576</v>
      </c>
      <c r="E1820" s="273" t="s">
        <v>3468</v>
      </c>
      <c r="F1820" s="273" t="s">
        <v>3469</v>
      </c>
      <c r="G1820" s="331">
        <v>0.4791666666666667</v>
      </c>
      <c r="H1820" s="332" t="s">
        <v>3470</v>
      </c>
      <c r="I1820" s="332" t="s">
        <v>3471</v>
      </c>
      <c r="J1820" s="273" t="s">
        <v>3472</v>
      </c>
      <c r="K1820" s="98" t="s">
        <v>3473</v>
      </c>
      <c r="L1820" s="91"/>
      <c r="M1820" s="91"/>
      <c r="N1820" s="96" t="b">
        <v>0</v>
      </c>
      <c r="O1820" s="96" t="b">
        <v>0</v>
      </c>
      <c r="P1820" s="92"/>
      <c r="Q1820" s="92"/>
      <c r="R1820" s="92"/>
      <c r="S1820" s="92"/>
      <c r="T1820" s="92"/>
      <c r="U1820" s="92"/>
      <c r="V1820" s="92"/>
      <c r="W1820" s="92"/>
      <c r="X1820" s="92"/>
      <c r="Y1820" s="92"/>
      <c r="Z1820" s="92"/>
      <c r="AA1820" s="92"/>
      <c r="AB1820" s="92"/>
      <c r="AC1820" s="92"/>
      <c r="AD1820" s="92"/>
      <c r="AE1820" s="92"/>
      <c r="AF1820" s="92"/>
      <c r="AG1820" s="92"/>
    </row>
    <row r="1821">
      <c r="A1821" s="262"/>
      <c r="B1821" s="25"/>
      <c r="C1821" s="345" t="s">
        <v>3331</v>
      </c>
      <c r="D1821" s="162" t="s">
        <v>3462</v>
      </c>
      <c r="E1821" s="273" t="s">
        <v>3474</v>
      </c>
      <c r="F1821" s="273" t="s">
        <v>3475</v>
      </c>
      <c r="G1821" s="161">
        <v>0.5</v>
      </c>
      <c r="H1821" s="332" t="s">
        <v>2633</v>
      </c>
      <c r="I1821" s="162" t="s">
        <v>3476</v>
      </c>
      <c r="J1821" s="162" t="s">
        <v>3477</v>
      </c>
      <c r="K1821" s="91"/>
      <c r="L1821" s="91"/>
      <c r="M1821" s="91"/>
      <c r="N1821" s="96" t="b">
        <v>0</v>
      </c>
      <c r="O1821" s="96" t="b">
        <v>0</v>
      </c>
      <c r="P1821" s="92"/>
      <c r="Q1821" s="92"/>
      <c r="R1821" s="92"/>
      <c r="S1821" s="92"/>
      <c r="T1821" s="92"/>
      <c r="U1821" s="92"/>
      <c r="V1821" s="92"/>
      <c r="W1821" s="92"/>
      <c r="X1821" s="92"/>
      <c r="Y1821" s="92"/>
      <c r="Z1821" s="92"/>
      <c r="AA1821" s="92"/>
      <c r="AB1821" s="92"/>
      <c r="AC1821" s="92"/>
      <c r="AD1821" s="92"/>
      <c r="AE1821" s="92"/>
      <c r="AF1821" s="92"/>
      <c r="AG1821" s="92"/>
    </row>
    <row r="1822">
      <c r="A1822" s="262"/>
      <c r="B1822" s="25"/>
      <c r="C1822" s="345" t="s">
        <v>3331</v>
      </c>
      <c r="D1822" s="107" t="s">
        <v>2576</v>
      </c>
      <c r="E1822" s="184" t="s">
        <v>3478</v>
      </c>
      <c r="F1822" s="184" t="s">
        <v>3479</v>
      </c>
      <c r="G1822" s="108">
        <v>0.5416666666666666</v>
      </c>
      <c r="H1822" s="191" t="s">
        <v>2633</v>
      </c>
      <c r="I1822" s="109" t="s">
        <v>3480</v>
      </c>
      <c r="J1822" s="184" t="s">
        <v>3481</v>
      </c>
      <c r="K1822" s="98" t="s">
        <v>3482</v>
      </c>
      <c r="L1822" s="91"/>
      <c r="M1822" s="91"/>
      <c r="N1822" s="96" t="b">
        <v>0</v>
      </c>
      <c r="O1822" s="96" t="b">
        <v>0</v>
      </c>
      <c r="P1822" s="92"/>
      <c r="Q1822" s="92"/>
      <c r="R1822" s="92"/>
      <c r="S1822" s="92"/>
      <c r="T1822" s="92"/>
      <c r="U1822" s="92"/>
      <c r="V1822" s="92"/>
      <c r="W1822" s="92"/>
      <c r="X1822" s="92"/>
      <c r="Y1822" s="92"/>
      <c r="Z1822" s="92"/>
      <c r="AA1822" s="92"/>
      <c r="AB1822" s="92"/>
      <c r="AC1822" s="92"/>
      <c r="AD1822" s="92"/>
      <c r="AE1822" s="92"/>
      <c r="AF1822" s="92"/>
      <c r="AG1822" s="92"/>
    </row>
    <row r="1823">
      <c r="A1823" s="262"/>
      <c r="B1823" s="25"/>
      <c r="C1823" s="345" t="s">
        <v>3331</v>
      </c>
      <c r="D1823" s="159" t="s">
        <v>2576</v>
      </c>
      <c r="E1823" s="273" t="s">
        <v>3483</v>
      </c>
      <c r="F1823" s="273" t="s">
        <v>3484</v>
      </c>
      <c r="G1823" s="161">
        <v>0.6041666666666666</v>
      </c>
      <c r="H1823" s="162" t="s">
        <v>2647</v>
      </c>
      <c r="I1823" s="162" t="s">
        <v>3485</v>
      </c>
      <c r="J1823" s="273" t="s">
        <v>3486</v>
      </c>
      <c r="K1823" s="91"/>
      <c r="L1823" s="91"/>
      <c r="M1823" s="91"/>
      <c r="N1823" s="96" t="b">
        <v>0</v>
      </c>
      <c r="O1823" s="96" t="b">
        <v>0</v>
      </c>
      <c r="P1823" s="92"/>
      <c r="Q1823" s="92"/>
      <c r="R1823" s="92"/>
      <c r="S1823" s="92"/>
      <c r="T1823" s="92"/>
      <c r="U1823" s="92"/>
      <c r="V1823" s="92"/>
      <c r="W1823" s="92"/>
      <c r="X1823" s="92"/>
      <c r="Y1823" s="92"/>
      <c r="Z1823" s="92"/>
      <c r="AA1823" s="92"/>
      <c r="AB1823" s="92"/>
      <c r="AC1823" s="92"/>
      <c r="AD1823" s="92"/>
      <c r="AE1823" s="92"/>
      <c r="AF1823" s="92"/>
      <c r="AG1823" s="92"/>
    </row>
    <row r="1824">
      <c r="A1824" s="262"/>
      <c r="B1824" s="25"/>
      <c r="C1824" s="345" t="s">
        <v>3331</v>
      </c>
      <c r="D1824" s="107" t="s">
        <v>2576</v>
      </c>
      <c r="E1824" s="263" t="s">
        <v>3487</v>
      </c>
      <c r="F1824" s="109" t="s">
        <v>3488</v>
      </c>
      <c r="G1824" s="108">
        <v>0.625</v>
      </c>
      <c r="H1824" s="109" t="s">
        <v>3459</v>
      </c>
      <c r="I1824" s="109" t="s">
        <v>3489</v>
      </c>
      <c r="J1824" s="184" t="s">
        <v>3490</v>
      </c>
      <c r="K1824" s="98" t="s">
        <v>3491</v>
      </c>
      <c r="N1824" s="96" t="b">
        <v>0</v>
      </c>
      <c r="O1824" s="96" t="b">
        <v>0</v>
      </c>
      <c r="P1824" s="92"/>
      <c r="Q1824" s="92"/>
      <c r="R1824" s="92"/>
      <c r="S1824" s="92"/>
      <c r="T1824" s="92"/>
      <c r="U1824" s="92"/>
      <c r="V1824" s="92"/>
      <c r="W1824" s="92"/>
      <c r="X1824" s="92"/>
      <c r="Y1824" s="92"/>
      <c r="Z1824" s="92"/>
      <c r="AA1824" s="92"/>
      <c r="AB1824" s="92"/>
      <c r="AC1824" s="92"/>
      <c r="AD1824" s="92"/>
      <c r="AE1824" s="92"/>
      <c r="AF1824" s="92"/>
      <c r="AG1824" s="92"/>
    </row>
    <row r="1825">
      <c r="A1825" s="262"/>
      <c r="B1825" s="25"/>
      <c r="C1825" s="345" t="s">
        <v>3331</v>
      </c>
      <c r="D1825" s="162" t="s">
        <v>3462</v>
      </c>
      <c r="E1825" s="273" t="s">
        <v>3492</v>
      </c>
      <c r="F1825" s="273" t="s">
        <v>3493</v>
      </c>
      <c r="G1825" s="161">
        <v>0.6666666666666666</v>
      </c>
      <c r="H1825" s="162" t="s">
        <v>3494</v>
      </c>
      <c r="I1825" s="162" t="s">
        <v>3495</v>
      </c>
      <c r="J1825" s="162" t="s">
        <v>3496</v>
      </c>
      <c r="K1825" s="91"/>
      <c r="L1825" s="91"/>
      <c r="M1825" s="91"/>
      <c r="N1825" s="96" t="b">
        <v>0</v>
      </c>
      <c r="O1825" s="96" t="b">
        <v>0</v>
      </c>
      <c r="P1825" s="92"/>
      <c r="Q1825" s="92"/>
      <c r="R1825" s="92"/>
      <c r="S1825" s="92"/>
      <c r="T1825" s="92"/>
      <c r="U1825" s="92"/>
      <c r="V1825" s="92"/>
      <c r="W1825" s="92"/>
      <c r="X1825" s="92"/>
      <c r="Y1825" s="92"/>
      <c r="Z1825" s="92"/>
      <c r="AA1825" s="92"/>
      <c r="AB1825" s="92"/>
      <c r="AC1825" s="92"/>
      <c r="AD1825" s="92"/>
      <c r="AE1825" s="92"/>
      <c r="AF1825" s="92"/>
      <c r="AG1825" s="92"/>
    </row>
    <row r="1826">
      <c r="A1826" s="262"/>
      <c r="B1826" s="25"/>
      <c r="C1826" s="345" t="s">
        <v>3331</v>
      </c>
      <c r="D1826" s="162" t="s">
        <v>3462</v>
      </c>
      <c r="E1826" s="273" t="s">
        <v>3497</v>
      </c>
      <c r="F1826" s="273" t="s">
        <v>3498</v>
      </c>
      <c r="G1826" s="161">
        <v>0.7083333333333334</v>
      </c>
      <c r="H1826" s="162" t="s">
        <v>3494</v>
      </c>
      <c r="I1826" s="162" t="s">
        <v>3499</v>
      </c>
      <c r="J1826" s="162" t="s">
        <v>3500</v>
      </c>
      <c r="K1826" s="91"/>
      <c r="L1826" s="91"/>
      <c r="M1826" s="91"/>
      <c r="N1826" s="96" t="b">
        <v>0</v>
      </c>
      <c r="O1826" s="96" t="b">
        <v>0</v>
      </c>
      <c r="P1826" s="92"/>
      <c r="Q1826" s="92"/>
      <c r="R1826" s="92"/>
      <c r="S1826" s="92"/>
      <c r="T1826" s="92"/>
      <c r="U1826" s="92"/>
      <c r="V1826" s="92"/>
      <c r="W1826" s="92"/>
      <c r="X1826" s="92"/>
      <c r="Y1826" s="92"/>
      <c r="Z1826" s="92"/>
      <c r="AA1826" s="92"/>
      <c r="AB1826" s="92"/>
      <c r="AC1826" s="92"/>
      <c r="AD1826" s="92"/>
      <c r="AE1826" s="92"/>
      <c r="AF1826" s="92"/>
      <c r="AG1826" s="92"/>
    </row>
    <row r="1827">
      <c r="A1827" s="262"/>
      <c r="B1827" s="25"/>
      <c r="C1827" s="345" t="s">
        <v>3331</v>
      </c>
      <c r="D1827" s="162" t="s">
        <v>3462</v>
      </c>
      <c r="E1827" s="273" t="s">
        <v>3501</v>
      </c>
      <c r="F1827" s="273" t="s">
        <v>3502</v>
      </c>
      <c r="G1827" s="161">
        <v>0.75</v>
      </c>
      <c r="H1827" s="162" t="s">
        <v>205</v>
      </c>
      <c r="I1827" s="162" t="s">
        <v>3503</v>
      </c>
      <c r="J1827" s="162" t="s">
        <v>3504</v>
      </c>
      <c r="K1827" s="91"/>
      <c r="L1827" s="91"/>
      <c r="M1827" s="91"/>
      <c r="N1827" s="96" t="b">
        <v>0</v>
      </c>
      <c r="O1827" s="96" t="b">
        <v>0</v>
      </c>
      <c r="P1827" s="92"/>
      <c r="Q1827" s="92"/>
      <c r="R1827" s="92"/>
      <c r="S1827" s="92"/>
      <c r="T1827" s="92"/>
      <c r="U1827" s="92"/>
      <c r="V1827" s="92"/>
      <c r="W1827" s="92"/>
      <c r="X1827" s="92"/>
      <c r="Y1827" s="92"/>
      <c r="Z1827" s="92"/>
      <c r="AA1827" s="92"/>
      <c r="AB1827" s="92"/>
      <c r="AC1827" s="92"/>
      <c r="AD1827" s="92"/>
      <c r="AE1827" s="92"/>
      <c r="AF1827" s="92"/>
      <c r="AG1827" s="92"/>
    </row>
    <row r="1828">
      <c r="A1828" s="262"/>
      <c r="B1828" s="25"/>
      <c r="C1828" s="345" t="s">
        <v>3331</v>
      </c>
      <c r="D1828" s="159" t="s">
        <v>2576</v>
      </c>
      <c r="E1828" s="269" t="s">
        <v>3505</v>
      </c>
      <c r="F1828" s="269" t="s">
        <v>3506</v>
      </c>
      <c r="G1828" s="161">
        <v>0.7916666666666666</v>
      </c>
      <c r="H1828" s="162" t="s">
        <v>3494</v>
      </c>
      <c r="I1828" s="162" t="s">
        <v>3507</v>
      </c>
      <c r="J1828" s="269" t="s">
        <v>3508</v>
      </c>
      <c r="K1828" s="91"/>
      <c r="L1828" s="91"/>
      <c r="M1828" s="91"/>
      <c r="N1828" s="96" t="b">
        <v>0</v>
      </c>
      <c r="O1828" s="96" t="b">
        <v>0</v>
      </c>
      <c r="P1828" s="92"/>
      <c r="Q1828" s="92"/>
      <c r="R1828" s="92"/>
      <c r="S1828" s="92"/>
      <c r="T1828" s="92"/>
      <c r="U1828" s="92"/>
      <c r="V1828" s="92"/>
      <c r="W1828" s="92"/>
      <c r="X1828" s="92"/>
      <c r="Y1828" s="92"/>
      <c r="Z1828" s="92"/>
      <c r="AA1828" s="92"/>
      <c r="AB1828" s="92"/>
      <c r="AC1828" s="92"/>
      <c r="AD1828" s="92"/>
      <c r="AE1828" s="92"/>
      <c r="AF1828" s="92"/>
      <c r="AG1828" s="92"/>
    </row>
    <row r="1829">
      <c r="A1829" s="262"/>
      <c r="B1829" s="25"/>
      <c r="C1829" s="345" t="s">
        <v>3331</v>
      </c>
      <c r="D1829" s="109" t="s">
        <v>3462</v>
      </c>
      <c r="E1829" s="263" t="s">
        <v>3509</v>
      </c>
      <c r="F1829" s="263" t="s">
        <v>3510</v>
      </c>
      <c r="G1829" s="112" t="s">
        <v>2041</v>
      </c>
      <c r="H1829" s="109" t="s">
        <v>424</v>
      </c>
      <c r="I1829" s="109" t="s">
        <v>3511</v>
      </c>
      <c r="J1829" s="263" t="s">
        <v>3512</v>
      </c>
      <c r="K1829" s="98" t="s">
        <v>3513</v>
      </c>
      <c r="L1829" s="91"/>
      <c r="M1829" s="91"/>
      <c r="N1829" s="96" t="b">
        <v>0</v>
      </c>
      <c r="O1829" s="96" t="b">
        <v>0</v>
      </c>
      <c r="P1829" s="92"/>
      <c r="Q1829" s="92"/>
      <c r="R1829" s="92"/>
      <c r="S1829" s="92"/>
      <c r="T1829" s="92"/>
      <c r="U1829" s="92"/>
      <c r="V1829" s="92"/>
      <c r="W1829" s="92"/>
      <c r="X1829" s="92"/>
      <c r="Y1829" s="92"/>
      <c r="Z1829" s="92"/>
      <c r="AA1829" s="92"/>
      <c r="AB1829" s="92"/>
      <c r="AC1829" s="92"/>
      <c r="AD1829" s="92"/>
      <c r="AE1829" s="92"/>
      <c r="AF1829" s="92"/>
      <c r="AG1829" s="92"/>
    </row>
    <row r="1830">
      <c r="A1830" s="262"/>
      <c r="B1830" s="39"/>
      <c r="C1830" s="345"/>
      <c r="D1830" s="109" t="s">
        <v>3462</v>
      </c>
      <c r="E1830" s="263" t="s">
        <v>3514</v>
      </c>
      <c r="F1830" s="263" t="s">
        <v>3515</v>
      </c>
      <c r="G1830" s="112" t="s">
        <v>2042</v>
      </c>
      <c r="H1830" s="109" t="s">
        <v>211</v>
      </c>
      <c r="I1830" s="109" t="s">
        <v>3516</v>
      </c>
      <c r="J1830" s="109" t="s">
        <v>3517</v>
      </c>
      <c r="K1830" s="98" t="s">
        <v>2969</v>
      </c>
      <c r="L1830" s="91"/>
      <c r="M1830" s="91"/>
      <c r="N1830" s="96" t="b">
        <v>0</v>
      </c>
      <c r="O1830" s="96" t="b">
        <v>0</v>
      </c>
      <c r="P1830" s="92"/>
      <c r="Q1830" s="92"/>
      <c r="R1830" s="92"/>
      <c r="S1830" s="92"/>
      <c r="T1830" s="92"/>
      <c r="U1830" s="92"/>
      <c r="V1830" s="92"/>
      <c r="W1830" s="92"/>
      <c r="X1830" s="92"/>
      <c r="Y1830" s="92"/>
      <c r="Z1830" s="92"/>
      <c r="AA1830" s="92"/>
      <c r="AB1830" s="92"/>
      <c r="AC1830" s="92"/>
      <c r="AD1830" s="92"/>
      <c r="AE1830" s="92"/>
      <c r="AF1830" s="92"/>
      <c r="AG1830" s="92"/>
    </row>
    <row r="1831">
      <c r="A1831" s="262"/>
      <c r="B1831" s="197"/>
      <c r="C1831" s="198">
        <v>44635.0</v>
      </c>
      <c r="E1831" s="98"/>
      <c r="F1831" s="98"/>
      <c r="G1831" s="41"/>
      <c r="H1831" s="98"/>
      <c r="I1831" s="98"/>
      <c r="J1831" s="98"/>
      <c r="K1831" s="91"/>
      <c r="L1831" s="91"/>
      <c r="M1831" s="91"/>
      <c r="N1831" s="96" t="b">
        <v>0</v>
      </c>
      <c r="O1831" s="96" t="b">
        <v>0</v>
      </c>
      <c r="P1831" s="92"/>
      <c r="Q1831" s="92"/>
      <c r="R1831" s="92"/>
      <c r="S1831" s="92"/>
      <c r="T1831" s="92"/>
      <c r="U1831" s="92"/>
      <c r="V1831" s="92"/>
      <c r="W1831" s="92"/>
      <c r="X1831" s="92"/>
      <c r="Y1831" s="92"/>
      <c r="Z1831" s="92"/>
      <c r="AA1831" s="92"/>
      <c r="AB1831" s="92"/>
      <c r="AC1831" s="92"/>
      <c r="AD1831" s="92"/>
      <c r="AE1831" s="92"/>
      <c r="AF1831" s="92"/>
      <c r="AG1831" s="92"/>
    </row>
    <row r="1832">
      <c r="A1832" s="262"/>
      <c r="B1832" s="344" t="s">
        <v>3329</v>
      </c>
      <c r="C1832" s="345"/>
      <c r="D1832" s="97"/>
      <c r="E1832" s="98"/>
      <c r="F1832" s="98"/>
      <c r="G1832" s="41"/>
      <c r="H1832" s="98"/>
      <c r="I1832" s="98"/>
      <c r="J1832" s="98"/>
      <c r="K1832" s="91"/>
      <c r="L1832" s="91"/>
      <c r="M1832" s="91"/>
      <c r="N1832" s="96" t="b">
        <v>0</v>
      </c>
      <c r="O1832" s="96" t="b">
        <v>0</v>
      </c>
      <c r="P1832" s="92"/>
      <c r="Q1832" s="92"/>
      <c r="R1832" s="92"/>
      <c r="S1832" s="92"/>
      <c r="T1832" s="92"/>
      <c r="U1832" s="92"/>
      <c r="V1832" s="92"/>
      <c r="W1832" s="92"/>
      <c r="X1832" s="92"/>
      <c r="Y1832" s="92"/>
      <c r="Z1832" s="92"/>
      <c r="AA1832" s="92"/>
      <c r="AB1832" s="92"/>
      <c r="AC1832" s="92"/>
      <c r="AD1832" s="92"/>
      <c r="AE1832" s="92"/>
      <c r="AF1832" s="92"/>
      <c r="AG1832" s="92"/>
    </row>
    <row r="1833">
      <c r="A1833" s="262"/>
      <c r="B1833" s="25"/>
      <c r="C1833" s="345" t="s">
        <v>3331</v>
      </c>
      <c r="D1833" s="97"/>
      <c r="E1833" s="98"/>
      <c r="F1833" s="98"/>
      <c r="G1833" s="98"/>
      <c r="H1833" s="98"/>
      <c r="I1833" s="348"/>
      <c r="J1833" s="98"/>
      <c r="K1833" s="91"/>
      <c r="L1833" s="91"/>
      <c r="M1833" s="91"/>
      <c r="N1833" s="96" t="b">
        <v>0</v>
      </c>
      <c r="O1833" s="96" t="b">
        <v>0</v>
      </c>
      <c r="P1833" s="92"/>
      <c r="Q1833" s="92"/>
      <c r="R1833" s="92"/>
      <c r="S1833" s="92"/>
      <c r="T1833" s="92"/>
      <c r="U1833" s="92"/>
      <c r="V1833" s="92"/>
      <c r="W1833" s="92"/>
      <c r="X1833" s="92"/>
      <c r="Y1833" s="92"/>
      <c r="Z1833" s="92"/>
      <c r="AA1833" s="92"/>
      <c r="AB1833" s="92"/>
      <c r="AC1833" s="92"/>
      <c r="AD1833" s="92"/>
      <c r="AE1833" s="92"/>
      <c r="AF1833" s="92"/>
      <c r="AG1833" s="92"/>
    </row>
    <row r="1834">
      <c r="A1834" s="262"/>
      <c r="B1834" s="25"/>
      <c r="C1834" s="345" t="s">
        <v>3331</v>
      </c>
      <c r="K1834" s="91"/>
      <c r="L1834" s="91"/>
      <c r="M1834" s="91"/>
      <c r="N1834" s="96" t="b">
        <v>0</v>
      </c>
      <c r="O1834" s="96" t="b">
        <v>0</v>
      </c>
      <c r="P1834" s="92"/>
      <c r="Q1834" s="92"/>
      <c r="R1834" s="92"/>
      <c r="S1834" s="92"/>
      <c r="T1834" s="92"/>
      <c r="U1834" s="92"/>
      <c r="V1834" s="92"/>
      <c r="W1834" s="92"/>
      <c r="X1834" s="92"/>
      <c r="Y1834" s="92"/>
      <c r="Z1834" s="92"/>
      <c r="AA1834" s="92"/>
      <c r="AB1834" s="92"/>
      <c r="AC1834" s="92"/>
      <c r="AD1834" s="92"/>
      <c r="AE1834" s="92"/>
      <c r="AF1834" s="92"/>
      <c r="AG1834" s="92"/>
    </row>
    <row r="1835">
      <c r="A1835" s="262"/>
      <c r="B1835" s="25"/>
      <c r="C1835" s="345" t="s">
        <v>3331</v>
      </c>
      <c r="D1835" s="109" t="s">
        <v>3462</v>
      </c>
      <c r="E1835" s="184" t="s">
        <v>3463</v>
      </c>
      <c r="F1835" s="184" t="s">
        <v>3464</v>
      </c>
      <c r="G1835" s="192">
        <v>0.4583333333333333</v>
      </c>
      <c r="H1835" s="191" t="s">
        <v>2633</v>
      </c>
      <c r="I1835" s="191" t="s">
        <v>3465</v>
      </c>
      <c r="J1835" s="191" t="s">
        <v>3466</v>
      </c>
      <c r="K1835" s="98" t="s">
        <v>3518</v>
      </c>
      <c r="L1835" s="91"/>
      <c r="M1835" s="91"/>
      <c r="N1835" s="96" t="b">
        <v>0</v>
      </c>
      <c r="O1835" s="96" t="b">
        <v>0</v>
      </c>
      <c r="P1835" s="92"/>
      <c r="Q1835" s="92"/>
      <c r="R1835" s="92"/>
      <c r="S1835" s="92"/>
      <c r="T1835" s="92"/>
      <c r="U1835" s="92"/>
      <c r="V1835" s="92"/>
      <c r="W1835" s="92"/>
      <c r="X1835" s="92"/>
      <c r="Y1835" s="92"/>
      <c r="Z1835" s="92"/>
      <c r="AA1835" s="92"/>
      <c r="AB1835" s="92"/>
      <c r="AC1835" s="92"/>
      <c r="AD1835" s="92"/>
      <c r="AE1835" s="92"/>
      <c r="AF1835" s="92"/>
      <c r="AG1835" s="92"/>
    </row>
    <row r="1836">
      <c r="A1836" s="262"/>
      <c r="B1836" s="25"/>
      <c r="C1836" s="345" t="s">
        <v>3331</v>
      </c>
      <c r="D1836" s="107" t="s">
        <v>2576</v>
      </c>
      <c r="E1836" s="184" t="s">
        <v>3478</v>
      </c>
      <c r="F1836" s="184" t="s">
        <v>3479</v>
      </c>
      <c r="G1836" s="108">
        <v>0.5416666666666666</v>
      </c>
      <c r="H1836" s="191" t="s">
        <v>2633</v>
      </c>
      <c r="I1836" s="109" t="s">
        <v>3480</v>
      </c>
      <c r="J1836" s="184" t="s">
        <v>3481</v>
      </c>
      <c r="K1836" s="98" t="s">
        <v>3519</v>
      </c>
      <c r="L1836" s="91"/>
      <c r="M1836" s="91"/>
      <c r="N1836" s="96" t="b">
        <v>0</v>
      </c>
      <c r="O1836" s="96" t="b">
        <v>0</v>
      </c>
      <c r="P1836" s="92"/>
      <c r="Q1836" s="92"/>
      <c r="R1836" s="92"/>
      <c r="S1836" s="92"/>
      <c r="T1836" s="92"/>
      <c r="U1836" s="92"/>
      <c r="V1836" s="92"/>
      <c r="W1836" s="92"/>
      <c r="X1836" s="92"/>
      <c r="Y1836" s="92"/>
      <c r="Z1836" s="92"/>
      <c r="AA1836" s="92"/>
      <c r="AB1836" s="92"/>
      <c r="AC1836" s="92"/>
      <c r="AD1836" s="92"/>
      <c r="AE1836" s="92"/>
      <c r="AF1836" s="92"/>
      <c r="AG1836" s="92"/>
    </row>
    <row r="1837">
      <c r="A1837" s="262"/>
      <c r="B1837" s="25"/>
      <c r="C1837" s="345" t="s">
        <v>3331</v>
      </c>
      <c r="D1837" s="162" t="s">
        <v>3462</v>
      </c>
      <c r="E1837" s="269" t="s">
        <v>3520</v>
      </c>
      <c r="F1837" s="269" t="s">
        <v>3521</v>
      </c>
      <c r="G1837" s="270" t="s">
        <v>449</v>
      </c>
      <c r="H1837" s="162" t="s">
        <v>909</v>
      </c>
      <c r="I1837" s="162" t="s">
        <v>3522</v>
      </c>
      <c r="J1837" s="273" t="s">
        <v>3523</v>
      </c>
      <c r="K1837" s="91"/>
      <c r="L1837" s="91"/>
      <c r="M1837" s="91"/>
      <c r="N1837" s="96" t="b">
        <v>0</v>
      </c>
      <c r="O1837" s="96" t="b">
        <v>0</v>
      </c>
      <c r="P1837" s="92"/>
      <c r="Q1837" s="92"/>
      <c r="R1837" s="92"/>
      <c r="S1837" s="92"/>
      <c r="T1837" s="92"/>
      <c r="U1837" s="92"/>
      <c r="V1837" s="92"/>
      <c r="W1837" s="92"/>
      <c r="X1837" s="92"/>
      <c r="Y1837" s="92"/>
      <c r="Z1837" s="92"/>
      <c r="AA1837" s="92"/>
      <c r="AB1837" s="92"/>
      <c r="AC1837" s="92"/>
      <c r="AD1837" s="92"/>
      <c r="AE1837" s="92"/>
      <c r="AF1837" s="92"/>
      <c r="AG1837" s="92"/>
    </row>
    <row r="1838">
      <c r="A1838" s="262"/>
      <c r="B1838" s="25"/>
      <c r="C1838" s="345" t="s">
        <v>3331</v>
      </c>
      <c r="D1838" s="159" t="s">
        <v>2576</v>
      </c>
      <c r="E1838" s="269" t="s">
        <v>3487</v>
      </c>
      <c r="F1838" s="162" t="s">
        <v>3488</v>
      </c>
      <c r="G1838" s="161">
        <v>0.625</v>
      </c>
      <c r="H1838" s="162" t="s">
        <v>3459</v>
      </c>
      <c r="I1838" s="162" t="s">
        <v>3489</v>
      </c>
      <c r="J1838" s="273" t="s">
        <v>3490</v>
      </c>
      <c r="K1838" s="91"/>
      <c r="L1838" s="91"/>
      <c r="M1838" s="91"/>
      <c r="N1838" s="96" t="b">
        <v>0</v>
      </c>
      <c r="O1838" s="96" t="b">
        <v>0</v>
      </c>
      <c r="P1838" s="92"/>
      <c r="Q1838" s="92"/>
      <c r="R1838" s="92"/>
      <c r="S1838" s="92"/>
      <c r="T1838" s="92"/>
      <c r="U1838" s="92"/>
      <c r="V1838" s="92"/>
      <c r="W1838" s="92"/>
      <c r="X1838" s="92"/>
      <c r="Y1838" s="92"/>
      <c r="Z1838" s="92"/>
      <c r="AA1838" s="92"/>
      <c r="AB1838" s="92"/>
      <c r="AC1838" s="92"/>
      <c r="AD1838" s="92"/>
      <c r="AE1838" s="92"/>
      <c r="AF1838" s="92"/>
      <c r="AG1838" s="92"/>
    </row>
    <row r="1839">
      <c r="A1839" s="262"/>
      <c r="B1839" s="25"/>
      <c r="C1839" s="345" t="s">
        <v>3331</v>
      </c>
      <c r="D1839" s="162" t="s">
        <v>3462</v>
      </c>
      <c r="E1839" s="269" t="s">
        <v>3524</v>
      </c>
      <c r="F1839" s="269" t="s">
        <v>3525</v>
      </c>
      <c r="G1839" s="270" t="s">
        <v>180</v>
      </c>
      <c r="H1839" s="162" t="s">
        <v>205</v>
      </c>
      <c r="I1839" s="162" t="s">
        <v>3526</v>
      </c>
      <c r="J1839" s="269" t="s">
        <v>3527</v>
      </c>
      <c r="K1839" s="91"/>
      <c r="L1839" s="91"/>
      <c r="M1839" s="91"/>
      <c r="N1839" s="96" t="b">
        <v>0</v>
      </c>
      <c r="O1839" s="96" t="b">
        <v>0</v>
      </c>
      <c r="P1839" s="92"/>
      <c r="Q1839" s="92"/>
      <c r="R1839" s="92"/>
      <c r="S1839" s="92"/>
      <c r="T1839" s="92"/>
      <c r="U1839" s="92"/>
      <c r="V1839" s="92"/>
      <c r="W1839" s="92"/>
      <c r="X1839" s="92"/>
      <c r="Y1839" s="92"/>
      <c r="Z1839" s="92"/>
      <c r="AA1839" s="92"/>
      <c r="AB1839" s="92"/>
      <c r="AC1839" s="92"/>
      <c r="AD1839" s="92"/>
      <c r="AE1839" s="92"/>
      <c r="AF1839" s="92"/>
      <c r="AG1839" s="92"/>
    </row>
    <row r="1840">
      <c r="A1840" s="262"/>
      <c r="B1840" s="25"/>
      <c r="C1840" s="345" t="s">
        <v>3331</v>
      </c>
      <c r="D1840" s="162" t="s">
        <v>3462</v>
      </c>
      <c r="E1840" s="269" t="s">
        <v>3528</v>
      </c>
      <c r="F1840" s="269" t="s">
        <v>3529</v>
      </c>
      <c r="G1840" s="270" t="s">
        <v>283</v>
      </c>
      <c r="H1840" s="162" t="s">
        <v>205</v>
      </c>
      <c r="I1840" s="162" t="s">
        <v>3530</v>
      </c>
      <c r="J1840" s="162" t="s">
        <v>3531</v>
      </c>
      <c r="K1840" s="91"/>
      <c r="L1840" s="91"/>
      <c r="M1840" s="91"/>
      <c r="N1840" s="96" t="b">
        <v>0</v>
      </c>
      <c r="O1840" s="96" t="b">
        <v>0</v>
      </c>
      <c r="P1840" s="92"/>
      <c r="Q1840" s="92"/>
      <c r="R1840" s="92"/>
      <c r="S1840" s="92"/>
      <c r="T1840" s="92"/>
      <c r="U1840" s="92"/>
      <c r="V1840" s="92"/>
      <c r="W1840" s="92"/>
      <c r="X1840" s="92"/>
      <c r="Y1840" s="92"/>
      <c r="Z1840" s="92"/>
      <c r="AA1840" s="92"/>
      <c r="AB1840" s="92"/>
      <c r="AC1840" s="92"/>
      <c r="AD1840" s="92"/>
      <c r="AE1840" s="92"/>
      <c r="AF1840" s="92"/>
      <c r="AG1840" s="92"/>
    </row>
    <row r="1841">
      <c r="A1841" s="262"/>
      <c r="B1841" s="25"/>
      <c r="C1841" s="345" t="s">
        <v>3331</v>
      </c>
      <c r="D1841" s="162" t="s">
        <v>3213</v>
      </c>
      <c r="E1841" s="269" t="s">
        <v>3532</v>
      </c>
      <c r="F1841" s="269" t="s">
        <v>3533</v>
      </c>
      <c r="G1841" s="161">
        <v>0.7708333333333334</v>
      </c>
      <c r="H1841" s="162" t="s">
        <v>349</v>
      </c>
      <c r="I1841" s="162" t="s">
        <v>3534</v>
      </c>
      <c r="J1841" s="269" t="s">
        <v>3535</v>
      </c>
      <c r="K1841" s="91"/>
      <c r="L1841" s="91"/>
      <c r="M1841" s="91"/>
      <c r="N1841" s="96" t="b">
        <v>0</v>
      </c>
      <c r="O1841" s="96" t="b">
        <v>0</v>
      </c>
      <c r="P1841" s="92"/>
      <c r="Q1841" s="92"/>
      <c r="R1841" s="92"/>
      <c r="S1841" s="92"/>
      <c r="T1841" s="92"/>
      <c r="U1841" s="92"/>
      <c r="V1841" s="92"/>
      <c r="W1841" s="92"/>
      <c r="X1841" s="92"/>
      <c r="Y1841" s="92"/>
      <c r="Z1841" s="92"/>
      <c r="AA1841" s="92"/>
      <c r="AB1841" s="92"/>
      <c r="AC1841" s="92"/>
      <c r="AD1841" s="92"/>
      <c r="AE1841" s="92"/>
      <c r="AF1841" s="92"/>
      <c r="AG1841" s="92"/>
    </row>
    <row r="1842">
      <c r="A1842" s="262"/>
      <c r="B1842" s="25"/>
      <c r="C1842" s="345" t="s">
        <v>3331</v>
      </c>
      <c r="D1842" s="97"/>
      <c r="E1842" s="98"/>
      <c r="F1842" s="98"/>
      <c r="G1842" s="99"/>
      <c r="H1842" s="98"/>
      <c r="I1842" s="98"/>
      <c r="J1842" s="98"/>
      <c r="K1842" s="91"/>
      <c r="L1842" s="91"/>
      <c r="M1842" s="91"/>
      <c r="N1842" s="96" t="b">
        <v>0</v>
      </c>
      <c r="O1842" s="96" t="b">
        <v>0</v>
      </c>
      <c r="P1842" s="92"/>
      <c r="Q1842" s="92"/>
      <c r="R1842" s="92"/>
      <c r="S1842" s="92"/>
      <c r="T1842" s="92"/>
      <c r="U1842" s="92"/>
      <c r="V1842" s="92"/>
      <c r="W1842" s="92"/>
      <c r="X1842" s="92"/>
      <c r="Y1842" s="92"/>
      <c r="Z1842" s="92"/>
      <c r="AA1842" s="92"/>
      <c r="AB1842" s="92"/>
      <c r="AC1842" s="92"/>
      <c r="AD1842" s="92"/>
      <c r="AE1842" s="92"/>
      <c r="AF1842" s="92"/>
      <c r="AG1842" s="92"/>
    </row>
    <row r="1843">
      <c r="A1843" s="262"/>
      <c r="B1843" s="25"/>
      <c r="C1843" s="345" t="s">
        <v>3331</v>
      </c>
      <c r="D1843" s="97"/>
      <c r="E1843" s="98"/>
      <c r="F1843" s="98"/>
      <c r="G1843" s="41"/>
      <c r="H1843" s="98"/>
      <c r="I1843" s="98"/>
      <c r="J1843" s="98"/>
      <c r="K1843" s="91"/>
      <c r="L1843" s="91"/>
      <c r="M1843" s="91"/>
      <c r="N1843" s="96" t="b">
        <v>0</v>
      </c>
      <c r="O1843" s="96" t="b">
        <v>0</v>
      </c>
      <c r="P1843" s="92"/>
      <c r="Q1843" s="92"/>
      <c r="R1843" s="92"/>
      <c r="S1843" s="92"/>
      <c r="T1843" s="92"/>
      <c r="U1843" s="92"/>
      <c r="V1843" s="92"/>
      <c r="W1843" s="92"/>
      <c r="X1843" s="92"/>
      <c r="Y1843" s="92"/>
      <c r="Z1843" s="92"/>
      <c r="AA1843" s="92"/>
      <c r="AB1843" s="92"/>
      <c r="AC1843" s="92"/>
      <c r="AD1843" s="92"/>
      <c r="AE1843" s="92"/>
      <c r="AF1843" s="92"/>
      <c r="AG1843" s="92"/>
    </row>
    <row r="1844">
      <c r="A1844" s="262"/>
      <c r="B1844" s="25"/>
      <c r="C1844" s="345" t="s">
        <v>3331</v>
      </c>
      <c r="D1844" s="97"/>
      <c r="E1844" s="98"/>
      <c r="F1844" s="98"/>
      <c r="G1844" s="41"/>
      <c r="H1844" s="98"/>
      <c r="I1844" s="98"/>
      <c r="J1844" s="98"/>
      <c r="K1844" s="91"/>
      <c r="L1844" s="91"/>
      <c r="M1844" s="91"/>
      <c r="N1844" s="96" t="b">
        <v>0</v>
      </c>
      <c r="O1844" s="96" t="b">
        <v>0</v>
      </c>
      <c r="P1844" s="92"/>
      <c r="Q1844" s="92"/>
      <c r="R1844" s="92"/>
      <c r="S1844" s="92"/>
      <c r="T1844" s="92"/>
      <c r="U1844" s="92"/>
      <c r="V1844" s="92"/>
      <c r="W1844" s="92"/>
      <c r="X1844" s="92"/>
      <c r="Y1844" s="92"/>
      <c r="Z1844" s="92"/>
      <c r="AA1844" s="92"/>
      <c r="AB1844" s="92"/>
      <c r="AC1844" s="92"/>
      <c r="AD1844" s="92"/>
      <c r="AE1844" s="92"/>
      <c r="AF1844" s="92"/>
      <c r="AG1844" s="92"/>
    </row>
    <row r="1845">
      <c r="A1845" s="262"/>
      <c r="B1845" s="39"/>
      <c r="C1845" s="345" t="s">
        <v>3331</v>
      </c>
      <c r="D1845" s="97"/>
      <c r="E1845" s="98"/>
      <c r="F1845" s="98"/>
      <c r="G1845" s="41"/>
      <c r="H1845" s="98"/>
      <c r="I1845" s="98"/>
      <c r="J1845" s="98"/>
      <c r="K1845" s="91"/>
      <c r="L1845" s="91"/>
      <c r="M1845" s="91"/>
      <c r="N1845" s="96" t="b">
        <v>0</v>
      </c>
      <c r="O1845" s="96" t="b">
        <v>0</v>
      </c>
      <c r="P1845" s="92"/>
      <c r="Q1845" s="92"/>
      <c r="R1845" s="92"/>
      <c r="S1845" s="92"/>
      <c r="T1845" s="92"/>
      <c r="U1845" s="92"/>
      <c r="V1845" s="92"/>
      <c r="W1845" s="92"/>
      <c r="X1845" s="92"/>
      <c r="Y1845" s="92"/>
      <c r="Z1845" s="92"/>
      <c r="AA1845" s="92"/>
      <c r="AB1845" s="92"/>
      <c r="AC1845" s="92"/>
      <c r="AD1845" s="92"/>
      <c r="AE1845" s="92"/>
      <c r="AF1845" s="92"/>
      <c r="AG1845" s="92"/>
    </row>
    <row r="1846">
      <c r="A1846" s="262"/>
      <c r="B1846" s="197"/>
      <c r="C1846" s="198">
        <v>44636.0</v>
      </c>
      <c r="D1846" s="97"/>
      <c r="E1846" s="98"/>
      <c r="F1846" s="98"/>
      <c r="G1846" s="41"/>
      <c r="H1846" s="98"/>
      <c r="I1846" s="98"/>
      <c r="J1846" s="98"/>
      <c r="K1846" s="91"/>
      <c r="L1846" s="91"/>
      <c r="M1846" s="91"/>
      <c r="N1846" s="96" t="b">
        <v>0</v>
      </c>
      <c r="O1846" s="96" t="b">
        <v>0</v>
      </c>
      <c r="P1846" s="92"/>
      <c r="Q1846" s="92"/>
      <c r="R1846" s="92"/>
      <c r="S1846" s="92"/>
      <c r="T1846" s="92"/>
      <c r="U1846" s="92"/>
      <c r="V1846" s="92"/>
      <c r="W1846" s="92"/>
      <c r="X1846" s="92"/>
      <c r="Y1846" s="92"/>
      <c r="Z1846" s="92"/>
      <c r="AA1846" s="92"/>
      <c r="AB1846" s="92"/>
      <c r="AC1846" s="92"/>
      <c r="AD1846" s="92"/>
      <c r="AE1846" s="92"/>
      <c r="AF1846" s="92"/>
      <c r="AG1846" s="92"/>
    </row>
    <row r="1847">
      <c r="A1847" s="262"/>
      <c r="B1847" s="344" t="s">
        <v>3329</v>
      </c>
      <c r="C1847" s="345"/>
      <c r="D1847" s="97"/>
      <c r="E1847" s="98"/>
      <c r="F1847" s="98"/>
      <c r="G1847" s="41"/>
      <c r="H1847" s="98"/>
      <c r="I1847" s="98"/>
      <c r="J1847" s="98"/>
      <c r="K1847" s="91"/>
      <c r="L1847" s="91"/>
      <c r="M1847" s="91"/>
      <c r="N1847" s="96" t="b">
        <v>0</v>
      </c>
      <c r="O1847" s="96" t="b">
        <v>0</v>
      </c>
      <c r="P1847" s="92"/>
      <c r="Q1847" s="92"/>
      <c r="R1847" s="92"/>
      <c r="S1847" s="92"/>
      <c r="T1847" s="92"/>
      <c r="U1847" s="92"/>
      <c r="V1847" s="92"/>
      <c r="W1847" s="92"/>
      <c r="X1847" s="92"/>
      <c r="Y1847" s="92"/>
      <c r="Z1847" s="92"/>
      <c r="AA1847" s="92"/>
      <c r="AB1847" s="92"/>
      <c r="AC1847" s="92"/>
      <c r="AD1847" s="92"/>
      <c r="AE1847" s="92"/>
      <c r="AF1847" s="92"/>
      <c r="AG1847" s="92"/>
    </row>
    <row r="1848">
      <c r="A1848" s="262"/>
      <c r="B1848" s="25"/>
      <c r="C1848" s="345" t="s">
        <v>3331</v>
      </c>
      <c r="D1848" s="162" t="s">
        <v>3213</v>
      </c>
      <c r="E1848" s="269" t="s">
        <v>3536</v>
      </c>
      <c r="F1848" s="269" t="s">
        <v>3537</v>
      </c>
      <c r="G1848" s="161">
        <v>0.4166666666666667</v>
      </c>
      <c r="H1848" s="162" t="s">
        <v>3251</v>
      </c>
      <c r="I1848" s="162" t="s">
        <v>3538</v>
      </c>
      <c r="J1848" s="162" t="s">
        <v>3539</v>
      </c>
      <c r="K1848" s="91"/>
      <c r="L1848" s="91"/>
      <c r="M1848" s="91"/>
      <c r="N1848" s="96" t="b">
        <v>0</v>
      </c>
      <c r="O1848" s="96" t="b">
        <v>0</v>
      </c>
      <c r="P1848" s="92"/>
      <c r="Q1848" s="92"/>
      <c r="R1848" s="92"/>
      <c r="S1848" s="92"/>
      <c r="T1848" s="92"/>
      <c r="U1848" s="92"/>
      <c r="V1848" s="92"/>
      <c r="W1848" s="92"/>
      <c r="X1848" s="92"/>
      <c r="Y1848" s="92"/>
      <c r="Z1848" s="92"/>
      <c r="AA1848" s="92"/>
      <c r="AB1848" s="92"/>
      <c r="AC1848" s="92"/>
      <c r="AD1848" s="92"/>
      <c r="AE1848" s="92"/>
      <c r="AF1848" s="92"/>
      <c r="AG1848" s="92"/>
    </row>
    <row r="1849">
      <c r="A1849" s="262"/>
      <c r="B1849" s="25"/>
      <c r="C1849" s="345" t="s">
        <v>3331</v>
      </c>
      <c r="D1849" s="159" t="s">
        <v>2192</v>
      </c>
      <c r="E1849" s="273" t="s">
        <v>3509</v>
      </c>
      <c r="F1849" s="273" t="s">
        <v>3510</v>
      </c>
      <c r="G1849" s="349">
        <v>0.4583333333333333</v>
      </c>
      <c r="H1849" s="269" t="s">
        <v>739</v>
      </c>
      <c r="I1849" s="273" t="s">
        <v>3540</v>
      </c>
      <c r="J1849" s="269" t="s">
        <v>3512</v>
      </c>
      <c r="K1849" s="91"/>
      <c r="L1849" s="91"/>
      <c r="M1849" s="91"/>
      <c r="N1849" s="96" t="b">
        <v>0</v>
      </c>
      <c r="O1849" s="96" t="b">
        <v>0</v>
      </c>
      <c r="P1849" s="92"/>
      <c r="Q1849" s="92"/>
      <c r="R1849" s="92"/>
      <c r="S1849" s="92"/>
      <c r="T1849" s="92"/>
      <c r="U1849" s="92"/>
      <c r="V1849" s="92"/>
      <c r="W1849" s="92"/>
      <c r="X1849" s="92"/>
      <c r="Y1849" s="92"/>
      <c r="Z1849" s="92"/>
      <c r="AA1849" s="92"/>
      <c r="AB1849" s="92"/>
      <c r="AC1849" s="92"/>
      <c r="AD1849" s="92"/>
      <c r="AE1849" s="92"/>
      <c r="AF1849" s="92"/>
      <c r="AG1849" s="92"/>
    </row>
    <row r="1850">
      <c r="A1850" s="262"/>
      <c r="B1850" s="25"/>
      <c r="C1850" s="345" t="s">
        <v>3331</v>
      </c>
      <c r="D1850" s="162" t="s">
        <v>3213</v>
      </c>
      <c r="E1850" s="269" t="s">
        <v>3541</v>
      </c>
      <c r="F1850" s="269" t="s">
        <v>3542</v>
      </c>
      <c r="G1850" s="161">
        <v>0.5</v>
      </c>
      <c r="H1850" s="162" t="s">
        <v>3543</v>
      </c>
      <c r="I1850" s="162" t="s">
        <v>3544</v>
      </c>
      <c r="J1850" s="162" t="s">
        <v>3545</v>
      </c>
      <c r="K1850" s="91"/>
      <c r="L1850" s="91"/>
      <c r="M1850" s="91"/>
      <c r="N1850" s="96" t="b">
        <v>0</v>
      </c>
      <c r="O1850" s="96" t="b">
        <v>0</v>
      </c>
      <c r="P1850" s="92"/>
      <c r="Q1850" s="92"/>
      <c r="R1850" s="92"/>
      <c r="S1850" s="92"/>
      <c r="T1850" s="92"/>
      <c r="U1850" s="92"/>
      <c r="V1850" s="92"/>
      <c r="W1850" s="92"/>
      <c r="X1850" s="92"/>
      <c r="Y1850" s="92"/>
      <c r="Z1850" s="92"/>
      <c r="AA1850" s="92"/>
      <c r="AB1850" s="92"/>
      <c r="AC1850" s="92"/>
      <c r="AD1850" s="92"/>
      <c r="AE1850" s="92"/>
      <c r="AF1850" s="92"/>
      <c r="AG1850" s="92"/>
    </row>
    <row r="1851">
      <c r="A1851" s="262"/>
      <c r="B1851" s="25"/>
      <c r="C1851" s="345" t="s">
        <v>3331</v>
      </c>
      <c r="D1851" s="159" t="s">
        <v>2192</v>
      </c>
      <c r="E1851" s="273" t="s">
        <v>3285</v>
      </c>
      <c r="F1851" s="273" t="s">
        <v>3286</v>
      </c>
      <c r="G1851" s="161">
        <v>0.5833333333333334</v>
      </c>
      <c r="H1851" s="273" t="s">
        <v>233</v>
      </c>
      <c r="I1851" s="273" t="s">
        <v>2278</v>
      </c>
      <c r="J1851" s="273" t="s">
        <v>3288</v>
      </c>
      <c r="K1851" s="91"/>
      <c r="L1851" s="91"/>
      <c r="M1851" s="91"/>
      <c r="N1851" s="96" t="b">
        <v>0</v>
      </c>
      <c r="O1851" s="96" t="b">
        <v>0</v>
      </c>
      <c r="P1851" s="92"/>
      <c r="Q1851" s="92"/>
      <c r="R1851" s="92"/>
      <c r="S1851" s="92"/>
      <c r="T1851" s="92"/>
      <c r="U1851" s="92"/>
      <c r="V1851" s="92"/>
      <c r="W1851" s="92"/>
      <c r="X1851" s="92"/>
      <c r="Y1851" s="92"/>
      <c r="Z1851" s="92"/>
      <c r="AA1851" s="92"/>
      <c r="AB1851" s="92"/>
      <c r="AC1851" s="92"/>
      <c r="AD1851" s="92"/>
      <c r="AE1851" s="92"/>
      <c r="AF1851" s="92"/>
      <c r="AG1851" s="92"/>
    </row>
    <row r="1852">
      <c r="A1852" s="262"/>
      <c r="B1852" s="25"/>
      <c r="C1852" s="345" t="s">
        <v>3331</v>
      </c>
      <c r="D1852" s="159" t="s">
        <v>2192</v>
      </c>
      <c r="E1852" s="273" t="s">
        <v>3290</v>
      </c>
      <c r="F1852" s="273" t="s">
        <v>3291</v>
      </c>
      <c r="G1852" s="161">
        <v>0.6041666666666666</v>
      </c>
      <c r="H1852" s="269" t="s">
        <v>233</v>
      </c>
      <c r="I1852" s="273" t="s">
        <v>2278</v>
      </c>
      <c r="J1852" s="273" t="s">
        <v>3288</v>
      </c>
      <c r="K1852" s="91"/>
      <c r="L1852" s="91"/>
      <c r="M1852" s="91"/>
      <c r="N1852" s="96" t="b">
        <v>0</v>
      </c>
      <c r="O1852" s="96" t="b">
        <v>0</v>
      </c>
      <c r="P1852" s="92"/>
      <c r="Q1852" s="92"/>
      <c r="R1852" s="92"/>
      <c r="S1852" s="92"/>
      <c r="T1852" s="92"/>
      <c r="U1852" s="92"/>
      <c r="V1852" s="92"/>
      <c r="W1852" s="92"/>
      <c r="X1852" s="92"/>
      <c r="Y1852" s="92"/>
      <c r="Z1852" s="92"/>
      <c r="AA1852" s="92"/>
      <c r="AB1852" s="92"/>
      <c r="AC1852" s="92"/>
      <c r="AD1852" s="92"/>
      <c r="AE1852" s="92"/>
      <c r="AF1852" s="92"/>
      <c r="AG1852" s="92"/>
    </row>
    <row r="1853">
      <c r="A1853" s="262"/>
      <c r="B1853" s="25"/>
      <c r="C1853" s="345" t="s">
        <v>3331</v>
      </c>
      <c r="D1853" s="162" t="s">
        <v>3213</v>
      </c>
      <c r="E1853" s="269" t="s">
        <v>3227</v>
      </c>
      <c r="F1853" s="269" t="s">
        <v>3228</v>
      </c>
      <c r="G1853" s="161">
        <v>0.6666666666666666</v>
      </c>
      <c r="H1853" s="162" t="s">
        <v>2633</v>
      </c>
      <c r="I1853" s="162" t="s">
        <v>3230</v>
      </c>
      <c r="J1853" s="269" t="s">
        <v>3231</v>
      </c>
      <c r="K1853" s="91"/>
      <c r="L1853" s="91"/>
      <c r="M1853" s="91"/>
      <c r="N1853" s="96" t="b">
        <v>0</v>
      </c>
      <c r="O1853" s="96" t="b">
        <v>0</v>
      </c>
      <c r="P1853" s="92"/>
      <c r="Q1853" s="92"/>
      <c r="R1853" s="92"/>
      <c r="S1853" s="92"/>
      <c r="T1853" s="92"/>
      <c r="U1853" s="92"/>
      <c r="V1853" s="92"/>
      <c r="W1853" s="92"/>
      <c r="X1853" s="92"/>
      <c r="Y1853" s="92"/>
      <c r="Z1853" s="92"/>
      <c r="AA1853" s="92"/>
      <c r="AB1853" s="92"/>
      <c r="AC1853" s="92"/>
      <c r="AD1853" s="92"/>
      <c r="AE1853" s="92"/>
      <c r="AF1853" s="92"/>
      <c r="AG1853" s="92"/>
    </row>
    <row r="1854">
      <c r="A1854" s="262"/>
      <c r="B1854" s="25"/>
      <c r="C1854" s="345" t="s">
        <v>3331</v>
      </c>
      <c r="D1854" s="159" t="s">
        <v>2192</v>
      </c>
      <c r="E1854" s="273" t="s">
        <v>3546</v>
      </c>
      <c r="F1854" s="273" t="s">
        <v>3547</v>
      </c>
      <c r="G1854" s="161">
        <v>0.7083333333333334</v>
      </c>
      <c r="H1854" s="269" t="s">
        <v>996</v>
      </c>
      <c r="I1854" s="273" t="s">
        <v>3548</v>
      </c>
      <c r="J1854" s="273" t="s">
        <v>3549</v>
      </c>
      <c r="K1854" s="98" t="s">
        <v>3550</v>
      </c>
      <c r="L1854" s="91"/>
      <c r="M1854" s="91"/>
      <c r="N1854" s="96" t="b">
        <v>0</v>
      </c>
      <c r="O1854" s="96" t="b">
        <v>0</v>
      </c>
      <c r="P1854" s="92"/>
      <c r="Q1854" s="92"/>
      <c r="R1854" s="92"/>
      <c r="S1854" s="92"/>
      <c r="T1854" s="92"/>
      <c r="U1854" s="92"/>
      <c r="V1854" s="92"/>
      <c r="W1854" s="92"/>
      <c r="X1854" s="92"/>
      <c r="Y1854" s="92"/>
      <c r="Z1854" s="92"/>
      <c r="AA1854" s="92"/>
      <c r="AB1854" s="92"/>
      <c r="AC1854" s="92"/>
      <c r="AD1854" s="92"/>
      <c r="AE1854" s="92"/>
      <c r="AF1854" s="92"/>
      <c r="AG1854" s="92"/>
    </row>
    <row r="1855">
      <c r="A1855" s="262"/>
      <c r="B1855" s="25"/>
      <c r="C1855" s="345" t="s">
        <v>3331</v>
      </c>
      <c r="D1855" s="159" t="s">
        <v>2192</v>
      </c>
      <c r="E1855" s="269" t="s">
        <v>3514</v>
      </c>
      <c r="F1855" s="273" t="s">
        <v>3515</v>
      </c>
      <c r="G1855" s="161">
        <v>0.75</v>
      </c>
      <c r="H1855" s="269" t="s">
        <v>996</v>
      </c>
      <c r="I1855" s="162" t="s">
        <v>3551</v>
      </c>
      <c r="J1855" s="269" t="s">
        <v>3552</v>
      </c>
      <c r="K1855" s="149" t="s">
        <v>3553</v>
      </c>
      <c r="L1855" s="148"/>
      <c r="M1855" s="91"/>
      <c r="N1855" s="96" t="b">
        <v>0</v>
      </c>
      <c r="O1855" s="96" t="b">
        <v>0</v>
      </c>
      <c r="P1855" s="92"/>
      <c r="Q1855" s="92"/>
      <c r="R1855" s="92"/>
      <c r="S1855" s="92"/>
      <c r="T1855" s="92"/>
      <c r="U1855" s="92"/>
      <c r="V1855" s="92"/>
      <c r="W1855" s="92"/>
      <c r="X1855" s="92"/>
      <c r="Y1855" s="92"/>
      <c r="Z1855" s="92"/>
      <c r="AA1855" s="92"/>
      <c r="AB1855" s="92"/>
      <c r="AC1855" s="92"/>
      <c r="AD1855" s="92"/>
      <c r="AE1855" s="92"/>
      <c r="AF1855" s="92"/>
      <c r="AG1855" s="92"/>
    </row>
    <row r="1856">
      <c r="A1856" s="262"/>
      <c r="B1856" s="39"/>
      <c r="C1856" s="345" t="s">
        <v>3331</v>
      </c>
      <c r="D1856" s="97"/>
      <c r="E1856" s="98"/>
      <c r="F1856" s="98"/>
      <c r="G1856" s="41"/>
      <c r="H1856" s="98"/>
      <c r="I1856" s="98"/>
      <c r="J1856" s="98"/>
      <c r="K1856" s="91"/>
      <c r="L1856" s="91"/>
      <c r="M1856" s="91"/>
      <c r="N1856" s="96" t="b">
        <v>0</v>
      </c>
      <c r="O1856" s="96" t="b">
        <v>0</v>
      </c>
      <c r="P1856" s="92"/>
      <c r="Q1856" s="92"/>
      <c r="R1856" s="92"/>
      <c r="S1856" s="92"/>
      <c r="T1856" s="92"/>
      <c r="U1856" s="92"/>
      <c r="V1856" s="92"/>
      <c r="W1856" s="92"/>
      <c r="X1856" s="92"/>
      <c r="Y1856" s="92"/>
      <c r="Z1856" s="92"/>
      <c r="AA1856" s="92"/>
      <c r="AB1856" s="92"/>
      <c r="AC1856" s="92"/>
      <c r="AD1856" s="92"/>
      <c r="AE1856" s="92"/>
      <c r="AF1856" s="92"/>
      <c r="AG1856" s="92"/>
    </row>
    <row r="1857">
      <c r="A1857" s="262"/>
      <c r="B1857" s="197"/>
      <c r="C1857" s="198">
        <v>44638.0</v>
      </c>
      <c r="D1857" s="97"/>
      <c r="E1857" s="98"/>
      <c r="F1857" s="98"/>
      <c r="G1857" s="41"/>
      <c r="H1857" s="98"/>
      <c r="I1857" s="98"/>
      <c r="J1857" s="98"/>
      <c r="K1857" s="91"/>
      <c r="L1857" s="91"/>
      <c r="M1857" s="91"/>
      <c r="N1857" s="96" t="b">
        <v>0</v>
      </c>
      <c r="O1857" s="96" t="b">
        <v>0</v>
      </c>
      <c r="P1857" s="92"/>
      <c r="Q1857" s="92"/>
      <c r="R1857" s="92"/>
      <c r="S1857" s="92"/>
      <c r="T1857" s="92"/>
      <c r="U1857" s="92"/>
      <c r="V1857" s="92"/>
      <c r="W1857" s="92"/>
      <c r="X1857" s="92"/>
      <c r="Y1857" s="92"/>
      <c r="Z1857" s="92"/>
      <c r="AA1857" s="92"/>
      <c r="AB1857" s="92"/>
      <c r="AC1857" s="92"/>
      <c r="AD1857" s="92"/>
      <c r="AE1857" s="92"/>
      <c r="AF1857" s="92"/>
      <c r="AG1857" s="92"/>
    </row>
    <row r="1858">
      <c r="A1858" s="262"/>
      <c r="B1858" s="350" t="s">
        <v>3554</v>
      </c>
      <c r="C1858" s="345"/>
      <c r="D1858" s="97"/>
      <c r="E1858" s="98"/>
      <c r="F1858" s="98"/>
      <c r="G1858" s="41"/>
      <c r="H1858" s="98"/>
      <c r="I1858" s="98"/>
      <c r="J1858" s="98"/>
      <c r="K1858" s="91"/>
      <c r="L1858" s="91"/>
      <c r="M1858" s="91"/>
      <c r="N1858" s="96" t="b">
        <v>0</v>
      </c>
      <c r="O1858" s="96" t="b">
        <v>0</v>
      </c>
      <c r="P1858" s="92"/>
      <c r="Q1858" s="92"/>
      <c r="R1858" s="92"/>
      <c r="S1858" s="92"/>
      <c r="T1858" s="92"/>
      <c r="U1858" s="92"/>
      <c r="V1858" s="92"/>
      <c r="W1858" s="92"/>
      <c r="X1858" s="92"/>
      <c r="Y1858" s="92"/>
      <c r="Z1858" s="92"/>
      <c r="AA1858" s="92"/>
      <c r="AB1858" s="92"/>
      <c r="AC1858" s="92"/>
      <c r="AD1858" s="92"/>
      <c r="AE1858" s="92"/>
      <c r="AF1858" s="92"/>
      <c r="AG1858" s="92"/>
    </row>
    <row r="1859">
      <c r="A1859" s="262"/>
      <c r="B1859" s="25"/>
      <c r="C1859" s="345" t="s">
        <v>3331</v>
      </c>
      <c r="D1859" s="97"/>
      <c r="E1859" s="98"/>
      <c r="F1859" s="98"/>
      <c r="G1859" s="41"/>
      <c r="H1859" s="98"/>
      <c r="I1859" s="98"/>
      <c r="J1859" s="98"/>
      <c r="K1859" s="91"/>
      <c r="L1859" s="91"/>
      <c r="M1859" s="91"/>
      <c r="N1859" s="96" t="b">
        <v>0</v>
      </c>
      <c r="O1859" s="96" t="b">
        <v>0</v>
      </c>
      <c r="P1859" s="92"/>
      <c r="Q1859" s="92"/>
      <c r="R1859" s="92"/>
      <c r="S1859" s="92"/>
      <c r="T1859" s="92"/>
      <c r="U1859" s="92"/>
      <c r="V1859" s="92"/>
      <c r="W1859" s="92"/>
      <c r="X1859" s="92"/>
      <c r="Y1859" s="92"/>
      <c r="Z1859" s="92"/>
      <c r="AA1859" s="92"/>
      <c r="AB1859" s="92"/>
      <c r="AC1859" s="92"/>
      <c r="AD1859" s="92"/>
      <c r="AE1859" s="92"/>
      <c r="AF1859" s="92"/>
      <c r="AG1859" s="92"/>
    </row>
    <row r="1860">
      <c r="A1860" s="262"/>
      <c r="B1860" s="25"/>
      <c r="C1860" s="345" t="s">
        <v>3331</v>
      </c>
      <c r="D1860" s="162" t="s">
        <v>2542</v>
      </c>
      <c r="E1860" s="269" t="s">
        <v>3555</v>
      </c>
      <c r="F1860" s="269" t="s">
        <v>3556</v>
      </c>
      <c r="G1860" s="270" t="s">
        <v>880</v>
      </c>
      <c r="H1860" s="162" t="s">
        <v>367</v>
      </c>
      <c r="I1860" s="162" t="s">
        <v>3557</v>
      </c>
      <c r="J1860" s="162" t="s">
        <v>3558</v>
      </c>
      <c r="K1860" s="91"/>
      <c r="L1860" s="91"/>
      <c r="M1860" s="91"/>
      <c r="N1860" s="96" t="b">
        <v>0</v>
      </c>
      <c r="O1860" s="96" t="b">
        <v>0</v>
      </c>
      <c r="P1860" s="92"/>
      <c r="Q1860" s="92"/>
      <c r="R1860" s="92"/>
      <c r="S1860" s="92"/>
      <c r="T1860" s="92"/>
      <c r="U1860" s="92"/>
      <c r="V1860" s="92"/>
      <c r="W1860" s="92"/>
      <c r="X1860" s="92"/>
      <c r="Y1860" s="92"/>
      <c r="Z1860" s="92"/>
      <c r="AA1860" s="92"/>
      <c r="AB1860" s="92"/>
      <c r="AC1860" s="92"/>
      <c r="AD1860" s="92"/>
      <c r="AE1860" s="92"/>
      <c r="AF1860" s="92"/>
      <c r="AG1860" s="92"/>
    </row>
    <row r="1861">
      <c r="A1861" s="262"/>
      <c r="B1861" s="25"/>
      <c r="C1861" s="345" t="s">
        <v>3331</v>
      </c>
      <c r="D1861" s="162" t="s">
        <v>2542</v>
      </c>
      <c r="E1861" s="269" t="s">
        <v>3559</v>
      </c>
      <c r="F1861" s="269" t="s">
        <v>3560</v>
      </c>
      <c r="G1861" s="270" t="s">
        <v>713</v>
      </c>
      <c r="H1861" s="162" t="s">
        <v>367</v>
      </c>
      <c r="I1861" s="162" t="s">
        <v>3561</v>
      </c>
      <c r="J1861" s="162" t="s">
        <v>3562</v>
      </c>
      <c r="K1861" s="98" t="s">
        <v>3563</v>
      </c>
      <c r="L1861" s="91"/>
      <c r="M1861" s="91"/>
      <c r="N1861" s="96" t="b">
        <v>0</v>
      </c>
      <c r="O1861" s="96" t="b">
        <v>0</v>
      </c>
      <c r="P1861" s="92"/>
      <c r="Q1861" s="92"/>
      <c r="R1861" s="92"/>
      <c r="S1861" s="92"/>
      <c r="T1861" s="92"/>
      <c r="U1861" s="92"/>
      <c r="V1861" s="92"/>
      <c r="W1861" s="92"/>
      <c r="X1861" s="92"/>
      <c r="Y1861" s="92"/>
      <c r="Z1861" s="92"/>
      <c r="AA1861" s="92"/>
      <c r="AB1861" s="92"/>
      <c r="AC1861" s="92"/>
      <c r="AD1861" s="92"/>
      <c r="AE1861" s="92"/>
      <c r="AF1861" s="92"/>
      <c r="AG1861" s="92"/>
    </row>
    <row r="1862">
      <c r="A1862" s="262"/>
      <c r="B1862" s="25"/>
      <c r="C1862" s="345" t="s">
        <v>3331</v>
      </c>
      <c r="D1862" s="162" t="s">
        <v>2542</v>
      </c>
      <c r="E1862" s="269" t="s">
        <v>3564</v>
      </c>
      <c r="F1862" s="269" t="s">
        <v>3565</v>
      </c>
      <c r="G1862" s="270" t="s">
        <v>713</v>
      </c>
      <c r="H1862" s="162" t="s">
        <v>3566</v>
      </c>
      <c r="I1862" s="162" t="s">
        <v>3567</v>
      </c>
      <c r="J1862" s="162" t="s">
        <v>3568</v>
      </c>
      <c r="K1862" s="98" t="s">
        <v>3569</v>
      </c>
      <c r="L1862" s="91"/>
      <c r="M1862" s="91"/>
      <c r="N1862" s="96" t="b">
        <v>0</v>
      </c>
      <c r="O1862" s="96" t="b">
        <v>0</v>
      </c>
      <c r="P1862" s="92"/>
      <c r="Q1862" s="92"/>
      <c r="R1862" s="92"/>
      <c r="S1862" s="92"/>
      <c r="T1862" s="92"/>
      <c r="U1862" s="92"/>
      <c r="V1862" s="92"/>
      <c r="W1862" s="92"/>
      <c r="X1862" s="92"/>
      <c r="Y1862" s="92"/>
      <c r="Z1862" s="92"/>
      <c r="AA1862" s="92"/>
      <c r="AB1862" s="92"/>
      <c r="AC1862" s="92"/>
      <c r="AD1862" s="92"/>
      <c r="AE1862" s="92"/>
      <c r="AF1862" s="92"/>
      <c r="AG1862" s="92"/>
    </row>
    <row r="1863">
      <c r="A1863" s="262"/>
      <c r="B1863" s="25"/>
      <c r="C1863" s="345" t="s">
        <v>3331</v>
      </c>
      <c r="D1863" s="162" t="s">
        <v>2542</v>
      </c>
      <c r="E1863" s="269" t="s">
        <v>3570</v>
      </c>
      <c r="F1863" s="269" t="s">
        <v>3571</v>
      </c>
      <c r="G1863" s="270" t="s">
        <v>2120</v>
      </c>
      <c r="H1863" s="162" t="s">
        <v>635</v>
      </c>
      <c r="I1863" s="162" t="s">
        <v>3572</v>
      </c>
      <c r="J1863" s="162" t="s">
        <v>3573</v>
      </c>
      <c r="K1863" s="91"/>
      <c r="L1863" s="91"/>
      <c r="M1863" s="91"/>
      <c r="N1863" s="96" t="b">
        <v>0</v>
      </c>
      <c r="O1863" s="96" t="b">
        <v>0</v>
      </c>
      <c r="P1863" s="92"/>
      <c r="Q1863" s="92"/>
      <c r="R1863" s="92"/>
      <c r="S1863" s="92"/>
      <c r="T1863" s="92"/>
      <c r="U1863" s="92"/>
      <c r="V1863" s="92"/>
      <c r="W1863" s="92"/>
      <c r="X1863" s="92"/>
      <c r="Y1863" s="92"/>
      <c r="Z1863" s="92"/>
      <c r="AA1863" s="92"/>
      <c r="AB1863" s="92"/>
      <c r="AC1863" s="92"/>
      <c r="AD1863" s="92"/>
      <c r="AE1863" s="92"/>
      <c r="AF1863" s="92"/>
      <c r="AG1863" s="92"/>
    </row>
    <row r="1864">
      <c r="A1864" s="262"/>
      <c r="B1864" s="25"/>
      <c r="C1864" s="345" t="s">
        <v>3331</v>
      </c>
      <c r="D1864" s="109" t="s">
        <v>2542</v>
      </c>
      <c r="E1864" s="263" t="s">
        <v>3574</v>
      </c>
      <c r="F1864" s="263" t="s">
        <v>3575</v>
      </c>
      <c r="G1864" s="112" t="s">
        <v>449</v>
      </c>
      <c r="H1864" s="109" t="s">
        <v>568</v>
      </c>
      <c r="I1864" s="109" t="s">
        <v>3576</v>
      </c>
      <c r="J1864" s="109" t="s">
        <v>1416</v>
      </c>
      <c r="K1864" s="98" t="s">
        <v>1325</v>
      </c>
      <c r="L1864" s="91"/>
      <c r="M1864" s="91"/>
      <c r="N1864" s="96" t="b">
        <v>0</v>
      </c>
      <c r="O1864" s="96" t="b">
        <v>0</v>
      </c>
      <c r="P1864" s="92"/>
      <c r="Q1864" s="92"/>
      <c r="R1864" s="92"/>
      <c r="S1864" s="92"/>
      <c r="T1864" s="92"/>
      <c r="U1864" s="92"/>
      <c r="V1864" s="92"/>
      <c r="W1864" s="92"/>
      <c r="X1864" s="92"/>
      <c r="Y1864" s="92"/>
      <c r="Z1864" s="92"/>
      <c r="AA1864" s="92"/>
      <c r="AB1864" s="92"/>
      <c r="AC1864" s="92"/>
      <c r="AD1864" s="92"/>
      <c r="AE1864" s="92"/>
      <c r="AF1864" s="92"/>
      <c r="AG1864" s="92"/>
    </row>
    <row r="1865">
      <c r="A1865" s="262"/>
      <c r="B1865" s="25"/>
      <c r="C1865" s="345" t="s">
        <v>3331</v>
      </c>
      <c r="D1865" s="162" t="s">
        <v>2542</v>
      </c>
      <c r="E1865" s="269" t="s">
        <v>3577</v>
      </c>
      <c r="F1865" s="269" t="s">
        <v>3578</v>
      </c>
      <c r="G1865" s="270" t="s">
        <v>2843</v>
      </c>
      <c r="H1865" s="162" t="s">
        <v>875</v>
      </c>
      <c r="I1865" s="162" t="s">
        <v>3579</v>
      </c>
      <c r="J1865" s="162" t="s">
        <v>3580</v>
      </c>
      <c r="K1865" s="91"/>
      <c r="L1865" s="91"/>
      <c r="M1865" s="91"/>
      <c r="N1865" s="96" t="b">
        <v>0</v>
      </c>
      <c r="O1865" s="96" t="b">
        <v>0</v>
      </c>
      <c r="P1865" s="92"/>
      <c r="Q1865" s="92"/>
      <c r="R1865" s="92"/>
      <c r="S1865" s="92"/>
      <c r="T1865" s="92"/>
      <c r="U1865" s="92"/>
      <c r="V1865" s="92"/>
      <c r="W1865" s="92"/>
      <c r="X1865" s="92"/>
      <c r="Y1865" s="92"/>
      <c r="Z1865" s="92"/>
      <c r="AA1865" s="92"/>
      <c r="AB1865" s="92"/>
      <c r="AC1865" s="92"/>
      <c r="AD1865" s="92"/>
      <c r="AE1865" s="92"/>
      <c r="AF1865" s="92"/>
      <c r="AG1865" s="92"/>
    </row>
    <row r="1866">
      <c r="A1866" s="262"/>
      <c r="B1866" s="25"/>
      <c r="C1866" s="345" t="s">
        <v>3331</v>
      </c>
      <c r="D1866" s="162" t="s">
        <v>3581</v>
      </c>
      <c r="E1866" s="269" t="s">
        <v>3582</v>
      </c>
      <c r="F1866" s="269" t="s">
        <v>3583</v>
      </c>
      <c r="G1866" s="270" t="s">
        <v>283</v>
      </c>
      <c r="H1866" s="162" t="s">
        <v>875</v>
      </c>
      <c r="I1866" s="162" t="s">
        <v>3584</v>
      </c>
      <c r="J1866" s="269" t="s">
        <v>3585</v>
      </c>
      <c r="K1866" s="91"/>
      <c r="L1866" s="91"/>
      <c r="M1866" s="91"/>
      <c r="N1866" s="96" t="b">
        <v>0</v>
      </c>
      <c r="O1866" s="96" t="b">
        <v>0</v>
      </c>
      <c r="P1866" s="92"/>
      <c r="Q1866" s="92"/>
      <c r="R1866" s="92"/>
      <c r="S1866" s="92"/>
      <c r="T1866" s="92"/>
      <c r="U1866" s="92"/>
      <c r="V1866" s="92"/>
      <c r="W1866" s="92"/>
      <c r="X1866" s="92"/>
      <c r="Y1866" s="92"/>
      <c r="Z1866" s="92"/>
      <c r="AA1866" s="92"/>
      <c r="AB1866" s="92"/>
      <c r="AC1866" s="92"/>
      <c r="AD1866" s="92"/>
      <c r="AE1866" s="92"/>
      <c r="AF1866" s="92"/>
      <c r="AG1866" s="92"/>
    </row>
    <row r="1867">
      <c r="A1867" s="262"/>
      <c r="B1867" s="25"/>
      <c r="C1867" s="345" t="s">
        <v>3331</v>
      </c>
      <c r="D1867" s="162" t="s">
        <v>3581</v>
      </c>
      <c r="E1867" s="269" t="s">
        <v>3586</v>
      </c>
      <c r="F1867" s="269" t="s">
        <v>3587</v>
      </c>
      <c r="G1867" s="270" t="s">
        <v>43</v>
      </c>
      <c r="H1867" s="162" t="s">
        <v>1321</v>
      </c>
      <c r="I1867" s="162" t="s">
        <v>3588</v>
      </c>
      <c r="J1867" s="162" t="s">
        <v>3589</v>
      </c>
      <c r="K1867" s="91"/>
      <c r="L1867" s="91"/>
      <c r="M1867" s="91"/>
      <c r="N1867" s="96" t="b">
        <v>0</v>
      </c>
      <c r="O1867" s="96" t="b">
        <v>0</v>
      </c>
      <c r="P1867" s="92"/>
      <c r="Q1867" s="92"/>
      <c r="R1867" s="92"/>
      <c r="S1867" s="92"/>
      <c r="T1867" s="92"/>
      <c r="U1867" s="92"/>
      <c r="V1867" s="92"/>
      <c r="W1867" s="92"/>
      <c r="X1867" s="92"/>
      <c r="Y1867" s="92"/>
      <c r="Z1867" s="92"/>
      <c r="AA1867" s="92"/>
      <c r="AB1867" s="92"/>
      <c r="AC1867" s="92"/>
      <c r="AD1867" s="92"/>
      <c r="AE1867" s="92"/>
      <c r="AF1867" s="92"/>
      <c r="AG1867" s="92"/>
    </row>
    <row r="1868">
      <c r="A1868" s="262"/>
      <c r="B1868" s="39"/>
      <c r="C1868" s="345" t="s">
        <v>3331</v>
      </c>
      <c r="D1868" s="97"/>
      <c r="E1868" s="98"/>
      <c r="F1868" s="98"/>
      <c r="G1868" s="41"/>
      <c r="H1868" s="98"/>
      <c r="I1868" s="98"/>
      <c r="J1868" s="98"/>
      <c r="K1868" s="91"/>
      <c r="L1868" s="91"/>
      <c r="M1868" s="91"/>
      <c r="N1868" s="96" t="b">
        <v>0</v>
      </c>
      <c r="O1868" s="96" t="b">
        <v>0</v>
      </c>
      <c r="P1868" s="92"/>
      <c r="Q1868" s="92"/>
      <c r="R1868" s="92"/>
      <c r="S1868" s="92"/>
      <c r="T1868" s="92"/>
      <c r="U1868" s="92"/>
      <c r="V1868" s="92"/>
      <c r="W1868" s="92"/>
      <c r="X1868" s="92"/>
      <c r="Y1868" s="92"/>
      <c r="Z1868" s="92"/>
      <c r="AA1868" s="92"/>
      <c r="AB1868" s="92"/>
      <c r="AC1868" s="92"/>
      <c r="AD1868" s="92"/>
      <c r="AE1868" s="92"/>
      <c r="AF1868" s="92"/>
      <c r="AG1868" s="92"/>
    </row>
    <row r="1869">
      <c r="A1869" s="262"/>
      <c r="B1869" s="197"/>
      <c r="C1869" s="198">
        <v>44641.0</v>
      </c>
      <c r="D1869" s="97"/>
      <c r="E1869" s="98"/>
      <c r="F1869" s="98"/>
      <c r="G1869" s="41"/>
      <c r="H1869" s="98"/>
      <c r="I1869" s="98"/>
      <c r="J1869" s="98"/>
      <c r="K1869" s="91"/>
      <c r="L1869" s="91"/>
      <c r="M1869" s="91"/>
      <c r="N1869" s="96" t="b">
        <v>0</v>
      </c>
      <c r="O1869" s="96" t="b">
        <v>0</v>
      </c>
      <c r="P1869" s="92"/>
      <c r="Q1869" s="92"/>
      <c r="R1869" s="92"/>
      <c r="S1869" s="92"/>
      <c r="T1869" s="92"/>
      <c r="U1869" s="92"/>
      <c r="V1869" s="92"/>
      <c r="W1869" s="92"/>
      <c r="X1869" s="92"/>
      <c r="Y1869" s="92"/>
      <c r="Z1869" s="92"/>
      <c r="AA1869" s="92"/>
      <c r="AB1869" s="92"/>
      <c r="AC1869" s="92"/>
      <c r="AD1869" s="92"/>
      <c r="AE1869" s="92"/>
      <c r="AF1869" s="92"/>
      <c r="AG1869" s="92"/>
    </row>
    <row r="1870">
      <c r="A1870" s="262"/>
      <c r="B1870" s="344" t="s">
        <v>3329</v>
      </c>
      <c r="C1870" s="345"/>
      <c r="D1870" s="97"/>
      <c r="E1870" s="98"/>
      <c r="F1870" s="98"/>
      <c r="G1870" s="41"/>
      <c r="H1870" s="98"/>
      <c r="I1870" s="98"/>
      <c r="J1870" s="98"/>
      <c r="K1870" s="91"/>
      <c r="L1870" s="91"/>
      <c r="M1870" s="91"/>
      <c r="N1870" s="96" t="b">
        <v>0</v>
      </c>
      <c r="O1870" s="96" t="b">
        <v>0</v>
      </c>
      <c r="P1870" s="92"/>
      <c r="Q1870" s="92"/>
      <c r="R1870" s="92"/>
      <c r="S1870" s="92"/>
      <c r="T1870" s="92"/>
      <c r="U1870" s="92"/>
      <c r="V1870" s="92"/>
      <c r="W1870" s="92"/>
      <c r="X1870" s="92"/>
      <c r="Y1870" s="92"/>
      <c r="Z1870" s="92"/>
      <c r="AA1870" s="92"/>
      <c r="AB1870" s="92"/>
      <c r="AC1870" s="92"/>
      <c r="AD1870" s="92"/>
      <c r="AE1870" s="92"/>
      <c r="AF1870" s="92"/>
      <c r="AG1870" s="92"/>
    </row>
    <row r="1871">
      <c r="A1871" s="262"/>
      <c r="B1871" s="25"/>
      <c r="C1871" s="345" t="s">
        <v>3331</v>
      </c>
      <c r="D1871" s="97"/>
      <c r="E1871" s="98"/>
      <c r="F1871" s="98"/>
      <c r="G1871" s="41"/>
      <c r="H1871" s="98"/>
      <c r="I1871" s="98"/>
      <c r="J1871" s="98"/>
      <c r="K1871" s="91"/>
      <c r="L1871" s="91"/>
      <c r="M1871" s="91"/>
      <c r="N1871" s="96" t="b">
        <v>0</v>
      </c>
      <c r="O1871" s="96" t="b">
        <v>0</v>
      </c>
      <c r="P1871" s="92"/>
      <c r="Q1871" s="92"/>
      <c r="R1871" s="92"/>
      <c r="S1871" s="92"/>
      <c r="T1871" s="92"/>
      <c r="U1871" s="92"/>
      <c r="V1871" s="92"/>
      <c r="W1871" s="92"/>
      <c r="X1871" s="92"/>
      <c r="Y1871" s="92"/>
      <c r="Z1871" s="92"/>
      <c r="AA1871" s="92"/>
      <c r="AB1871" s="92"/>
      <c r="AC1871" s="92"/>
      <c r="AD1871" s="92"/>
      <c r="AE1871" s="92"/>
      <c r="AF1871" s="92"/>
      <c r="AG1871" s="92"/>
    </row>
    <row r="1872">
      <c r="A1872" s="262"/>
      <c r="B1872" s="25"/>
      <c r="C1872" s="345" t="s">
        <v>3331</v>
      </c>
      <c r="D1872" s="97"/>
      <c r="E1872" s="98"/>
      <c r="F1872" s="98"/>
      <c r="G1872" s="41"/>
      <c r="H1872" s="98"/>
      <c r="I1872" s="98"/>
      <c r="J1872" s="98"/>
      <c r="K1872" s="91"/>
      <c r="L1872" s="91"/>
      <c r="M1872" s="91"/>
      <c r="N1872" s="96" t="b">
        <v>0</v>
      </c>
      <c r="O1872" s="96" t="b">
        <v>0</v>
      </c>
      <c r="P1872" s="92"/>
      <c r="Q1872" s="92"/>
      <c r="R1872" s="92"/>
      <c r="S1872" s="92"/>
      <c r="T1872" s="92"/>
      <c r="U1872" s="92"/>
      <c r="V1872" s="92"/>
      <c r="W1872" s="92"/>
      <c r="X1872" s="92"/>
      <c r="Y1872" s="92"/>
      <c r="Z1872" s="92"/>
      <c r="AA1872" s="92"/>
      <c r="AB1872" s="92"/>
      <c r="AC1872" s="92"/>
      <c r="AD1872" s="92"/>
      <c r="AE1872" s="92"/>
      <c r="AF1872" s="92"/>
      <c r="AG1872" s="92"/>
    </row>
    <row r="1873">
      <c r="A1873" s="262"/>
      <c r="B1873" s="25"/>
      <c r="C1873" s="345" t="s">
        <v>3331</v>
      </c>
      <c r="D1873" s="97"/>
      <c r="E1873" s="98"/>
      <c r="F1873" s="98"/>
      <c r="G1873" s="41"/>
      <c r="H1873" s="98"/>
      <c r="I1873" s="98"/>
      <c r="J1873" s="98"/>
      <c r="K1873" s="91"/>
      <c r="L1873" s="91"/>
      <c r="M1873" s="91"/>
      <c r="N1873" s="96" t="b">
        <v>0</v>
      </c>
      <c r="O1873" s="96" t="b">
        <v>0</v>
      </c>
      <c r="P1873" s="92"/>
      <c r="Q1873" s="92"/>
      <c r="R1873" s="92"/>
      <c r="S1873" s="92"/>
      <c r="T1873" s="92"/>
      <c r="U1873" s="92"/>
      <c r="V1873" s="92"/>
      <c r="W1873" s="92"/>
      <c r="X1873" s="92"/>
      <c r="Y1873" s="92"/>
      <c r="Z1873" s="92"/>
      <c r="AA1873" s="92"/>
      <c r="AB1873" s="92"/>
      <c r="AC1873" s="92"/>
      <c r="AD1873" s="92"/>
      <c r="AE1873" s="92"/>
      <c r="AF1873" s="92"/>
      <c r="AG1873" s="92"/>
    </row>
    <row r="1874">
      <c r="A1874" s="262"/>
      <c r="B1874" s="25"/>
      <c r="C1874" s="345" t="s">
        <v>3331</v>
      </c>
      <c r="D1874" s="97"/>
      <c r="E1874" s="98"/>
      <c r="F1874" s="98"/>
      <c r="G1874" s="41"/>
      <c r="H1874" s="98"/>
      <c r="I1874" s="98"/>
      <c r="J1874" s="98"/>
      <c r="K1874" s="91"/>
      <c r="L1874" s="91"/>
      <c r="M1874" s="91"/>
      <c r="N1874" s="96" t="b">
        <v>0</v>
      </c>
      <c r="O1874" s="96" t="b">
        <v>0</v>
      </c>
      <c r="P1874" s="92"/>
      <c r="Q1874" s="92"/>
      <c r="R1874" s="92"/>
      <c r="S1874" s="92"/>
      <c r="T1874" s="92"/>
      <c r="U1874" s="92"/>
      <c r="V1874" s="92"/>
      <c r="W1874" s="92"/>
      <c r="X1874" s="92"/>
      <c r="Y1874" s="92"/>
      <c r="Z1874" s="92"/>
      <c r="AA1874" s="92"/>
      <c r="AB1874" s="92"/>
      <c r="AC1874" s="92"/>
      <c r="AD1874" s="92"/>
      <c r="AE1874" s="92"/>
      <c r="AF1874" s="92"/>
      <c r="AG1874" s="92"/>
    </row>
    <row r="1875">
      <c r="A1875" s="262"/>
      <c r="B1875" s="25"/>
      <c r="C1875" s="345" t="s">
        <v>3331</v>
      </c>
      <c r="D1875" s="97"/>
      <c r="E1875" s="98"/>
      <c r="F1875" s="98"/>
      <c r="G1875" s="41"/>
      <c r="H1875" s="98"/>
      <c r="I1875" s="98"/>
      <c r="J1875" s="98"/>
      <c r="K1875" s="91"/>
      <c r="L1875" s="91"/>
      <c r="M1875" s="91"/>
      <c r="N1875" s="96" t="b">
        <v>0</v>
      </c>
      <c r="O1875" s="96" t="b">
        <v>0</v>
      </c>
      <c r="P1875" s="92"/>
      <c r="Q1875" s="92"/>
      <c r="R1875" s="92"/>
      <c r="S1875" s="92"/>
      <c r="T1875" s="92"/>
      <c r="U1875" s="92"/>
      <c r="V1875" s="92"/>
      <c r="W1875" s="92"/>
      <c r="X1875" s="92"/>
      <c r="Y1875" s="92"/>
      <c r="Z1875" s="92"/>
      <c r="AA1875" s="92"/>
      <c r="AB1875" s="92"/>
      <c r="AC1875" s="92"/>
      <c r="AD1875" s="92"/>
      <c r="AE1875" s="92"/>
      <c r="AF1875" s="92"/>
      <c r="AG1875" s="92"/>
    </row>
    <row r="1876">
      <c r="A1876" s="262"/>
      <c r="B1876" s="25"/>
      <c r="C1876" s="345" t="s">
        <v>3331</v>
      </c>
      <c r="D1876" s="109" t="s">
        <v>3462</v>
      </c>
      <c r="E1876" s="263" t="s">
        <v>3590</v>
      </c>
      <c r="F1876" s="263" t="s">
        <v>3591</v>
      </c>
      <c r="G1876" s="112" t="s">
        <v>713</v>
      </c>
      <c r="H1876" s="109" t="s">
        <v>3592</v>
      </c>
      <c r="I1876" s="109" t="s">
        <v>3593</v>
      </c>
      <c r="J1876" s="109" t="s">
        <v>3594</v>
      </c>
      <c r="K1876" s="98" t="s">
        <v>3595</v>
      </c>
      <c r="L1876" s="91"/>
      <c r="M1876" s="91"/>
      <c r="N1876" s="96" t="b">
        <v>0</v>
      </c>
      <c r="O1876" s="96" t="b">
        <v>0</v>
      </c>
      <c r="P1876" s="92"/>
      <c r="Q1876" s="92"/>
      <c r="R1876" s="92"/>
      <c r="S1876" s="92"/>
      <c r="T1876" s="92"/>
      <c r="U1876" s="92"/>
      <c r="V1876" s="92"/>
      <c r="W1876" s="92"/>
      <c r="X1876" s="92"/>
      <c r="Y1876" s="92"/>
      <c r="Z1876" s="92"/>
      <c r="AA1876" s="92"/>
      <c r="AB1876" s="92"/>
      <c r="AC1876" s="92"/>
      <c r="AD1876" s="92"/>
      <c r="AE1876" s="92"/>
      <c r="AF1876" s="92"/>
      <c r="AG1876" s="92"/>
    </row>
    <row r="1877">
      <c r="A1877" s="262"/>
      <c r="B1877" s="25"/>
      <c r="C1877" s="345" t="s">
        <v>3331</v>
      </c>
      <c r="D1877" s="162" t="s">
        <v>3462</v>
      </c>
      <c r="E1877" s="269" t="s">
        <v>3596</v>
      </c>
      <c r="F1877" s="269" t="s">
        <v>3597</v>
      </c>
      <c r="G1877" s="270" t="s">
        <v>713</v>
      </c>
      <c r="H1877" s="162" t="s">
        <v>1275</v>
      </c>
      <c r="I1877" s="162" t="s">
        <v>3598</v>
      </c>
      <c r="J1877" s="162" t="s">
        <v>3599</v>
      </c>
      <c r="K1877" s="91"/>
      <c r="L1877" s="91"/>
      <c r="M1877" s="91"/>
      <c r="N1877" s="96" t="b">
        <v>0</v>
      </c>
      <c r="O1877" s="96" t="b">
        <v>0</v>
      </c>
      <c r="P1877" s="92"/>
      <c r="Q1877" s="92"/>
      <c r="R1877" s="92"/>
      <c r="S1877" s="92"/>
      <c r="T1877" s="92"/>
      <c r="U1877" s="92"/>
      <c r="V1877" s="92"/>
      <c r="W1877" s="92"/>
      <c r="X1877" s="92"/>
      <c r="Y1877" s="92"/>
      <c r="Z1877" s="92"/>
      <c r="AA1877" s="92"/>
      <c r="AB1877" s="92"/>
      <c r="AC1877" s="92"/>
      <c r="AD1877" s="92"/>
      <c r="AE1877" s="92"/>
      <c r="AF1877" s="92"/>
      <c r="AG1877" s="92"/>
    </row>
    <row r="1878">
      <c r="A1878" s="262"/>
      <c r="B1878" s="25"/>
      <c r="C1878" s="345" t="s">
        <v>3331</v>
      </c>
      <c r="D1878" s="162" t="s">
        <v>3462</v>
      </c>
      <c r="E1878" s="269" t="s">
        <v>3600</v>
      </c>
      <c r="F1878" s="269" t="s">
        <v>3601</v>
      </c>
      <c r="G1878" s="270" t="s">
        <v>2120</v>
      </c>
      <c r="H1878" s="162" t="s">
        <v>3602</v>
      </c>
      <c r="I1878" s="162" t="s">
        <v>3603</v>
      </c>
      <c r="J1878" s="162" t="s">
        <v>3604</v>
      </c>
      <c r="K1878" s="91"/>
      <c r="L1878" s="91"/>
      <c r="M1878" s="91"/>
      <c r="N1878" s="96" t="b">
        <v>0</v>
      </c>
      <c r="O1878" s="96" t="b">
        <v>0</v>
      </c>
      <c r="P1878" s="92"/>
      <c r="Q1878" s="92"/>
      <c r="R1878" s="92"/>
      <c r="S1878" s="92"/>
      <c r="T1878" s="92"/>
      <c r="U1878" s="92"/>
      <c r="V1878" s="92"/>
      <c r="W1878" s="92"/>
      <c r="X1878" s="92"/>
      <c r="Y1878" s="92"/>
      <c r="Z1878" s="92"/>
      <c r="AA1878" s="92"/>
      <c r="AB1878" s="92"/>
      <c r="AC1878" s="92"/>
      <c r="AD1878" s="92"/>
      <c r="AE1878" s="92"/>
      <c r="AF1878" s="92"/>
      <c r="AG1878" s="92"/>
    </row>
    <row r="1879">
      <c r="A1879" s="262"/>
      <c r="B1879" s="25"/>
      <c r="C1879" s="345" t="s">
        <v>3331</v>
      </c>
      <c r="D1879" s="162" t="s">
        <v>3462</v>
      </c>
      <c r="E1879" s="269" t="s">
        <v>3605</v>
      </c>
      <c r="F1879" s="269" t="s">
        <v>3606</v>
      </c>
      <c r="G1879" s="270" t="s">
        <v>449</v>
      </c>
      <c r="H1879" s="162" t="s">
        <v>362</v>
      </c>
      <c r="I1879" s="162" t="s">
        <v>3607</v>
      </c>
      <c r="J1879" s="162" t="s">
        <v>3608</v>
      </c>
      <c r="K1879" s="91"/>
      <c r="L1879" s="91"/>
      <c r="M1879" s="91"/>
      <c r="N1879" s="96" t="b">
        <v>0</v>
      </c>
      <c r="O1879" s="96" t="b">
        <v>0</v>
      </c>
      <c r="P1879" s="92"/>
      <c r="Q1879" s="92"/>
      <c r="R1879" s="92"/>
      <c r="S1879" s="92"/>
      <c r="T1879" s="92"/>
      <c r="U1879" s="92"/>
      <c r="V1879" s="92"/>
      <c r="W1879" s="92"/>
      <c r="X1879" s="92"/>
      <c r="Y1879" s="92"/>
      <c r="Z1879" s="92"/>
      <c r="AA1879" s="92"/>
      <c r="AB1879" s="92"/>
      <c r="AC1879" s="92"/>
      <c r="AD1879" s="92"/>
      <c r="AE1879" s="92"/>
      <c r="AF1879" s="92"/>
      <c r="AG1879" s="92"/>
    </row>
    <row r="1880">
      <c r="A1880" s="262"/>
      <c r="B1880" s="25"/>
      <c r="C1880" s="345" t="s">
        <v>3331</v>
      </c>
      <c r="D1880" s="162" t="s">
        <v>3462</v>
      </c>
      <c r="E1880" s="269" t="s">
        <v>3609</v>
      </c>
      <c r="F1880" s="269" t="s">
        <v>3610</v>
      </c>
      <c r="G1880" s="270" t="s">
        <v>283</v>
      </c>
      <c r="H1880" s="162" t="s">
        <v>290</v>
      </c>
      <c r="I1880" s="162" t="s">
        <v>3611</v>
      </c>
      <c r="J1880" s="162" t="s">
        <v>3612</v>
      </c>
      <c r="K1880" s="91"/>
      <c r="L1880" s="91"/>
      <c r="M1880" s="91"/>
      <c r="N1880" s="96" t="b">
        <v>0</v>
      </c>
      <c r="O1880" s="96" t="b">
        <v>0</v>
      </c>
      <c r="P1880" s="92"/>
      <c r="Q1880" s="92"/>
      <c r="R1880" s="92"/>
      <c r="S1880" s="92"/>
      <c r="T1880" s="92"/>
      <c r="U1880" s="92"/>
      <c r="V1880" s="92"/>
      <c r="W1880" s="92"/>
      <c r="X1880" s="92"/>
      <c r="Y1880" s="92"/>
      <c r="Z1880" s="92"/>
      <c r="AA1880" s="92"/>
      <c r="AB1880" s="92"/>
      <c r="AC1880" s="92"/>
      <c r="AD1880" s="92"/>
      <c r="AE1880" s="92"/>
      <c r="AF1880" s="92"/>
      <c r="AG1880" s="92"/>
    </row>
    <row r="1881">
      <c r="A1881" s="262"/>
      <c r="B1881" s="25"/>
      <c r="C1881" s="345" t="s">
        <v>3331</v>
      </c>
      <c r="D1881" s="109" t="s">
        <v>3462</v>
      </c>
      <c r="E1881" s="263" t="s">
        <v>3613</v>
      </c>
      <c r="F1881" s="263" t="s">
        <v>3614</v>
      </c>
      <c r="G1881" s="112" t="s">
        <v>43</v>
      </c>
      <c r="H1881" s="109" t="s">
        <v>367</v>
      </c>
      <c r="I1881" s="109" t="s">
        <v>3615</v>
      </c>
      <c r="J1881" s="109" t="s">
        <v>3616</v>
      </c>
      <c r="K1881" s="98" t="s">
        <v>3617</v>
      </c>
      <c r="L1881" s="91"/>
      <c r="M1881" s="91"/>
      <c r="N1881" s="96" t="b">
        <v>0</v>
      </c>
      <c r="O1881" s="96" t="b">
        <v>0</v>
      </c>
      <c r="P1881" s="92"/>
      <c r="Q1881" s="92"/>
      <c r="R1881" s="92"/>
      <c r="S1881" s="92"/>
      <c r="T1881" s="92"/>
      <c r="U1881" s="92"/>
      <c r="V1881" s="92"/>
      <c r="W1881" s="92"/>
      <c r="X1881" s="92"/>
      <c r="Y1881" s="92"/>
      <c r="Z1881" s="92"/>
      <c r="AA1881" s="92"/>
      <c r="AB1881" s="92"/>
      <c r="AC1881" s="92"/>
      <c r="AD1881" s="92"/>
      <c r="AE1881" s="92"/>
      <c r="AF1881" s="92"/>
      <c r="AG1881" s="92"/>
    </row>
    <row r="1882">
      <c r="A1882" s="262"/>
      <c r="B1882" s="39"/>
      <c r="C1882" s="345" t="s">
        <v>3331</v>
      </c>
      <c r="D1882" s="97"/>
      <c r="E1882" s="98"/>
      <c r="F1882" s="98"/>
      <c r="G1882" s="41"/>
      <c r="H1882" s="98"/>
      <c r="I1882" s="98"/>
      <c r="J1882" s="98"/>
      <c r="K1882" s="91"/>
      <c r="L1882" s="91"/>
      <c r="M1882" s="91"/>
      <c r="N1882" s="96" t="b">
        <v>0</v>
      </c>
      <c r="O1882" s="96" t="b">
        <v>0</v>
      </c>
      <c r="P1882" s="92"/>
      <c r="Q1882" s="92"/>
      <c r="R1882" s="92"/>
      <c r="S1882" s="92"/>
      <c r="T1882" s="92"/>
      <c r="U1882" s="92"/>
      <c r="V1882" s="92"/>
      <c r="W1882" s="92"/>
      <c r="X1882" s="92"/>
      <c r="Y1882" s="92"/>
      <c r="Z1882" s="92"/>
      <c r="AA1882" s="92"/>
      <c r="AB1882" s="92"/>
      <c r="AC1882" s="92"/>
      <c r="AD1882" s="92"/>
      <c r="AE1882" s="92"/>
      <c r="AF1882" s="92"/>
      <c r="AG1882" s="92"/>
    </row>
    <row r="1883">
      <c r="A1883" s="262"/>
      <c r="B1883" s="197"/>
      <c r="C1883" s="198">
        <v>44642.0</v>
      </c>
      <c r="D1883" s="97"/>
      <c r="E1883" s="98"/>
      <c r="F1883" s="98"/>
      <c r="G1883" s="41"/>
      <c r="H1883" s="98"/>
      <c r="I1883" s="98"/>
      <c r="J1883" s="98"/>
      <c r="K1883" s="91"/>
      <c r="L1883" s="91"/>
      <c r="M1883" s="91"/>
      <c r="N1883" s="96" t="b">
        <v>0</v>
      </c>
      <c r="O1883" s="96" t="b">
        <v>0</v>
      </c>
      <c r="P1883" s="92"/>
      <c r="Q1883" s="92"/>
      <c r="R1883" s="92"/>
      <c r="S1883" s="92"/>
      <c r="T1883" s="92"/>
      <c r="U1883" s="92"/>
      <c r="V1883" s="92"/>
      <c r="W1883" s="92"/>
      <c r="X1883" s="92"/>
      <c r="Y1883" s="92"/>
      <c r="Z1883" s="92"/>
      <c r="AA1883" s="92"/>
      <c r="AB1883" s="92"/>
      <c r="AC1883" s="92"/>
      <c r="AD1883" s="92"/>
      <c r="AE1883" s="92"/>
      <c r="AF1883" s="92"/>
      <c r="AG1883" s="92"/>
    </row>
    <row r="1884">
      <c r="A1884" s="262"/>
      <c r="B1884" s="344" t="s">
        <v>3329</v>
      </c>
      <c r="C1884" s="345"/>
      <c r="D1884" s="97"/>
      <c r="E1884" s="98"/>
      <c r="F1884" s="98"/>
      <c r="G1884" s="41"/>
      <c r="H1884" s="98"/>
      <c r="I1884" s="98"/>
      <c r="J1884" s="98"/>
      <c r="K1884" s="91"/>
      <c r="L1884" s="91"/>
      <c r="M1884" s="91"/>
      <c r="N1884" s="96" t="b">
        <v>0</v>
      </c>
      <c r="O1884" s="96" t="b">
        <v>0</v>
      </c>
      <c r="P1884" s="92"/>
      <c r="Q1884" s="92"/>
      <c r="R1884" s="92"/>
      <c r="S1884" s="92"/>
      <c r="T1884" s="92"/>
      <c r="U1884" s="92"/>
      <c r="V1884" s="92"/>
      <c r="W1884" s="92"/>
      <c r="X1884" s="92"/>
      <c r="Y1884" s="92"/>
      <c r="Z1884" s="92"/>
      <c r="AA1884" s="92"/>
      <c r="AB1884" s="92"/>
      <c r="AC1884" s="92"/>
      <c r="AD1884" s="92"/>
      <c r="AE1884" s="92"/>
      <c r="AF1884" s="92"/>
      <c r="AG1884" s="92"/>
    </row>
    <row r="1885">
      <c r="A1885" s="262"/>
      <c r="B1885" s="25"/>
      <c r="C1885" s="345" t="s">
        <v>3331</v>
      </c>
      <c r="D1885" s="97"/>
      <c r="E1885" s="98"/>
      <c r="F1885" s="98"/>
      <c r="G1885" s="41"/>
      <c r="H1885" s="98"/>
      <c r="I1885" s="98"/>
      <c r="J1885" s="98"/>
      <c r="K1885" s="91"/>
      <c r="L1885" s="91"/>
      <c r="M1885" s="91"/>
      <c r="N1885" s="96" t="b">
        <v>0</v>
      </c>
      <c r="O1885" s="96" t="b">
        <v>0</v>
      </c>
      <c r="P1885" s="92"/>
      <c r="Q1885" s="92"/>
      <c r="R1885" s="92"/>
      <c r="S1885" s="92"/>
      <c r="T1885" s="92"/>
      <c r="U1885" s="92"/>
      <c r="V1885" s="92"/>
      <c r="W1885" s="92"/>
      <c r="X1885" s="92"/>
      <c r="Y1885" s="92"/>
      <c r="Z1885" s="92"/>
      <c r="AA1885" s="92"/>
      <c r="AB1885" s="92"/>
      <c r="AC1885" s="92"/>
      <c r="AD1885" s="92"/>
      <c r="AE1885" s="92"/>
      <c r="AF1885" s="92"/>
      <c r="AG1885" s="92"/>
    </row>
    <row r="1886">
      <c r="A1886" s="262"/>
      <c r="B1886" s="25"/>
      <c r="C1886" s="345" t="s">
        <v>3331</v>
      </c>
      <c r="D1886" s="162" t="s">
        <v>3462</v>
      </c>
      <c r="E1886" s="269" t="s">
        <v>3618</v>
      </c>
      <c r="F1886" s="269" t="s">
        <v>3619</v>
      </c>
      <c r="G1886" s="270" t="s">
        <v>713</v>
      </c>
      <c r="H1886" s="162" t="s">
        <v>1312</v>
      </c>
      <c r="I1886" s="162" t="s">
        <v>3620</v>
      </c>
      <c r="J1886" s="162" t="s">
        <v>3621</v>
      </c>
      <c r="K1886" s="91"/>
      <c r="L1886" s="91"/>
      <c r="M1886" s="91"/>
      <c r="N1886" s="96" t="b">
        <v>0</v>
      </c>
      <c r="O1886" s="96" t="b">
        <v>0</v>
      </c>
      <c r="P1886" s="92"/>
      <c r="Q1886" s="92"/>
      <c r="R1886" s="92"/>
      <c r="S1886" s="92"/>
      <c r="T1886" s="92"/>
      <c r="U1886" s="92"/>
      <c r="V1886" s="92"/>
      <c r="W1886" s="92"/>
      <c r="X1886" s="92"/>
      <c r="Y1886" s="92"/>
      <c r="Z1886" s="92"/>
      <c r="AA1886" s="92"/>
      <c r="AB1886" s="92"/>
      <c r="AC1886" s="92"/>
      <c r="AD1886" s="92"/>
      <c r="AE1886" s="92"/>
      <c r="AF1886" s="92"/>
      <c r="AG1886" s="92"/>
    </row>
    <row r="1887">
      <c r="A1887" s="262"/>
      <c r="B1887" s="25"/>
      <c r="C1887" s="345" t="s">
        <v>3331</v>
      </c>
      <c r="D1887" s="162" t="s">
        <v>3462</v>
      </c>
      <c r="E1887" s="269" t="s">
        <v>3590</v>
      </c>
      <c r="F1887" s="269" t="s">
        <v>3591</v>
      </c>
      <c r="G1887" s="270" t="s">
        <v>384</v>
      </c>
      <c r="H1887" s="162" t="s">
        <v>3592</v>
      </c>
      <c r="I1887" s="162" t="s">
        <v>3593</v>
      </c>
      <c r="J1887" s="162" t="s">
        <v>3594</v>
      </c>
      <c r="K1887" s="91"/>
      <c r="L1887" s="91"/>
      <c r="M1887" s="91"/>
      <c r="N1887" s="96" t="b">
        <v>0</v>
      </c>
      <c r="O1887" s="96" t="b">
        <v>0</v>
      </c>
      <c r="P1887" s="92"/>
      <c r="Q1887" s="92"/>
      <c r="R1887" s="92"/>
      <c r="S1887" s="92"/>
      <c r="T1887" s="92"/>
      <c r="U1887" s="92"/>
      <c r="V1887" s="92"/>
      <c r="W1887" s="92"/>
      <c r="X1887" s="92"/>
      <c r="Y1887" s="92"/>
      <c r="Z1887" s="92"/>
      <c r="AA1887" s="92"/>
      <c r="AB1887" s="92"/>
      <c r="AC1887" s="92"/>
      <c r="AD1887" s="92"/>
      <c r="AE1887" s="92"/>
      <c r="AF1887" s="92"/>
      <c r="AG1887" s="92"/>
    </row>
    <row r="1888">
      <c r="A1888" s="262"/>
      <c r="B1888" s="25"/>
      <c r="C1888" s="345" t="s">
        <v>3331</v>
      </c>
      <c r="D1888" s="162" t="s">
        <v>3462</v>
      </c>
      <c r="E1888" s="269" t="s">
        <v>3622</v>
      </c>
      <c r="F1888" s="269" t="s">
        <v>3623</v>
      </c>
      <c r="G1888" s="270" t="s">
        <v>449</v>
      </c>
      <c r="H1888" s="162" t="s">
        <v>290</v>
      </c>
      <c r="I1888" s="162" t="s">
        <v>3624</v>
      </c>
      <c r="J1888" s="162" t="s">
        <v>3625</v>
      </c>
      <c r="K1888" s="91"/>
      <c r="L1888" s="91"/>
      <c r="M1888" s="91"/>
      <c r="N1888" s="96" t="b">
        <v>0</v>
      </c>
      <c r="O1888" s="96" t="b">
        <v>0</v>
      </c>
      <c r="P1888" s="92"/>
      <c r="Q1888" s="92"/>
      <c r="R1888" s="92"/>
      <c r="S1888" s="92"/>
      <c r="T1888" s="92"/>
      <c r="U1888" s="92"/>
      <c r="V1888" s="92"/>
      <c r="W1888" s="92"/>
      <c r="X1888" s="92"/>
      <c r="Y1888" s="92"/>
      <c r="Z1888" s="92"/>
      <c r="AA1888" s="92"/>
      <c r="AB1888" s="92"/>
      <c r="AC1888" s="92"/>
      <c r="AD1888" s="92"/>
      <c r="AE1888" s="92"/>
      <c r="AF1888" s="92"/>
      <c r="AG1888" s="92"/>
    </row>
    <row r="1889">
      <c r="A1889" s="262"/>
      <c r="B1889" s="25"/>
      <c r="C1889" s="345" t="s">
        <v>3331</v>
      </c>
      <c r="D1889" s="162" t="s">
        <v>3462</v>
      </c>
      <c r="E1889" s="269" t="s">
        <v>3626</v>
      </c>
      <c r="F1889" s="269" t="s">
        <v>3627</v>
      </c>
      <c r="G1889" s="270" t="s">
        <v>567</v>
      </c>
      <c r="H1889" s="162" t="s">
        <v>458</v>
      </c>
      <c r="I1889" s="162" t="s">
        <v>3628</v>
      </c>
      <c r="J1889" s="162" t="s">
        <v>3629</v>
      </c>
      <c r="K1889" s="91"/>
      <c r="L1889" s="91"/>
      <c r="M1889" s="91"/>
      <c r="N1889" s="96" t="b">
        <v>0</v>
      </c>
      <c r="O1889" s="96" t="b">
        <v>0</v>
      </c>
      <c r="P1889" s="92"/>
      <c r="Q1889" s="92"/>
      <c r="R1889" s="92"/>
      <c r="S1889" s="92"/>
      <c r="T1889" s="92"/>
      <c r="U1889" s="92"/>
      <c r="V1889" s="92"/>
      <c r="W1889" s="92"/>
      <c r="X1889" s="92"/>
      <c r="Y1889" s="92"/>
      <c r="Z1889" s="92"/>
      <c r="AA1889" s="92"/>
      <c r="AB1889" s="92"/>
      <c r="AC1889" s="92"/>
      <c r="AD1889" s="92"/>
      <c r="AE1889" s="92"/>
      <c r="AF1889" s="92"/>
      <c r="AG1889" s="92"/>
    </row>
    <row r="1890">
      <c r="A1890" s="262"/>
      <c r="B1890" s="25"/>
      <c r="C1890" s="345" t="s">
        <v>3331</v>
      </c>
      <c r="D1890" s="162" t="s">
        <v>3462</v>
      </c>
      <c r="E1890" s="269" t="s">
        <v>3265</v>
      </c>
      <c r="F1890" s="269" t="s">
        <v>3266</v>
      </c>
      <c r="G1890" s="270" t="s">
        <v>180</v>
      </c>
      <c r="H1890" s="162" t="s">
        <v>362</v>
      </c>
      <c r="I1890" s="162" t="s">
        <v>3630</v>
      </c>
      <c r="J1890" s="162" t="s">
        <v>3268</v>
      </c>
      <c r="K1890" s="91"/>
      <c r="L1890" s="91"/>
      <c r="M1890" s="91"/>
      <c r="N1890" s="96" t="b">
        <v>0</v>
      </c>
      <c r="O1890" s="96" t="b">
        <v>0</v>
      </c>
      <c r="P1890" s="92"/>
      <c r="Q1890" s="92"/>
      <c r="R1890" s="92"/>
      <c r="S1890" s="92"/>
      <c r="T1890" s="92"/>
      <c r="U1890" s="92"/>
      <c r="V1890" s="92"/>
      <c r="W1890" s="92"/>
      <c r="X1890" s="92"/>
      <c r="Y1890" s="92"/>
      <c r="Z1890" s="92"/>
      <c r="AA1890" s="92"/>
      <c r="AB1890" s="92"/>
      <c r="AC1890" s="92"/>
      <c r="AD1890" s="92"/>
      <c r="AE1890" s="92"/>
      <c r="AF1890" s="92"/>
      <c r="AG1890" s="92"/>
    </row>
    <row r="1891">
      <c r="A1891" s="262"/>
      <c r="B1891" s="25"/>
      <c r="C1891" s="345" t="s">
        <v>3331</v>
      </c>
      <c r="D1891" s="162" t="s">
        <v>3462</v>
      </c>
      <c r="E1891" s="269" t="s">
        <v>3631</v>
      </c>
      <c r="F1891" s="269" t="s">
        <v>3632</v>
      </c>
      <c r="G1891" s="270" t="s">
        <v>283</v>
      </c>
      <c r="H1891" s="162" t="s">
        <v>367</v>
      </c>
      <c r="I1891" s="162" t="s">
        <v>3633</v>
      </c>
      <c r="J1891" s="162" t="s">
        <v>1286</v>
      </c>
      <c r="K1891" s="91"/>
      <c r="L1891" s="91"/>
      <c r="M1891" s="91"/>
      <c r="N1891" s="96" t="b">
        <v>0</v>
      </c>
      <c r="O1891" s="96" t="b">
        <v>0</v>
      </c>
      <c r="P1891" s="92"/>
      <c r="Q1891" s="92"/>
      <c r="R1891" s="92"/>
      <c r="S1891" s="92"/>
      <c r="T1891" s="92"/>
      <c r="U1891" s="92"/>
      <c r="V1891" s="92"/>
      <c r="W1891" s="92"/>
      <c r="X1891" s="92"/>
      <c r="Y1891" s="92"/>
      <c r="Z1891" s="92"/>
      <c r="AA1891" s="92"/>
      <c r="AB1891" s="92"/>
      <c r="AC1891" s="92"/>
      <c r="AD1891" s="92"/>
      <c r="AE1891" s="92"/>
      <c r="AF1891" s="92"/>
      <c r="AG1891" s="92"/>
    </row>
    <row r="1892">
      <c r="A1892" s="262"/>
      <c r="B1892" s="25"/>
      <c r="C1892" s="345" t="s">
        <v>3331</v>
      </c>
      <c r="D1892" s="162" t="s">
        <v>3462</v>
      </c>
      <c r="E1892" s="269" t="s">
        <v>3613</v>
      </c>
      <c r="F1892" s="269" t="s">
        <v>3614</v>
      </c>
      <c r="G1892" s="270" t="s">
        <v>43</v>
      </c>
      <c r="H1892" s="162" t="s">
        <v>367</v>
      </c>
      <c r="I1892" s="162" t="s">
        <v>3615</v>
      </c>
      <c r="J1892" s="162" t="s">
        <v>3616</v>
      </c>
      <c r="K1892" s="91"/>
      <c r="L1892" s="91"/>
      <c r="M1892" s="91"/>
      <c r="N1892" s="96" t="b">
        <v>0</v>
      </c>
      <c r="O1892" s="96" t="b">
        <v>0</v>
      </c>
      <c r="P1892" s="92"/>
      <c r="Q1892" s="92"/>
      <c r="R1892" s="92"/>
      <c r="S1892" s="92"/>
      <c r="T1892" s="92"/>
      <c r="U1892" s="92"/>
      <c r="V1892" s="92"/>
      <c r="W1892" s="92"/>
      <c r="X1892" s="92"/>
      <c r="Y1892" s="92"/>
      <c r="Z1892" s="92"/>
      <c r="AA1892" s="92"/>
      <c r="AB1892" s="92"/>
      <c r="AC1892" s="92"/>
      <c r="AD1892" s="92"/>
      <c r="AE1892" s="92"/>
      <c r="AF1892" s="92"/>
      <c r="AG1892" s="92"/>
    </row>
    <row r="1893">
      <c r="A1893" s="262"/>
      <c r="B1893" s="25"/>
      <c r="C1893" s="345" t="s">
        <v>3331</v>
      </c>
      <c r="D1893" s="97"/>
      <c r="E1893" s="98"/>
      <c r="F1893" s="98"/>
      <c r="G1893" s="41"/>
      <c r="H1893" s="98"/>
      <c r="I1893" s="98"/>
      <c r="J1893" s="98"/>
      <c r="K1893" s="91"/>
      <c r="L1893" s="91"/>
      <c r="M1893" s="91"/>
      <c r="N1893" s="96" t="b">
        <v>0</v>
      </c>
      <c r="O1893" s="96" t="b">
        <v>0</v>
      </c>
      <c r="P1893" s="92"/>
      <c r="Q1893" s="92"/>
      <c r="R1893" s="92"/>
      <c r="S1893" s="92"/>
      <c r="T1893" s="92"/>
      <c r="U1893" s="92"/>
      <c r="V1893" s="92"/>
      <c r="W1893" s="92"/>
      <c r="X1893" s="92"/>
      <c r="Y1893" s="92"/>
      <c r="Z1893" s="92"/>
      <c r="AA1893" s="92"/>
      <c r="AB1893" s="92"/>
      <c r="AC1893" s="92"/>
      <c r="AD1893" s="92"/>
      <c r="AE1893" s="92"/>
      <c r="AF1893" s="92"/>
      <c r="AG1893" s="92"/>
    </row>
    <row r="1894">
      <c r="A1894" s="262"/>
      <c r="B1894" s="25"/>
      <c r="C1894" s="345" t="s">
        <v>3331</v>
      </c>
      <c r="D1894" s="97"/>
      <c r="E1894" s="98"/>
      <c r="F1894" s="98"/>
      <c r="G1894" s="41"/>
      <c r="H1894" s="98"/>
      <c r="I1894" s="98"/>
      <c r="J1894" s="98"/>
      <c r="K1894" s="91"/>
      <c r="L1894" s="91"/>
      <c r="M1894" s="91"/>
      <c r="N1894" s="96" t="b">
        <v>0</v>
      </c>
      <c r="O1894" s="96" t="b">
        <v>0</v>
      </c>
      <c r="P1894" s="92"/>
      <c r="Q1894" s="92"/>
      <c r="R1894" s="92"/>
      <c r="S1894" s="92"/>
      <c r="T1894" s="92"/>
      <c r="U1894" s="92"/>
      <c r="V1894" s="92"/>
      <c r="W1894" s="92"/>
      <c r="X1894" s="92"/>
      <c r="Y1894" s="92"/>
      <c r="Z1894" s="92"/>
      <c r="AA1894" s="92"/>
      <c r="AB1894" s="92"/>
      <c r="AC1894" s="92"/>
      <c r="AD1894" s="92"/>
      <c r="AE1894" s="92"/>
      <c r="AF1894" s="92"/>
      <c r="AG1894" s="92"/>
    </row>
    <row r="1895">
      <c r="A1895" s="262"/>
      <c r="B1895" s="39"/>
      <c r="C1895" s="345" t="s">
        <v>3331</v>
      </c>
      <c r="D1895" s="97"/>
      <c r="E1895" s="98"/>
      <c r="F1895" s="98"/>
      <c r="G1895" s="41"/>
      <c r="H1895" s="98"/>
      <c r="I1895" s="98"/>
      <c r="J1895" s="98"/>
      <c r="K1895" s="91"/>
      <c r="L1895" s="91"/>
      <c r="M1895" s="91"/>
      <c r="N1895" s="96" t="b">
        <v>0</v>
      </c>
      <c r="O1895" s="96" t="b">
        <v>0</v>
      </c>
      <c r="P1895" s="92"/>
      <c r="Q1895" s="92"/>
      <c r="R1895" s="92"/>
      <c r="S1895" s="92"/>
      <c r="T1895" s="92"/>
      <c r="U1895" s="92"/>
      <c r="V1895" s="92"/>
      <c r="W1895" s="92"/>
      <c r="X1895" s="92"/>
      <c r="Y1895" s="92"/>
      <c r="Z1895" s="92"/>
      <c r="AA1895" s="92"/>
      <c r="AB1895" s="92"/>
      <c r="AC1895" s="92"/>
      <c r="AD1895" s="92"/>
      <c r="AE1895" s="92"/>
      <c r="AF1895" s="92"/>
      <c r="AG1895" s="92"/>
    </row>
    <row r="1896">
      <c r="A1896" s="262"/>
      <c r="B1896" s="197"/>
      <c r="C1896" s="198">
        <v>44643.0</v>
      </c>
      <c r="D1896" s="97"/>
      <c r="E1896" s="98"/>
      <c r="F1896" s="98"/>
      <c r="G1896" s="41"/>
      <c r="H1896" s="98"/>
      <c r="I1896" s="98"/>
      <c r="J1896" s="98"/>
      <c r="K1896" s="91"/>
      <c r="L1896" s="91"/>
      <c r="M1896" s="91"/>
      <c r="N1896" s="96" t="b">
        <v>0</v>
      </c>
      <c r="O1896" s="96" t="b">
        <v>0</v>
      </c>
      <c r="P1896" s="92"/>
      <c r="Q1896" s="92"/>
      <c r="R1896" s="92"/>
      <c r="S1896" s="92"/>
      <c r="T1896" s="92"/>
      <c r="U1896" s="92"/>
      <c r="V1896" s="92"/>
      <c r="W1896" s="92"/>
      <c r="X1896" s="92"/>
      <c r="Y1896" s="92"/>
      <c r="Z1896" s="92"/>
      <c r="AA1896" s="92"/>
      <c r="AB1896" s="92"/>
      <c r="AC1896" s="92"/>
      <c r="AD1896" s="92"/>
      <c r="AE1896" s="92"/>
      <c r="AF1896" s="92"/>
      <c r="AG1896" s="92"/>
    </row>
    <row r="1897">
      <c r="A1897" s="262"/>
      <c r="B1897" s="344" t="s">
        <v>3329</v>
      </c>
      <c r="C1897" s="345"/>
      <c r="D1897" s="97"/>
      <c r="E1897" s="98"/>
      <c r="F1897" s="98"/>
      <c r="G1897" s="41"/>
      <c r="H1897" s="98"/>
      <c r="I1897" s="98"/>
      <c r="J1897" s="98"/>
      <c r="K1897" s="91"/>
      <c r="L1897" s="91"/>
      <c r="M1897" s="91"/>
      <c r="N1897" s="96" t="b">
        <v>0</v>
      </c>
      <c r="O1897" s="96" t="b">
        <v>0</v>
      </c>
      <c r="P1897" s="92"/>
      <c r="Q1897" s="92"/>
      <c r="R1897" s="92"/>
      <c r="S1897" s="92"/>
      <c r="T1897" s="92"/>
      <c r="U1897" s="92"/>
      <c r="V1897" s="92"/>
      <c r="W1897" s="92"/>
      <c r="X1897" s="92"/>
      <c r="Y1897" s="92"/>
      <c r="Z1897" s="92"/>
      <c r="AA1897" s="92"/>
      <c r="AB1897" s="92"/>
      <c r="AC1897" s="92"/>
      <c r="AD1897" s="92"/>
      <c r="AE1897" s="92"/>
      <c r="AF1897" s="92"/>
      <c r="AG1897" s="92"/>
    </row>
    <row r="1898">
      <c r="A1898" s="262"/>
      <c r="B1898" s="25"/>
      <c r="C1898" s="345" t="s">
        <v>3331</v>
      </c>
      <c r="D1898" s="97"/>
      <c r="E1898" s="98"/>
      <c r="F1898" s="351" t="s">
        <v>3634</v>
      </c>
      <c r="G1898" s="352"/>
      <c r="H1898" s="55"/>
      <c r="I1898" s="98"/>
      <c r="J1898" s="98"/>
      <c r="K1898" s="91"/>
      <c r="L1898" s="91"/>
      <c r="M1898" s="91"/>
      <c r="N1898" s="96" t="b">
        <v>0</v>
      </c>
      <c r="O1898" s="96" t="b">
        <v>0</v>
      </c>
      <c r="P1898" s="92"/>
      <c r="Q1898" s="92"/>
      <c r="R1898" s="92"/>
      <c r="S1898" s="92"/>
      <c r="T1898" s="92"/>
      <c r="U1898" s="92"/>
      <c r="V1898" s="92"/>
      <c r="W1898" s="92"/>
      <c r="X1898" s="92"/>
      <c r="Y1898" s="92"/>
      <c r="Z1898" s="92"/>
      <c r="AA1898" s="92"/>
      <c r="AB1898" s="92"/>
      <c r="AC1898" s="92"/>
      <c r="AD1898" s="92"/>
      <c r="AE1898" s="92"/>
      <c r="AF1898" s="92"/>
      <c r="AG1898" s="92"/>
    </row>
    <row r="1899">
      <c r="A1899" s="262"/>
      <c r="B1899" s="25"/>
      <c r="C1899" s="345" t="s">
        <v>3331</v>
      </c>
      <c r="D1899" s="97"/>
      <c r="E1899" s="98"/>
      <c r="F1899" s="56"/>
      <c r="H1899" s="57"/>
      <c r="I1899" s="98"/>
      <c r="J1899" s="98"/>
      <c r="K1899" s="91"/>
      <c r="L1899" s="91"/>
      <c r="M1899" s="91"/>
      <c r="N1899" s="96" t="b">
        <v>0</v>
      </c>
      <c r="O1899" s="96" t="b">
        <v>0</v>
      </c>
      <c r="P1899" s="92"/>
      <c r="Q1899" s="92"/>
      <c r="R1899" s="92"/>
      <c r="S1899" s="92"/>
      <c r="T1899" s="92"/>
      <c r="U1899" s="92"/>
      <c r="V1899" s="92"/>
      <c r="W1899" s="92"/>
      <c r="X1899" s="92"/>
      <c r="Y1899" s="92"/>
      <c r="Z1899" s="92"/>
      <c r="AA1899" s="92"/>
      <c r="AB1899" s="92"/>
      <c r="AC1899" s="92"/>
      <c r="AD1899" s="92"/>
      <c r="AE1899" s="92"/>
      <c r="AF1899" s="92"/>
      <c r="AG1899" s="92"/>
    </row>
    <row r="1900">
      <c r="A1900" s="262"/>
      <c r="B1900" s="25"/>
      <c r="C1900" s="345" t="s">
        <v>3331</v>
      </c>
      <c r="D1900" s="97"/>
      <c r="E1900" s="98"/>
      <c r="F1900" s="56"/>
      <c r="H1900" s="57"/>
      <c r="I1900" s="98"/>
      <c r="J1900" s="98"/>
      <c r="K1900" s="91"/>
      <c r="L1900" s="91"/>
      <c r="M1900" s="91"/>
      <c r="N1900" s="96" t="b">
        <v>0</v>
      </c>
      <c r="O1900" s="96" t="b">
        <v>0</v>
      </c>
      <c r="P1900" s="92"/>
      <c r="Q1900" s="92"/>
      <c r="R1900" s="92"/>
      <c r="S1900" s="92"/>
      <c r="T1900" s="92"/>
      <c r="U1900" s="92"/>
      <c r="V1900" s="92"/>
      <c r="W1900" s="92"/>
      <c r="X1900" s="92"/>
      <c r="Y1900" s="92"/>
      <c r="Z1900" s="92"/>
      <c r="AA1900" s="92"/>
      <c r="AB1900" s="92"/>
      <c r="AC1900" s="92"/>
      <c r="AD1900" s="92"/>
      <c r="AE1900" s="92"/>
      <c r="AF1900" s="92"/>
      <c r="AG1900" s="92"/>
    </row>
    <row r="1901">
      <c r="A1901" s="262"/>
      <c r="B1901" s="25"/>
      <c r="C1901" s="345" t="s">
        <v>3331</v>
      </c>
      <c r="D1901" s="97"/>
      <c r="E1901" s="98"/>
      <c r="F1901" s="56"/>
      <c r="H1901" s="57"/>
      <c r="I1901" s="98"/>
      <c r="J1901" s="98"/>
      <c r="K1901" s="91"/>
      <c r="L1901" s="91"/>
      <c r="M1901" s="91"/>
      <c r="N1901" s="96" t="b">
        <v>0</v>
      </c>
      <c r="O1901" s="96" t="b">
        <v>0</v>
      </c>
      <c r="P1901" s="92"/>
      <c r="Q1901" s="92"/>
      <c r="R1901" s="92"/>
      <c r="S1901" s="92"/>
      <c r="T1901" s="92"/>
      <c r="U1901" s="92"/>
      <c r="V1901" s="92"/>
      <c r="W1901" s="92"/>
      <c r="X1901" s="92"/>
      <c r="Y1901" s="92"/>
      <c r="Z1901" s="92"/>
      <c r="AA1901" s="92"/>
      <c r="AB1901" s="92"/>
      <c r="AC1901" s="92"/>
      <c r="AD1901" s="92"/>
      <c r="AE1901" s="92"/>
      <c r="AF1901" s="92"/>
      <c r="AG1901" s="92"/>
    </row>
    <row r="1902">
      <c r="A1902" s="262"/>
      <c r="B1902" s="25"/>
      <c r="C1902" s="345" t="s">
        <v>3331</v>
      </c>
      <c r="D1902" s="97"/>
      <c r="E1902" s="98"/>
      <c r="F1902" s="56"/>
      <c r="H1902" s="57"/>
      <c r="I1902" s="98"/>
      <c r="J1902" s="98"/>
      <c r="K1902" s="91"/>
      <c r="L1902" s="91"/>
      <c r="M1902" s="91"/>
      <c r="N1902" s="96" t="b">
        <v>0</v>
      </c>
      <c r="O1902" s="96" t="b">
        <v>0</v>
      </c>
      <c r="P1902" s="92"/>
      <c r="Q1902" s="92"/>
      <c r="R1902" s="92"/>
      <c r="S1902" s="92"/>
      <c r="T1902" s="92"/>
      <c r="U1902" s="92"/>
      <c r="V1902" s="92"/>
      <c r="W1902" s="92"/>
      <c r="X1902" s="92"/>
      <c r="Y1902" s="92"/>
      <c r="Z1902" s="92"/>
      <c r="AA1902" s="92"/>
      <c r="AB1902" s="92"/>
      <c r="AC1902" s="92"/>
      <c r="AD1902" s="92"/>
      <c r="AE1902" s="92"/>
      <c r="AF1902" s="92"/>
      <c r="AG1902" s="92"/>
    </row>
    <row r="1903">
      <c r="A1903" s="262"/>
      <c r="B1903" s="25"/>
      <c r="C1903" s="345" t="s">
        <v>3331</v>
      </c>
      <c r="D1903" s="97"/>
      <c r="E1903" s="98"/>
      <c r="F1903" s="59"/>
      <c r="G1903" s="353"/>
      <c r="H1903" s="60"/>
      <c r="I1903" s="98"/>
      <c r="J1903" s="98"/>
      <c r="K1903" s="91"/>
      <c r="L1903" s="91"/>
      <c r="M1903" s="91"/>
      <c r="N1903" s="96" t="b">
        <v>0</v>
      </c>
      <c r="O1903" s="96" t="b">
        <v>0</v>
      </c>
      <c r="P1903" s="92"/>
      <c r="Q1903" s="92"/>
      <c r="R1903" s="92"/>
      <c r="S1903" s="92"/>
      <c r="T1903" s="92"/>
      <c r="U1903" s="92"/>
      <c r="V1903" s="92"/>
      <c r="W1903" s="92"/>
      <c r="X1903" s="92"/>
      <c r="Y1903" s="92"/>
      <c r="Z1903" s="92"/>
      <c r="AA1903" s="92"/>
      <c r="AB1903" s="92"/>
      <c r="AC1903" s="92"/>
      <c r="AD1903" s="92"/>
      <c r="AE1903" s="92"/>
      <c r="AF1903" s="92"/>
      <c r="AG1903" s="92"/>
    </row>
    <row r="1904">
      <c r="A1904" s="262"/>
      <c r="B1904" s="25"/>
      <c r="C1904" s="345" t="s">
        <v>3331</v>
      </c>
      <c r="D1904" s="97"/>
      <c r="E1904" s="98"/>
      <c r="F1904" s="98"/>
      <c r="G1904" s="41"/>
      <c r="H1904" s="98"/>
      <c r="I1904" s="98"/>
      <c r="J1904" s="98"/>
      <c r="K1904" s="91"/>
      <c r="L1904" s="91"/>
      <c r="M1904" s="91"/>
      <c r="N1904" s="96" t="b">
        <v>0</v>
      </c>
      <c r="O1904" s="96" t="b">
        <v>0</v>
      </c>
      <c r="P1904" s="92"/>
      <c r="Q1904" s="92"/>
      <c r="R1904" s="92"/>
      <c r="S1904" s="92"/>
      <c r="T1904" s="92"/>
      <c r="U1904" s="92"/>
      <c r="V1904" s="92"/>
      <c r="W1904" s="92"/>
      <c r="X1904" s="92"/>
      <c r="Y1904" s="92"/>
      <c r="Z1904" s="92"/>
      <c r="AA1904" s="92"/>
      <c r="AB1904" s="92"/>
      <c r="AC1904" s="92"/>
      <c r="AD1904" s="92"/>
      <c r="AE1904" s="92"/>
      <c r="AF1904" s="92"/>
      <c r="AG1904" s="92"/>
    </row>
    <row r="1905">
      <c r="A1905" s="262"/>
      <c r="B1905" s="25"/>
      <c r="C1905" s="345" t="s">
        <v>3331</v>
      </c>
      <c r="D1905" s="97"/>
      <c r="E1905" s="98"/>
      <c r="F1905" s="98"/>
      <c r="G1905" s="41"/>
      <c r="H1905" s="98"/>
      <c r="I1905" s="98"/>
      <c r="J1905" s="98"/>
      <c r="K1905" s="91"/>
      <c r="L1905" s="91"/>
      <c r="M1905" s="91"/>
      <c r="N1905" s="96" t="b">
        <v>0</v>
      </c>
      <c r="O1905" s="96" t="b">
        <v>0</v>
      </c>
      <c r="P1905" s="92"/>
      <c r="Q1905" s="92"/>
      <c r="R1905" s="92"/>
      <c r="S1905" s="92"/>
      <c r="T1905" s="92"/>
      <c r="U1905" s="92"/>
      <c r="V1905" s="92"/>
      <c r="W1905" s="92"/>
      <c r="X1905" s="92"/>
      <c r="Y1905" s="92"/>
      <c r="Z1905" s="92"/>
      <c r="AA1905" s="92"/>
      <c r="AB1905" s="92"/>
      <c r="AC1905" s="92"/>
      <c r="AD1905" s="92"/>
      <c r="AE1905" s="92"/>
      <c r="AF1905" s="92"/>
      <c r="AG1905" s="92"/>
    </row>
    <row r="1906">
      <c r="A1906" s="262"/>
      <c r="B1906" s="25"/>
      <c r="C1906" s="345" t="s">
        <v>3331</v>
      </c>
      <c r="D1906" s="97"/>
      <c r="E1906" s="98"/>
      <c r="F1906" s="98"/>
      <c r="G1906" s="41"/>
      <c r="H1906" s="98"/>
      <c r="I1906" s="98"/>
      <c r="J1906" s="98"/>
      <c r="K1906" s="91"/>
      <c r="L1906" s="91"/>
      <c r="M1906" s="91"/>
      <c r="N1906" s="96" t="b">
        <v>0</v>
      </c>
      <c r="O1906" s="96" t="b">
        <v>0</v>
      </c>
      <c r="P1906" s="92"/>
      <c r="Q1906" s="92"/>
      <c r="R1906" s="92"/>
      <c r="S1906" s="92"/>
      <c r="T1906" s="92"/>
      <c r="U1906" s="92"/>
      <c r="V1906" s="92"/>
      <c r="W1906" s="92"/>
      <c r="X1906" s="92"/>
      <c r="Y1906" s="92"/>
      <c r="Z1906" s="92"/>
      <c r="AA1906" s="92"/>
      <c r="AB1906" s="92"/>
      <c r="AC1906" s="92"/>
      <c r="AD1906" s="92"/>
      <c r="AE1906" s="92"/>
      <c r="AF1906" s="92"/>
      <c r="AG1906" s="92"/>
    </row>
    <row r="1907">
      <c r="A1907" s="262"/>
      <c r="B1907" s="25"/>
      <c r="C1907" s="345" t="s">
        <v>3331</v>
      </c>
      <c r="D1907" s="97"/>
      <c r="E1907" s="98"/>
      <c r="F1907" s="98"/>
      <c r="G1907" s="41"/>
      <c r="H1907" s="98"/>
      <c r="I1907" s="98"/>
      <c r="J1907" s="98"/>
      <c r="K1907" s="91"/>
      <c r="L1907" s="91"/>
      <c r="M1907" s="91"/>
      <c r="N1907" s="96" t="b">
        <v>0</v>
      </c>
      <c r="O1907" s="96" t="b">
        <v>0</v>
      </c>
      <c r="P1907" s="92"/>
      <c r="Q1907" s="92"/>
      <c r="R1907" s="92"/>
      <c r="S1907" s="92"/>
      <c r="T1907" s="92"/>
      <c r="U1907" s="92"/>
      <c r="V1907" s="92"/>
      <c r="W1907" s="92"/>
      <c r="X1907" s="92"/>
      <c r="Y1907" s="92"/>
      <c r="Z1907" s="92"/>
      <c r="AA1907" s="92"/>
      <c r="AB1907" s="92"/>
      <c r="AC1907" s="92"/>
      <c r="AD1907" s="92"/>
      <c r="AE1907" s="92"/>
      <c r="AF1907" s="92"/>
      <c r="AG1907" s="92"/>
    </row>
    <row r="1908">
      <c r="A1908" s="262"/>
      <c r="B1908" s="39"/>
      <c r="C1908" s="345" t="s">
        <v>3331</v>
      </c>
      <c r="D1908" s="97"/>
      <c r="E1908" s="98"/>
      <c r="F1908" s="98"/>
      <c r="G1908" s="41"/>
      <c r="H1908" s="98"/>
      <c r="I1908" s="98"/>
      <c r="J1908" s="98"/>
      <c r="K1908" s="91"/>
      <c r="L1908" s="91"/>
      <c r="M1908" s="91"/>
      <c r="N1908" s="96" t="b">
        <v>0</v>
      </c>
      <c r="O1908" s="96" t="b">
        <v>0</v>
      </c>
      <c r="P1908" s="92"/>
      <c r="Q1908" s="92"/>
      <c r="R1908" s="92"/>
      <c r="S1908" s="92"/>
      <c r="T1908" s="92"/>
      <c r="U1908" s="92"/>
      <c r="V1908" s="92"/>
      <c r="W1908" s="92"/>
      <c r="X1908" s="92"/>
      <c r="Y1908" s="92"/>
      <c r="Z1908" s="92"/>
      <c r="AA1908" s="92"/>
      <c r="AB1908" s="92"/>
      <c r="AC1908" s="92"/>
      <c r="AD1908" s="92"/>
      <c r="AE1908" s="92"/>
      <c r="AF1908" s="92"/>
      <c r="AG1908" s="92"/>
    </row>
    <row r="1909">
      <c r="A1909" s="262"/>
      <c r="B1909" s="354"/>
      <c r="C1909" s="355"/>
      <c r="D1909" s="97"/>
      <c r="E1909" s="98"/>
      <c r="F1909" s="98"/>
      <c r="G1909" s="41"/>
      <c r="H1909" s="98"/>
      <c r="I1909" s="98"/>
      <c r="J1909" s="98"/>
      <c r="K1909" s="91"/>
      <c r="L1909" s="91"/>
      <c r="M1909" s="91"/>
      <c r="N1909" s="96" t="b">
        <v>0</v>
      </c>
      <c r="O1909" s="96" t="b">
        <v>0</v>
      </c>
      <c r="P1909" s="92"/>
      <c r="Q1909" s="92"/>
      <c r="R1909" s="92"/>
      <c r="S1909" s="92"/>
      <c r="T1909" s="92"/>
      <c r="U1909" s="92"/>
      <c r="V1909" s="92"/>
      <c r="W1909" s="92"/>
      <c r="X1909" s="92"/>
      <c r="Y1909" s="92"/>
      <c r="Z1909" s="92"/>
      <c r="AA1909" s="92"/>
      <c r="AB1909" s="92"/>
      <c r="AC1909" s="92"/>
      <c r="AD1909" s="92"/>
      <c r="AE1909" s="92"/>
      <c r="AF1909" s="92"/>
      <c r="AG1909" s="92"/>
    </row>
    <row r="1910">
      <c r="A1910" s="262"/>
      <c r="B1910" s="354"/>
      <c r="C1910" s="355"/>
      <c r="D1910" s="97"/>
      <c r="E1910" s="98"/>
      <c r="F1910" s="98"/>
      <c r="G1910" s="41"/>
      <c r="H1910" s="98"/>
      <c r="I1910" s="98"/>
      <c r="J1910" s="98"/>
      <c r="K1910" s="91"/>
      <c r="L1910" s="91"/>
      <c r="M1910" s="91"/>
      <c r="N1910" s="96" t="b">
        <v>0</v>
      </c>
      <c r="O1910" s="96" t="b">
        <v>0</v>
      </c>
      <c r="P1910" s="92"/>
      <c r="Q1910" s="92"/>
      <c r="R1910" s="92"/>
      <c r="S1910" s="92"/>
      <c r="T1910" s="92"/>
      <c r="U1910" s="92"/>
      <c r="V1910" s="92"/>
      <c r="W1910" s="92"/>
      <c r="X1910" s="92"/>
      <c r="Y1910" s="92"/>
      <c r="Z1910" s="92"/>
      <c r="AA1910" s="92"/>
      <c r="AB1910" s="92"/>
      <c r="AC1910" s="92"/>
      <c r="AD1910" s="92"/>
      <c r="AE1910" s="92"/>
      <c r="AF1910" s="92"/>
      <c r="AG1910" s="92"/>
    </row>
    <row r="1911">
      <c r="A1911" s="262"/>
      <c r="B1911" s="354"/>
      <c r="C1911" s="355"/>
      <c r="D1911" s="97"/>
      <c r="E1911" s="98"/>
      <c r="F1911" s="98"/>
      <c r="G1911" s="41"/>
      <c r="H1911" s="98"/>
      <c r="I1911" s="98"/>
      <c r="J1911" s="98"/>
      <c r="K1911" s="91"/>
      <c r="L1911" s="91"/>
      <c r="M1911" s="91"/>
      <c r="N1911" s="96" t="b">
        <v>0</v>
      </c>
      <c r="O1911" s="96" t="b">
        <v>0</v>
      </c>
      <c r="P1911" s="92"/>
      <c r="Q1911" s="92"/>
      <c r="R1911" s="92"/>
      <c r="S1911" s="92"/>
      <c r="T1911" s="92"/>
      <c r="U1911" s="92"/>
      <c r="V1911" s="92"/>
      <c r="W1911" s="92"/>
      <c r="X1911" s="92"/>
      <c r="Y1911" s="92"/>
      <c r="Z1911" s="92"/>
      <c r="AA1911" s="92"/>
      <c r="AB1911" s="92"/>
      <c r="AC1911" s="92"/>
      <c r="AD1911" s="92"/>
      <c r="AE1911" s="92"/>
      <c r="AF1911" s="92"/>
      <c r="AG1911" s="92"/>
    </row>
    <row r="1912">
      <c r="A1912" s="262"/>
      <c r="B1912" s="354"/>
      <c r="C1912" s="355"/>
      <c r="D1912" s="97"/>
      <c r="E1912" s="98"/>
      <c r="F1912" s="98"/>
      <c r="G1912" s="41"/>
      <c r="H1912" s="98"/>
      <c r="I1912" s="98"/>
      <c r="J1912" s="98"/>
      <c r="K1912" s="91"/>
      <c r="L1912" s="91"/>
      <c r="M1912" s="91"/>
      <c r="N1912" s="96" t="b">
        <v>0</v>
      </c>
      <c r="O1912" s="96" t="b">
        <v>0</v>
      </c>
      <c r="P1912" s="92"/>
      <c r="Q1912" s="92"/>
      <c r="R1912" s="92"/>
      <c r="S1912" s="92"/>
      <c r="T1912" s="92"/>
      <c r="U1912" s="92"/>
      <c r="V1912" s="92"/>
      <c r="W1912" s="92"/>
      <c r="X1912" s="92"/>
      <c r="Y1912" s="92"/>
      <c r="Z1912" s="92"/>
      <c r="AA1912" s="92"/>
      <c r="AB1912" s="92"/>
      <c r="AC1912" s="92"/>
      <c r="AD1912" s="92"/>
      <c r="AE1912" s="92"/>
      <c r="AF1912" s="92"/>
      <c r="AG1912" s="92"/>
    </row>
    <row r="1913">
      <c r="A1913" s="262"/>
      <c r="B1913" s="354"/>
      <c r="C1913" s="355"/>
      <c r="D1913" s="97"/>
      <c r="E1913" s="98"/>
      <c r="F1913" s="98"/>
      <c r="G1913" s="41"/>
      <c r="H1913" s="98"/>
      <c r="I1913" s="98"/>
      <c r="J1913" s="98"/>
      <c r="K1913" s="91"/>
      <c r="L1913" s="91"/>
      <c r="M1913" s="91"/>
      <c r="N1913" s="96" t="b">
        <v>0</v>
      </c>
      <c r="O1913" s="96" t="b">
        <v>0</v>
      </c>
      <c r="P1913" s="92"/>
      <c r="Q1913" s="92"/>
      <c r="R1913" s="92"/>
      <c r="S1913" s="92"/>
      <c r="T1913" s="92"/>
      <c r="U1913" s="92"/>
      <c r="V1913" s="92"/>
      <c r="W1913" s="92"/>
      <c r="X1913" s="92"/>
      <c r="Y1913" s="92"/>
      <c r="Z1913" s="92"/>
      <c r="AA1913" s="92"/>
      <c r="AB1913" s="92"/>
      <c r="AC1913" s="92"/>
      <c r="AD1913" s="92"/>
      <c r="AE1913" s="92"/>
      <c r="AF1913" s="92"/>
      <c r="AG1913" s="92"/>
    </row>
    <row r="1914">
      <c r="A1914" s="262"/>
      <c r="B1914" s="354"/>
      <c r="C1914" s="355"/>
      <c r="D1914" s="97"/>
      <c r="E1914" s="98"/>
      <c r="F1914" s="98"/>
      <c r="G1914" s="41"/>
      <c r="H1914" s="98"/>
      <c r="I1914" s="98"/>
      <c r="J1914" s="98"/>
      <c r="K1914" s="91"/>
      <c r="L1914" s="91"/>
      <c r="M1914" s="91"/>
      <c r="N1914" s="96" t="b">
        <v>0</v>
      </c>
      <c r="O1914" s="96" t="b">
        <v>0</v>
      </c>
      <c r="P1914" s="92"/>
      <c r="Q1914" s="92"/>
      <c r="R1914" s="92"/>
      <c r="S1914" s="92"/>
      <c r="T1914" s="92"/>
      <c r="U1914" s="92"/>
      <c r="V1914" s="92"/>
      <c r="W1914" s="92"/>
      <c r="X1914" s="92"/>
      <c r="Y1914" s="92"/>
      <c r="Z1914" s="92"/>
      <c r="AA1914" s="92"/>
      <c r="AB1914" s="92"/>
      <c r="AC1914" s="92"/>
      <c r="AD1914" s="92"/>
      <c r="AE1914" s="92"/>
      <c r="AF1914" s="92"/>
      <c r="AG1914" s="92"/>
    </row>
    <row r="1915">
      <c r="A1915" s="262"/>
      <c r="B1915" s="354"/>
      <c r="C1915" s="355"/>
      <c r="D1915" s="97"/>
      <c r="E1915" s="98"/>
      <c r="F1915" s="98"/>
      <c r="G1915" s="41"/>
      <c r="H1915" s="98"/>
      <c r="I1915" s="98"/>
      <c r="J1915" s="98"/>
      <c r="K1915" s="91"/>
      <c r="L1915" s="91"/>
      <c r="M1915" s="91"/>
      <c r="N1915" s="96" t="b">
        <v>0</v>
      </c>
      <c r="O1915" s="96" t="b">
        <v>0</v>
      </c>
      <c r="P1915" s="92"/>
      <c r="Q1915" s="92"/>
      <c r="R1915" s="92"/>
      <c r="S1915" s="92"/>
      <c r="T1915" s="92"/>
      <c r="U1915" s="92"/>
      <c r="V1915" s="92"/>
      <c r="W1915" s="92"/>
      <c r="X1915" s="92"/>
      <c r="Y1915" s="92"/>
      <c r="Z1915" s="92"/>
      <c r="AA1915" s="92"/>
      <c r="AB1915" s="92"/>
      <c r="AC1915" s="92"/>
      <c r="AD1915" s="92"/>
      <c r="AE1915" s="92"/>
      <c r="AF1915" s="92"/>
      <c r="AG1915" s="92"/>
    </row>
    <row r="1916">
      <c r="A1916" s="262"/>
      <c r="B1916" s="354"/>
      <c r="C1916" s="355"/>
      <c r="D1916" s="97"/>
      <c r="E1916" s="98"/>
      <c r="F1916" s="98"/>
      <c r="G1916" s="41"/>
      <c r="H1916" s="98"/>
      <c r="I1916" s="98"/>
      <c r="J1916" s="98"/>
      <c r="K1916" s="91"/>
      <c r="L1916" s="91"/>
      <c r="M1916" s="91"/>
      <c r="N1916" s="96" t="b">
        <v>0</v>
      </c>
      <c r="O1916" s="96" t="b">
        <v>0</v>
      </c>
      <c r="P1916" s="92"/>
      <c r="Q1916" s="92"/>
      <c r="R1916" s="92"/>
      <c r="S1916" s="92"/>
      <c r="T1916" s="92"/>
      <c r="U1916" s="92"/>
      <c r="V1916" s="92"/>
      <c r="W1916" s="92"/>
      <c r="X1916" s="92"/>
      <c r="Y1916" s="92"/>
      <c r="Z1916" s="92"/>
      <c r="AA1916" s="92"/>
      <c r="AB1916" s="92"/>
      <c r="AC1916" s="92"/>
      <c r="AD1916" s="92"/>
      <c r="AE1916" s="92"/>
      <c r="AF1916" s="92"/>
      <c r="AG1916" s="92"/>
    </row>
    <row r="1917">
      <c r="A1917" s="262"/>
      <c r="B1917" s="354"/>
      <c r="C1917" s="355"/>
      <c r="D1917" s="97"/>
      <c r="E1917" s="98"/>
      <c r="F1917" s="98"/>
      <c r="G1917" s="41"/>
      <c r="H1917" s="98"/>
      <c r="I1917" s="98"/>
      <c r="J1917" s="98"/>
      <c r="K1917" s="91"/>
      <c r="L1917" s="91"/>
      <c r="M1917" s="91"/>
      <c r="N1917" s="96" t="b">
        <v>0</v>
      </c>
      <c r="O1917" s="96" t="b">
        <v>0</v>
      </c>
      <c r="P1917" s="92"/>
      <c r="Q1917" s="92"/>
      <c r="R1917" s="92"/>
      <c r="S1917" s="92"/>
      <c r="T1917" s="92"/>
      <c r="U1917" s="92"/>
      <c r="V1917" s="92"/>
      <c r="W1917" s="92"/>
      <c r="X1917" s="92"/>
      <c r="Y1917" s="92"/>
      <c r="Z1917" s="92"/>
      <c r="AA1917" s="92"/>
      <c r="AB1917" s="92"/>
      <c r="AC1917" s="92"/>
      <c r="AD1917" s="92"/>
      <c r="AE1917" s="92"/>
      <c r="AF1917" s="92"/>
      <c r="AG1917" s="92"/>
    </row>
    <row r="1918">
      <c r="A1918" s="262"/>
      <c r="B1918" s="354"/>
      <c r="C1918" s="355"/>
      <c r="D1918" s="97"/>
      <c r="E1918" s="98"/>
      <c r="F1918" s="98"/>
      <c r="G1918" s="41"/>
      <c r="H1918" s="98"/>
      <c r="I1918" s="98"/>
      <c r="J1918" s="98"/>
      <c r="K1918" s="91"/>
      <c r="L1918" s="91"/>
      <c r="M1918" s="91"/>
      <c r="N1918" s="96" t="b">
        <v>0</v>
      </c>
      <c r="O1918" s="96" t="b">
        <v>0</v>
      </c>
      <c r="P1918" s="92"/>
      <c r="Q1918" s="92"/>
      <c r="R1918" s="92"/>
      <c r="S1918" s="92"/>
      <c r="T1918" s="92"/>
      <c r="U1918" s="92"/>
      <c r="V1918" s="92"/>
      <c r="W1918" s="92"/>
      <c r="X1918" s="92"/>
      <c r="Y1918" s="92"/>
      <c r="Z1918" s="92"/>
      <c r="AA1918" s="92"/>
      <c r="AB1918" s="92"/>
      <c r="AC1918" s="92"/>
      <c r="AD1918" s="92"/>
      <c r="AE1918" s="92"/>
      <c r="AF1918" s="92"/>
      <c r="AG1918" s="92"/>
    </row>
    <row r="1919">
      <c r="A1919" s="262"/>
      <c r="B1919" s="354"/>
      <c r="C1919" s="355"/>
      <c r="D1919" s="97"/>
      <c r="E1919" s="98"/>
      <c r="F1919" s="98"/>
      <c r="G1919" s="41"/>
      <c r="H1919" s="98"/>
      <c r="I1919" s="98"/>
      <c r="J1919" s="98"/>
      <c r="K1919" s="91"/>
      <c r="L1919" s="91"/>
      <c r="M1919" s="91"/>
      <c r="N1919" s="96" t="b">
        <v>0</v>
      </c>
      <c r="O1919" s="96" t="b">
        <v>0</v>
      </c>
      <c r="P1919" s="92"/>
      <c r="Q1919" s="92"/>
      <c r="R1919" s="92"/>
      <c r="S1919" s="92"/>
      <c r="T1919" s="92"/>
      <c r="U1919" s="92"/>
      <c r="V1919" s="92"/>
      <c r="W1919" s="92"/>
      <c r="X1919" s="92"/>
      <c r="Y1919" s="92"/>
      <c r="Z1919" s="92"/>
      <c r="AA1919" s="92"/>
      <c r="AB1919" s="92"/>
      <c r="AC1919" s="92"/>
      <c r="AD1919" s="92"/>
      <c r="AE1919" s="92"/>
      <c r="AF1919" s="92"/>
      <c r="AG1919" s="92"/>
    </row>
    <row r="1920">
      <c r="A1920" s="262"/>
      <c r="B1920" s="354"/>
      <c r="C1920" s="355"/>
      <c r="D1920" s="97"/>
      <c r="E1920" s="98"/>
      <c r="F1920" s="98"/>
      <c r="G1920" s="41"/>
      <c r="H1920" s="98"/>
      <c r="I1920" s="98"/>
      <c r="J1920" s="98"/>
      <c r="K1920" s="91"/>
      <c r="L1920" s="91"/>
      <c r="M1920" s="91"/>
      <c r="N1920" s="96" t="b">
        <v>0</v>
      </c>
      <c r="O1920" s="96" t="b">
        <v>0</v>
      </c>
      <c r="P1920" s="92"/>
      <c r="Q1920" s="92"/>
      <c r="R1920" s="92"/>
      <c r="S1920" s="92"/>
      <c r="T1920" s="92"/>
      <c r="U1920" s="92"/>
      <c r="V1920" s="92"/>
      <c r="W1920" s="92"/>
      <c r="X1920" s="92"/>
      <c r="Y1920" s="92"/>
      <c r="Z1920" s="92"/>
      <c r="AA1920" s="92"/>
      <c r="AB1920" s="92"/>
      <c r="AC1920" s="92"/>
      <c r="AD1920" s="92"/>
      <c r="AE1920" s="92"/>
      <c r="AF1920" s="92"/>
      <c r="AG1920" s="92"/>
    </row>
    <row r="1921">
      <c r="A1921" s="262"/>
      <c r="B1921" s="354"/>
      <c r="C1921" s="355"/>
      <c r="D1921" s="97"/>
      <c r="E1921" s="98"/>
      <c r="F1921" s="98"/>
      <c r="G1921" s="41"/>
      <c r="H1921" s="98"/>
      <c r="I1921" s="98"/>
      <c r="J1921" s="98"/>
      <c r="K1921" s="91"/>
      <c r="L1921" s="91"/>
      <c r="M1921" s="91"/>
      <c r="N1921" s="96" t="b">
        <v>0</v>
      </c>
      <c r="O1921" s="96" t="b">
        <v>0</v>
      </c>
      <c r="P1921" s="92"/>
      <c r="Q1921" s="92"/>
      <c r="R1921" s="92"/>
      <c r="S1921" s="92"/>
      <c r="T1921" s="92"/>
      <c r="U1921" s="92"/>
      <c r="V1921" s="92"/>
      <c r="W1921" s="92"/>
      <c r="X1921" s="92"/>
      <c r="Y1921" s="92"/>
      <c r="Z1921" s="92"/>
      <c r="AA1921" s="92"/>
      <c r="AB1921" s="92"/>
      <c r="AC1921" s="92"/>
      <c r="AD1921" s="92"/>
      <c r="AE1921" s="92"/>
      <c r="AF1921" s="92"/>
      <c r="AG1921" s="92"/>
    </row>
    <row r="1922">
      <c r="A1922" s="262"/>
      <c r="B1922" s="354"/>
      <c r="C1922" s="355"/>
      <c r="D1922" s="97"/>
      <c r="E1922" s="98"/>
      <c r="F1922" s="98"/>
      <c r="G1922" s="41"/>
      <c r="H1922" s="98"/>
      <c r="I1922" s="98"/>
      <c r="J1922" s="98"/>
      <c r="K1922" s="91"/>
      <c r="L1922" s="91"/>
      <c r="M1922" s="91"/>
      <c r="N1922" s="96" t="b">
        <v>0</v>
      </c>
      <c r="O1922" s="96" t="b">
        <v>0</v>
      </c>
      <c r="P1922" s="92"/>
      <c r="Q1922" s="92"/>
      <c r="R1922" s="92"/>
      <c r="S1922" s="92"/>
      <c r="T1922" s="92"/>
      <c r="U1922" s="92"/>
      <c r="V1922" s="92"/>
      <c r="W1922" s="92"/>
      <c r="X1922" s="92"/>
      <c r="Y1922" s="92"/>
      <c r="Z1922" s="92"/>
      <c r="AA1922" s="92"/>
      <c r="AB1922" s="92"/>
      <c r="AC1922" s="92"/>
      <c r="AD1922" s="92"/>
      <c r="AE1922" s="92"/>
      <c r="AF1922" s="92"/>
      <c r="AG1922" s="92"/>
    </row>
    <row r="1923">
      <c r="A1923" s="262"/>
      <c r="B1923" s="354"/>
      <c r="C1923" s="355"/>
      <c r="D1923" s="97"/>
      <c r="E1923" s="98"/>
      <c r="F1923" s="98"/>
      <c r="G1923" s="41"/>
      <c r="H1923" s="98"/>
      <c r="I1923" s="98"/>
      <c r="J1923" s="98"/>
      <c r="K1923" s="91"/>
      <c r="L1923" s="91"/>
      <c r="M1923" s="91"/>
      <c r="N1923" s="96" t="b">
        <v>0</v>
      </c>
      <c r="O1923" s="96" t="b">
        <v>0</v>
      </c>
      <c r="P1923" s="92"/>
      <c r="Q1923" s="92"/>
      <c r="R1923" s="92"/>
      <c r="S1923" s="92"/>
      <c r="T1923" s="92"/>
      <c r="U1923" s="92"/>
      <c r="V1923" s="92"/>
      <c r="W1923" s="92"/>
      <c r="X1923" s="92"/>
      <c r="Y1923" s="92"/>
      <c r="Z1923" s="92"/>
      <c r="AA1923" s="92"/>
      <c r="AB1923" s="92"/>
      <c r="AC1923" s="92"/>
      <c r="AD1923" s="92"/>
      <c r="AE1923" s="92"/>
      <c r="AF1923" s="92"/>
      <c r="AG1923" s="92"/>
    </row>
    <row r="1924">
      <c r="A1924" s="262"/>
      <c r="B1924" s="354"/>
      <c r="C1924" s="355"/>
      <c r="D1924" s="97"/>
      <c r="E1924" s="98"/>
      <c r="F1924" s="98"/>
      <c r="G1924" s="41"/>
      <c r="H1924" s="98"/>
      <c r="I1924" s="98"/>
      <c r="J1924" s="98"/>
      <c r="K1924" s="91"/>
      <c r="L1924" s="91"/>
      <c r="M1924" s="91"/>
      <c r="N1924" s="96" t="b">
        <v>0</v>
      </c>
      <c r="O1924" s="96" t="b">
        <v>0</v>
      </c>
      <c r="P1924" s="92"/>
      <c r="Q1924" s="92"/>
      <c r="R1924" s="92"/>
      <c r="S1924" s="92"/>
      <c r="T1924" s="92"/>
      <c r="U1924" s="92"/>
      <c r="V1924" s="92"/>
      <c r="W1924" s="92"/>
      <c r="X1924" s="92"/>
      <c r="Y1924" s="92"/>
      <c r="Z1924" s="92"/>
      <c r="AA1924" s="92"/>
      <c r="AB1924" s="92"/>
      <c r="AC1924" s="92"/>
      <c r="AD1924" s="92"/>
      <c r="AE1924" s="92"/>
      <c r="AF1924" s="92"/>
      <c r="AG1924" s="92"/>
    </row>
    <row r="1925">
      <c r="A1925" s="262"/>
      <c r="B1925" s="354"/>
      <c r="C1925" s="355"/>
      <c r="D1925" s="97"/>
      <c r="E1925" s="98"/>
      <c r="F1925" s="98"/>
      <c r="G1925" s="41"/>
      <c r="H1925" s="98"/>
      <c r="I1925" s="98"/>
      <c r="J1925" s="98"/>
      <c r="K1925" s="91"/>
      <c r="L1925" s="91"/>
      <c r="M1925" s="91"/>
      <c r="N1925" s="96" t="b">
        <v>0</v>
      </c>
      <c r="O1925" s="96" t="b">
        <v>0</v>
      </c>
      <c r="P1925" s="92"/>
      <c r="Q1925" s="92"/>
      <c r="R1925" s="92"/>
      <c r="S1925" s="92"/>
      <c r="T1925" s="92"/>
      <c r="U1925" s="92"/>
      <c r="V1925" s="92"/>
      <c r="W1925" s="92"/>
      <c r="X1925" s="92"/>
      <c r="Y1925" s="92"/>
      <c r="Z1925" s="92"/>
      <c r="AA1925" s="92"/>
      <c r="AB1925" s="92"/>
      <c r="AC1925" s="92"/>
      <c r="AD1925" s="92"/>
      <c r="AE1925" s="92"/>
      <c r="AF1925" s="92"/>
      <c r="AG1925" s="92"/>
    </row>
    <row r="1926">
      <c r="A1926" s="262"/>
      <c r="B1926" s="354"/>
      <c r="C1926" s="355"/>
      <c r="D1926" s="97"/>
      <c r="E1926" s="98"/>
      <c r="F1926" s="98"/>
      <c r="G1926" s="41"/>
      <c r="H1926" s="98"/>
      <c r="I1926" s="98"/>
      <c r="J1926" s="98"/>
      <c r="K1926" s="91"/>
      <c r="L1926" s="91"/>
      <c r="M1926" s="91"/>
      <c r="N1926" s="96" t="b">
        <v>0</v>
      </c>
      <c r="O1926" s="96" t="b">
        <v>0</v>
      </c>
      <c r="P1926" s="92"/>
      <c r="Q1926" s="92"/>
      <c r="R1926" s="92"/>
      <c r="S1926" s="92"/>
      <c r="T1926" s="92"/>
      <c r="U1926" s="92"/>
      <c r="V1926" s="92"/>
      <c r="W1926" s="92"/>
      <c r="X1926" s="92"/>
      <c r="Y1926" s="92"/>
      <c r="Z1926" s="92"/>
      <c r="AA1926" s="92"/>
      <c r="AB1926" s="92"/>
      <c r="AC1926" s="92"/>
      <c r="AD1926" s="92"/>
      <c r="AE1926" s="92"/>
      <c r="AF1926" s="92"/>
      <c r="AG1926" s="92"/>
    </row>
    <row r="1927">
      <c r="A1927" s="262"/>
      <c r="B1927" s="354"/>
      <c r="C1927" s="355"/>
      <c r="D1927" s="97"/>
      <c r="E1927" s="98"/>
      <c r="F1927" s="98"/>
      <c r="G1927" s="41"/>
      <c r="H1927" s="98"/>
      <c r="I1927" s="98"/>
      <c r="J1927" s="98"/>
      <c r="K1927" s="91"/>
      <c r="L1927" s="91"/>
      <c r="M1927" s="91"/>
      <c r="N1927" s="96" t="b">
        <v>0</v>
      </c>
      <c r="O1927" s="96" t="b">
        <v>0</v>
      </c>
      <c r="P1927" s="92"/>
      <c r="Q1927" s="92"/>
      <c r="R1927" s="92"/>
      <c r="S1927" s="92"/>
      <c r="T1927" s="92"/>
      <c r="U1927" s="92"/>
      <c r="V1927" s="92"/>
      <c r="W1927" s="92"/>
      <c r="X1927" s="92"/>
      <c r="Y1927" s="92"/>
      <c r="Z1927" s="92"/>
      <c r="AA1927" s="92"/>
      <c r="AB1927" s="92"/>
      <c r="AC1927" s="92"/>
      <c r="AD1927" s="92"/>
      <c r="AE1927" s="92"/>
      <c r="AF1927" s="92"/>
      <c r="AG1927" s="92"/>
    </row>
    <row r="1928">
      <c r="A1928" s="262"/>
      <c r="B1928" s="354"/>
      <c r="C1928" s="355"/>
      <c r="D1928" s="97"/>
      <c r="E1928" s="98"/>
      <c r="F1928" s="98"/>
      <c r="G1928" s="41"/>
      <c r="H1928" s="98"/>
      <c r="I1928" s="98"/>
      <c r="J1928" s="98"/>
      <c r="K1928" s="91"/>
      <c r="L1928" s="91"/>
      <c r="M1928" s="91"/>
      <c r="N1928" s="96" t="b">
        <v>0</v>
      </c>
      <c r="O1928" s="96" t="b">
        <v>0</v>
      </c>
      <c r="P1928" s="92"/>
      <c r="Q1928" s="92"/>
      <c r="R1928" s="92"/>
      <c r="S1928" s="92"/>
      <c r="T1928" s="92"/>
      <c r="U1928" s="92"/>
      <c r="V1928" s="92"/>
      <c r="W1928" s="92"/>
      <c r="X1928" s="92"/>
      <c r="Y1928" s="92"/>
      <c r="Z1928" s="92"/>
      <c r="AA1928" s="92"/>
      <c r="AB1928" s="92"/>
      <c r="AC1928" s="92"/>
      <c r="AD1928" s="92"/>
      <c r="AE1928" s="92"/>
      <c r="AF1928" s="92"/>
      <c r="AG1928" s="92"/>
    </row>
    <row r="1929">
      <c r="A1929" s="262"/>
      <c r="B1929" s="354"/>
      <c r="C1929" s="355"/>
      <c r="D1929" s="97"/>
      <c r="E1929" s="98"/>
      <c r="F1929" s="98"/>
      <c r="G1929" s="41"/>
      <c r="H1929" s="98"/>
      <c r="I1929" s="98"/>
      <c r="J1929" s="98"/>
      <c r="K1929" s="91"/>
      <c r="L1929" s="91"/>
      <c r="M1929" s="91"/>
      <c r="N1929" s="96" t="b">
        <v>0</v>
      </c>
      <c r="O1929" s="96" t="b">
        <v>0</v>
      </c>
      <c r="P1929" s="92"/>
      <c r="Q1929" s="92"/>
      <c r="R1929" s="92"/>
      <c r="S1929" s="92"/>
      <c r="T1929" s="92"/>
      <c r="U1929" s="92"/>
      <c r="V1929" s="92"/>
      <c r="W1929" s="92"/>
      <c r="X1929" s="92"/>
      <c r="Y1929" s="92"/>
      <c r="Z1929" s="92"/>
      <c r="AA1929" s="92"/>
      <c r="AB1929" s="92"/>
      <c r="AC1929" s="92"/>
      <c r="AD1929" s="92"/>
      <c r="AE1929" s="92"/>
      <c r="AF1929" s="92"/>
      <c r="AG1929" s="92"/>
    </row>
    <row r="1930">
      <c r="A1930" s="262"/>
      <c r="B1930" s="354"/>
      <c r="C1930" s="355"/>
      <c r="D1930" s="97"/>
      <c r="E1930" s="98"/>
      <c r="F1930" s="98"/>
      <c r="G1930" s="41"/>
      <c r="H1930" s="98"/>
      <c r="I1930" s="98"/>
      <c r="J1930" s="98"/>
      <c r="K1930" s="91"/>
      <c r="L1930" s="91"/>
      <c r="M1930" s="91"/>
      <c r="N1930" s="96" t="b">
        <v>0</v>
      </c>
      <c r="O1930" s="96" t="b">
        <v>0</v>
      </c>
      <c r="P1930" s="92"/>
      <c r="Q1930" s="92"/>
      <c r="R1930" s="92"/>
      <c r="S1930" s="92"/>
      <c r="T1930" s="92"/>
      <c r="U1930" s="92"/>
      <c r="V1930" s="92"/>
      <c r="W1930" s="92"/>
      <c r="X1930" s="92"/>
      <c r="Y1930" s="92"/>
      <c r="Z1930" s="92"/>
      <c r="AA1930" s="92"/>
      <c r="AB1930" s="92"/>
      <c r="AC1930" s="92"/>
      <c r="AD1930" s="92"/>
      <c r="AE1930" s="92"/>
      <c r="AF1930" s="92"/>
      <c r="AG1930" s="92"/>
    </row>
    <row r="1931">
      <c r="A1931" s="262"/>
      <c r="B1931" s="354"/>
      <c r="C1931" s="355"/>
      <c r="D1931" s="97"/>
      <c r="E1931" s="98"/>
      <c r="F1931" s="98"/>
      <c r="G1931" s="41"/>
      <c r="H1931" s="98"/>
      <c r="I1931" s="98"/>
      <c r="J1931" s="98"/>
      <c r="K1931" s="91"/>
      <c r="L1931" s="91"/>
      <c r="M1931" s="91"/>
      <c r="N1931" s="96" t="b">
        <v>0</v>
      </c>
      <c r="O1931" s="96" t="b">
        <v>0</v>
      </c>
      <c r="P1931" s="92"/>
      <c r="Q1931" s="92"/>
      <c r="R1931" s="92"/>
      <c r="S1931" s="92"/>
      <c r="T1931" s="92"/>
      <c r="U1931" s="92"/>
      <c r="V1931" s="92"/>
      <c r="W1931" s="92"/>
      <c r="X1931" s="92"/>
      <c r="Y1931" s="92"/>
      <c r="Z1931" s="92"/>
      <c r="AA1931" s="92"/>
      <c r="AB1931" s="92"/>
      <c r="AC1931" s="92"/>
      <c r="AD1931" s="92"/>
      <c r="AE1931" s="92"/>
      <c r="AF1931" s="92"/>
      <c r="AG1931" s="92"/>
    </row>
    <row r="1932">
      <c r="A1932" s="262"/>
      <c r="B1932" s="354"/>
      <c r="C1932" s="355"/>
      <c r="D1932" s="97"/>
      <c r="E1932" s="98"/>
      <c r="F1932" s="98"/>
      <c r="G1932" s="41"/>
      <c r="H1932" s="98"/>
      <c r="I1932" s="98"/>
      <c r="J1932" s="98"/>
      <c r="K1932" s="91"/>
      <c r="L1932" s="91"/>
      <c r="M1932" s="91"/>
      <c r="N1932" s="96" t="b">
        <v>0</v>
      </c>
      <c r="O1932" s="96" t="b">
        <v>0</v>
      </c>
      <c r="P1932" s="92"/>
      <c r="Q1932" s="92"/>
      <c r="R1932" s="92"/>
      <c r="S1932" s="92"/>
      <c r="T1932" s="92"/>
      <c r="U1932" s="92"/>
      <c r="V1932" s="92"/>
      <c r="W1932" s="92"/>
      <c r="X1932" s="92"/>
      <c r="Y1932" s="92"/>
      <c r="Z1932" s="92"/>
      <c r="AA1932" s="92"/>
      <c r="AB1932" s="92"/>
      <c r="AC1932" s="92"/>
      <c r="AD1932" s="92"/>
      <c r="AE1932" s="92"/>
      <c r="AF1932" s="92"/>
      <c r="AG1932" s="92"/>
    </row>
    <row r="1933">
      <c r="A1933" s="262"/>
      <c r="B1933" s="354"/>
      <c r="C1933" s="355"/>
      <c r="D1933" s="97"/>
      <c r="E1933" s="98"/>
      <c r="F1933" s="98"/>
      <c r="G1933" s="41"/>
      <c r="H1933" s="98"/>
      <c r="I1933" s="98"/>
      <c r="J1933" s="98"/>
      <c r="K1933" s="91"/>
      <c r="L1933" s="91"/>
      <c r="M1933" s="91"/>
      <c r="N1933" s="96" t="b">
        <v>0</v>
      </c>
      <c r="O1933" s="96" t="b">
        <v>0</v>
      </c>
      <c r="P1933" s="92"/>
      <c r="Q1933" s="92"/>
      <c r="R1933" s="92"/>
      <c r="S1933" s="92"/>
      <c r="T1933" s="92"/>
      <c r="U1933" s="92"/>
      <c r="V1933" s="92"/>
      <c r="W1933" s="92"/>
      <c r="X1933" s="92"/>
      <c r="Y1933" s="92"/>
      <c r="Z1933" s="92"/>
      <c r="AA1933" s="92"/>
      <c r="AB1933" s="92"/>
      <c r="AC1933" s="92"/>
      <c r="AD1933" s="92"/>
      <c r="AE1933" s="92"/>
      <c r="AF1933" s="92"/>
      <c r="AG1933" s="92"/>
    </row>
    <row r="1934">
      <c r="A1934" s="262"/>
      <c r="B1934" s="354"/>
      <c r="C1934" s="355"/>
      <c r="D1934" s="97"/>
      <c r="E1934" s="98"/>
      <c r="F1934" s="98"/>
      <c r="G1934" s="41"/>
      <c r="H1934" s="98"/>
      <c r="I1934" s="98"/>
      <c r="J1934" s="98"/>
      <c r="K1934" s="91"/>
      <c r="L1934" s="91"/>
      <c r="M1934" s="91"/>
      <c r="N1934" s="96" t="b">
        <v>0</v>
      </c>
      <c r="O1934" s="96" t="b">
        <v>0</v>
      </c>
      <c r="P1934" s="92"/>
      <c r="Q1934" s="92"/>
      <c r="R1934" s="92"/>
      <c r="S1934" s="92"/>
      <c r="T1934" s="92"/>
      <c r="U1934" s="92"/>
      <c r="V1934" s="92"/>
      <c r="W1934" s="92"/>
      <c r="X1934" s="92"/>
      <c r="Y1934" s="92"/>
      <c r="Z1934" s="92"/>
      <c r="AA1934" s="92"/>
      <c r="AB1934" s="92"/>
      <c r="AC1934" s="92"/>
      <c r="AD1934" s="92"/>
      <c r="AE1934" s="92"/>
      <c r="AF1934" s="92"/>
      <c r="AG1934" s="92"/>
    </row>
    <row r="1935">
      <c r="A1935" s="262"/>
      <c r="B1935" s="354"/>
      <c r="C1935" s="355"/>
      <c r="D1935" s="97"/>
      <c r="E1935" s="98"/>
      <c r="F1935" s="98"/>
      <c r="G1935" s="41"/>
      <c r="H1935" s="98"/>
      <c r="I1935" s="98"/>
      <c r="J1935" s="98"/>
      <c r="K1935" s="91"/>
      <c r="L1935" s="91"/>
      <c r="M1935" s="91"/>
      <c r="N1935" s="96" t="b">
        <v>0</v>
      </c>
      <c r="O1935" s="96" t="b">
        <v>0</v>
      </c>
      <c r="P1935" s="92"/>
      <c r="Q1935" s="92"/>
      <c r="R1935" s="92"/>
      <c r="S1935" s="92"/>
      <c r="T1935" s="92"/>
      <c r="U1935" s="92"/>
      <c r="V1935" s="92"/>
      <c r="W1935" s="92"/>
      <c r="X1935" s="92"/>
      <c r="Y1935" s="92"/>
      <c r="Z1935" s="92"/>
      <c r="AA1935" s="92"/>
      <c r="AB1935" s="92"/>
      <c r="AC1935" s="92"/>
      <c r="AD1935" s="92"/>
      <c r="AE1935" s="92"/>
      <c r="AF1935" s="92"/>
      <c r="AG1935" s="92"/>
    </row>
    <row r="1936">
      <c r="A1936" s="262"/>
      <c r="B1936" s="354"/>
      <c r="C1936" s="355"/>
      <c r="D1936" s="97"/>
      <c r="E1936" s="98"/>
      <c r="F1936" s="98"/>
      <c r="G1936" s="41"/>
      <c r="H1936" s="98"/>
      <c r="I1936" s="98"/>
      <c r="J1936" s="98"/>
      <c r="K1936" s="91"/>
      <c r="L1936" s="91"/>
      <c r="M1936" s="91"/>
      <c r="N1936" s="96" t="b">
        <v>0</v>
      </c>
      <c r="O1936" s="96" t="b">
        <v>0</v>
      </c>
      <c r="P1936" s="92"/>
      <c r="Q1936" s="92"/>
      <c r="R1936" s="92"/>
      <c r="S1936" s="92"/>
      <c r="T1936" s="92"/>
      <c r="U1936" s="92"/>
      <c r="V1936" s="92"/>
      <c r="W1936" s="92"/>
      <c r="X1936" s="92"/>
      <c r="Y1936" s="92"/>
      <c r="Z1936" s="92"/>
      <c r="AA1936" s="92"/>
      <c r="AB1936" s="92"/>
      <c r="AC1936" s="92"/>
      <c r="AD1936" s="92"/>
      <c r="AE1936" s="92"/>
      <c r="AF1936" s="92"/>
      <c r="AG1936" s="92"/>
    </row>
    <row r="1937">
      <c r="A1937" s="262"/>
      <c r="B1937" s="354"/>
      <c r="C1937" s="355"/>
      <c r="D1937" s="97"/>
      <c r="E1937" s="98"/>
      <c r="F1937" s="98"/>
      <c r="G1937" s="41"/>
      <c r="H1937" s="98"/>
      <c r="I1937" s="98"/>
      <c r="J1937" s="98"/>
      <c r="K1937" s="91"/>
      <c r="L1937" s="91"/>
      <c r="M1937" s="91"/>
      <c r="N1937" s="96" t="b">
        <v>0</v>
      </c>
      <c r="O1937" s="96" t="b">
        <v>0</v>
      </c>
      <c r="P1937" s="92"/>
      <c r="Q1937" s="92"/>
      <c r="R1937" s="92"/>
      <c r="S1937" s="92"/>
      <c r="T1937" s="92"/>
      <c r="U1937" s="92"/>
      <c r="V1937" s="92"/>
      <c r="W1937" s="92"/>
      <c r="X1937" s="92"/>
      <c r="Y1937" s="92"/>
      <c r="Z1937" s="92"/>
      <c r="AA1937" s="92"/>
      <c r="AB1937" s="92"/>
      <c r="AC1937" s="92"/>
      <c r="AD1937" s="92"/>
      <c r="AE1937" s="92"/>
      <c r="AF1937" s="92"/>
      <c r="AG1937" s="92"/>
    </row>
    <row r="1938">
      <c r="A1938" s="262"/>
      <c r="B1938" s="354"/>
      <c r="C1938" s="355"/>
      <c r="D1938" s="97"/>
      <c r="E1938" s="98"/>
      <c r="F1938" s="98"/>
      <c r="G1938" s="41"/>
      <c r="H1938" s="98"/>
      <c r="I1938" s="98"/>
      <c r="J1938" s="98"/>
      <c r="K1938" s="91"/>
      <c r="L1938" s="91"/>
      <c r="M1938" s="91"/>
      <c r="N1938" s="96" t="b">
        <v>0</v>
      </c>
      <c r="O1938" s="96" t="b">
        <v>0</v>
      </c>
      <c r="P1938" s="92"/>
      <c r="Q1938" s="92"/>
      <c r="R1938" s="92"/>
      <c r="S1938" s="92"/>
      <c r="T1938" s="92"/>
      <c r="U1938" s="92"/>
      <c r="V1938" s="92"/>
      <c r="W1938" s="92"/>
      <c r="X1938" s="92"/>
      <c r="Y1938" s="92"/>
      <c r="Z1938" s="92"/>
      <c r="AA1938" s="92"/>
      <c r="AB1938" s="92"/>
      <c r="AC1938" s="92"/>
      <c r="AD1938" s="92"/>
      <c r="AE1938" s="92"/>
      <c r="AF1938" s="92"/>
      <c r="AG1938" s="92"/>
    </row>
    <row r="1939">
      <c r="A1939" s="262"/>
      <c r="B1939" s="354"/>
      <c r="C1939" s="355"/>
      <c r="D1939" s="97"/>
      <c r="E1939" s="98"/>
      <c r="F1939" s="98"/>
      <c r="G1939" s="41"/>
      <c r="H1939" s="98"/>
      <c r="I1939" s="98"/>
      <c r="J1939" s="98"/>
      <c r="K1939" s="91"/>
      <c r="L1939" s="91"/>
      <c r="M1939" s="91"/>
      <c r="N1939" s="96" t="b">
        <v>0</v>
      </c>
      <c r="O1939" s="96" t="b">
        <v>0</v>
      </c>
      <c r="P1939" s="92"/>
      <c r="Q1939" s="92"/>
      <c r="R1939" s="92"/>
      <c r="S1939" s="92"/>
      <c r="T1939" s="92"/>
      <c r="U1939" s="92"/>
      <c r="V1939" s="92"/>
      <c r="W1939" s="92"/>
      <c r="X1939" s="92"/>
      <c r="Y1939" s="92"/>
      <c r="Z1939" s="92"/>
      <c r="AA1939" s="92"/>
      <c r="AB1939" s="92"/>
      <c r="AC1939" s="92"/>
      <c r="AD1939" s="92"/>
      <c r="AE1939" s="92"/>
      <c r="AF1939" s="92"/>
      <c r="AG1939" s="92"/>
    </row>
    <row r="1940">
      <c r="A1940" s="262"/>
      <c r="B1940" s="354"/>
      <c r="C1940" s="355"/>
      <c r="D1940" s="97"/>
      <c r="E1940" s="98"/>
      <c r="F1940" s="98"/>
      <c r="G1940" s="41"/>
      <c r="H1940" s="98"/>
      <c r="I1940" s="98"/>
      <c r="J1940" s="98"/>
      <c r="K1940" s="91"/>
      <c r="L1940" s="91"/>
      <c r="M1940" s="91"/>
      <c r="N1940" s="96" t="b">
        <v>0</v>
      </c>
      <c r="O1940" s="96" t="b">
        <v>0</v>
      </c>
      <c r="P1940" s="92"/>
      <c r="Q1940" s="92"/>
      <c r="R1940" s="92"/>
      <c r="S1940" s="92"/>
      <c r="T1940" s="92"/>
      <c r="U1940" s="92"/>
      <c r="V1940" s="92"/>
      <c r="W1940" s="92"/>
      <c r="X1940" s="92"/>
      <c r="Y1940" s="92"/>
      <c r="Z1940" s="92"/>
      <c r="AA1940" s="92"/>
      <c r="AB1940" s="92"/>
      <c r="AC1940" s="92"/>
      <c r="AD1940" s="92"/>
      <c r="AE1940" s="92"/>
      <c r="AF1940" s="92"/>
      <c r="AG1940" s="92"/>
    </row>
    <row r="1941">
      <c r="A1941" s="262"/>
      <c r="B1941" s="354"/>
      <c r="C1941" s="355"/>
      <c r="D1941" s="97"/>
      <c r="E1941" s="98"/>
      <c r="F1941" s="98"/>
      <c r="G1941" s="41"/>
      <c r="H1941" s="98"/>
      <c r="I1941" s="98"/>
      <c r="J1941" s="98"/>
      <c r="K1941" s="91"/>
      <c r="L1941" s="91"/>
      <c r="M1941" s="91"/>
      <c r="N1941" s="96" t="b">
        <v>0</v>
      </c>
      <c r="O1941" s="96" t="b">
        <v>0</v>
      </c>
      <c r="P1941" s="92"/>
      <c r="Q1941" s="92"/>
      <c r="R1941" s="92"/>
      <c r="S1941" s="92"/>
      <c r="T1941" s="92"/>
      <c r="U1941" s="92"/>
      <c r="V1941" s="92"/>
      <c r="W1941" s="92"/>
      <c r="X1941" s="92"/>
      <c r="Y1941" s="92"/>
      <c r="Z1941" s="92"/>
      <c r="AA1941" s="92"/>
      <c r="AB1941" s="92"/>
      <c r="AC1941" s="92"/>
      <c r="AD1941" s="92"/>
      <c r="AE1941" s="92"/>
      <c r="AF1941" s="92"/>
      <c r="AG1941" s="92"/>
    </row>
    <row r="1942">
      <c r="A1942" s="262"/>
      <c r="B1942" s="354"/>
      <c r="C1942" s="355"/>
      <c r="D1942" s="97"/>
      <c r="E1942" s="98"/>
      <c r="F1942" s="98"/>
      <c r="G1942" s="41"/>
      <c r="H1942" s="98"/>
      <c r="I1942" s="98"/>
      <c r="J1942" s="98"/>
      <c r="K1942" s="91"/>
      <c r="L1942" s="91"/>
      <c r="M1942" s="91"/>
      <c r="N1942" s="96" t="b">
        <v>0</v>
      </c>
      <c r="O1942" s="96" t="b">
        <v>0</v>
      </c>
      <c r="P1942" s="92"/>
      <c r="Q1942" s="92"/>
      <c r="R1942" s="92"/>
      <c r="S1942" s="92"/>
      <c r="T1942" s="92"/>
      <c r="U1942" s="92"/>
      <c r="V1942" s="92"/>
      <c r="W1942" s="92"/>
      <c r="X1942" s="92"/>
      <c r="Y1942" s="92"/>
      <c r="Z1942" s="92"/>
      <c r="AA1942" s="92"/>
      <c r="AB1942" s="92"/>
      <c r="AC1942" s="92"/>
      <c r="AD1942" s="92"/>
      <c r="AE1942" s="92"/>
      <c r="AF1942" s="92"/>
      <c r="AG1942" s="92"/>
    </row>
    <row r="1943">
      <c r="A1943" s="262"/>
      <c r="B1943" s="354"/>
      <c r="C1943" s="355"/>
      <c r="D1943" s="97"/>
      <c r="E1943" s="98"/>
      <c r="F1943" s="98"/>
      <c r="G1943" s="41"/>
      <c r="H1943" s="98"/>
      <c r="I1943" s="98"/>
      <c r="J1943" s="98"/>
      <c r="K1943" s="91"/>
      <c r="L1943" s="91"/>
      <c r="M1943" s="91"/>
      <c r="N1943" s="96" t="b">
        <v>0</v>
      </c>
      <c r="O1943" s="96" t="b">
        <v>0</v>
      </c>
      <c r="P1943" s="92"/>
      <c r="Q1943" s="92"/>
      <c r="R1943" s="92"/>
      <c r="S1943" s="92"/>
      <c r="T1943" s="92"/>
      <c r="U1943" s="92"/>
      <c r="V1943" s="92"/>
      <c r="W1943" s="92"/>
      <c r="X1943" s="92"/>
      <c r="Y1943" s="92"/>
      <c r="Z1943" s="92"/>
      <c r="AA1943" s="92"/>
      <c r="AB1943" s="92"/>
      <c r="AC1943" s="92"/>
      <c r="AD1943" s="92"/>
      <c r="AE1943" s="92"/>
      <c r="AF1943" s="92"/>
      <c r="AG1943" s="92"/>
    </row>
    <row r="1944">
      <c r="A1944" s="262"/>
      <c r="B1944" s="354"/>
      <c r="C1944" s="355"/>
      <c r="D1944" s="97"/>
      <c r="E1944" s="98"/>
      <c r="F1944" s="98"/>
      <c r="G1944" s="41"/>
      <c r="H1944" s="98"/>
      <c r="I1944" s="98"/>
      <c r="J1944" s="98"/>
      <c r="K1944" s="91"/>
      <c r="L1944" s="91"/>
      <c r="M1944" s="91"/>
      <c r="N1944" s="96" t="b">
        <v>0</v>
      </c>
      <c r="O1944" s="96" t="b">
        <v>0</v>
      </c>
      <c r="P1944" s="92"/>
      <c r="Q1944" s="92"/>
      <c r="R1944" s="92"/>
      <c r="S1944" s="92"/>
      <c r="T1944" s="92"/>
      <c r="U1944" s="92"/>
      <c r="V1944" s="92"/>
      <c r="W1944" s="92"/>
      <c r="X1944" s="92"/>
      <c r="Y1944" s="92"/>
      <c r="Z1944" s="92"/>
      <c r="AA1944" s="92"/>
      <c r="AB1944" s="92"/>
      <c r="AC1944" s="92"/>
      <c r="AD1944" s="92"/>
      <c r="AE1944" s="92"/>
      <c r="AF1944" s="92"/>
      <c r="AG1944" s="92"/>
    </row>
    <row r="1945">
      <c r="A1945" s="262"/>
      <c r="B1945" s="354"/>
      <c r="C1945" s="355"/>
      <c r="D1945" s="97"/>
      <c r="E1945" s="98"/>
      <c r="F1945" s="98"/>
      <c r="G1945" s="41"/>
      <c r="H1945" s="98"/>
      <c r="I1945" s="98"/>
      <c r="J1945" s="98"/>
      <c r="K1945" s="91"/>
      <c r="L1945" s="91"/>
      <c r="M1945" s="91"/>
      <c r="N1945" s="96" t="b">
        <v>0</v>
      </c>
      <c r="O1945" s="96" t="b">
        <v>0</v>
      </c>
      <c r="P1945" s="92"/>
      <c r="Q1945" s="92"/>
      <c r="R1945" s="92"/>
      <c r="S1945" s="92"/>
      <c r="T1945" s="92"/>
      <c r="U1945" s="92"/>
      <c r="V1945" s="92"/>
      <c r="W1945" s="92"/>
      <c r="X1945" s="92"/>
      <c r="Y1945" s="92"/>
      <c r="Z1945" s="92"/>
      <c r="AA1945" s="92"/>
      <c r="AB1945" s="92"/>
      <c r="AC1945" s="92"/>
      <c r="AD1945" s="92"/>
      <c r="AE1945" s="92"/>
      <c r="AF1945" s="92"/>
      <c r="AG1945" s="92"/>
    </row>
    <row r="1946">
      <c r="A1946" s="262"/>
      <c r="B1946" s="354"/>
      <c r="C1946" s="355"/>
      <c r="D1946" s="97"/>
      <c r="E1946" s="98"/>
      <c r="F1946" s="98"/>
      <c r="G1946" s="41"/>
      <c r="H1946" s="98"/>
      <c r="I1946" s="98"/>
      <c r="J1946" s="98"/>
      <c r="K1946" s="91"/>
      <c r="L1946" s="91"/>
      <c r="M1946" s="91"/>
      <c r="N1946" s="96" t="b">
        <v>0</v>
      </c>
      <c r="O1946" s="96" t="b">
        <v>0</v>
      </c>
      <c r="P1946" s="92"/>
      <c r="Q1946" s="92"/>
      <c r="R1946" s="92"/>
      <c r="S1946" s="92"/>
      <c r="T1946" s="92"/>
      <c r="U1946" s="92"/>
      <c r="V1946" s="92"/>
      <c r="W1946" s="92"/>
      <c r="X1946" s="92"/>
      <c r="Y1946" s="92"/>
      <c r="Z1946" s="92"/>
      <c r="AA1946" s="92"/>
      <c r="AB1946" s="92"/>
      <c r="AC1946" s="92"/>
      <c r="AD1946" s="92"/>
      <c r="AE1946" s="92"/>
      <c r="AF1946" s="92"/>
      <c r="AG1946" s="92"/>
    </row>
    <row r="1947">
      <c r="A1947" s="262"/>
      <c r="B1947" s="354"/>
      <c r="C1947" s="355"/>
      <c r="D1947" s="97"/>
      <c r="E1947" s="98"/>
      <c r="F1947" s="98"/>
      <c r="G1947" s="41"/>
      <c r="H1947" s="98"/>
      <c r="I1947" s="98"/>
      <c r="J1947" s="98"/>
      <c r="K1947" s="91"/>
      <c r="L1947" s="91"/>
      <c r="M1947" s="91"/>
      <c r="N1947" s="96" t="b">
        <v>0</v>
      </c>
      <c r="O1947" s="96" t="b">
        <v>0</v>
      </c>
      <c r="P1947" s="92"/>
      <c r="Q1947" s="92"/>
      <c r="R1947" s="92"/>
      <c r="S1947" s="92"/>
      <c r="T1947" s="92"/>
      <c r="U1947" s="92"/>
      <c r="V1947" s="92"/>
      <c r="W1947" s="92"/>
      <c r="X1947" s="92"/>
      <c r="Y1947" s="92"/>
      <c r="Z1947" s="92"/>
      <c r="AA1947" s="92"/>
      <c r="AB1947" s="92"/>
      <c r="AC1947" s="92"/>
      <c r="AD1947" s="92"/>
      <c r="AE1947" s="92"/>
      <c r="AF1947" s="92"/>
      <c r="AG1947" s="92"/>
    </row>
    <row r="1948">
      <c r="A1948" s="262"/>
      <c r="B1948" s="354"/>
      <c r="C1948" s="355"/>
      <c r="D1948" s="97"/>
      <c r="E1948" s="98"/>
      <c r="F1948" s="98"/>
      <c r="G1948" s="41"/>
      <c r="H1948" s="98"/>
      <c r="I1948" s="98"/>
      <c r="J1948" s="98"/>
      <c r="K1948" s="91"/>
      <c r="L1948" s="91"/>
      <c r="M1948" s="91"/>
      <c r="N1948" s="96" t="b">
        <v>0</v>
      </c>
      <c r="O1948" s="96" t="b">
        <v>0</v>
      </c>
      <c r="P1948" s="92"/>
      <c r="Q1948" s="92"/>
      <c r="R1948" s="92"/>
      <c r="S1948" s="92"/>
      <c r="T1948" s="92"/>
      <c r="U1948" s="92"/>
      <c r="V1948" s="92"/>
      <c r="W1948" s="92"/>
      <c r="X1948" s="92"/>
      <c r="Y1948" s="92"/>
      <c r="Z1948" s="92"/>
      <c r="AA1948" s="92"/>
      <c r="AB1948" s="92"/>
      <c r="AC1948" s="92"/>
      <c r="AD1948" s="92"/>
      <c r="AE1948" s="92"/>
      <c r="AF1948" s="92"/>
      <c r="AG1948" s="92"/>
    </row>
    <row r="1949">
      <c r="A1949" s="262"/>
      <c r="B1949" s="354"/>
      <c r="C1949" s="355"/>
      <c r="D1949" s="97"/>
      <c r="E1949" s="98"/>
      <c r="F1949" s="98"/>
      <c r="G1949" s="41"/>
      <c r="H1949" s="98"/>
      <c r="I1949" s="98"/>
      <c r="J1949" s="98"/>
      <c r="K1949" s="91"/>
      <c r="L1949" s="91"/>
      <c r="M1949" s="91"/>
      <c r="N1949" s="96" t="b">
        <v>0</v>
      </c>
      <c r="O1949" s="96" t="b">
        <v>0</v>
      </c>
      <c r="P1949" s="92"/>
      <c r="Q1949" s="92"/>
      <c r="R1949" s="92"/>
      <c r="S1949" s="92"/>
      <c r="T1949" s="92"/>
      <c r="U1949" s="92"/>
      <c r="V1949" s="92"/>
      <c r="W1949" s="92"/>
      <c r="X1949" s="92"/>
      <c r="Y1949" s="92"/>
      <c r="Z1949" s="92"/>
      <c r="AA1949" s="92"/>
      <c r="AB1949" s="92"/>
      <c r="AC1949" s="92"/>
      <c r="AD1949" s="92"/>
      <c r="AE1949" s="92"/>
      <c r="AF1949" s="92"/>
      <c r="AG1949" s="92"/>
    </row>
    <row r="1950">
      <c r="A1950" s="262"/>
      <c r="B1950" s="354"/>
      <c r="C1950" s="355"/>
      <c r="D1950" s="97"/>
      <c r="E1950" s="98"/>
      <c r="F1950" s="98"/>
      <c r="G1950" s="41"/>
      <c r="H1950" s="98"/>
      <c r="I1950" s="98"/>
      <c r="J1950" s="98"/>
      <c r="K1950" s="91"/>
      <c r="L1950" s="91"/>
      <c r="M1950" s="91"/>
      <c r="N1950" s="96" t="b">
        <v>0</v>
      </c>
      <c r="O1950" s="96" t="b">
        <v>0</v>
      </c>
      <c r="P1950" s="92"/>
      <c r="Q1950" s="92"/>
      <c r="R1950" s="92"/>
      <c r="S1950" s="92"/>
      <c r="T1950" s="92"/>
      <c r="U1950" s="92"/>
      <c r="V1950" s="92"/>
      <c r="W1950" s="92"/>
      <c r="X1950" s="92"/>
      <c r="Y1950" s="92"/>
      <c r="Z1950" s="92"/>
      <c r="AA1950" s="92"/>
      <c r="AB1950" s="92"/>
      <c r="AC1950" s="92"/>
      <c r="AD1950" s="92"/>
      <c r="AE1950" s="92"/>
      <c r="AF1950" s="92"/>
      <c r="AG1950" s="92"/>
    </row>
    <row r="1951">
      <c r="A1951" s="262"/>
      <c r="B1951" s="354"/>
      <c r="C1951" s="355"/>
      <c r="D1951" s="97"/>
      <c r="E1951" s="98"/>
      <c r="F1951" s="98"/>
      <c r="G1951" s="41"/>
      <c r="H1951" s="98"/>
      <c r="I1951" s="98"/>
      <c r="J1951" s="98"/>
      <c r="K1951" s="91"/>
      <c r="L1951" s="91"/>
      <c r="M1951" s="91"/>
      <c r="N1951" s="96" t="b">
        <v>0</v>
      </c>
      <c r="O1951" s="96" t="b">
        <v>0</v>
      </c>
      <c r="P1951" s="92"/>
      <c r="Q1951" s="92"/>
      <c r="R1951" s="92"/>
      <c r="S1951" s="92"/>
      <c r="T1951" s="92"/>
      <c r="U1951" s="92"/>
      <c r="V1951" s="92"/>
      <c r="W1951" s="92"/>
      <c r="X1951" s="92"/>
      <c r="Y1951" s="92"/>
      <c r="Z1951" s="92"/>
      <c r="AA1951" s="92"/>
      <c r="AB1951" s="92"/>
      <c r="AC1951" s="92"/>
      <c r="AD1951" s="92"/>
      <c r="AE1951" s="92"/>
      <c r="AF1951" s="92"/>
      <c r="AG1951" s="92"/>
    </row>
    <row r="1952">
      <c r="A1952" s="262"/>
      <c r="B1952" s="354"/>
      <c r="C1952" s="355"/>
      <c r="D1952" s="97"/>
      <c r="E1952" s="98"/>
      <c r="F1952" s="98"/>
      <c r="G1952" s="41"/>
      <c r="H1952" s="98"/>
      <c r="I1952" s="98"/>
      <c r="J1952" s="98"/>
      <c r="K1952" s="91"/>
      <c r="L1952" s="91"/>
      <c r="M1952" s="91"/>
      <c r="N1952" s="96" t="b">
        <v>0</v>
      </c>
      <c r="O1952" s="96" t="b">
        <v>0</v>
      </c>
      <c r="P1952" s="92"/>
      <c r="Q1952" s="92"/>
      <c r="R1952" s="92"/>
      <c r="S1952" s="92"/>
      <c r="T1952" s="92"/>
      <c r="U1952" s="92"/>
      <c r="V1952" s="92"/>
      <c r="W1952" s="92"/>
      <c r="X1952" s="92"/>
      <c r="Y1952" s="92"/>
      <c r="Z1952" s="92"/>
      <c r="AA1952" s="92"/>
      <c r="AB1952" s="92"/>
      <c r="AC1952" s="92"/>
      <c r="AD1952" s="92"/>
      <c r="AE1952" s="92"/>
      <c r="AF1952" s="92"/>
      <c r="AG1952" s="92"/>
    </row>
    <row r="1953">
      <c r="A1953" s="262"/>
      <c r="B1953" s="354"/>
      <c r="C1953" s="355"/>
      <c r="D1953" s="97"/>
      <c r="E1953" s="98"/>
      <c r="F1953" s="98"/>
      <c r="G1953" s="41"/>
      <c r="H1953" s="98"/>
      <c r="I1953" s="98"/>
      <c r="J1953" s="98"/>
      <c r="K1953" s="91"/>
      <c r="L1953" s="91"/>
      <c r="M1953" s="91"/>
      <c r="N1953" s="96" t="b">
        <v>0</v>
      </c>
      <c r="O1953" s="96" t="b">
        <v>0</v>
      </c>
      <c r="P1953" s="92"/>
      <c r="Q1953" s="92"/>
      <c r="R1953" s="92"/>
      <c r="S1953" s="92"/>
      <c r="T1953" s="92"/>
      <c r="U1953" s="92"/>
      <c r="V1953" s="92"/>
      <c r="W1953" s="92"/>
      <c r="X1953" s="92"/>
      <c r="Y1953" s="92"/>
      <c r="Z1953" s="92"/>
      <c r="AA1953" s="92"/>
      <c r="AB1953" s="92"/>
      <c r="AC1953" s="92"/>
      <c r="AD1953" s="92"/>
      <c r="AE1953" s="92"/>
      <c r="AF1953" s="92"/>
      <c r="AG1953" s="92"/>
    </row>
    <row r="1954">
      <c r="A1954" s="262"/>
      <c r="B1954" s="354"/>
      <c r="C1954" s="355"/>
      <c r="D1954" s="97"/>
      <c r="E1954" s="98"/>
      <c r="F1954" s="98"/>
      <c r="G1954" s="41"/>
      <c r="H1954" s="98"/>
      <c r="I1954" s="98"/>
      <c r="J1954" s="98"/>
      <c r="K1954" s="91"/>
      <c r="L1954" s="91"/>
      <c r="M1954" s="91"/>
      <c r="N1954" s="96" t="b">
        <v>0</v>
      </c>
      <c r="O1954" s="96" t="b">
        <v>0</v>
      </c>
      <c r="P1954" s="92"/>
      <c r="Q1954" s="92"/>
      <c r="R1954" s="92"/>
      <c r="S1954" s="92"/>
      <c r="T1954" s="92"/>
      <c r="U1954" s="92"/>
      <c r="V1954" s="92"/>
      <c r="W1954" s="92"/>
      <c r="X1954" s="92"/>
      <c r="Y1954" s="92"/>
      <c r="Z1954" s="92"/>
      <c r="AA1954" s="92"/>
      <c r="AB1954" s="92"/>
      <c r="AC1954" s="92"/>
      <c r="AD1954" s="92"/>
      <c r="AE1954" s="92"/>
      <c r="AF1954" s="92"/>
      <c r="AG1954" s="92"/>
    </row>
    <row r="1955">
      <c r="A1955" s="262"/>
      <c r="B1955" s="354"/>
      <c r="C1955" s="355"/>
      <c r="D1955" s="97"/>
      <c r="E1955" s="98"/>
      <c r="F1955" s="98"/>
      <c r="G1955" s="41"/>
      <c r="H1955" s="98"/>
      <c r="I1955" s="98"/>
      <c r="J1955" s="98"/>
      <c r="K1955" s="91"/>
      <c r="L1955" s="91"/>
      <c r="M1955" s="91"/>
      <c r="N1955" s="96" t="b">
        <v>0</v>
      </c>
      <c r="O1955" s="96" t="b">
        <v>0</v>
      </c>
      <c r="P1955" s="92"/>
      <c r="Q1955" s="92"/>
      <c r="R1955" s="92"/>
      <c r="S1955" s="92"/>
      <c r="T1955" s="92"/>
      <c r="U1955" s="92"/>
      <c r="V1955" s="92"/>
      <c r="W1955" s="92"/>
      <c r="X1955" s="92"/>
      <c r="Y1955" s="92"/>
      <c r="Z1955" s="92"/>
      <c r="AA1955" s="92"/>
      <c r="AB1955" s="92"/>
      <c r="AC1955" s="92"/>
      <c r="AD1955" s="92"/>
      <c r="AE1955" s="92"/>
      <c r="AF1955" s="92"/>
      <c r="AG1955" s="92"/>
    </row>
    <row r="1956">
      <c r="A1956" s="262"/>
      <c r="B1956" s="354"/>
      <c r="C1956" s="355"/>
      <c r="D1956" s="97"/>
      <c r="E1956" s="98"/>
      <c r="F1956" s="98"/>
      <c r="G1956" s="41"/>
      <c r="H1956" s="98"/>
      <c r="I1956" s="98"/>
      <c r="J1956" s="98"/>
      <c r="K1956" s="91"/>
      <c r="L1956" s="91"/>
      <c r="M1956" s="91"/>
      <c r="N1956" s="96" t="b">
        <v>0</v>
      </c>
      <c r="O1956" s="96" t="b">
        <v>0</v>
      </c>
      <c r="P1956" s="92"/>
      <c r="Q1956" s="92"/>
      <c r="R1956" s="92"/>
      <c r="S1956" s="92"/>
      <c r="T1956" s="92"/>
      <c r="U1956" s="92"/>
      <c r="V1956" s="92"/>
      <c r="W1956" s="92"/>
      <c r="X1956" s="92"/>
      <c r="Y1956" s="92"/>
      <c r="Z1956" s="92"/>
      <c r="AA1956" s="92"/>
      <c r="AB1956" s="92"/>
      <c r="AC1956" s="92"/>
      <c r="AD1956" s="92"/>
      <c r="AE1956" s="92"/>
      <c r="AF1956" s="92"/>
      <c r="AG1956" s="92"/>
    </row>
    <row r="1957">
      <c r="A1957" s="262"/>
      <c r="B1957" s="354"/>
      <c r="C1957" s="355"/>
      <c r="D1957" s="97"/>
      <c r="E1957" s="98"/>
      <c r="F1957" s="98"/>
      <c r="G1957" s="41"/>
      <c r="H1957" s="98"/>
      <c r="I1957" s="98"/>
      <c r="J1957" s="98"/>
      <c r="K1957" s="91"/>
      <c r="L1957" s="91"/>
      <c r="M1957" s="91"/>
      <c r="N1957" s="96" t="b">
        <v>0</v>
      </c>
      <c r="O1957" s="96" t="b">
        <v>0</v>
      </c>
      <c r="P1957" s="92"/>
      <c r="Q1957" s="92"/>
      <c r="R1957" s="92"/>
      <c r="S1957" s="92"/>
      <c r="T1957" s="92"/>
      <c r="U1957" s="92"/>
      <c r="V1957" s="92"/>
      <c r="W1957" s="92"/>
      <c r="X1957" s="92"/>
      <c r="Y1957" s="92"/>
      <c r="Z1957" s="92"/>
      <c r="AA1957" s="92"/>
      <c r="AB1957" s="92"/>
      <c r="AC1957" s="92"/>
      <c r="AD1957" s="92"/>
      <c r="AE1957" s="92"/>
      <c r="AF1957" s="92"/>
      <c r="AG1957" s="92"/>
    </row>
    <row r="1958">
      <c r="A1958" s="262"/>
      <c r="B1958" s="354"/>
      <c r="C1958" s="355"/>
      <c r="D1958" s="97"/>
      <c r="E1958" s="98"/>
      <c r="F1958" s="98"/>
      <c r="G1958" s="41"/>
      <c r="H1958" s="98"/>
      <c r="I1958" s="98"/>
      <c r="J1958" s="98"/>
      <c r="K1958" s="91"/>
      <c r="L1958" s="91"/>
      <c r="M1958" s="91"/>
      <c r="N1958" s="96" t="b">
        <v>0</v>
      </c>
      <c r="O1958" s="96" t="b">
        <v>0</v>
      </c>
      <c r="P1958" s="92"/>
      <c r="Q1958" s="92"/>
      <c r="R1958" s="92"/>
      <c r="S1958" s="92"/>
      <c r="T1958" s="92"/>
      <c r="U1958" s="92"/>
      <c r="V1958" s="92"/>
      <c r="W1958" s="92"/>
      <c r="X1958" s="92"/>
      <c r="Y1958" s="92"/>
      <c r="Z1958" s="92"/>
      <c r="AA1958" s="92"/>
      <c r="AB1958" s="92"/>
      <c r="AC1958" s="92"/>
      <c r="AD1958" s="92"/>
      <c r="AE1958" s="92"/>
      <c r="AF1958" s="92"/>
      <c r="AG1958" s="92"/>
    </row>
    <row r="1959">
      <c r="A1959" s="262"/>
      <c r="B1959" s="354"/>
      <c r="C1959" s="355"/>
      <c r="D1959" s="97"/>
      <c r="E1959" s="98"/>
      <c r="F1959" s="98"/>
      <c r="G1959" s="41"/>
      <c r="H1959" s="98"/>
      <c r="I1959" s="98"/>
      <c r="J1959" s="98"/>
      <c r="K1959" s="91"/>
      <c r="L1959" s="91"/>
      <c r="M1959" s="91"/>
      <c r="N1959" s="96" t="b">
        <v>0</v>
      </c>
      <c r="O1959" s="96" t="b">
        <v>0</v>
      </c>
      <c r="P1959" s="92"/>
      <c r="Q1959" s="92"/>
      <c r="R1959" s="92"/>
      <c r="S1959" s="92"/>
      <c r="T1959" s="92"/>
      <c r="U1959" s="92"/>
      <c r="V1959" s="92"/>
      <c r="W1959" s="92"/>
      <c r="X1959" s="92"/>
      <c r="Y1959" s="92"/>
      <c r="Z1959" s="92"/>
      <c r="AA1959" s="92"/>
      <c r="AB1959" s="92"/>
      <c r="AC1959" s="92"/>
      <c r="AD1959" s="92"/>
      <c r="AE1959" s="92"/>
      <c r="AF1959" s="92"/>
      <c r="AG1959" s="92"/>
    </row>
    <row r="1960">
      <c r="A1960" s="262"/>
      <c r="B1960" s="354"/>
      <c r="C1960" s="355"/>
      <c r="D1960" s="97"/>
      <c r="E1960" s="98"/>
      <c r="F1960" s="98"/>
      <c r="G1960" s="41"/>
      <c r="H1960" s="98"/>
      <c r="I1960" s="98"/>
      <c r="J1960" s="98"/>
      <c r="K1960" s="91"/>
      <c r="L1960" s="91"/>
      <c r="M1960" s="91"/>
      <c r="N1960" s="96" t="b">
        <v>0</v>
      </c>
      <c r="O1960" s="96" t="b">
        <v>0</v>
      </c>
      <c r="P1960" s="92"/>
      <c r="Q1960" s="92"/>
      <c r="R1960" s="92"/>
      <c r="S1960" s="92"/>
      <c r="T1960" s="92"/>
      <c r="U1960" s="92"/>
      <c r="V1960" s="92"/>
      <c r="W1960" s="92"/>
      <c r="X1960" s="92"/>
      <c r="Y1960" s="92"/>
      <c r="Z1960" s="92"/>
      <c r="AA1960" s="92"/>
      <c r="AB1960" s="92"/>
      <c r="AC1960" s="92"/>
      <c r="AD1960" s="92"/>
      <c r="AE1960" s="92"/>
      <c r="AF1960" s="92"/>
      <c r="AG1960" s="92"/>
    </row>
    <row r="1961">
      <c r="A1961" s="262"/>
      <c r="B1961" s="354"/>
      <c r="C1961" s="355"/>
      <c r="D1961" s="97"/>
      <c r="E1961" s="98"/>
      <c r="F1961" s="98"/>
      <c r="G1961" s="41"/>
      <c r="H1961" s="98"/>
      <c r="I1961" s="98"/>
      <c r="J1961" s="98"/>
      <c r="K1961" s="91"/>
      <c r="L1961" s="91"/>
      <c r="M1961" s="91"/>
      <c r="N1961" s="96" t="b">
        <v>0</v>
      </c>
      <c r="O1961" s="96" t="b">
        <v>0</v>
      </c>
      <c r="P1961" s="92"/>
      <c r="Q1961" s="92"/>
      <c r="R1961" s="92"/>
      <c r="S1961" s="92"/>
      <c r="T1961" s="92"/>
      <c r="U1961" s="92"/>
      <c r="V1961" s="92"/>
      <c r="W1961" s="92"/>
      <c r="X1961" s="92"/>
      <c r="Y1961" s="92"/>
      <c r="Z1961" s="92"/>
      <c r="AA1961" s="92"/>
      <c r="AB1961" s="92"/>
      <c r="AC1961" s="92"/>
      <c r="AD1961" s="92"/>
      <c r="AE1961" s="92"/>
      <c r="AF1961" s="92"/>
      <c r="AG1961" s="92"/>
    </row>
    <row r="1962">
      <c r="A1962" s="262"/>
      <c r="B1962" s="354"/>
      <c r="C1962" s="355"/>
      <c r="D1962" s="97"/>
      <c r="E1962" s="98"/>
      <c r="F1962" s="98"/>
      <c r="G1962" s="41"/>
      <c r="H1962" s="98"/>
      <c r="I1962" s="98"/>
      <c r="J1962" s="98"/>
      <c r="K1962" s="91"/>
      <c r="L1962" s="91"/>
      <c r="M1962" s="91"/>
      <c r="N1962" s="96" t="b">
        <v>0</v>
      </c>
      <c r="O1962" s="96" t="b">
        <v>0</v>
      </c>
      <c r="P1962" s="92"/>
      <c r="Q1962" s="92"/>
      <c r="R1962" s="92"/>
      <c r="S1962" s="92"/>
      <c r="T1962" s="92"/>
      <c r="U1962" s="92"/>
      <c r="V1962" s="92"/>
      <c r="W1962" s="92"/>
      <c r="X1962" s="92"/>
      <c r="Y1962" s="92"/>
      <c r="Z1962" s="92"/>
      <c r="AA1962" s="92"/>
      <c r="AB1962" s="92"/>
      <c r="AC1962" s="92"/>
      <c r="AD1962" s="92"/>
      <c r="AE1962" s="92"/>
      <c r="AF1962" s="92"/>
      <c r="AG1962" s="92"/>
    </row>
    <row r="1963">
      <c r="A1963" s="262"/>
      <c r="B1963" s="354"/>
      <c r="C1963" s="355"/>
      <c r="D1963" s="97"/>
      <c r="E1963" s="98"/>
      <c r="F1963" s="98"/>
      <c r="G1963" s="41"/>
      <c r="H1963" s="98"/>
      <c r="I1963" s="98"/>
      <c r="J1963" s="98"/>
      <c r="K1963" s="91"/>
      <c r="L1963" s="91"/>
      <c r="M1963" s="91"/>
      <c r="N1963" s="96" t="b">
        <v>0</v>
      </c>
      <c r="O1963" s="96" t="b">
        <v>0</v>
      </c>
      <c r="P1963" s="92"/>
      <c r="Q1963" s="92"/>
      <c r="R1963" s="92"/>
      <c r="S1963" s="92"/>
      <c r="T1963" s="92"/>
      <c r="U1963" s="92"/>
      <c r="V1963" s="92"/>
      <c r="W1963" s="92"/>
      <c r="X1963" s="92"/>
      <c r="Y1963" s="92"/>
      <c r="Z1963" s="92"/>
      <c r="AA1963" s="92"/>
      <c r="AB1963" s="92"/>
      <c r="AC1963" s="92"/>
      <c r="AD1963" s="92"/>
      <c r="AE1963" s="92"/>
      <c r="AF1963" s="92"/>
      <c r="AG1963" s="92"/>
    </row>
    <row r="1964">
      <c r="A1964" s="262"/>
      <c r="B1964" s="354"/>
      <c r="C1964" s="355"/>
      <c r="D1964" s="97"/>
      <c r="E1964" s="98"/>
      <c r="F1964" s="98"/>
      <c r="G1964" s="41"/>
      <c r="H1964" s="98"/>
      <c r="I1964" s="98"/>
      <c r="J1964" s="98"/>
      <c r="K1964" s="91"/>
      <c r="L1964" s="91"/>
      <c r="M1964" s="91"/>
      <c r="N1964" s="96" t="b">
        <v>0</v>
      </c>
      <c r="O1964" s="96" t="b">
        <v>0</v>
      </c>
      <c r="P1964" s="92"/>
      <c r="Q1964" s="92"/>
      <c r="R1964" s="92"/>
      <c r="S1964" s="92"/>
      <c r="T1964" s="92"/>
      <c r="U1964" s="92"/>
      <c r="V1964" s="92"/>
      <c r="W1964" s="92"/>
      <c r="X1964" s="92"/>
      <c r="Y1964" s="92"/>
      <c r="Z1964" s="92"/>
      <c r="AA1964" s="92"/>
      <c r="AB1964" s="92"/>
      <c r="AC1964" s="92"/>
      <c r="AD1964" s="92"/>
      <c r="AE1964" s="92"/>
      <c r="AF1964" s="92"/>
      <c r="AG1964" s="92"/>
    </row>
    <row r="1965">
      <c r="A1965" s="262"/>
      <c r="B1965" s="354"/>
      <c r="C1965" s="355"/>
      <c r="D1965" s="97"/>
      <c r="E1965" s="98"/>
      <c r="F1965" s="98"/>
      <c r="G1965" s="41"/>
      <c r="H1965" s="98"/>
      <c r="I1965" s="98"/>
      <c r="J1965" s="98"/>
      <c r="K1965" s="91"/>
      <c r="L1965" s="91"/>
      <c r="M1965" s="91"/>
      <c r="N1965" s="96" t="b">
        <v>0</v>
      </c>
      <c r="O1965" s="96" t="b">
        <v>0</v>
      </c>
      <c r="P1965" s="92"/>
      <c r="Q1965" s="92"/>
      <c r="R1965" s="92"/>
      <c r="S1965" s="92"/>
      <c r="T1965" s="92"/>
      <c r="U1965" s="92"/>
      <c r="V1965" s="92"/>
      <c r="W1965" s="92"/>
      <c r="X1965" s="92"/>
      <c r="Y1965" s="92"/>
      <c r="Z1965" s="92"/>
      <c r="AA1965" s="92"/>
      <c r="AB1965" s="92"/>
      <c r="AC1965" s="92"/>
      <c r="AD1965" s="92"/>
      <c r="AE1965" s="92"/>
      <c r="AF1965" s="92"/>
      <c r="AG1965" s="92"/>
    </row>
    <row r="1966">
      <c r="A1966" s="262"/>
      <c r="B1966" s="354"/>
      <c r="C1966" s="355"/>
      <c r="D1966" s="97"/>
      <c r="E1966" s="98"/>
      <c r="F1966" s="98"/>
      <c r="G1966" s="41"/>
      <c r="H1966" s="98"/>
      <c r="I1966" s="98"/>
      <c r="J1966" s="98"/>
      <c r="K1966" s="91"/>
      <c r="L1966" s="91"/>
      <c r="M1966" s="91"/>
      <c r="N1966" s="96" t="b">
        <v>0</v>
      </c>
      <c r="O1966" s="96" t="b">
        <v>0</v>
      </c>
      <c r="P1966" s="92"/>
      <c r="Q1966" s="92"/>
      <c r="R1966" s="92"/>
      <c r="S1966" s="92"/>
      <c r="T1966" s="92"/>
      <c r="U1966" s="92"/>
      <c r="V1966" s="92"/>
      <c r="W1966" s="92"/>
      <c r="X1966" s="92"/>
      <c r="Y1966" s="92"/>
      <c r="Z1966" s="92"/>
      <c r="AA1966" s="92"/>
      <c r="AB1966" s="92"/>
      <c r="AC1966" s="92"/>
      <c r="AD1966" s="92"/>
      <c r="AE1966" s="92"/>
      <c r="AF1966" s="92"/>
      <c r="AG1966" s="92"/>
    </row>
    <row r="1967">
      <c r="A1967" s="262"/>
      <c r="B1967" s="354"/>
      <c r="C1967" s="355"/>
      <c r="D1967" s="97"/>
      <c r="E1967" s="98"/>
      <c r="F1967" s="98"/>
      <c r="G1967" s="41"/>
      <c r="H1967" s="98"/>
      <c r="I1967" s="98"/>
      <c r="J1967" s="98"/>
      <c r="K1967" s="91"/>
      <c r="L1967" s="91"/>
      <c r="M1967" s="91"/>
      <c r="N1967" s="96" t="b">
        <v>0</v>
      </c>
      <c r="O1967" s="96" t="b">
        <v>0</v>
      </c>
      <c r="P1967" s="92"/>
      <c r="Q1967" s="92"/>
      <c r="R1967" s="92"/>
      <c r="S1967" s="92"/>
      <c r="T1967" s="92"/>
      <c r="U1967" s="92"/>
      <c r="V1967" s="92"/>
      <c r="W1967" s="92"/>
      <c r="X1967" s="92"/>
      <c r="Y1967" s="92"/>
      <c r="Z1967" s="92"/>
      <c r="AA1967" s="92"/>
      <c r="AB1967" s="92"/>
      <c r="AC1967" s="92"/>
      <c r="AD1967" s="92"/>
      <c r="AE1967" s="92"/>
      <c r="AF1967" s="92"/>
      <c r="AG1967" s="92"/>
    </row>
    <row r="1968">
      <c r="A1968" s="262"/>
      <c r="B1968" s="354"/>
      <c r="C1968" s="355"/>
      <c r="D1968" s="97"/>
      <c r="E1968" s="98"/>
      <c r="F1968" s="98"/>
      <c r="G1968" s="41"/>
      <c r="H1968" s="98"/>
      <c r="I1968" s="98"/>
      <c r="J1968" s="98"/>
      <c r="K1968" s="91"/>
      <c r="L1968" s="91"/>
      <c r="M1968" s="91"/>
      <c r="N1968" s="96" t="b">
        <v>0</v>
      </c>
      <c r="O1968" s="96" t="b">
        <v>0</v>
      </c>
      <c r="P1968" s="92"/>
      <c r="Q1968" s="92"/>
      <c r="R1968" s="92"/>
      <c r="S1968" s="92"/>
      <c r="T1968" s="92"/>
      <c r="U1968" s="92"/>
      <c r="V1968" s="92"/>
      <c r="W1968" s="92"/>
      <c r="X1968" s="92"/>
      <c r="Y1968" s="92"/>
      <c r="Z1968" s="92"/>
      <c r="AA1968" s="92"/>
      <c r="AB1968" s="92"/>
      <c r="AC1968" s="92"/>
      <c r="AD1968" s="92"/>
      <c r="AE1968" s="92"/>
      <c r="AF1968" s="92"/>
      <c r="AG1968" s="92"/>
    </row>
    <row r="1969">
      <c r="A1969" s="262"/>
      <c r="B1969" s="354"/>
      <c r="C1969" s="355"/>
      <c r="D1969" s="97"/>
      <c r="E1969" s="98"/>
      <c r="F1969" s="98"/>
      <c r="G1969" s="41"/>
      <c r="H1969" s="98"/>
      <c r="I1969" s="98"/>
      <c r="J1969" s="98"/>
      <c r="K1969" s="91"/>
      <c r="L1969" s="91"/>
      <c r="M1969" s="91"/>
      <c r="N1969" s="96" t="b">
        <v>0</v>
      </c>
      <c r="O1969" s="96" t="b">
        <v>0</v>
      </c>
      <c r="P1969" s="92"/>
      <c r="Q1969" s="92"/>
      <c r="R1969" s="92"/>
      <c r="S1969" s="92"/>
      <c r="T1969" s="92"/>
      <c r="U1969" s="92"/>
      <c r="V1969" s="92"/>
      <c r="W1969" s="92"/>
      <c r="X1969" s="92"/>
      <c r="Y1969" s="92"/>
      <c r="Z1969" s="92"/>
      <c r="AA1969" s="92"/>
      <c r="AB1969" s="92"/>
      <c r="AC1969" s="92"/>
      <c r="AD1969" s="92"/>
      <c r="AE1969" s="92"/>
      <c r="AF1969" s="92"/>
      <c r="AG1969" s="92"/>
    </row>
    <row r="1970">
      <c r="A1970" s="262"/>
      <c r="B1970" s="354"/>
      <c r="C1970" s="355"/>
      <c r="D1970" s="97"/>
      <c r="E1970" s="98"/>
      <c r="F1970" s="98"/>
      <c r="G1970" s="41"/>
      <c r="H1970" s="98"/>
      <c r="I1970" s="98"/>
      <c r="J1970" s="98"/>
      <c r="K1970" s="91"/>
      <c r="L1970" s="91"/>
      <c r="M1970" s="91"/>
      <c r="N1970" s="96" t="b">
        <v>0</v>
      </c>
      <c r="O1970" s="96" t="b">
        <v>0</v>
      </c>
      <c r="P1970" s="92"/>
      <c r="Q1970" s="92"/>
      <c r="R1970" s="92"/>
      <c r="S1970" s="92"/>
      <c r="T1970" s="92"/>
      <c r="U1970" s="92"/>
      <c r="V1970" s="92"/>
      <c r="W1970" s="92"/>
      <c r="X1970" s="92"/>
      <c r="Y1970" s="92"/>
      <c r="Z1970" s="92"/>
      <c r="AA1970" s="92"/>
      <c r="AB1970" s="92"/>
      <c r="AC1970" s="92"/>
      <c r="AD1970" s="92"/>
      <c r="AE1970" s="92"/>
      <c r="AF1970" s="92"/>
      <c r="AG1970" s="92"/>
    </row>
    <row r="1971">
      <c r="A1971" s="262"/>
      <c r="B1971" s="354"/>
      <c r="C1971" s="355"/>
      <c r="D1971" s="97"/>
      <c r="E1971" s="98"/>
      <c r="F1971" s="98"/>
      <c r="G1971" s="41"/>
      <c r="H1971" s="98"/>
      <c r="I1971" s="98"/>
      <c r="J1971" s="98"/>
      <c r="K1971" s="91"/>
      <c r="L1971" s="91"/>
      <c r="M1971" s="91"/>
      <c r="N1971" s="96" t="b">
        <v>0</v>
      </c>
      <c r="O1971" s="96" t="b">
        <v>0</v>
      </c>
      <c r="P1971" s="92"/>
      <c r="Q1971" s="92"/>
      <c r="R1971" s="92"/>
      <c r="S1971" s="92"/>
      <c r="T1971" s="92"/>
      <c r="U1971" s="92"/>
      <c r="V1971" s="92"/>
      <c r="W1971" s="92"/>
      <c r="X1971" s="92"/>
      <c r="Y1971" s="92"/>
      <c r="Z1971" s="92"/>
      <c r="AA1971" s="92"/>
      <c r="AB1971" s="92"/>
      <c r="AC1971" s="92"/>
      <c r="AD1971" s="92"/>
      <c r="AE1971" s="92"/>
      <c r="AF1971" s="92"/>
      <c r="AG1971" s="92"/>
    </row>
    <row r="1972">
      <c r="A1972" s="262"/>
      <c r="B1972" s="354"/>
      <c r="C1972" s="355"/>
      <c r="D1972" s="97"/>
      <c r="E1972" s="98"/>
      <c r="F1972" s="98"/>
      <c r="G1972" s="41"/>
      <c r="H1972" s="98"/>
      <c r="I1972" s="98"/>
      <c r="J1972" s="98"/>
      <c r="K1972" s="91"/>
      <c r="L1972" s="91"/>
      <c r="M1972" s="91"/>
      <c r="N1972" s="96" t="b">
        <v>0</v>
      </c>
      <c r="O1972" s="96" t="b">
        <v>0</v>
      </c>
      <c r="P1972" s="92"/>
      <c r="Q1972" s="92"/>
      <c r="R1972" s="92"/>
      <c r="S1972" s="92"/>
      <c r="T1972" s="92"/>
      <c r="U1972" s="92"/>
      <c r="V1972" s="92"/>
      <c r="W1972" s="92"/>
      <c r="X1972" s="92"/>
      <c r="Y1972" s="92"/>
      <c r="Z1972" s="92"/>
      <c r="AA1972" s="92"/>
      <c r="AB1972" s="92"/>
      <c r="AC1972" s="92"/>
      <c r="AD1972" s="92"/>
      <c r="AE1972" s="92"/>
      <c r="AF1972" s="92"/>
      <c r="AG1972" s="92"/>
    </row>
    <row r="1973">
      <c r="A1973" s="262"/>
      <c r="B1973" s="354"/>
      <c r="C1973" s="355"/>
      <c r="D1973" s="97"/>
      <c r="E1973" s="98"/>
      <c r="F1973" s="98"/>
      <c r="G1973" s="41"/>
      <c r="H1973" s="98"/>
      <c r="I1973" s="98"/>
      <c r="J1973" s="98"/>
      <c r="K1973" s="91"/>
      <c r="L1973" s="91"/>
      <c r="M1973" s="91"/>
      <c r="N1973" s="96" t="b">
        <v>0</v>
      </c>
      <c r="O1973" s="96" t="b">
        <v>0</v>
      </c>
      <c r="P1973" s="92"/>
      <c r="Q1973" s="92"/>
      <c r="R1973" s="92"/>
      <c r="S1973" s="92"/>
      <c r="T1973" s="92"/>
      <c r="U1973" s="92"/>
      <c r="V1973" s="92"/>
      <c r="W1973" s="92"/>
      <c r="X1973" s="92"/>
      <c r="Y1973" s="92"/>
      <c r="Z1973" s="92"/>
      <c r="AA1973" s="92"/>
      <c r="AB1973" s="92"/>
      <c r="AC1973" s="92"/>
      <c r="AD1973" s="92"/>
      <c r="AE1973" s="92"/>
      <c r="AF1973" s="92"/>
      <c r="AG1973" s="92"/>
    </row>
    <row r="1974">
      <c r="A1974" s="262"/>
      <c r="B1974" s="354"/>
      <c r="C1974" s="355"/>
      <c r="D1974" s="97"/>
      <c r="E1974" s="98"/>
      <c r="F1974" s="98"/>
      <c r="G1974" s="41"/>
      <c r="H1974" s="98"/>
      <c r="I1974" s="98"/>
      <c r="J1974" s="98"/>
      <c r="K1974" s="91"/>
      <c r="L1974" s="91"/>
      <c r="M1974" s="91"/>
      <c r="N1974" s="96" t="b">
        <v>0</v>
      </c>
      <c r="O1974" s="96" t="b">
        <v>0</v>
      </c>
      <c r="P1974" s="92"/>
      <c r="Q1974" s="92"/>
      <c r="R1974" s="92"/>
      <c r="S1974" s="92"/>
      <c r="T1974" s="92"/>
      <c r="U1974" s="92"/>
      <c r="V1974" s="92"/>
      <c r="W1974" s="92"/>
      <c r="X1974" s="92"/>
      <c r="Y1974" s="92"/>
      <c r="Z1974" s="92"/>
      <c r="AA1974" s="92"/>
      <c r="AB1974" s="92"/>
      <c r="AC1974" s="92"/>
      <c r="AD1974" s="92"/>
      <c r="AE1974" s="92"/>
      <c r="AF1974" s="92"/>
      <c r="AG1974" s="92"/>
    </row>
    <row r="1975">
      <c r="A1975" s="262"/>
      <c r="B1975" s="354"/>
      <c r="C1975" s="355"/>
      <c r="D1975" s="97"/>
      <c r="E1975" s="98"/>
      <c r="F1975" s="98"/>
      <c r="G1975" s="41"/>
      <c r="H1975" s="98"/>
      <c r="I1975" s="98"/>
      <c r="J1975" s="98"/>
      <c r="K1975" s="91"/>
      <c r="L1975" s="91"/>
      <c r="M1975" s="91"/>
      <c r="N1975" s="96" t="b">
        <v>0</v>
      </c>
      <c r="O1975" s="96" t="b">
        <v>0</v>
      </c>
      <c r="P1975" s="92"/>
      <c r="Q1975" s="92"/>
      <c r="R1975" s="92"/>
      <c r="S1975" s="92"/>
      <c r="T1975" s="92"/>
      <c r="U1975" s="92"/>
      <c r="V1975" s="92"/>
      <c r="W1975" s="92"/>
      <c r="X1975" s="92"/>
      <c r="Y1975" s="92"/>
      <c r="Z1975" s="92"/>
      <c r="AA1975" s="92"/>
      <c r="AB1975" s="92"/>
      <c r="AC1975" s="92"/>
      <c r="AD1975" s="92"/>
      <c r="AE1975" s="92"/>
      <c r="AF1975" s="92"/>
      <c r="AG1975" s="92"/>
    </row>
    <row r="1976">
      <c r="A1976" s="262"/>
      <c r="B1976" s="354"/>
      <c r="C1976" s="355"/>
      <c r="D1976" s="97"/>
      <c r="E1976" s="98"/>
      <c r="F1976" s="98"/>
      <c r="G1976" s="41"/>
      <c r="H1976" s="98"/>
      <c r="I1976" s="98"/>
      <c r="J1976" s="98"/>
      <c r="K1976" s="91"/>
      <c r="L1976" s="91"/>
      <c r="M1976" s="91"/>
      <c r="N1976" s="96" t="b">
        <v>0</v>
      </c>
      <c r="O1976" s="96" t="b">
        <v>0</v>
      </c>
      <c r="P1976" s="92"/>
      <c r="Q1976" s="92"/>
      <c r="R1976" s="92"/>
      <c r="S1976" s="92"/>
      <c r="T1976" s="92"/>
      <c r="U1976" s="92"/>
      <c r="V1976" s="92"/>
      <c r="W1976" s="92"/>
      <c r="X1976" s="92"/>
      <c r="Y1976" s="92"/>
      <c r="Z1976" s="92"/>
      <c r="AA1976" s="92"/>
      <c r="AB1976" s="92"/>
      <c r="AC1976" s="92"/>
      <c r="AD1976" s="92"/>
      <c r="AE1976" s="92"/>
      <c r="AF1976" s="92"/>
      <c r="AG1976" s="92"/>
    </row>
    <row r="1977">
      <c r="A1977" s="262"/>
      <c r="B1977" s="354"/>
      <c r="C1977" s="355"/>
      <c r="D1977" s="97"/>
      <c r="E1977" s="98"/>
      <c r="F1977" s="98"/>
      <c r="G1977" s="41"/>
      <c r="H1977" s="98"/>
      <c r="I1977" s="98"/>
      <c r="J1977" s="98"/>
      <c r="K1977" s="91"/>
      <c r="L1977" s="91"/>
      <c r="M1977" s="91"/>
      <c r="N1977" s="96" t="b">
        <v>0</v>
      </c>
      <c r="O1977" s="96" t="b">
        <v>0</v>
      </c>
      <c r="P1977" s="92"/>
      <c r="Q1977" s="92"/>
      <c r="R1977" s="92"/>
      <c r="S1977" s="92"/>
      <c r="T1977" s="92"/>
      <c r="U1977" s="92"/>
      <c r="V1977" s="92"/>
      <c r="W1977" s="92"/>
      <c r="X1977" s="92"/>
      <c r="Y1977" s="92"/>
      <c r="Z1977" s="92"/>
      <c r="AA1977" s="92"/>
      <c r="AB1977" s="92"/>
      <c r="AC1977" s="92"/>
      <c r="AD1977" s="92"/>
      <c r="AE1977" s="92"/>
      <c r="AF1977" s="92"/>
      <c r="AG1977" s="92"/>
    </row>
    <row r="1978">
      <c r="A1978" s="262"/>
      <c r="B1978" s="354"/>
      <c r="C1978" s="355"/>
      <c r="D1978" s="97"/>
      <c r="E1978" s="98"/>
      <c r="F1978" s="98"/>
      <c r="G1978" s="41"/>
      <c r="H1978" s="98"/>
      <c r="I1978" s="98"/>
      <c r="J1978" s="98"/>
      <c r="K1978" s="91"/>
      <c r="L1978" s="91"/>
      <c r="M1978" s="91"/>
      <c r="N1978" s="96" t="b">
        <v>0</v>
      </c>
      <c r="O1978" s="96" t="b">
        <v>0</v>
      </c>
      <c r="P1978" s="92"/>
      <c r="Q1978" s="92"/>
      <c r="R1978" s="92"/>
      <c r="S1978" s="92"/>
      <c r="T1978" s="92"/>
      <c r="U1978" s="92"/>
      <c r="V1978" s="92"/>
      <c r="W1978" s="92"/>
      <c r="X1978" s="92"/>
      <c r="Y1978" s="92"/>
      <c r="Z1978" s="92"/>
      <c r="AA1978" s="92"/>
      <c r="AB1978" s="92"/>
      <c r="AC1978" s="92"/>
      <c r="AD1978" s="92"/>
      <c r="AE1978" s="92"/>
      <c r="AF1978" s="92"/>
      <c r="AG1978" s="92"/>
    </row>
    <row r="1979">
      <c r="A1979" s="262"/>
      <c r="B1979" s="354"/>
      <c r="C1979" s="355"/>
      <c r="D1979" s="97"/>
      <c r="E1979" s="98"/>
      <c r="F1979" s="98"/>
      <c r="G1979" s="41"/>
      <c r="H1979" s="98"/>
      <c r="I1979" s="98"/>
      <c r="J1979" s="98"/>
      <c r="K1979" s="91"/>
      <c r="L1979" s="91"/>
      <c r="M1979" s="91"/>
      <c r="N1979" s="96" t="b">
        <v>0</v>
      </c>
      <c r="O1979" s="96" t="b">
        <v>0</v>
      </c>
      <c r="P1979" s="92"/>
      <c r="Q1979" s="92"/>
      <c r="R1979" s="92"/>
      <c r="S1979" s="92"/>
      <c r="T1979" s="92"/>
      <c r="U1979" s="92"/>
      <c r="V1979" s="92"/>
      <c r="W1979" s="92"/>
      <c r="X1979" s="92"/>
      <c r="Y1979" s="92"/>
      <c r="Z1979" s="92"/>
      <c r="AA1979" s="92"/>
      <c r="AB1979" s="92"/>
      <c r="AC1979" s="92"/>
      <c r="AD1979" s="92"/>
      <c r="AE1979" s="92"/>
      <c r="AF1979" s="92"/>
      <c r="AG1979" s="92"/>
    </row>
    <row r="1980">
      <c r="A1980" s="262"/>
      <c r="B1980" s="354"/>
      <c r="C1980" s="355"/>
      <c r="D1980" s="97"/>
      <c r="E1980" s="98"/>
      <c r="F1980" s="98"/>
      <c r="G1980" s="41"/>
      <c r="H1980" s="98"/>
      <c r="I1980" s="98"/>
      <c r="J1980" s="98"/>
      <c r="K1980" s="91"/>
      <c r="L1980" s="91"/>
      <c r="M1980" s="91"/>
      <c r="N1980" s="96" t="b">
        <v>0</v>
      </c>
      <c r="O1980" s="96" t="b">
        <v>0</v>
      </c>
      <c r="P1980" s="92"/>
      <c r="Q1980" s="92"/>
      <c r="R1980" s="92"/>
      <c r="S1980" s="92"/>
      <c r="T1980" s="92"/>
      <c r="U1980" s="92"/>
      <c r="V1980" s="92"/>
      <c r="W1980" s="92"/>
      <c r="X1980" s="92"/>
      <c r="Y1980" s="92"/>
      <c r="Z1980" s="92"/>
      <c r="AA1980" s="92"/>
      <c r="AB1980" s="92"/>
      <c r="AC1980" s="92"/>
      <c r="AD1980" s="92"/>
      <c r="AE1980" s="92"/>
      <c r="AF1980" s="92"/>
      <c r="AG1980" s="92"/>
    </row>
    <row r="1981">
      <c r="A1981" s="262"/>
      <c r="B1981" s="354"/>
      <c r="C1981" s="355"/>
      <c r="D1981" s="97"/>
      <c r="E1981" s="98"/>
      <c r="F1981" s="98"/>
      <c r="G1981" s="41"/>
      <c r="H1981" s="98"/>
      <c r="I1981" s="98"/>
      <c r="J1981" s="98"/>
      <c r="K1981" s="91"/>
      <c r="L1981" s="91"/>
      <c r="M1981" s="91"/>
      <c r="N1981" s="96" t="b">
        <v>0</v>
      </c>
      <c r="O1981" s="96" t="b">
        <v>0</v>
      </c>
      <c r="P1981" s="92"/>
      <c r="Q1981" s="92"/>
      <c r="R1981" s="92"/>
      <c r="S1981" s="92"/>
      <c r="T1981" s="92"/>
      <c r="U1981" s="92"/>
      <c r="V1981" s="92"/>
      <c r="W1981" s="92"/>
      <c r="X1981" s="92"/>
      <c r="Y1981" s="92"/>
      <c r="Z1981" s="92"/>
      <c r="AA1981" s="92"/>
      <c r="AB1981" s="92"/>
      <c r="AC1981" s="92"/>
      <c r="AD1981" s="92"/>
      <c r="AE1981" s="92"/>
      <c r="AF1981" s="92"/>
      <c r="AG1981" s="92"/>
    </row>
    <row r="1982">
      <c r="A1982" s="262"/>
      <c r="B1982" s="354"/>
      <c r="C1982" s="355"/>
      <c r="D1982" s="97"/>
      <c r="E1982" s="98"/>
      <c r="F1982" s="98"/>
      <c r="G1982" s="41"/>
      <c r="H1982" s="98"/>
      <c r="I1982" s="98"/>
      <c r="J1982" s="98"/>
      <c r="K1982" s="91"/>
      <c r="L1982" s="91"/>
      <c r="M1982" s="91"/>
      <c r="N1982" s="96" t="b">
        <v>0</v>
      </c>
      <c r="O1982" s="96" t="b">
        <v>0</v>
      </c>
      <c r="P1982" s="92"/>
      <c r="Q1982" s="92"/>
      <c r="R1982" s="92"/>
      <c r="S1982" s="92"/>
      <c r="T1982" s="92"/>
      <c r="U1982" s="92"/>
      <c r="V1982" s="92"/>
      <c r="W1982" s="92"/>
      <c r="X1982" s="92"/>
      <c r="Y1982" s="92"/>
      <c r="Z1982" s="92"/>
      <c r="AA1982" s="92"/>
      <c r="AB1982" s="92"/>
      <c r="AC1982" s="92"/>
      <c r="AD1982" s="92"/>
      <c r="AE1982" s="92"/>
      <c r="AF1982" s="92"/>
      <c r="AG1982" s="92"/>
    </row>
    <row r="1983">
      <c r="A1983" s="262"/>
      <c r="B1983" s="354"/>
      <c r="C1983" s="355"/>
      <c r="D1983" s="97"/>
      <c r="E1983" s="98"/>
      <c r="F1983" s="98"/>
      <c r="G1983" s="41"/>
      <c r="H1983" s="98"/>
      <c r="I1983" s="98"/>
      <c r="J1983" s="98"/>
      <c r="K1983" s="91"/>
      <c r="L1983" s="91"/>
      <c r="M1983" s="91"/>
      <c r="N1983" s="96" t="b">
        <v>0</v>
      </c>
      <c r="O1983" s="96" t="b">
        <v>0</v>
      </c>
      <c r="P1983" s="92"/>
      <c r="Q1983" s="92"/>
      <c r="R1983" s="92"/>
      <c r="S1983" s="92"/>
      <c r="T1983" s="92"/>
      <c r="U1983" s="92"/>
      <c r="V1983" s="92"/>
      <c r="W1983" s="92"/>
      <c r="X1983" s="92"/>
      <c r="Y1983" s="92"/>
      <c r="Z1983" s="92"/>
      <c r="AA1983" s="92"/>
      <c r="AB1983" s="92"/>
      <c r="AC1983" s="92"/>
      <c r="AD1983" s="92"/>
      <c r="AE1983" s="92"/>
      <c r="AF1983" s="92"/>
      <c r="AG1983" s="92"/>
    </row>
    <row r="1984">
      <c r="A1984" s="262"/>
      <c r="B1984" s="354"/>
      <c r="C1984" s="355"/>
      <c r="D1984" s="97"/>
      <c r="E1984" s="98"/>
      <c r="F1984" s="98"/>
      <c r="G1984" s="41"/>
      <c r="H1984" s="98"/>
      <c r="I1984" s="98"/>
      <c r="J1984" s="98"/>
      <c r="K1984" s="91"/>
      <c r="L1984" s="91"/>
      <c r="M1984" s="91"/>
      <c r="N1984" s="96" t="b">
        <v>0</v>
      </c>
      <c r="O1984" s="96" t="b">
        <v>0</v>
      </c>
      <c r="P1984" s="92"/>
      <c r="Q1984" s="92"/>
      <c r="R1984" s="92"/>
      <c r="S1984" s="92"/>
      <c r="T1984" s="92"/>
      <c r="U1984" s="92"/>
      <c r="V1984" s="92"/>
      <c r="W1984" s="92"/>
      <c r="X1984" s="92"/>
      <c r="Y1984" s="92"/>
      <c r="Z1984" s="92"/>
      <c r="AA1984" s="92"/>
      <c r="AB1984" s="92"/>
      <c r="AC1984" s="92"/>
      <c r="AD1984" s="92"/>
      <c r="AE1984" s="92"/>
      <c r="AF1984" s="92"/>
      <c r="AG1984" s="92"/>
    </row>
    <row r="1985">
      <c r="A1985" s="262"/>
      <c r="B1985" s="354"/>
      <c r="C1985" s="355"/>
      <c r="D1985" s="97"/>
      <c r="E1985" s="98"/>
      <c r="F1985" s="98"/>
      <c r="G1985" s="41"/>
      <c r="H1985" s="98"/>
      <c r="I1985" s="98"/>
      <c r="J1985" s="98"/>
      <c r="K1985" s="91"/>
      <c r="L1985" s="91"/>
      <c r="M1985" s="91"/>
      <c r="N1985" s="96" t="b">
        <v>0</v>
      </c>
      <c r="O1985" s="96" t="b">
        <v>0</v>
      </c>
      <c r="P1985" s="92"/>
      <c r="Q1985" s="92"/>
      <c r="R1985" s="92"/>
      <c r="S1985" s="92"/>
      <c r="T1985" s="92"/>
      <c r="U1985" s="92"/>
      <c r="V1985" s="92"/>
      <c r="W1985" s="92"/>
      <c r="X1985" s="92"/>
      <c r="Y1985" s="92"/>
      <c r="Z1985" s="92"/>
      <c r="AA1985" s="92"/>
      <c r="AB1985" s="92"/>
      <c r="AC1985" s="92"/>
      <c r="AD1985" s="92"/>
      <c r="AE1985" s="92"/>
      <c r="AF1985" s="92"/>
      <c r="AG1985" s="92"/>
    </row>
    <row r="1986">
      <c r="A1986" s="262"/>
      <c r="B1986" s="354"/>
      <c r="C1986" s="355"/>
      <c r="D1986" s="97"/>
      <c r="E1986" s="98"/>
      <c r="F1986" s="98"/>
      <c r="G1986" s="41"/>
      <c r="H1986" s="98"/>
      <c r="I1986" s="98"/>
      <c r="J1986" s="98"/>
      <c r="K1986" s="91"/>
      <c r="L1986" s="91"/>
      <c r="M1986" s="91"/>
      <c r="N1986" s="96" t="b">
        <v>0</v>
      </c>
      <c r="O1986" s="96" t="b">
        <v>0</v>
      </c>
      <c r="P1986" s="92"/>
      <c r="Q1986" s="92"/>
      <c r="R1986" s="92"/>
      <c r="S1986" s="92"/>
      <c r="T1986" s="92"/>
      <c r="U1986" s="92"/>
      <c r="V1986" s="92"/>
      <c r="W1986" s="92"/>
      <c r="X1986" s="92"/>
      <c r="Y1986" s="92"/>
      <c r="Z1986" s="92"/>
      <c r="AA1986" s="92"/>
      <c r="AB1986" s="92"/>
      <c r="AC1986" s="92"/>
      <c r="AD1986" s="92"/>
      <c r="AE1986" s="92"/>
      <c r="AF1986" s="92"/>
      <c r="AG1986" s="92"/>
    </row>
    <row r="1987">
      <c r="A1987" s="262"/>
      <c r="B1987" s="354"/>
      <c r="C1987" s="355"/>
      <c r="D1987" s="97"/>
      <c r="E1987" s="98"/>
      <c r="F1987" s="98"/>
      <c r="G1987" s="41"/>
      <c r="H1987" s="98"/>
      <c r="I1987" s="98"/>
      <c r="J1987" s="98"/>
      <c r="K1987" s="91"/>
      <c r="L1987" s="91"/>
      <c r="M1987" s="91"/>
      <c r="N1987" s="96" t="b">
        <v>0</v>
      </c>
      <c r="O1987" s="96" t="b">
        <v>0</v>
      </c>
      <c r="P1987" s="92"/>
      <c r="Q1987" s="92"/>
      <c r="R1987" s="92"/>
      <c r="S1987" s="92"/>
      <c r="T1987" s="92"/>
      <c r="U1987" s="92"/>
      <c r="V1987" s="92"/>
      <c r="W1987" s="92"/>
      <c r="X1987" s="92"/>
      <c r="Y1987" s="92"/>
      <c r="Z1987" s="92"/>
      <c r="AA1987" s="92"/>
      <c r="AB1987" s="92"/>
      <c r="AC1987" s="92"/>
      <c r="AD1987" s="92"/>
      <c r="AE1987" s="92"/>
      <c r="AF1987" s="92"/>
      <c r="AG1987" s="92"/>
    </row>
    <row r="1988">
      <c r="A1988" s="262"/>
      <c r="B1988" s="354"/>
      <c r="C1988" s="355"/>
      <c r="D1988" s="97"/>
      <c r="E1988" s="98"/>
      <c r="F1988" s="98"/>
      <c r="G1988" s="41"/>
      <c r="H1988" s="98"/>
      <c r="I1988" s="98"/>
      <c r="J1988" s="98"/>
      <c r="K1988" s="91"/>
      <c r="L1988" s="91"/>
      <c r="M1988" s="91"/>
      <c r="N1988" s="96" t="b">
        <v>0</v>
      </c>
      <c r="O1988" s="96" t="b">
        <v>0</v>
      </c>
      <c r="P1988" s="92"/>
      <c r="Q1988" s="92"/>
      <c r="R1988" s="92"/>
      <c r="S1988" s="92"/>
      <c r="T1988" s="92"/>
      <c r="U1988" s="92"/>
      <c r="V1988" s="92"/>
      <c r="W1988" s="92"/>
      <c r="X1988" s="92"/>
      <c r="Y1988" s="92"/>
      <c r="Z1988" s="92"/>
      <c r="AA1988" s="92"/>
      <c r="AB1988" s="92"/>
      <c r="AC1988" s="92"/>
      <c r="AD1988" s="92"/>
      <c r="AE1988" s="92"/>
      <c r="AF1988" s="92"/>
      <c r="AG1988" s="92"/>
    </row>
    <row r="1989">
      <c r="A1989" s="262"/>
      <c r="B1989" s="354"/>
      <c r="C1989" s="355"/>
      <c r="D1989" s="97"/>
      <c r="E1989" s="98"/>
      <c r="F1989" s="98"/>
      <c r="G1989" s="41"/>
      <c r="H1989" s="98"/>
      <c r="I1989" s="98"/>
      <c r="J1989" s="98"/>
      <c r="K1989" s="91"/>
      <c r="L1989" s="91"/>
      <c r="M1989" s="91"/>
      <c r="N1989" s="96" t="b">
        <v>0</v>
      </c>
      <c r="O1989" s="96" t="b">
        <v>0</v>
      </c>
      <c r="P1989" s="92"/>
      <c r="Q1989" s="92"/>
      <c r="R1989" s="92"/>
      <c r="S1989" s="92"/>
      <c r="T1989" s="92"/>
      <c r="U1989" s="92"/>
      <c r="V1989" s="92"/>
      <c r="W1989" s="92"/>
      <c r="X1989" s="92"/>
      <c r="Y1989" s="92"/>
      <c r="Z1989" s="92"/>
      <c r="AA1989" s="92"/>
      <c r="AB1989" s="92"/>
      <c r="AC1989" s="92"/>
      <c r="AD1989" s="92"/>
      <c r="AE1989" s="92"/>
      <c r="AF1989" s="92"/>
      <c r="AG1989" s="92"/>
    </row>
    <row r="1990">
      <c r="A1990" s="262"/>
      <c r="B1990" s="354"/>
      <c r="C1990" s="355"/>
      <c r="D1990" s="97"/>
      <c r="E1990" s="98"/>
      <c r="F1990" s="98"/>
      <c r="G1990" s="41"/>
      <c r="H1990" s="98"/>
      <c r="I1990" s="98"/>
      <c r="J1990" s="98"/>
      <c r="K1990" s="91"/>
      <c r="L1990" s="91"/>
      <c r="M1990" s="91"/>
      <c r="N1990" s="96" t="b">
        <v>0</v>
      </c>
      <c r="O1990" s="96" t="b">
        <v>0</v>
      </c>
      <c r="P1990" s="92"/>
      <c r="Q1990" s="92"/>
      <c r="R1990" s="92"/>
      <c r="S1990" s="92"/>
      <c r="T1990" s="92"/>
      <c r="U1990" s="92"/>
      <c r="V1990" s="92"/>
      <c r="W1990" s="92"/>
      <c r="X1990" s="92"/>
      <c r="Y1990" s="92"/>
      <c r="Z1990" s="92"/>
      <c r="AA1990" s="92"/>
      <c r="AB1990" s="92"/>
      <c r="AC1990" s="92"/>
      <c r="AD1990" s="92"/>
      <c r="AE1990" s="92"/>
      <c r="AF1990" s="92"/>
      <c r="AG1990" s="92"/>
    </row>
    <row r="1991">
      <c r="A1991" s="262"/>
      <c r="B1991" s="354"/>
      <c r="C1991" s="355"/>
      <c r="D1991" s="97"/>
      <c r="E1991" s="98"/>
      <c r="F1991" s="98"/>
      <c r="G1991" s="41"/>
      <c r="H1991" s="98"/>
      <c r="I1991" s="98"/>
      <c r="J1991" s="98"/>
      <c r="K1991" s="91"/>
      <c r="L1991" s="91"/>
      <c r="M1991" s="91"/>
      <c r="N1991" s="96" t="b">
        <v>0</v>
      </c>
      <c r="O1991" s="96" t="b">
        <v>0</v>
      </c>
      <c r="P1991" s="92"/>
      <c r="Q1991" s="92"/>
      <c r="R1991" s="92"/>
      <c r="S1991" s="92"/>
      <c r="T1991" s="92"/>
      <c r="U1991" s="92"/>
      <c r="V1991" s="92"/>
      <c r="W1991" s="92"/>
      <c r="X1991" s="92"/>
      <c r="Y1991" s="92"/>
      <c r="Z1991" s="92"/>
      <c r="AA1991" s="92"/>
      <c r="AB1991" s="92"/>
      <c r="AC1991" s="92"/>
      <c r="AD1991" s="92"/>
      <c r="AE1991" s="92"/>
      <c r="AF1991" s="92"/>
      <c r="AG1991" s="92"/>
    </row>
    <row r="1992">
      <c r="A1992" s="262"/>
      <c r="B1992" s="354"/>
      <c r="C1992" s="355"/>
      <c r="D1992" s="97"/>
      <c r="E1992" s="98"/>
      <c r="F1992" s="98"/>
      <c r="G1992" s="41"/>
      <c r="H1992" s="98"/>
      <c r="I1992" s="98"/>
      <c r="J1992" s="98"/>
      <c r="K1992" s="91"/>
      <c r="L1992" s="91"/>
      <c r="M1992" s="91"/>
      <c r="N1992" s="96" t="b">
        <v>0</v>
      </c>
      <c r="O1992" s="96" t="b">
        <v>0</v>
      </c>
      <c r="P1992" s="92"/>
      <c r="Q1992" s="92"/>
      <c r="R1992" s="92"/>
      <c r="S1992" s="92"/>
      <c r="T1992" s="92"/>
      <c r="U1992" s="92"/>
      <c r="V1992" s="92"/>
      <c r="W1992" s="92"/>
      <c r="X1992" s="92"/>
      <c r="Y1992" s="92"/>
      <c r="Z1992" s="92"/>
      <c r="AA1992" s="92"/>
      <c r="AB1992" s="92"/>
      <c r="AC1992" s="92"/>
      <c r="AD1992" s="92"/>
      <c r="AE1992" s="92"/>
      <c r="AF1992" s="92"/>
      <c r="AG1992" s="92"/>
    </row>
    <row r="1993">
      <c r="A1993" s="262"/>
      <c r="B1993" s="354"/>
      <c r="C1993" s="355"/>
      <c r="D1993" s="97"/>
      <c r="E1993" s="98"/>
      <c r="F1993" s="98"/>
      <c r="G1993" s="41"/>
      <c r="H1993" s="98"/>
      <c r="I1993" s="98"/>
      <c r="J1993" s="98"/>
      <c r="K1993" s="91"/>
      <c r="L1993" s="91"/>
      <c r="M1993" s="91"/>
      <c r="N1993" s="96" t="b">
        <v>0</v>
      </c>
      <c r="O1993" s="96" t="b">
        <v>0</v>
      </c>
      <c r="P1993" s="92"/>
      <c r="Q1993" s="92"/>
      <c r="R1993" s="92"/>
      <c r="S1993" s="92"/>
      <c r="T1993" s="92"/>
      <c r="U1993" s="92"/>
      <c r="V1993" s="92"/>
      <c r="W1993" s="92"/>
      <c r="X1993" s="92"/>
      <c r="Y1993" s="92"/>
      <c r="Z1993" s="92"/>
      <c r="AA1993" s="92"/>
      <c r="AB1993" s="92"/>
      <c r="AC1993" s="92"/>
      <c r="AD1993" s="92"/>
      <c r="AE1993" s="92"/>
      <c r="AF1993" s="92"/>
      <c r="AG1993" s="92"/>
    </row>
    <row r="1994">
      <c r="A1994" s="262"/>
      <c r="B1994" s="354"/>
      <c r="C1994" s="355"/>
      <c r="D1994" s="97"/>
      <c r="E1994" s="98"/>
      <c r="F1994" s="98"/>
      <c r="G1994" s="41"/>
      <c r="H1994" s="98"/>
      <c r="I1994" s="98"/>
      <c r="J1994" s="98"/>
      <c r="K1994" s="91"/>
      <c r="L1994" s="91"/>
      <c r="M1994" s="91"/>
      <c r="N1994" s="96" t="b">
        <v>0</v>
      </c>
      <c r="O1994" s="96" t="b">
        <v>0</v>
      </c>
      <c r="P1994" s="92"/>
      <c r="Q1994" s="92"/>
      <c r="R1994" s="92"/>
      <c r="S1994" s="92"/>
      <c r="T1994" s="92"/>
      <c r="U1994" s="92"/>
      <c r="V1994" s="92"/>
      <c r="W1994" s="92"/>
      <c r="X1994" s="92"/>
      <c r="Y1994" s="92"/>
      <c r="Z1994" s="92"/>
      <c r="AA1994" s="92"/>
      <c r="AB1994" s="92"/>
      <c r="AC1994" s="92"/>
      <c r="AD1994" s="92"/>
      <c r="AE1994" s="92"/>
      <c r="AF1994" s="92"/>
      <c r="AG1994" s="92"/>
    </row>
    <row r="1995">
      <c r="A1995" s="262"/>
      <c r="B1995" s="354"/>
      <c r="C1995" s="355"/>
      <c r="D1995" s="97"/>
      <c r="E1995" s="98"/>
      <c r="F1995" s="98"/>
      <c r="G1995" s="41"/>
      <c r="H1995" s="98"/>
      <c r="I1995" s="98"/>
      <c r="J1995" s="98"/>
      <c r="K1995" s="91"/>
      <c r="L1995" s="91"/>
      <c r="M1995" s="91"/>
      <c r="N1995" s="96" t="b">
        <v>0</v>
      </c>
      <c r="O1995" s="96" t="b">
        <v>0</v>
      </c>
      <c r="P1995" s="92"/>
      <c r="Q1995" s="92"/>
      <c r="R1995" s="92"/>
      <c r="S1995" s="92"/>
      <c r="T1995" s="92"/>
      <c r="U1995" s="92"/>
      <c r="V1995" s="92"/>
      <c r="W1995" s="92"/>
      <c r="X1995" s="92"/>
      <c r="Y1995" s="92"/>
      <c r="Z1995" s="92"/>
      <c r="AA1995" s="92"/>
      <c r="AB1995" s="92"/>
      <c r="AC1995" s="92"/>
      <c r="AD1995" s="92"/>
      <c r="AE1995" s="92"/>
      <c r="AF1995" s="92"/>
      <c r="AG1995" s="92"/>
    </row>
    <row r="1996">
      <c r="A1996" s="262"/>
      <c r="B1996" s="354"/>
      <c r="C1996" s="355"/>
      <c r="D1996" s="97"/>
      <c r="E1996" s="98"/>
      <c r="F1996" s="98"/>
      <c r="G1996" s="41"/>
      <c r="H1996" s="98"/>
      <c r="I1996" s="98"/>
      <c r="J1996" s="98"/>
      <c r="K1996" s="91"/>
      <c r="L1996" s="91"/>
      <c r="M1996" s="91"/>
      <c r="N1996" s="96" t="b">
        <v>0</v>
      </c>
      <c r="O1996" s="96" t="b">
        <v>0</v>
      </c>
      <c r="P1996" s="92"/>
      <c r="Q1996" s="92"/>
      <c r="R1996" s="92"/>
      <c r="S1996" s="92"/>
      <c r="T1996" s="92"/>
      <c r="U1996" s="92"/>
      <c r="V1996" s="92"/>
      <c r="W1996" s="92"/>
      <c r="X1996" s="92"/>
      <c r="Y1996" s="92"/>
      <c r="Z1996" s="92"/>
      <c r="AA1996" s="92"/>
      <c r="AB1996" s="92"/>
      <c r="AC1996" s="92"/>
      <c r="AD1996" s="92"/>
      <c r="AE1996" s="92"/>
      <c r="AF1996" s="92"/>
      <c r="AG1996" s="92"/>
    </row>
    <row r="1997">
      <c r="A1997" s="262"/>
      <c r="B1997" s="354"/>
      <c r="C1997" s="355"/>
      <c r="D1997" s="97"/>
      <c r="E1997" s="98"/>
      <c r="F1997" s="98"/>
      <c r="G1997" s="41"/>
      <c r="H1997" s="98"/>
      <c r="I1997" s="98"/>
      <c r="J1997" s="98"/>
      <c r="K1997" s="91"/>
      <c r="L1997" s="91"/>
      <c r="M1997" s="91"/>
      <c r="N1997" s="96" t="b">
        <v>0</v>
      </c>
      <c r="O1997" s="96" t="b">
        <v>0</v>
      </c>
      <c r="P1997" s="92"/>
      <c r="Q1997" s="92"/>
      <c r="R1997" s="92"/>
      <c r="S1997" s="92"/>
      <c r="T1997" s="92"/>
      <c r="U1997" s="92"/>
      <c r="V1997" s="92"/>
      <c r="W1997" s="92"/>
      <c r="X1997" s="92"/>
      <c r="Y1997" s="92"/>
      <c r="Z1997" s="92"/>
      <c r="AA1997" s="92"/>
      <c r="AB1997" s="92"/>
      <c r="AC1997" s="92"/>
      <c r="AD1997" s="92"/>
      <c r="AE1997" s="92"/>
      <c r="AF1997" s="92"/>
      <c r="AG1997" s="92"/>
    </row>
    <row r="1998">
      <c r="A1998" s="262"/>
      <c r="B1998" s="354"/>
      <c r="C1998" s="355"/>
      <c r="D1998" s="97"/>
      <c r="E1998" s="98"/>
      <c r="F1998" s="98"/>
      <c r="G1998" s="41"/>
      <c r="H1998" s="98"/>
      <c r="I1998" s="98"/>
      <c r="J1998" s="98"/>
      <c r="K1998" s="91"/>
      <c r="L1998" s="91"/>
      <c r="M1998" s="91"/>
      <c r="N1998" s="96" t="b">
        <v>0</v>
      </c>
      <c r="O1998" s="96" t="b">
        <v>0</v>
      </c>
      <c r="P1998" s="92"/>
      <c r="Q1998" s="92"/>
      <c r="R1998" s="92"/>
      <c r="S1998" s="92"/>
      <c r="T1998" s="92"/>
      <c r="U1998" s="92"/>
      <c r="V1998" s="92"/>
      <c r="W1998" s="92"/>
      <c r="X1998" s="92"/>
      <c r="Y1998" s="92"/>
      <c r="Z1998" s="92"/>
      <c r="AA1998" s="92"/>
      <c r="AB1998" s="92"/>
      <c r="AC1998" s="92"/>
      <c r="AD1998" s="92"/>
      <c r="AE1998" s="92"/>
      <c r="AF1998" s="92"/>
      <c r="AG1998" s="92"/>
    </row>
    <row r="1999">
      <c r="A1999" s="262"/>
      <c r="B1999" s="354"/>
      <c r="C1999" s="355"/>
      <c r="D1999" s="97"/>
      <c r="E1999" s="98"/>
      <c r="F1999" s="98"/>
      <c r="G1999" s="41"/>
      <c r="H1999" s="98"/>
      <c r="I1999" s="98"/>
      <c r="J1999" s="98"/>
      <c r="K1999" s="91"/>
      <c r="L1999" s="91"/>
      <c r="M1999" s="91"/>
      <c r="N1999" s="96" t="b">
        <v>0</v>
      </c>
      <c r="O1999" s="96" t="b">
        <v>0</v>
      </c>
      <c r="P1999" s="92"/>
      <c r="Q1999" s="92"/>
      <c r="R1999" s="92"/>
      <c r="S1999" s="92"/>
      <c r="T1999" s="92"/>
      <c r="U1999" s="92"/>
      <c r="V1999" s="92"/>
      <c r="W1999" s="92"/>
      <c r="X1999" s="92"/>
      <c r="Y1999" s="92"/>
      <c r="Z1999" s="92"/>
      <c r="AA1999" s="92"/>
      <c r="AB1999" s="92"/>
      <c r="AC1999" s="92"/>
      <c r="AD1999" s="92"/>
      <c r="AE1999" s="92"/>
      <c r="AF1999" s="92"/>
      <c r="AG1999" s="92"/>
    </row>
    <row r="2000">
      <c r="A2000" s="262"/>
      <c r="B2000" s="354"/>
      <c r="C2000" s="355"/>
      <c r="D2000" s="97"/>
      <c r="E2000" s="98"/>
      <c r="F2000" s="98"/>
      <c r="G2000" s="41"/>
      <c r="H2000" s="98"/>
      <c r="I2000" s="98"/>
      <c r="J2000" s="98"/>
      <c r="K2000" s="91"/>
      <c r="L2000" s="91"/>
      <c r="M2000" s="91"/>
      <c r="N2000" s="96" t="b">
        <v>0</v>
      </c>
      <c r="O2000" s="96" t="b">
        <v>0</v>
      </c>
      <c r="P2000" s="92"/>
      <c r="Q2000" s="92"/>
      <c r="R2000" s="92"/>
      <c r="S2000" s="92"/>
      <c r="T2000" s="92"/>
      <c r="U2000" s="92"/>
      <c r="V2000" s="92"/>
      <c r="W2000" s="92"/>
      <c r="X2000" s="92"/>
      <c r="Y2000" s="92"/>
      <c r="Z2000" s="92"/>
      <c r="AA2000" s="92"/>
      <c r="AB2000" s="92"/>
      <c r="AC2000" s="92"/>
      <c r="AD2000" s="92"/>
      <c r="AE2000" s="92"/>
      <c r="AF2000" s="92"/>
      <c r="AG2000" s="92"/>
    </row>
    <row r="2001">
      <c r="A2001" s="262"/>
      <c r="B2001" s="354"/>
      <c r="C2001" s="355"/>
      <c r="D2001" s="97"/>
      <c r="E2001" s="98"/>
      <c r="F2001" s="98"/>
      <c r="G2001" s="41"/>
      <c r="H2001" s="98"/>
      <c r="I2001" s="98"/>
      <c r="J2001" s="98"/>
      <c r="K2001" s="91"/>
      <c r="L2001" s="91"/>
      <c r="M2001" s="91"/>
      <c r="N2001" s="96" t="b">
        <v>0</v>
      </c>
      <c r="O2001" s="96" t="b">
        <v>0</v>
      </c>
      <c r="P2001" s="92"/>
      <c r="Q2001" s="92"/>
      <c r="R2001" s="92"/>
      <c r="S2001" s="92"/>
      <c r="T2001" s="92"/>
      <c r="U2001" s="92"/>
      <c r="V2001" s="92"/>
      <c r="W2001" s="92"/>
      <c r="X2001" s="92"/>
      <c r="Y2001" s="92"/>
      <c r="Z2001" s="92"/>
      <c r="AA2001" s="92"/>
      <c r="AB2001" s="92"/>
      <c r="AC2001" s="92"/>
      <c r="AD2001" s="92"/>
      <c r="AE2001" s="92"/>
      <c r="AF2001" s="92"/>
      <c r="AG2001" s="92"/>
    </row>
    <row r="2002">
      <c r="A2002" s="262"/>
      <c r="B2002" s="354"/>
      <c r="C2002" s="355"/>
      <c r="D2002" s="97"/>
      <c r="E2002" s="98"/>
      <c r="F2002" s="98"/>
      <c r="G2002" s="41"/>
      <c r="H2002" s="98"/>
      <c r="I2002" s="98"/>
      <c r="J2002" s="98"/>
      <c r="K2002" s="91"/>
      <c r="L2002" s="91"/>
      <c r="M2002" s="91"/>
      <c r="N2002" s="96" t="b">
        <v>0</v>
      </c>
      <c r="O2002" s="96" t="b">
        <v>0</v>
      </c>
      <c r="P2002" s="92"/>
      <c r="Q2002" s="92"/>
      <c r="R2002" s="92"/>
      <c r="S2002" s="92"/>
      <c r="T2002" s="92"/>
      <c r="U2002" s="92"/>
      <c r="V2002" s="92"/>
      <c r="W2002" s="92"/>
      <c r="X2002" s="92"/>
      <c r="Y2002" s="92"/>
      <c r="Z2002" s="92"/>
      <c r="AA2002" s="92"/>
      <c r="AB2002" s="92"/>
      <c r="AC2002" s="92"/>
      <c r="AD2002" s="92"/>
      <c r="AE2002" s="92"/>
      <c r="AF2002" s="92"/>
      <c r="AG2002" s="92"/>
    </row>
    <row r="2003">
      <c r="A2003" s="262"/>
      <c r="B2003" s="354"/>
      <c r="C2003" s="355"/>
      <c r="D2003" s="97"/>
      <c r="E2003" s="98"/>
      <c r="F2003" s="98"/>
      <c r="G2003" s="41"/>
      <c r="H2003" s="98"/>
      <c r="I2003" s="98"/>
      <c r="J2003" s="98"/>
      <c r="K2003" s="91"/>
      <c r="L2003" s="91"/>
      <c r="M2003" s="91"/>
      <c r="N2003" s="96" t="b">
        <v>0</v>
      </c>
      <c r="O2003" s="96" t="b">
        <v>0</v>
      </c>
      <c r="P2003" s="92"/>
      <c r="Q2003" s="92"/>
      <c r="R2003" s="92"/>
      <c r="S2003" s="92"/>
      <c r="T2003" s="92"/>
      <c r="U2003" s="92"/>
      <c r="V2003" s="92"/>
      <c r="W2003" s="92"/>
      <c r="X2003" s="92"/>
      <c r="Y2003" s="92"/>
      <c r="Z2003" s="92"/>
      <c r="AA2003" s="92"/>
      <c r="AB2003" s="92"/>
      <c r="AC2003" s="92"/>
      <c r="AD2003" s="92"/>
      <c r="AE2003" s="92"/>
      <c r="AF2003" s="92"/>
      <c r="AG2003" s="92"/>
    </row>
    <row r="2004">
      <c r="A2004" s="262"/>
      <c r="B2004" s="354"/>
      <c r="C2004" s="355"/>
      <c r="D2004" s="97"/>
      <c r="E2004" s="98"/>
      <c r="F2004" s="98"/>
      <c r="G2004" s="41"/>
      <c r="H2004" s="98"/>
      <c r="I2004" s="98"/>
      <c r="J2004" s="98"/>
      <c r="K2004" s="91"/>
      <c r="L2004" s="91"/>
      <c r="M2004" s="91"/>
      <c r="N2004" s="96" t="b">
        <v>0</v>
      </c>
      <c r="O2004" s="96" t="b">
        <v>0</v>
      </c>
      <c r="P2004" s="92"/>
      <c r="Q2004" s="92"/>
      <c r="R2004" s="92"/>
      <c r="S2004" s="92"/>
      <c r="T2004" s="92"/>
      <c r="U2004" s="92"/>
      <c r="V2004" s="92"/>
      <c r="W2004" s="92"/>
      <c r="X2004" s="92"/>
      <c r="Y2004" s="92"/>
      <c r="Z2004" s="92"/>
      <c r="AA2004" s="92"/>
      <c r="AB2004" s="92"/>
      <c r="AC2004" s="92"/>
      <c r="AD2004" s="92"/>
      <c r="AE2004" s="92"/>
      <c r="AF2004" s="92"/>
      <c r="AG2004" s="92"/>
    </row>
    <row r="2005">
      <c r="A2005" s="262"/>
      <c r="B2005" s="354"/>
      <c r="C2005" s="355"/>
      <c r="D2005" s="97"/>
      <c r="E2005" s="98"/>
      <c r="F2005" s="98"/>
      <c r="G2005" s="41"/>
      <c r="H2005" s="98"/>
      <c r="I2005" s="98"/>
      <c r="J2005" s="98"/>
      <c r="K2005" s="91"/>
      <c r="L2005" s="91"/>
      <c r="M2005" s="91"/>
      <c r="N2005" s="96" t="b">
        <v>0</v>
      </c>
      <c r="O2005" s="96" t="b">
        <v>0</v>
      </c>
      <c r="P2005" s="92"/>
      <c r="Q2005" s="92"/>
      <c r="R2005" s="92"/>
      <c r="S2005" s="92"/>
      <c r="T2005" s="92"/>
      <c r="U2005" s="92"/>
      <c r="V2005" s="92"/>
      <c r="W2005" s="92"/>
      <c r="X2005" s="92"/>
      <c r="Y2005" s="92"/>
      <c r="Z2005" s="92"/>
      <c r="AA2005" s="92"/>
      <c r="AB2005" s="92"/>
      <c r="AC2005" s="92"/>
      <c r="AD2005" s="92"/>
      <c r="AE2005" s="92"/>
      <c r="AF2005" s="92"/>
      <c r="AG2005" s="92"/>
    </row>
    <row r="2006">
      <c r="A2006" s="262"/>
      <c r="B2006" s="354"/>
      <c r="C2006" s="355"/>
      <c r="D2006" s="97"/>
      <c r="E2006" s="98"/>
      <c r="F2006" s="98"/>
      <c r="G2006" s="41"/>
      <c r="H2006" s="98"/>
      <c r="I2006" s="98"/>
      <c r="J2006" s="98"/>
      <c r="K2006" s="91"/>
      <c r="L2006" s="91"/>
      <c r="M2006" s="91"/>
      <c r="N2006" s="96" t="b">
        <v>0</v>
      </c>
      <c r="O2006" s="96" t="b">
        <v>0</v>
      </c>
      <c r="P2006" s="92"/>
      <c r="Q2006" s="92"/>
      <c r="R2006" s="92"/>
      <c r="S2006" s="92"/>
      <c r="T2006" s="92"/>
      <c r="U2006" s="92"/>
      <c r="V2006" s="92"/>
      <c r="W2006" s="92"/>
      <c r="X2006" s="92"/>
      <c r="Y2006" s="92"/>
      <c r="Z2006" s="92"/>
      <c r="AA2006" s="92"/>
      <c r="AB2006" s="92"/>
      <c r="AC2006" s="92"/>
      <c r="AD2006" s="92"/>
      <c r="AE2006" s="92"/>
      <c r="AF2006" s="92"/>
      <c r="AG2006" s="92"/>
    </row>
    <row r="2007">
      <c r="A2007" s="262"/>
      <c r="B2007" s="354"/>
      <c r="C2007" s="355"/>
      <c r="D2007" s="97"/>
      <c r="E2007" s="98"/>
      <c r="F2007" s="98"/>
      <c r="G2007" s="41"/>
      <c r="H2007" s="98"/>
      <c r="I2007" s="98"/>
      <c r="J2007" s="98"/>
      <c r="K2007" s="91"/>
      <c r="L2007" s="91"/>
      <c r="M2007" s="91"/>
      <c r="N2007" s="96" t="b">
        <v>0</v>
      </c>
      <c r="O2007" s="96" t="b">
        <v>0</v>
      </c>
      <c r="P2007" s="92"/>
      <c r="Q2007" s="92"/>
      <c r="R2007" s="92"/>
      <c r="S2007" s="92"/>
      <c r="T2007" s="92"/>
      <c r="U2007" s="92"/>
      <c r="V2007" s="92"/>
      <c r="W2007" s="92"/>
      <c r="X2007" s="92"/>
      <c r="Y2007" s="92"/>
      <c r="Z2007" s="92"/>
      <c r="AA2007" s="92"/>
      <c r="AB2007" s="92"/>
      <c r="AC2007" s="92"/>
      <c r="AD2007" s="92"/>
      <c r="AE2007" s="92"/>
      <c r="AF2007" s="92"/>
      <c r="AG2007" s="92"/>
    </row>
    <row r="2008">
      <c r="A2008" s="262"/>
      <c r="B2008" s="354"/>
      <c r="C2008" s="355"/>
      <c r="D2008" s="97"/>
      <c r="E2008" s="98"/>
      <c r="F2008" s="98"/>
      <c r="G2008" s="41"/>
      <c r="H2008" s="98"/>
      <c r="I2008" s="98"/>
      <c r="J2008" s="98"/>
      <c r="K2008" s="91"/>
      <c r="L2008" s="91"/>
      <c r="M2008" s="91"/>
      <c r="N2008" s="96" t="b">
        <v>0</v>
      </c>
      <c r="O2008" s="96" t="b">
        <v>0</v>
      </c>
      <c r="P2008" s="92"/>
      <c r="Q2008" s="92"/>
      <c r="R2008" s="92"/>
      <c r="S2008" s="92"/>
      <c r="T2008" s="92"/>
      <c r="U2008" s="92"/>
      <c r="V2008" s="92"/>
      <c r="W2008" s="92"/>
      <c r="X2008" s="92"/>
      <c r="Y2008" s="92"/>
      <c r="Z2008" s="92"/>
      <c r="AA2008" s="92"/>
      <c r="AB2008" s="92"/>
      <c r="AC2008" s="92"/>
      <c r="AD2008" s="92"/>
      <c r="AE2008" s="92"/>
      <c r="AF2008" s="92"/>
      <c r="AG2008" s="92"/>
    </row>
    <row r="2009">
      <c r="A2009" s="262"/>
      <c r="B2009" s="354"/>
      <c r="C2009" s="355"/>
      <c r="D2009" s="97"/>
      <c r="E2009" s="98"/>
      <c r="F2009" s="98"/>
      <c r="G2009" s="41"/>
      <c r="H2009" s="98"/>
      <c r="I2009" s="98"/>
      <c r="J2009" s="98"/>
      <c r="K2009" s="91"/>
      <c r="L2009" s="91"/>
      <c r="M2009" s="91"/>
      <c r="N2009" s="96" t="b">
        <v>0</v>
      </c>
      <c r="O2009" s="96" t="b">
        <v>0</v>
      </c>
      <c r="P2009" s="92"/>
      <c r="Q2009" s="92"/>
      <c r="R2009" s="92"/>
      <c r="S2009" s="92"/>
      <c r="T2009" s="92"/>
      <c r="U2009" s="92"/>
      <c r="V2009" s="92"/>
      <c r="W2009" s="92"/>
      <c r="X2009" s="92"/>
      <c r="Y2009" s="92"/>
      <c r="Z2009" s="92"/>
      <c r="AA2009" s="92"/>
      <c r="AB2009" s="92"/>
      <c r="AC2009" s="92"/>
      <c r="AD2009" s="92"/>
      <c r="AE2009" s="92"/>
      <c r="AF2009" s="92"/>
      <c r="AG2009" s="92"/>
    </row>
    <row r="2010">
      <c r="A2010" s="262"/>
      <c r="B2010" s="354"/>
      <c r="C2010" s="355"/>
      <c r="D2010" s="97"/>
      <c r="E2010" s="98"/>
      <c r="F2010" s="98"/>
      <c r="G2010" s="41"/>
      <c r="H2010" s="98"/>
      <c r="I2010" s="98"/>
      <c r="J2010" s="98"/>
      <c r="K2010" s="91"/>
      <c r="L2010" s="91"/>
      <c r="M2010" s="91"/>
      <c r="N2010" s="96" t="b">
        <v>0</v>
      </c>
      <c r="O2010" s="96" t="b">
        <v>0</v>
      </c>
      <c r="P2010" s="92"/>
      <c r="Q2010" s="92"/>
      <c r="R2010" s="92"/>
      <c r="S2010" s="92"/>
      <c r="T2010" s="92"/>
      <c r="U2010" s="92"/>
      <c r="V2010" s="92"/>
      <c r="W2010" s="92"/>
      <c r="X2010" s="92"/>
      <c r="Y2010" s="92"/>
      <c r="Z2010" s="92"/>
      <c r="AA2010" s="92"/>
      <c r="AB2010" s="92"/>
      <c r="AC2010" s="92"/>
      <c r="AD2010" s="92"/>
      <c r="AE2010" s="92"/>
      <c r="AF2010" s="92"/>
      <c r="AG2010" s="92"/>
    </row>
    <row r="2011">
      <c r="A2011" s="262"/>
      <c r="B2011" s="354"/>
      <c r="C2011" s="355"/>
      <c r="D2011" s="97"/>
      <c r="E2011" s="98"/>
      <c r="F2011" s="98"/>
      <c r="G2011" s="41"/>
      <c r="H2011" s="98"/>
      <c r="I2011" s="98"/>
      <c r="J2011" s="98"/>
      <c r="K2011" s="91"/>
      <c r="L2011" s="91"/>
      <c r="M2011" s="91"/>
      <c r="N2011" s="96" t="b">
        <v>0</v>
      </c>
      <c r="O2011" s="96" t="b">
        <v>0</v>
      </c>
      <c r="P2011" s="92"/>
      <c r="Q2011" s="92"/>
      <c r="R2011" s="92"/>
      <c r="S2011" s="92"/>
      <c r="T2011" s="92"/>
      <c r="U2011" s="92"/>
      <c r="V2011" s="92"/>
      <c r="W2011" s="92"/>
      <c r="X2011" s="92"/>
      <c r="Y2011" s="92"/>
      <c r="Z2011" s="92"/>
      <c r="AA2011" s="92"/>
      <c r="AB2011" s="92"/>
      <c r="AC2011" s="92"/>
      <c r="AD2011" s="92"/>
      <c r="AE2011" s="92"/>
      <c r="AF2011" s="92"/>
      <c r="AG2011" s="92"/>
    </row>
    <row r="2012">
      <c r="A2012" s="262"/>
      <c r="B2012" s="354"/>
      <c r="C2012" s="355"/>
      <c r="D2012" s="97"/>
      <c r="E2012" s="98"/>
      <c r="F2012" s="98"/>
      <c r="G2012" s="41"/>
      <c r="H2012" s="98"/>
      <c r="I2012" s="98"/>
      <c r="J2012" s="98"/>
      <c r="K2012" s="91"/>
      <c r="L2012" s="91"/>
      <c r="M2012" s="91"/>
      <c r="N2012" s="96" t="b">
        <v>0</v>
      </c>
      <c r="O2012" s="96" t="b">
        <v>0</v>
      </c>
      <c r="P2012" s="92"/>
      <c r="Q2012" s="92"/>
      <c r="R2012" s="92"/>
      <c r="S2012" s="92"/>
      <c r="T2012" s="92"/>
      <c r="U2012" s="92"/>
      <c r="V2012" s="92"/>
      <c r="W2012" s="92"/>
      <c r="X2012" s="92"/>
      <c r="Y2012" s="92"/>
      <c r="Z2012" s="92"/>
      <c r="AA2012" s="92"/>
      <c r="AB2012" s="92"/>
      <c r="AC2012" s="92"/>
      <c r="AD2012" s="92"/>
      <c r="AE2012" s="92"/>
      <c r="AF2012" s="92"/>
      <c r="AG2012" s="92"/>
    </row>
    <row r="2013">
      <c r="A2013" s="262"/>
      <c r="B2013" s="354"/>
      <c r="C2013" s="355"/>
      <c r="D2013" s="97"/>
      <c r="E2013" s="98"/>
      <c r="F2013" s="98"/>
      <c r="G2013" s="41"/>
      <c r="H2013" s="98"/>
      <c r="I2013" s="98"/>
      <c r="J2013" s="98"/>
      <c r="K2013" s="91"/>
      <c r="L2013" s="91"/>
      <c r="M2013" s="91"/>
      <c r="N2013" s="96" t="b">
        <v>0</v>
      </c>
      <c r="O2013" s="96" t="b">
        <v>0</v>
      </c>
      <c r="P2013" s="92"/>
      <c r="Q2013" s="92"/>
      <c r="R2013" s="92"/>
      <c r="S2013" s="92"/>
      <c r="T2013" s="92"/>
      <c r="U2013" s="92"/>
      <c r="V2013" s="92"/>
      <c r="W2013" s="92"/>
      <c r="X2013" s="92"/>
      <c r="Y2013" s="92"/>
      <c r="Z2013" s="92"/>
      <c r="AA2013" s="92"/>
      <c r="AB2013" s="92"/>
      <c r="AC2013" s="92"/>
      <c r="AD2013" s="92"/>
      <c r="AE2013" s="92"/>
      <c r="AF2013" s="92"/>
      <c r="AG2013" s="92"/>
    </row>
    <row r="2014">
      <c r="A2014" s="262"/>
      <c r="B2014" s="354"/>
      <c r="C2014" s="355"/>
      <c r="D2014" s="97"/>
      <c r="E2014" s="98"/>
      <c r="F2014" s="98"/>
      <c r="G2014" s="41"/>
      <c r="H2014" s="98"/>
      <c r="I2014" s="98"/>
      <c r="J2014" s="98"/>
      <c r="K2014" s="91"/>
      <c r="L2014" s="91"/>
      <c r="M2014" s="91"/>
      <c r="N2014" s="96" t="b">
        <v>0</v>
      </c>
      <c r="O2014" s="96" t="b">
        <v>0</v>
      </c>
      <c r="P2014" s="92"/>
      <c r="Q2014" s="92"/>
      <c r="R2014" s="92"/>
      <c r="S2014" s="92"/>
      <c r="T2014" s="92"/>
      <c r="U2014" s="92"/>
      <c r="V2014" s="92"/>
      <c r="W2014" s="92"/>
      <c r="X2014" s="92"/>
      <c r="Y2014" s="92"/>
      <c r="Z2014" s="92"/>
      <c r="AA2014" s="92"/>
      <c r="AB2014" s="92"/>
      <c r="AC2014" s="92"/>
      <c r="AD2014" s="92"/>
      <c r="AE2014" s="92"/>
      <c r="AF2014" s="92"/>
      <c r="AG2014" s="92"/>
    </row>
    <row r="2015">
      <c r="A2015" s="262"/>
      <c r="B2015" s="354"/>
      <c r="C2015" s="355"/>
      <c r="D2015" s="97"/>
      <c r="E2015" s="98"/>
      <c r="F2015" s="98"/>
      <c r="G2015" s="41"/>
      <c r="H2015" s="98"/>
      <c r="I2015" s="98"/>
      <c r="J2015" s="98"/>
      <c r="K2015" s="91"/>
      <c r="L2015" s="91"/>
      <c r="M2015" s="91"/>
      <c r="N2015" s="96" t="b">
        <v>0</v>
      </c>
      <c r="O2015" s="96" t="b">
        <v>0</v>
      </c>
      <c r="P2015" s="92"/>
      <c r="Q2015" s="92"/>
      <c r="R2015" s="92"/>
      <c r="S2015" s="92"/>
      <c r="T2015" s="92"/>
      <c r="U2015" s="92"/>
      <c r="V2015" s="92"/>
      <c r="W2015" s="92"/>
      <c r="X2015" s="92"/>
      <c r="Y2015" s="92"/>
      <c r="Z2015" s="92"/>
      <c r="AA2015" s="92"/>
      <c r="AB2015" s="92"/>
      <c r="AC2015" s="92"/>
      <c r="AD2015" s="92"/>
      <c r="AE2015" s="92"/>
      <c r="AF2015" s="92"/>
      <c r="AG2015" s="92"/>
    </row>
    <row r="2016">
      <c r="A2016" s="262"/>
      <c r="B2016" s="354"/>
      <c r="C2016" s="355"/>
      <c r="D2016" s="97"/>
      <c r="E2016" s="98"/>
      <c r="F2016" s="98"/>
      <c r="G2016" s="41"/>
      <c r="H2016" s="98"/>
      <c r="I2016" s="98"/>
      <c r="J2016" s="98"/>
      <c r="K2016" s="91"/>
      <c r="L2016" s="91"/>
      <c r="M2016" s="91"/>
      <c r="N2016" s="96" t="b">
        <v>0</v>
      </c>
      <c r="O2016" s="96" t="b">
        <v>0</v>
      </c>
      <c r="P2016" s="92"/>
      <c r="Q2016" s="92"/>
      <c r="R2016" s="92"/>
      <c r="S2016" s="92"/>
      <c r="T2016" s="92"/>
      <c r="U2016" s="92"/>
      <c r="V2016" s="92"/>
      <c r="W2016" s="92"/>
      <c r="X2016" s="92"/>
      <c r="Y2016" s="92"/>
      <c r="Z2016" s="92"/>
      <c r="AA2016" s="92"/>
      <c r="AB2016" s="92"/>
      <c r="AC2016" s="92"/>
      <c r="AD2016" s="92"/>
      <c r="AE2016" s="92"/>
      <c r="AF2016" s="92"/>
      <c r="AG2016" s="92"/>
    </row>
    <row r="2017">
      <c r="A2017" s="262"/>
      <c r="B2017" s="354"/>
      <c r="C2017" s="355"/>
      <c r="D2017" s="97"/>
      <c r="E2017" s="98"/>
      <c r="F2017" s="98"/>
      <c r="G2017" s="41"/>
      <c r="H2017" s="98"/>
      <c r="I2017" s="98"/>
      <c r="J2017" s="98"/>
      <c r="K2017" s="91"/>
      <c r="L2017" s="91"/>
      <c r="M2017" s="91"/>
      <c r="N2017" s="96" t="b">
        <v>0</v>
      </c>
      <c r="O2017" s="96" t="b">
        <v>0</v>
      </c>
      <c r="P2017" s="92"/>
      <c r="Q2017" s="92"/>
      <c r="R2017" s="92"/>
      <c r="S2017" s="92"/>
      <c r="T2017" s="92"/>
      <c r="U2017" s="92"/>
      <c r="V2017" s="92"/>
      <c r="W2017" s="92"/>
      <c r="X2017" s="92"/>
      <c r="Y2017" s="92"/>
      <c r="Z2017" s="92"/>
      <c r="AA2017" s="92"/>
      <c r="AB2017" s="92"/>
      <c r="AC2017" s="92"/>
      <c r="AD2017" s="92"/>
      <c r="AE2017" s="92"/>
      <c r="AF2017" s="92"/>
      <c r="AG2017" s="92"/>
    </row>
    <row r="2018">
      <c r="A2018" s="262"/>
      <c r="B2018" s="354"/>
      <c r="C2018" s="355"/>
      <c r="D2018" s="97"/>
      <c r="E2018" s="98"/>
      <c r="F2018" s="98"/>
      <c r="G2018" s="41"/>
      <c r="H2018" s="98"/>
      <c r="I2018" s="98"/>
      <c r="J2018" s="98"/>
      <c r="K2018" s="91"/>
      <c r="L2018" s="91"/>
      <c r="M2018" s="91"/>
      <c r="N2018" s="96" t="b">
        <v>0</v>
      </c>
      <c r="O2018" s="96" t="b">
        <v>0</v>
      </c>
      <c r="P2018" s="92"/>
      <c r="Q2018" s="92"/>
      <c r="R2018" s="92"/>
      <c r="S2018" s="92"/>
      <c r="T2018" s="92"/>
      <c r="U2018" s="92"/>
      <c r="V2018" s="92"/>
      <c r="W2018" s="92"/>
      <c r="X2018" s="92"/>
      <c r="Y2018" s="92"/>
      <c r="Z2018" s="92"/>
      <c r="AA2018" s="92"/>
      <c r="AB2018" s="92"/>
      <c r="AC2018" s="92"/>
      <c r="AD2018" s="92"/>
      <c r="AE2018" s="92"/>
      <c r="AF2018" s="92"/>
      <c r="AG2018" s="92"/>
    </row>
    <row r="2019">
      <c r="A2019" s="262"/>
      <c r="B2019" s="354"/>
      <c r="C2019" s="355"/>
      <c r="D2019" s="97"/>
      <c r="E2019" s="98"/>
      <c r="F2019" s="98"/>
      <c r="G2019" s="41"/>
      <c r="H2019" s="98"/>
      <c r="I2019" s="98"/>
      <c r="J2019" s="98"/>
      <c r="K2019" s="91"/>
      <c r="L2019" s="91"/>
      <c r="M2019" s="91"/>
      <c r="N2019" s="96" t="b">
        <v>0</v>
      </c>
      <c r="O2019" s="96" t="b">
        <v>0</v>
      </c>
      <c r="P2019" s="92"/>
      <c r="Q2019" s="92"/>
      <c r="R2019" s="92"/>
      <c r="S2019" s="92"/>
      <c r="T2019" s="92"/>
      <c r="U2019" s="92"/>
      <c r="V2019" s="92"/>
      <c r="W2019" s="92"/>
      <c r="X2019" s="92"/>
      <c r="Y2019" s="92"/>
      <c r="Z2019" s="92"/>
      <c r="AA2019" s="92"/>
      <c r="AB2019" s="92"/>
      <c r="AC2019" s="92"/>
      <c r="AD2019" s="92"/>
      <c r="AE2019" s="92"/>
      <c r="AF2019" s="92"/>
      <c r="AG2019" s="92"/>
    </row>
    <row r="2020">
      <c r="A2020" s="262"/>
      <c r="B2020" s="354"/>
      <c r="C2020" s="355"/>
      <c r="D2020" s="97"/>
      <c r="E2020" s="98"/>
      <c r="F2020" s="98"/>
      <c r="G2020" s="41"/>
      <c r="H2020" s="98"/>
      <c r="I2020" s="98"/>
      <c r="J2020" s="98"/>
      <c r="K2020" s="91"/>
      <c r="L2020" s="91"/>
      <c r="M2020" s="91"/>
      <c r="N2020" s="96" t="b">
        <v>0</v>
      </c>
      <c r="O2020" s="96" t="b">
        <v>0</v>
      </c>
      <c r="P2020" s="92"/>
      <c r="Q2020" s="92"/>
      <c r="R2020" s="92"/>
      <c r="S2020" s="92"/>
      <c r="T2020" s="92"/>
      <c r="U2020" s="92"/>
      <c r="V2020" s="92"/>
      <c r="W2020" s="92"/>
      <c r="X2020" s="92"/>
      <c r="Y2020" s="92"/>
      <c r="Z2020" s="92"/>
      <c r="AA2020" s="92"/>
      <c r="AB2020" s="92"/>
      <c r="AC2020" s="92"/>
      <c r="AD2020" s="92"/>
      <c r="AE2020" s="92"/>
      <c r="AF2020" s="92"/>
      <c r="AG2020" s="92"/>
    </row>
    <row r="2021">
      <c r="A2021" s="262"/>
      <c r="B2021" s="354"/>
      <c r="C2021" s="355"/>
      <c r="D2021" s="97"/>
      <c r="E2021" s="98"/>
      <c r="F2021" s="98"/>
      <c r="G2021" s="41"/>
      <c r="H2021" s="98"/>
      <c r="I2021" s="98"/>
      <c r="J2021" s="98"/>
      <c r="K2021" s="91"/>
      <c r="L2021" s="91"/>
      <c r="M2021" s="91"/>
      <c r="N2021" s="96" t="b">
        <v>0</v>
      </c>
      <c r="O2021" s="96" t="b">
        <v>0</v>
      </c>
      <c r="P2021" s="92"/>
      <c r="Q2021" s="92"/>
      <c r="R2021" s="92"/>
      <c r="S2021" s="92"/>
      <c r="T2021" s="92"/>
      <c r="U2021" s="92"/>
      <c r="V2021" s="92"/>
      <c r="W2021" s="92"/>
      <c r="X2021" s="92"/>
      <c r="Y2021" s="92"/>
      <c r="Z2021" s="92"/>
      <c r="AA2021" s="92"/>
      <c r="AB2021" s="92"/>
      <c r="AC2021" s="92"/>
      <c r="AD2021" s="92"/>
      <c r="AE2021" s="92"/>
      <c r="AF2021" s="92"/>
      <c r="AG2021" s="92"/>
    </row>
    <row r="2022">
      <c r="A2022" s="262"/>
      <c r="B2022" s="354"/>
      <c r="C2022" s="355"/>
      <c r="D2022" s="97"/>
      <c r="E2022" s="98"/>
      <c r="F2022" s="98"/>
      <c r="G2022" s="41"/>
      <c r="H2022" s="98"/>
      <c r="I2022" s="98"/>
      <c r="J2022" s="98"/>
      <c r="K2022" s="91"/>
      <c r="L2022" s="91"/>
      <c r="M2022" s="91"/>
      <c r="N2022" s="96" t="b">
        <v>0</v>
      </c>
      <c r="O2022" s="96" t="b">
        <v>0</v>
      </c>
      <c r="P2022" s="92"/>
      <c r="Q2022" s="92"/>
      <c r="R2022" s="92"/>
      <c r="S2022" s="92"/>
      <c r="T2022" s="92"/>
      <c r="U2022" s="92"/>
      <c r="V2022" s="92"/>
      <c r="W2022" s="92"/>
      <c r="X2022" s="92"/>
      <c r="Y2022" s="92"/>
      <c r="Z2022" s="92"/>
      <c r="AA2022" s="92"/>
      <c r="AB2022" s="92"/>
      <c r="AC2022" s="92"/>
      <c r="AD2022" s="92"/>
      <c r="AE2022" s="92"/>
      <c r="AF2022" s="92"/>
      <c r="AG2022" s="92"/>
    </row>
    <row r="2023">
      <c r="A2023" s="262"/>
      <c r="B2023" s="354"/>
      <c r="C2023" s="355"/>
      <c r="D2023" s="97"/>
      <c r="E2023" s="98"/>
      <c r="F2023" s="98"/>
      <c r="G2023" s="41"/>
      <c r="H2023" s="98"/>
      <c r="I2023" s="98"/>
      <c r="J2023" s="98"/>
      <c r="K2023" s="91"/>
      <c r="L2023" s="91"/>
      <c r="M2023" s="91"/>
      <c r="N2023" s="96" t="b">
        <v>0</v>
      </c>
      <c r="O2023" s="96" t="b">
        <v>0</v>
      </c>
      <c r="P2023" s="92"/>
      <c r="Q2023" s="92"/>
      <c r="R2023" s="92"/>
      <c r="S2023" s="92"/>
      <c r="T2023" s="92"/>
      <c r="U2023" s="92"/>
      <c r="V2023" s="92"/>
      <c r="W2023" s="92"/>
      <c r="X2023" s="92"/>
      <c r="Y2023" s="92"/>
      <c r="Z2023" s="92"/>
      <c r="AA2023" s="92"/>
      <c r="AB2023" s="92"/>
      <c r="AC2023" s="92"/>
      <c r="AD2023" s="92"/>
      <c r="AE2023" s="92"/>
      <c r="AF2023" s="92"/>
      <c r="AG2023" s="92"/>
    </row>
    <row r="2024">
      <c r="A2024" s="262"/>
      <c r="B2024" s="354"/>
      <c r="C2024" s="355"/>
      <c r="D2024" s="97"/>
      <c r="E2024" s="98"/>
      <c r="F2024" s="98"/>
      <c r="G2024" s="41"/>
      <c r="H2024" s="98"/>
      <c r="I2024" s="98"/>
      <c r="J2024" s="98"/>
      <c r="K2024" s="91"/>
      <c r="L2024" s="91"/>
      <c r="M2024" s="91"/>
      <c r="N2024" s="96" t="b">
        <v>0</v>
      </c>
      <c r="O2024" s="96" t="b">
        <v>0</v>
      </c>
      <c r="P2024" s="92"/>
      <c r="Q2024" s="92"/>
      <c r="R2024" s="92"/>
      <c r="S2024" s="92"/>
      <c r="T2024" s="92"/>
      <c r="U2024" s="92"/>
      <c r="V2024" s="92"/>
      <c r="W2024" s="92"/>
      <c r="X2024" s="92"/>
      <c r="Y2024" s="92"/>
      <c r="Z2024" s="92"/>
      <c r="AA2024" s="92"/>
      <c r="AB2024" s="92"/>
      <c r="AC2024" s="92"/>
      <c r="AD2024" s="92"/>
      <c r="AE2024" s="92"/>
      <c r="AF2024" s="92"/>
      <c r="AG2024" s="92"/>
    </row>
    <row r="2025">
      <c r="A2025" s="262"/>
      <c r="B2025" s="354"/>
      <c r="C2025" s="355"/>
      <c r="D2025" s="97"/>
      <c r="E2025" s="98"/>
      <c r="F2025" s="98"/>
      <c r="G2025" s="41"/>
      <c r="H2025" s="98"/>
      <c r="I2025" s="98"/>
      <c r="J2025" s="98"/>
      <c r="K2025" s="91"/>
      <c r="L2025" s="91"/>
      <c r="M2025" s="91"/>
      <c r="N2025" s="96" t="b">
        <v>0</v>
      </c>
      <c r="O2025" s="96" t="b">
        <v>0</v>
      </c>
      <c r="P2025" s="92"/>
      <c r="Q2025" s="92"/>
      <c r="R2025" s="92"/>
      <c r="S2025" s="92"/>
      <c r="T2025" s="92"/>
      <c r="U2025" s="92"/>
      <c r="V2025" s="92"/>
      <c r="W2025" s="92"/>
      <c r="X2025" s="92"/>
      <c r="Y2025" s="92"/>
      <c r="Z2025" s="92"/>
      <c r="AA2025" s="92"/>
      <c r="AB2025" s="92"/>
      <c r="AC2025" s="92"/>
      <c r="AD2025" s="92"/>
      <c r="AE2025" s="92"/>
      <c r="AF2025" s="92"/>
      <c r="AG2025" s="92"/>
    </row>
    <row r="2026">
      <c r="A2026" s="262"/>
      <c r="B2026" s="354"/>
      <c r="C2026" s="355"/>
      <c r="D2026" s="97"/>
      <c r="E2026" s="98"/>
      <c r="F2026" s="98"/>
      <c r="G2026" s="41"/>
      <c r="H2026" s="98"/>
      <c r="I2026" s="98"/>
      <c r="J2026" s="98"/>
      <c r="K2026" s="91"/>
      <c r="L2026" s="91"/>
      <c r="M2026" s="91"/>
      <c r="N2026" s="96" t="b">
        <v>0</v>
      </c>
      <c r="O2026" s="96" t="b">
        <v>0</v>
      </c>
      <c r="P2026" s="92"/>
      <c r="Q2026" s="92"/>
      <c r="R2026" s="92"/>
      <c r="S2026" s="92"/>
      <c r="T2026" s="92"/>
      <c r="U2026" s="92"/>
      <c r="V2026" s="92"/>
      <c r="W2026" s="92"/>
      <c r="X2026" s="92"/>
      <c r="Y2026" s="92"/>
      <c r="Z2026" s="92"/>
      <c r="AA2026" s="92"/>
      <c r="AB2026" s="92"/>
      <c r="AC2026" s="92"/>
      <c r="AD2026" s="92"/>
      <c r="AE2026" s="92"/>
      <c r="AF2026" s="92"/>
      <c r="AG2026" s="92"/>
    </row>
    <row r="2027">
      <c r="A2027" s="262"/>
      <c r="B2027" s="354"/>
      <c r="C2027" s="355"/>
      <c r="D2027" s="97"/>
      <c r="E2027" s="98"/>
      <c r="F2027" s="98"/>
      <c r="G2027" s="41"/>
      <c r="H2027" s="98"/>
      <c r="I2027" s="98"/>
      <c r="J2027" s="98"/>
      <c r="K2027" s="91"/>
      <c r="L2027" s="91"/>
      <c r="M2027" s="91"/>
      <c r="N2027" s="96" t="b">
        <v>0</v>
      </c>
      <c r="O2027" s="96" t="b">
        <v>0</v>
      </c>
      <c r="P2027" s="92"/>
      <c r="Q2027" s="92"/>
      <c r="R2027" s="92"/>
      <c r="S2027" s="92"/>
      <c r="T2027" s="92"/>
      <c r="U2027" s="92"/>
      <c r="V2027" s="92"/>
      <c r="W2027" s="92"/>
      <c r="X2027" s="92"/>
      <c r="Y2027" s="92"/>
      <c r="Z2027" s="92"/>
      <c r="AA2027" s="92"/>
      <c r="AB2027" s="92"/>
      <c r="AC2027" s="92"/>
      <c r="AD2027" s="92"/>
      <c r="AE2027" s="92"/>
      <c r="AF2027" s="92"/>
      <c r="AG2027" s="92"/>
    </row>
    <row r="2028">
      <c r="A2028" s="262"/>
      <c r="B2028" s="354"/>
      <c r="C2028" s="355"/>
      <c r="D2028" s="97"/>
      <c r="E2028" s="98"/>
      <c r="F2028" s="98"/>
      <c r="G2028" s="41"/>
      <c r="H2028" s="98"/>
      <c r="I2028" s="98"/>
      <c r="J2028" s="98"/>
      <c r="K2028" s="91"/>
      <c r="L2028" s="91"/>
      <c r="M2028" s="91"/>
      <c r="N2028" s="96" t="b">
        <v>0</v>
      </c>
      <c r="O2028" s="96" t="b">
        <v>0</v>
      </c>
      <c r="P2028" s="92"/>
      <c r="Q2028" s="92"/>
      <c r="R2028" s="92"/>
      <c r="S2028" s="92"/>
      <c r="T2028" s="92"/>
      <c r="U2028" s="92"/>
      <c r="V2028" s="92"/>
      <c r="W2028" s="92"/>
      <c r="X2028" s="92"/>
      <c r="Y2028" s="92"/>
      <c r="Z2028" s="92"/>
      <c r="AA2028" s="92"/>
      <c r="AB2028" s="92"/>
      <c r="AC2028" s="92"/>
      <c r="AD2028" s="92"/>
      <c r="AE2028" s="92"/>
      <c r="AF2028" s="92"/>
      <c r="AG2028" s="92"/>
    </row>
    <row r="2029">
      <c r="A2029" s="262"/>
      <c r="B2029" s="354"/>
      <c r="C2029" s="355"/>
      <c r="D2029" s="97"/>
      <c r="E2029" s="98"/>
      <c r="F2029" s="98"/>
      <c r="G2029" s="41"/>
      <c r="H2029" s="98"/>
      <c r="I2029" s="98"/>
      <c r="J2029" s="98"/>
      <c r="K2029" s="91"/>
      <c r="L2029" s="91"/>
      <c r="M2029" s="91"/>
      <c r="N2029" s="96" t="b">
        <v>0</v>
      </c>
      <c r="O2029" s="96" t="b">
        <v>0</v>
      </c>
      <c r="P2029" s="92"/>
      <c r="Q2029" s="92"/>
      <c r="R2029" s="92"/>
      <c r="S2029" s="92"/>
      <c r="T2029" s="92"/>
      <c r="U2029" s="92"/>
      <c r="V2029" s="92"/>
      <c r="W2029" s="92"/>
      <c r="X2029" s="92"/>
      <c r="Y2029" s="92"/>
      <c r="Z2029" s="92"/>
      <c r="AA2029" s="92"/>
      <c r="AB2029" s="92"/>
      <c r="AC2029" s="92"/>
      <c r="AD2029" s="92"/>
      <c r="AE2029" s="92"/>
      <c r="AF2029" s="92"/>
      <c r="AG2029" s="92"/>
    </row>
    <row r="2030">
      <c r="A2030" s="262"/>
      <c r="B2030" s="354"/>
      <c r="C2030" s="355"/>
      <c r="D2030" s="97"/>
      <c r="E2030" s="98"/>
      <c r="F2030" s="98"/>
      <c r="G2030" s="41"/>
      <c r="H2030" s="98"/>
      <c r="I2030" s="98"/>
      <c r="J2030" s="98"/>
      <c r="K2030" s="91"/>
      <c r="L2030" s="91"/>
      <c r="M2030" s="91"/>
      <c r="N2030" s="96" t="b">
        <v>0</v>
      </c>
      <c r="O2030" s="96" t="b">
        <v>0</v>
      </c>
      <c r="P2030" s="92"/>
      <c r="Q2030" s="92"/>
      <c r="R2030" s="92"/>
      <c r="S2030" s="92"/>
      <c r="T2030" s="92"/>
      <c r="U2030" s="92"/>
      <c r="V2030" s="92"/>
      <c r="W2030" s="92"/>
      <c r="X2030" s="92"/>
      <c r="Y2030" s="92"/>
      <c r="Z2030" s="92"/>
      <c r="AA2030" s="92"/>
      <c r="AB2030" s="92"/>
      <c r="AC2030" s="92"/>
      <c r="AD2030" s="92"/>
      <c r="AE2030" s="92"/>
      <c r="AF2030" s="92"/>
      <c r="AG2030" s="92"/>
    </row>
    <row r="2031">
      <c r="A2031" s="262"/>
      <c r="B2031" s="354"/>
      <c r="C2031" s="355"/>
      <c r="D2031" s="97"/>
      <c r="E2031" s="98"/>
      <c r="F2031" s="98"/>
      <c r="G2031" s="41"/>
      <c r="H2031" s="98"/>
      <c r="I2031" s="98"/>
      <c r="J2031" s="98"/>
      <c r="K2031" s="91"/>
      <c r="L2031" s="91"/>
      <c r="M2031" s="91"/>
      <c r="N2031" s="96" t="b">
        <v>0</v>
      </c>
      <c r="O2031" s="96" t="b">
        <v>0</v>
      </c>
      <c r="P2031" s="92"/>
      <c r="Q2031" s="92"/>
      <c r="R2031" s="92"/>
      <c r="S2031" s="92"/>
      <c r="T2031" s="92"/>
      <c r="U2031" s="92"/>
      <c r="V2031" s="92"/>
      <c r="W2031" s="92"/>
      <c r="X2031" s="92"/>
      <c r="Y2031" s="92"/>
      <c r="Z2031" s="92"/>
      <c r="AA2031" s="92"/>
      <c r="AB2031" s="92"/>
      <c r="AC2031" s="92"/>
      <c r="AD2031" s="92"/>
      <c r="AE2031" s="92"/>
      <c r="AF2031" s="92"/>
      <c r="AG2031" s="92"/>
    </row>
    <row r="2032">
      <c r="A2032" s="262"/>
      <c r="B2032" s="354"/>
      <c r="C2032" s="355"/>
      <c r="D2032" s="97"/>
      <c r="E2032" s="98"/>
      <c r="F2032" s="98"/>
      <c r="G2032" s="41"/>
      <c r="H2032" s="98"/>
      <c r="I2032" s="98"/>
      <c r="J2032" s="98"/>
      <c r="K2032" s="91"/>
      <c r="L2032" s="91"/>
      <c r="M2032" s="91"/>
      <c r="N2032" s="96" t="b">
        <v>0</v>
      </c>
      <c r="O2032" s="96" t="b">
        <v>0</v>
      </c>
      <c r="P2032" s="92"/>
      <c r="Q2032" s="92"/>
      <c r="R2032" s="92"/>
      <c r="S2032" s="92"/>
      <c r="T2032" s="92"/>
      <c r="U2032" s="92"/>
      <c r="V2032" s="92"/>
      <c r="W2032" s="92"/>
      <c r="X2032" s="92"/>
      <c r="Y2032" s="92"/>
      <c r="Z2032" s="92"/>
      <c r="AA2032" s="92"/>
      <c r="AB2032" s="92"/>
      <c r="AC2032" s="92"/>
      <c r="AD2032" s="92"/>
      <c r="AE2032" s="92"/>
      <c r="AF2032" s="92"/>
      <c r="AG2032" s="92"/>
    </row>
    <row r="2033">
      <c r="A2033" s="262"/>
      <c r="B2033" s="354"/>
      <c r="C2033" s="355"/>
      <c r="D2033" s="97"/>
      <c r="E2033" s="98"/>
      <c r="F2033" s="98"/>
      <c r="G2033" s="41"/>
      <c r="H2033" s="98"/>
      <c r="I2033" s="98"/>
      <c r="J2033" s="98"/>
      <c r="K2033" s="91"/>
      <c r="L2033" s="91"/>
      <c r="M2033" s="91"/>
      <c r="N2033" s="96" t="b">
        <v>0</v>
      </c>
      <c r="O2033" s="96" t="b">
        <v>0</v>
      </c>
      <c r="P2033" s="92"/>
      <c r="Q2033" s="92"/>
      <c r="R2033" s="92"/>
      <c r="S2033" s="92"/>
      <c r="T2033" s="92"/>
      <c r="U2033" s="92"/>
      <c r="V2033" s="92"/>
      <c r="W2033" s="92"/>
      <c r="X2033" s="92"/>
      <c r="Y2033" s="92"/>
      <c r="Z2033" s="92"/>
      <c r="AA2033" s="92"/>
      <c r="AB2033" s="92"/>
      <c r="AC2033" s="92"/>
      <c r="AD2033" s="92"/>
      <c r="AE2033" s="92"/>
      <c r="AF2033" s="92"/>
      <c r="AG2033" s="92"/>
    </row>
    <row r="2034">
      <c r="A2034" s="262"/>
      <c r="B2034" s="354"/>
      <c r="C2034" s="355"/>
      <c r="D2034" s="97"/>
      <c r="E2034" s="98"/>
      <c r="F2034" s="98"/>
      <c r="G2034" s="41"/>
      <c r="H2034" s="98"/>
      <c r="I2034" s="98"/>
      <c r="J2034" s="98"/>
      <c r="K2034" s="91"/>
      <c r="L2034" s="91"/>
      <c r="M2034" s="91"/>
      <c r="N2034" s="96" t="b">
        <v>0</v>
      </c>
      <c r="O2034" s="96" t="b">
        <v>0</v>
      </c>
      <c r="P2034" s="92"/>
      <c r="Q2034" s="92"/>
      <c r="R2034" s="92"/>
      <c r="S2034" s="92"/>
      <c r="T2034" s="92"/>
      <c r="U2034" s="92"/>
      <c r="V2034" s="92"/>
      <c r="W2034" s="92"/>
      <c r="X2034" s="92"/>
      <c r="Y2034" s="92"/>
      <c r="Z2034" s="92"/>
      <c r="AA2034" s="92"/>
      <c r="AB2034" s="92"/>
      <c r="AC2034" s="92"/>
      <c r="AD2034" s="92"/>
      <c r="AE2034" s="92"/>
      <c r="AF2034" s="92"/>
      <c r="AG2034" s="92"/>
    </row>
    <row r="2035">
      <c r="A2035" s="262"/>
      <c r="B2035" s="354"/>
      <c r="C2035" s="355"/>
      <c r="D2035" s="97"/>
      <c r="E2035" s="98"/>
      <c r="F2035" s="98"/>
      <c r="G2035" s="41"/>
      <c r="H2035" s="98"/>
      <c r="I2035" s="98"/>
      <c r="J2035" s="98"/>
      <c r="K2035" s="91"/>
      <c r="L2035" s="91"/>
      <c r="M2035" s="91"/>
      <c r="N2035" s="96" t="b">
        <v>0</v>
      </c>
      <c r="O2035" s="96" t="b">
        <v>0</v>
      </c>
      <c r="P2035" s="92"/>
      <c r="Q2035" s="92"/>
      <c r="R2035" s="92"/>
      <c r="S2035" s="92"/>
      <c r="T2035" s="92"/>
      <c r="U2035" s="92"/>
      <c r="V2035" s="92"/>
      <c r="W2035" s="92"/>
      <c r="X2035" s="92"/>
      <c r="Y2035" s="92"/>
      <c r="Z2035" s="92"/>
      <c r="AA2035" s="92"/>
      <c r="AB2035" s="92"/>
      <c r="AC2035" s="92"/>
      <c r="AD2035" s="92"/>
      <c r="AE2035" s="92"/>
      <c r="AF2035" s="92"/>
      <c r="AG2035" s="92"/>
    </row>
    <row r="2036">
      <c r="A2036" s="262"/>
      <c r="B2036" s="354"/>
      <c r="C2036" s="355"/>
      <c r="D2036" s="97"/>
      <c r="E2036" s="98"/>
      <c r="F2036" s="98"/>
      <c r="G2036" s="41"/>
      <c r="H2036" s="98"/>
      <c r="I2036" s="98"/>
      <c r="J2036" s="98"/>
      <c r="K2036" s="91"/>
      <c r="L2036" s="91"/>
      <c r="M2036" s="91"/>
      <c r="N2036" s="96" t="b">
        <v>0</v>
      </c>
      <c r="O2036" s="96" t="b">
        <v>0</v>
      </c>
      <c r="P2036" s="92"/>
      <c r="Q2036" s="92"/>
      <c r="R2036" s="92"/>
      <c r="S2036" s="92"/>
      <c r="T2036" s="92"/>
      <c r="U2036" s="92"/>
      <c r="V2036" s="92"/>
      <c r="W2036" s="92"/>
      <c r="X2036" s="92"/>
      <c r="Y2036" s="92"/>
      <c r="Z2036" s="92"/>
      <c r="AA2036" s="92"/>
      <c r="AB2036" s="92"/>
      <c r="AC2036" s="92"/>
      <c r="AD2036" s="92"/>
      <c r="AE2036" s="92"/>
      <c r="AF2036" s="92"/>
      <c r="AG2036" s="92"/>
    </row>
    <row r="2037">
      <c r="A2037" s="262"/>
      <c r="B2037" s="354"/>
      <c r="C2037" s="355"/>
      <c r="D2037" s="97"/>
      <c r="E2037" s="98"/>
      <c r="F2037" s="98"/>
      <c r="G2037" s="41"/>
      <c r="H2037" s="98"/>
      <c r="I2037" s="98"/>
      <c r="J2037" s="98"/>
      <c r="K2037" s="91"/>
      <c r="L2037" s="91"/>
      <c r="M2037" s="91"/>
      <c r="N2037" s="96" t="b">
        <v>0</v>
      </c>
      <c r="O2037" s="96" t="b">
        <v>0</v>
      </c>
      <c r="P2037" s="92"/>
      <c r="Q2037" s="92"/>
      <c r="R2037" s="92"/>
      <c r="S2037" s="92"/>
      <c r="T2037" s="92"/>
      <c r="U2037" s="92"/>
      <c r="V2037" s="92"/>
      <c r="W2037" s="92"/>
      <c r="X2037" s="92"/>
      <c r="Y2037" s="92"/>
      <c r="Z2037" s="92"/>
      <c r="AA2037" s="92"/>
      <c r="AB2037" s="92"/>
      <c r="AC2037" s="92"/>
      <c r="AD2037" s="92"/>
      <c r="AE2037" s="92"/>
      <c r="AF2037" s="92"/>
      <c r="AG2037" s="92"/>
    </row>
    <row r="2038">
      <c r="A2038" s="262"/>
      <c r="B2038" s="354"/>
      <c r="C2038" s="355"/>
      <c r="D2038" s="97"/>
      <c r="E2038" s="98"/>
      <c r="F2038" s="98"/>
      <c r="G2038" s="41"/>
      <c r="H2038" s="98"/>
      <c r="I2038" s="98"/>
      <c r="J2038" s="98"/>
      <c r="K2038" s="91"/>
      <c r="L2038" s="91"/>
      <c r="M2038" s="91"/>
      <c r="N2038" s="96" t="b">
        <v>0</v>
      </c>
      <c r="O2038" s="96" t="b">
        <v>0</v>
      </c>
      <c r="P2038" s="92"/>
      <c r="Q2038" s="92"/>
      <c r="R2038" s="92"/>
      <c r="S2038" s="92"/>
      <c r="T2038" s="92"/>
      <c r="U2038" s="92"/>
      <c r="V2038" s="92"/>
      <c r="W2038" s="92"/>
      <c r="X2038" s="92"/>
      <c r="Y2038" s="92"/>
      <c r="Z2038" s="92"/>
      <c r="AA2038" s="92"/>
      <c r="AB2038" s="92"/>
      <c r="AC2038" s="92"/>
      <c r="AD2038" s="92"/>
      <c r="AE2038" s="92"/>
      <c r="AF2038" s="92"/>
      <c r="AG2038" s="92"/>
    </row>
    <row r="2039">
      <c r="A2039" s="262"/>
      <c r="B2039" s="354"/>
      <c r="C2039" s="355"/>
      <c r="D2039" s="97"/>
      <c r="E2039" s="98"/>
      <c r="F2039" s="98"/>
      <c r="G2039" s="41"/>
      <c r="H2039" s="98"/>
      <c r="I2039" s="98"/>
      <c r="J2039" s="98"/>
      <c r="K2039" s="91"/>
      <c r="L2039" s="91"/>
      <c r="M2039" s="91"/>
      <c r="N2039" s="96" t="b">
        <v>0</v>
      </c>
      <c r="O2039" s="96" t="b">
        <v>0</v>
      </c>
      <c r="P2039" s="92"/>
      <c r="Q2039" s="92"/>
      <c r="R2039" s="92"/>
      <c r="S2039" s="92"/>
      <c r="T2039" s="92"/>
      <c r="U2039" s="92"/>
      <c r="V2039" s="92"/>
      <c r="W2039" s="92"/>
      <c r="X2039" s="92"/>
      <c r="Y2039" s="92"/>
      <c r="Z2039" s="92"/>
      <c r="AA2039" s="92"/>
      <c r="AB2039" s="92"/>
      <c r="AC2039" s="92"/>
      <c r="AD2039" s="92"/>
      <c r="AE2039" s="92"/>
      <c r="AF2039" s="92"/>
      <c r="AG2039" s="92"/>
    </row>
    <row r="2040">
      <c r="A2040" s="262"/>
      <c r="B2040" s="354"/>
      <c r="C2040" s="355"/>
      <c r="D2040" s="97"/>
      <c r="E2040" s="98"/>
      <c r="F2040" s="98"/>
      <c r="G2040" s="41"/>
      <c r="H2040" s="98"/>
      <c r="I2040" s="98"/>
      <c r="J2040" s="98"/>
      <c r="K2040" s="91"/>
      <c r="L2040" s="91"/>
      <c r="M2040" s="91"/>
      <c r="N2040" s="96" t="b">
        <v>0</v>
      </c>
      <c r="O2040" s="96" t="b">
        <v>0</v>
      </c>
      <c r="P2040" s="92"/>
      <c r="Q2040" s="92"/>
      <c r="R2040" s="92"/>
      <c r="S2040" s="92"/>
      <c r="T2040" s="92"/>
      <c r="U2040" s="92"/>
      <c r="V2040" s="92"/>
      <c r="W2040" s="92"/>
      <c r="X2040" s="92"/>
      <c r="Y2040" s="92"/>
      <c r="Z2040" s="92"/>
      <c r="AA2040" s="92"/>
      <c r="AB2040" s="92"/>
      <c r="AC2040" s="92"/>
      <c r="AD2040" s="92"/>
      <c r="AE2040" s="92"/>
      <c r="AF2040" s="92"/>
      <c r="AG2040" s="92"/>
    </row>
    <row r="2041">
      <c r="A2041" s="262"/>
      <c r="B2041" s="354"/>
      <c r="C2041" s="355"/>
      <c r="D2041" s="97"/>
      <c r="E2041" s="98"/>
      <c r="F2041" s="98"/>
      <c r="G2041" s="41"/>
      <c r="H2041" s="98"/>
      <c r="I2041" s="98"/>
      <c r="J2041" s="98"/>
      <c r="K2041" s="91"/>
      <c r="L2041" s="91"/>
      <c r="M2041" s="91"/>
      <c r="N2041" s="96" t="b">
        <v>0</v>
      </c>
      <c r="O2041" s="96" t="b">
        <v>0</v>
      </c>
      <c r="P2041" s="92"/>
      <c r="Q2041" s="92"/>
      <c r="R2041" s="92"/>
      <c r="S2041" s="92"/>
      <c r="T2041" s="92"/>
      <c r="U2041" s="92"/>
      <c r="V2041" s="92"/>
      <c r="W2041" s="92"/>
      <c r="X2041" s="92"/>
      <c r="Y2041" s="92"/>
      <c r="Z2041" s="92"/>
      <c r="AA2041" s="92"/>
      <c r="AB2041" s="92"/>
      <c r="AC2041" s="92"/>
      <c r="AD2041" s="92"/>
      <c r="AE2041" s="92"/>
      <c r="AF2041" s="92"/>
      <c r="AG2041" s="92"/>
    </row>
    <row r="2042">
      <c r="A2042" s="262"/>
      <c r="B2042" s="354"/>
      <c r="C2042" s="355"/>
      <c r="D2042" s="97"/>
      <c r="E2042" s="98"/>
      <c r="F2042" s="98"/>
      <c r="G2042" s="41"/>
      <c r="H2042" s="98"/>
      <c r="I2042" s="98"/>
      <c r="J2042" s="98"/>
      <c r="K2042" s="91"/>
      <c r="L2042" s="91"/>
      <c r="M2042" s="91"/>
      <c r="N2042" s="96" t="b">
        <v>0</v>
      </c>
      <c r="O2042" s="96" t="b">
        <v>0</v>
      </c>
      <c r="P2042" s="92"/>
      <c r="Q2042" s="92"/>
      <c r="R2042" s="92"/>
      <c r="S2042" s="92"/>
      <c r="T2042" s="92"/>
      <c r="U2042" s="92"/>
      <c r="V2042" s="92"/>
      <c r="W2042" s="92"/>
      <c r="X2042" s="92"/>
      <c r="Y2042" s="92"/>
      <c r="Z2042" s="92"/>
      <c r="AA2042" s="92"/>
      <c r="AB2042" s="92"/>
      <c r="AC2042" s="92"/>
      <c r="AD2042" s="92"/>
      <c r="AE2042" s="92"/>
      <c r="AF2042" s="92"/>
      <c r="AG2042" s="92"/>
    </row>
    <row r="2043">
      <c r="A2043" s="262"/>
      <c r="B2043" s="354"/>
      <c r="C2043" s="355"/>
      <c r="D2043" s="97"/>
      <c r="E2043" s="98"/>
      <c r="F2043" s="98"/>
      <c r="G2043" s="41"/>
      <c r="H2043" s="98"/>
      <c r="I2043" s="98"/>
      <c r="J2043" s="98"/>
      <c r="K2043" s="91"/>
      <c r="L2043" s="91"/>
      <c r="M2043" s="91"/>
      <c r="N2043" s="96" t="b">
        <v>0</v>
      </c>
      <c r="O2043" s="96" t="b">
        <v>0</v>
      </c>
      <c r="P2043" s="92"/>
      <c r="Q2043" s="92"/>
      <c r="R2043" s="92"/>
      <c r="S2043" s="92"/>
      <c r="T2043" s="92"/>
      <c r="U2043" s="92"/>
      <c r="V2043" s="92"/>
      <c r="W2043" s="92"/>
      <c r="X2043" s="92"/>
      <c r="Y2043" s="92"/>
      <c r="Z2043" s="92"/>
      <c r="AA2043" s="92"/>
      <c r="AB2043" s="92"/>
      <c r="AC2043" s="92"/>
      <c r="AD2043" s="92"/>
      <c r="AE2043" s="92"/>
      <c r="AF2043" s="92"/>
      <c r="AG2043" s="92"/>
    </row>
    <row r="2044">
      <c r="A2044" s="262"/>
      <c r="B2044" s="354"/>
      <c r="C2044" s="355"/>
      <c r="D2044" s="97"/>
      <c r="E2044" s="98"/>
      <c r="F2044" s="98"/>
      <c r="G2044" s="41"/>
      <c r="H2044" s="98"/>
      <c r="I2044" s="98"/>
      <c r="J2044" s="98"/>
      <c r="K2044" s="91"/>
      <c r="L2044" s="91"/>
      <c r="M2044" s="91"/>
      <c r="N2044" s="96" t="b">
        <v>0</v>
      </c>
      <c r="O2044" s="96" t="b">
        <v>0</v>
      </c>
      <c r="P2044" s="92"/>
      <c r="Q2044" s="92"/>
      <c r="R2044" s="92"/>
      <c r="S2044" s="92"/>
      <c r="T2044" s="92"/>
      <c r="U2044" s="92"/>
      <c r="V2044" s="92"/>
      <c r="W2044" s="92"/>
      <c r="X2044" s="92"/>
      <c r="Y2044" s="92"/>
      <c r="Z2044" s="92"/>
      <c r="AA2044" s="92"/>
      <c r="AB2044" s="92"/>
      <c r="AC2044" s="92"/>
      <c r="AD2044" s="92"/>
      <c r="AE2044" s="92"/>
      <c r="AF2044" s="92"/>
      <c r="AG2044" s="92"/>
    </row>
    <row r="2045">
      <c r="A2045" s="262"/>
      <c r="B2045" s="354"/>
      <c r="C2045" s="355"/>
      <c r="D2045" s="97"/>
      <c r="E2045" s="98"/>
      <c r="F2045" s="98"/>
      <c r="G2045" s="41"/>
      <c r="H2045" s="98"/>
      <c r="I2045" s="98"/>
      <c r="J2045" s="98"/>
      <c r="K2045" s="91"/>
      <c r="L2045" s="91"/>
      <c r="M2045" s="91"/>
      <c r="N2045" s="96" t="b">
        <v>0</v>
      </c>
      <c r="O2045" s="96" t="b">
        <v>0</v>
      </c>
      <c r="P2045" s="92"/>
      <c r="Q2045" s="92"/>
      <c r="R2045" s="92"/>
      <c r="S2045" s="92"/>
      <c r="T2045" s="92"/>
      <c r="U2045" s="92"/>
      <c r="V2045" s="92"/>
      <c r="W2045" s="92"/>
      <c r="X2045" s="92"/>
      <c r="Y2045" s="92"/>
      <c r="Z2045" s="92"/>
      <c r="AA2045" s="92"/>
      <c r="AB2045" s="92"/>
      <c r="AC2045" s="92"/>
      <c r="AD2045" s="92"/>
      <c r="AE2045" s="92"/>
      <c r="AF2045" s="92"/>
      <c r="AG2045" s="92"/>
    </row>
    <row r="2046">
      <c r="A2046" s="262"/>
      <c r="B2046" s="354"/>
      <c r="C2046" s="355"/>
      <c r="D2046" s="97"/>
      <c r="E2046" s="98"/>
      <c r="F2046" s="98"/>
      <c r="G2046" s="41"/>
      <c r="H2046" s="98"/>
      <c r="I2046" s="98"/>
      <c r="J2046" s="98"/>
      <c r="K2046" s="91"/>
      <c r="L2046" s="91"/>
      <c r="M2046" s="91"/>
      <c r="N2046" s="96" t="b">
        <v>0</v>
      </c>
      <c r="O2046" s="96" t="b">
        <v>0</v>
      </c>
      <c r="P2046" s="92"/>
      <c r="Q2046" s="92"/>
      <c r="R2046" s="92"/>
      <c r="S2046" s="92"/>
      <c r="T2046" s="92"/>
      <c r="U2046" s="92"/>
      <c r="V2046" s="92"/>
      <c r="W2046" s="92"/>
      <c r="X2046" s="92"/>
      <c r="Y2046" s="92"/>
      <c r="Z2046" s="92"/>
      <c r="AA2046" s="92"/>
      <c r="AB2046" s="92"/>
      <c r="AC2046" s="92"/>
      <c r="AD2046" s="92"/>
      <c r="AE2046" s="92"/>
      <c r="AF2046" s="92"/>
      <c r="AG2046" s="92"/>
    </row>
    <row r="2047">
      <c r="A2047" s="262"/>
      <c r="B2047" s="354"/>
      <c r="C2047" s="355"/>
      <c r="D2047" s="97"/>
      <c r="E2047" s="98"/>
      <c r="F2047" s="98"/>
      <c r="G2047" s="41"/>
      <c r="H2047" s="98"/>
      <c r="I2047" s="98"/>
      <c r="J2047" s="98"/>
      <c r="K2047" s="91"/>
      <c r="L2047" s="91"/>
      <c r="M2047" s="91"/>
      <c r="N2047" s="96" t="b">
        <v>0</v>
      </c>
      <c r="O2047" s="96" t="b">
        <v>0</v>
      </c>
      <c r="P2047" s="92"/>
      <c r="Q2047" s="92"/>
      <c r="R2047" s="92"/>
      <c r="S2047" s="92"/>
      <c r="T2047" s="92"/>
      <c r="U2047" s="92"/>
      <c r="V2047" s="92"/>
      <c r="W2047" s="92"/>
      <c r="X2047" s="92"/>
      <c r="Y2047" s="92"/>
      <c r="Z2047" s="92"/>
      <c r="AA2047" s="92"/>
      <c r="AB2047" s="92"/>
      <c r="AC2047" s="92"/>
      <c r="AD2047" s="92"/>
      <c r="AE2047" s="92"/>
      <c r="AF2047" s="92"/>
      <c r="AG2047" s="92"/>
    </row>
    <row r="2048">
      <c r="A2048" s="262"/>
      <c r="B2048" s="354"/>
      <c r="C2048" s="355"/>
      <c r="D2048" s="97"/>
      <c r="E2048" s="98"/>
      <c r="F2048" s="98"/>
      <c r="G2048" s="41"/>
      <c r="H2048" s="98"/>
      <c r="I2048" s="98"/>
      <c r="J2048" s="98"/>
      <c r="K2048" s="91"/>
      <c r="L2048" s="91"/>
      <c r="M2048" s="91"/>
      <c r="N2048" s="96" t="b">
        <v>0</v>
      </c>
      <c r="O2048" s="96" t="b">
        <v>0</v>
      </c>
      <c r="P2048" s="92"/>
      <c r="Q2048" s="92"/>
      <c r="R2048" s="92"/>
      <c r="S2048" s="92"/>
      <c r="T2048" s="92"/>
      <c r="U2048" s="92"/>
      <c r="V2048" s="92"/>
      <c r="W2048" s="92"/>
      <c r="X2048" s="92"/>
      <c r="Y2048" s="92"/>
      <c r="Z2048" s="92"/>
      <c r="AA2048" s="92"/>
      <c r="AB2048" s="92"/>
      <c r="AC2048" s="92"/>
      <c r="AD2048" s="92"/>
      <c r="AE2048" s="92"/>
      <c r="AF2048" s="92"/>
      <c r="AG2048" s="92"/>
    </row>
    <row r="2049">
      <c r="A2049" s="262"/>
      <c r="B2049" s="354"/>
      <c r="C2049" s="355"/>
      <c r="D2049" s="97"/>
      <c r="E2049" s="98"/>
      <c r="F2049" s="98"/>
      <c r="G2049" s="41"/>
      <c r="H2049" s="98"/>
      <c r="I2049" s="98"/>
      <c r="J2049" s="98"/>
      <c r="K2049" s="91"/>
      <c r="L2049" s="91"/>
      <c r="M2049" s="91"/>
      <c r="N2049" s="96" t="b">
        <v>0</v>
      </c>
      <c r="O2049" s="96" t="b">
        <v>0</v>
      </c>
      <c r="P2049" s="92"/>
      <c r="Q2049" s="92"/>
      <c r="R2049" s="92"/>
      <c r="S2049" s="92"/>
      <c r="T2049" s="92"/>
      <c r="U2049" s="92"/>
      <c r="V2049" s="92"/>
      <c r="W2049" s="92"/>
      <c r="X2049" s="92"/>
      <c r="Y2049" s="92"/>
      <c r="Z2049" s="92"/>
      <c r="AA2049" s="92"/>
      <c r="AB2049" s="92"/>
      <c r="AC2049" s="92"/>
      <c r="AD2049" s="92"/>
      <c r="AE2049" s="92"/>
      <c r="AF2049" s="92"/>
      <c r="AG2049" s="92"/>
    </row>
    <row r="2050">
      <c r="A2050" s="262"/>
      <c r="B2050" s="354"/>
      <c r="C2050" s="355"/>
      <c r="D2050" s="97"/>
      <c r="E2050" s="98"/>
      <c r="F2050" s="98"/>
      <c r="G2050" s="41"/>
      <c r="H2050" s="98"/>
      <c r="I2050" s="98"/>
      <c r="J2050" s="98"/>
      <c r="K2050" s="91"/>
      <c r="L2050" s="91"/>
      <c r="M2050" s="91"/>
      <c r="N2050" s="96" t="b">
        <v>0</v>
      </c>
      <c r="O2050" s="96" t="b">
        <v>0</v>
      </c>
      <c r="P2050" s="92"/>
      <c r="Q2050" s="92"/>
      <c r="R2050" s="92"/>
      <c r="S2050" s="92"/>
      <c r="T2050" s="92"/>
      <c r="U2050" s="92"/>
      <c r="V2050" s="92"/>
      <c r="W2050" s="92"/>
      <c r="X2050" s="92"/>
      <c r="Y2050" s="92"/>
      <c r="Z2050" s="92"/>
      <c r="AA2050" s="92"/>
      <c r="AB2050" s="92"/>
      <c r="AC2050" s="92"/>
      <c r="AD2050" s="92"/>
      <c r="AE2050" s="92"/>
      <c r="AF2050" s="92"/>
      <c r="AG2050" s="92"/>
    </row>
    <row r="2051">
      <c r="A2051" s="262"/>
      <c r="B2051" s="354"/>
      <c r="C2051" s="355"/>
      <c r="D2051" s="97"/>
      <c r="E2051" s="98"/>
      <c r="F2051" s="98"/>
      <c r="G2051" s="41"/>
      <c r="H2051" s="98"/>
      <c r="I2051" s="98"/>
      <c r="J2051" s="98"/>
      <c r="K2051" s="91"/>
      <c r="L2051" s="91"/>
      <c r="M2051" s="91"/>
      <c r="N2051" s="96" t="b">
        <v>0</v>
      </c>
      <c r="O2051" s="96" t="b">
        <v>0</v>
      </c>
      <c r="P2051" s="92"/>
      <c r="Q2051" s="92"/>
      <c r="R2051" s="92"/>
      <c r="S2051" s="92"/>
      <c r="T2051" s="92"/>
      <c r="U2051" s="92"/>
      <c r="V2051" s="92"/>
      <c r="W2051" s="92"/>
      <c r="X2051" s="92"/>
      <c r="Y2051" s="92"/>
      <c r="Z2051" s="92"/>
      <c r="AA2051" s="92"/>
      <c r="AB2051" s="92"/>
      <c r="AC2051" s="92"/>
      <c r="AD2051" s="92"/>
      <c r="AE2051" s="92"/>
      <c r="AF2051" s="92"/>
      <c r="AG2051" s="92"/>
    </row>
    <row r="2052">
      <c r="A2052" s="262"/>
      <c r="B2052" s="354"/>
      <c r="C2052" s="355"/>
      <c r="D2052" s="97"/>
      <c r="E2052" s="98"/>
      <c r="F2052" s="98"/>
      <c r="G2052" s="41"/>
      <c r="H2052" s="98"/>
      <c r="I2052" s="98"/>
      <c r="J2052" s="98"/>
      <c r="K2052" s="91"/>
      <c r="L2052" s="91"/>
      <c r="M2052" s="91"/>
      <c r="N2052" s="96" t="b">
        <v>0</v>
      </c>
      <c r="O2052" s="96" t="b">
        <v>0</v>
      </c>
      <c r="P2052" s="92"/>
      <c r="Q2052" s="92"/>
      <c r="R2052" s="92"/>
      <c r="S2052" s="92"/>
      <c r="T2052" s="92"/>
      <c r="U2052" s="92"/>
      <c r="V2052" s="92"/>
      <c r="W2052" s="92"/>
      <c r="X2052" s="92"/>
      <c r="Y2052" s="92"/>
      <c r="Z2052" s="92"/>
      <c r="AA2052" s="92"/>
      <c r="AB2052" s="92"/>
      <c r="AC2052" s="92"/>
      <c r="AD2052" s="92"/>
      <c r="AE2052" s="92"/>
      <c r="AF2052" s="92"/>
      <c r="AG2052" s="92"/>
    </row>
    <row r="2053">
      <c r="A2053" s="262"/>
      <c r="B2053" s="354"/>
      <c r="C2053" s="355"/>
      <c r="D2053" s="97"/>
      <c r="E2053" s="98"/>
      <c r="F2053" s="98"/>
      <c r="G2053" s="41"/>
      <c r="H2053" s="98"/>
      <c r="I2053" s="98"/>
      <c r="J2053" s="98"/>
      <c r="K2053" s="91"/>
      <c r="L2053" s="91"/>
      <c r="M2053" s="91"/>
      <c r="N2053" s="96" t="b">
        <v>0</v>
      </c>
      <c r="O2053" s="96" t="b">
        <v>0</v>
      </c>
      <c r="P2053" s="92"/>
      <c r="Q2053" s="92"/>
      <c r="R2053" s="92"/>
      <c r="S2053" s="92"/>
      <c r="T2053" s="92"/>
      <c r="U2053" s="92"/>
      <c r="V2053" s="92"/>
      <c r="W2053" s="92"/>
      <c r="X2053" s="92"/>
      <c r="Y2053" s="92"/>
      <c r="Z2053" s="92"/>
      <c r="AA2053" s="92"/>
      <c r="AB2053" s="92"/>
      <c r="AC2053" s="92"/>
      <c r="AD2053" s="92"/>
      <c r="AE2053" s="92"/>
      <c r="AF2053" s="92"/>
      <c r="AG2053" s="92"/>
    </row>
    <row r="2054">
      <c r="A2054" s="262"/>
      <c r="B2054" s="354"/>
      <c r="C2054" s="355"/>
      <c r="D2054" s="97"/>
      <c r="E2054" s="98"/>
      <c r="F2054" s="98"/>
      <c r="G2054" s="41"/>
      <c r="H2054" s="98"/>
      <c r="I2054" s="98"/>
      <c r="J2054" s="98"/>
      <c r="K2054" s="91"/>
      <c r="L2054" s="91"/>
      <c r="M2054" s="91"/>
      <c r="N2054" s="96" t="b">
        <v>0</v>
      </c>
      <c r="O2054" s="96" t="b">
        <v>0</v>
      </c>
      <c r="P2054" s="92"/>
      <c r="Q2054" s="92"/>
      <c r="R2054" s="92"/>
      <c r="S2054" s="92"/>
      <c r="T2054" s="92"/>
      <c r="U2054" s="92"/>
      <c r="V2054" s="92"/>
      <c r="W2054" s="92"/>
      <c r="X2054" s="92"/>
      <c r="Y2054" s="92"/>
      <c r="Z2054" s="92"/>
      <c r="AA2054" s="92"/>
      <c r="AB2054" s="92"/>
      <c r="AC2054" s="92"/>
      <c r="AD2054" s="92"/>
      <c r="AE2054" s="92"/>
      <c r="AF2054" s="92"/>
      <c r="AG2054" s="92"/>
    </row>
    <row r="2055">
      <c r="A2055" s="262"/>
      <c r="B2055" s="354"/>
      <c r="C2055" s="355"/>
      <c r="D2055" s="97"/>
      <c r="E2055" s="98"/>
      <c r="F2055" s="98"/>
      <c r="G2055" s="41"/>
      <c r="H2055" s="98"/>
      <c r="I2055" s="98"/>
      <c r="J2055" s="98"/>
      <c r="K2055" s="91"/>
      <c r="L2055" s="91"/>
      <c r="M2055" s="91"/>
      <c r="N2055" s="96" t="b">
        <v>0</v>
      </c>
      <c r="O2055" s="96" t="b">
        <v>0</v>
      </c>
      <c r="P2055" s="92"/>
      <c r="Q2055" s="92"/>
      <c r="R2055" s="92"/>
      <c r="S2055" s="92"/>
      <c r="T2055" s="92"/>
      <c r="U2055" s="92"/>
      <c r="V2055" s="92"/>
      <c r="W2055" s="92"/>
      <c r="X2055" s="92"/>
      <c r="Y2055" s="92"/>
      <c r="Z2055" s="92"/>
      <c r="AA2055" s="92"/>
      <c r="AB2055" s="92"/>
      <c r="AC2055" s="92"/>
      <c r="AD2055" s="92"/>
      <c r="AE2055" s="92"/>
      <c r="AF2055" s="92"/>
      <c r="AG2055" s="92"/>
    </row>
    <row r="2056">
      <c r="A2056" s="262"/>
      <c r="B2056" s="354"/>
      <c r="C2056" s="355"/>
      <c r="D2056" s="97"/>
      <c r="E2056" s="98"/>
      <c r="F2056" s="98"/>
      <c r="G2056" s="41"/>
      <c r="H2056" s="98"/>
      <c r="I2056" s="98"/>
      <c r="J2056" s="98"/>
      <c r="K2056" s="91"/>
      <c r="L2056" s="91"/>
      <c r="M2056" s="91"/>
      <c r="N2056" s="96" t="b">
        <v>0</v>
      </c>
      <c r="O2056" s="96" t="b">
        <v>0</v>
      </c>
      <c r="P2056" s="92"/>
      <c r="Q2056" s="92"/>
      <c r="R2056" s="92"/>
      <c r="S2056" s="92"/>
      <c r="T2056" s="92"/>
      <c r="U2056" s="92"/>
      <c r="V2056" s="92"/>
      <c r="W2056" s="92"/>
      <c r="X2056" s="92"/>
      <c r="Y2056" s="92"/>
      <c r="Z2056" s="92"/>
      <c r="AA2056" s="92"/>
      <c r="AB2056" s="92"/>
      <c r="AC2056" s="92"/>
      <c r="AD2056" s="92"/>
      <c r="AE2056" s="92"/>
      <c r="AF2056" s="92"/>
      <c r="AG2056" s="92"/>
    </row>
    <row r="2057">
      <c r="A2057" s="262"/>
      <c r="B2057" s="354"/>
      <c r="C2057" s="355"/>
      <c r="D2057" s="97"/>
      <c r="E2057" s="98"/>
      <c r="F2057" s="98"/>
      <c r="G2057" s="41"/>
      <c r="H2057" s="98"/>
      <c r="I2057" s="98"/>
      <c r="J2057" s="98"/>
      <c r="K2057" s="91"/>
      <c r="L2057" s="91"/>
      <c r="M2057" s="91"/>
      <c r="N2057" s="96" t="b">
        <v>0</v>
      </c>
      <c r="O2057" s="96" t="b">
        <v>0</v>
      </c>
      <c r="P2057" s="92"/>
      <c r="Q2057" s="92"/>
      <c r="R2057" s="92"/>
      <c r="S2057" s="92"/>
      <c r="T2057" s="92"/>
      <c r="U2057" s="92"/>
      <c r="V2057" s="92"/>
      <c r="W2057" s="92"/>
      <c r="X2057" s="92"/>
      <c r="Y2057" s="92"/>
      <c r="Z2057" s="92"/>
      <c r="AA2057" s="92"/>
      <c r="AB2057" s="92"/>
      <c r="AC2057" s="92"/>
      <c r="AD2057" s="92"/>
      <c r="AE2057" s="92"/>
      <c r="AF2057" s="92"/>
      <c r="AG2057" s="92"/>
    </row>
    <row r="2058">
      <c r="A2058" s="262"/>
      <c r="B2058" s="354"/>
      <c r="C2058" s="355"/>
      <c r="D2058" s="97"/>
      <c r="E2058" s="98"/>
      <c r="F2058" s="98"/>
      <c r="G2058" s="41"/>
      <c r="H2058" s="98"/>
      <c r="I2058" s="98"/>
      <c r="J2058" s="98"/>
      <c r="K2058" s="91"/>
      <c r="L2058" s="91"/>
      <c r="M2058" s="91"/>
      <c r="N2058" s="96" t="b">
        <v>0</v>
      </c>
      <c r="O2058" s="96" t="b">
        <v>0</v>
      </c>
      <c r="P2058" s="92"/>
      <c r="Q2058" s="92"/>
      <c r="R2058" s="92"/>
      <c r="S2058" s="92"/>
      <c r="T2058" s="92"/>
      <c r="U2058" s="92"/>
      <c r="V2058" s="92"/>
      <c r="W2058" s="92"/>
      <c r="X2058" s="92"/>
      <c r="Y2058" s="92"/>
      <c r="Z2058" s="92"/>
      <c r="AA2058" s="92"/>
      <c r="AB2058" s="92"/>
      <c r="AC2058" s="92"/>
      <c r="AD2058" s="92"/>
      <c r="AE2058" s="92"/>
      <c r="AF2058" s="92"/>
      <c r="AG2058" s="92"/>
    </row>
    <row r="2059">
      <c r="A2059" s="262"/>
      <c r="B2059" s="354"/>
      <c r="C2059" s="355"/>
      <c r="D2059" s="97"/>
      <c r="E2059" s="98"/>
      <c r="F2059" s="98"/>
      <c r="G2059" s="41"/>
      <c r="H2059" s="98"/>
      <c r="I2059" s="98"/>
      <c r="J2059" s="98"/>
      <c r="K2059" s="91"/>
      <c r="L2059" s="91"/>
      <c r="M2059" s="91"/>
      <c r="N2059" s="96" t="b">
        <v>0</v>
      </c>
      <c r="O2059" s="96" t="b">
        <v>0</v>
      </c>
      <c r="P2059" s="92"/>
      <c r="Q2059" s="92"/>
      <c r="R2059" s="92"/>
      <c r="S2059" s="92"/>
      <c r="T2059" s="92"/>
      <c r="U2059" s="92"/>
      <c r="V2059" s="92"/>
      <c r="W2059" s="92"/>
      <c r="X2059" s="92"/>
      <c r="Y2059" s="92"/>
      <c r="Z2059" s="92"/>
      <c r="AA2059" s="92"/>
      <c r="AB2059" s="92"/>
      <c r="AC2059" s="92"/>
      <c r="AD2059" s="92"/>
      <c r="AE2059" s="92"/>
      <c r="AF2059" s="92"/>
      <c r="AG2059" s="92"/>
    </row>
    <row r="2060">
      <c r="A2060" s="262"/>
      <c r="B2060" s="354"/>
      <c r="C2060" s="355"/>
      <c r="D2060" s="97"/>
      <c r="E2060" s="98"/>
      <c r="F2060" s="98"/>
      <c r="G2060" s="41"/>
      <c r="H2060" s="98"/>
      <c r="I2060" s="98"/>
      <c r="J2060" s="98"/>
      <c r="K2060" s="91"/>
      <c r="L2060" s="91"/>
      <c r="M2060" s="91"/>
      <c r="N2060" s="96" t="b">
        <v>0</v>
      </c>
      <c r="O2060" s="96" t="b">
        <v>0</v>
      </c>
      <c r="P2060" s="92"/>
      <c r="Q2060" s="92"/>
      <c r="R2060" s="92"/>
      <c r="S2060" s="92"/>
      <c r="T2060" s="92"/>
      <c r="U2060" s="92"/>
      <c r="V2060" s="92"/>
      <c r="W2060" s="92"/>
      <c r="X2060" s="92"/>
      <c r="Y2060" s="92"/>
      <c r="Z2060" s="92"/>
      <c r="AA2060" s="92"/>
      <c r="AB2060" s="92"/>
      <c r="AC2060" s="92"/>
      <c r="AD2060" s="92"/>
      <c r="AE2060" s="92"/>
      <c r="AF2060" s="92"/>
      <c r="AG2060" s="92"/>
    </row>
    <row r="2061">
      <c r="A2061" s="262"/>
      <c r="B2061" s="354"/>
      <c r="C2061" s="355"/>
      <c r="D2061" s="97"/>
      <c r="E2061" s="98"/>
      <c r="F2061" s="98"/>
      <c r="G2061" s="41"/>
      <c r="H2061" s="98"/>
      <c r="I2061" s="98"/>
      <c r="J2061" s="98"/>
      <c r="K2061" s="91"/>
      <c r="L2061" s="91"/>
      <c r="M2061" s="91"/>
      <c r="N2061" s="96" t="b">
        <v>0</v>
      </c>
      <c r="O2061" s="96" t="b">
        <v>0</v>
      </c>
      <c r="P2061" s="92"/>
      <c r="Q2061" s="92"/>
      <c r="R2061" s="92"/>
      <c r="S2061" s="92"/>
      <c r="T2061" s="92"/>
      <c r="U2061" s="92"/>
      <c r="V2061" s="92"/>
      <c r="W2061" s="92"/>
      <c r="X2061" s="92"/>
      <c r="Y2061" s="92"/>
      <c r="Z2061" s="92"/>
      <c r="AA2061" s="92"/>
      <c r="AB2061" s="92"/>
      <c r="AC2061" s="92"/>
      <c r="AD2061" s="92"/>
      <c r="AE2061" s="92"/>
      <c r="AF2061" s="92"/>
      <c r="AG2061" s="92"/>
    </row>
    <row r="2062">
      <c r="A2062" s="262"/>
      <c r="B2062" s="354"/>
      <c r="C2062" s="355"/>
      <c r="D2062" s="97"/>
      <c r="E2062" s="98"/>
      <c r="F2062" s="98"/>
      <c r="G2062" s="41"/>
      <c r="H2062" s="98"/>
      <c r="I2062" s="98"/>
      <c r="J2062" s="98"/>
      <c r="K2062" s="91"/>
      <c r="L2062" s="91"/>
      <c r="M2062" s="91"/>
      <c r="N2062" s="96" t="b">
        <v>0</v>
      </c>
      <c r="O2062" s="96" t="b">
        <v>0</v>
      </c>
      <c r="P2062" s="92"/>
      <c r="Q2062" s="92"/>
      <c r="R2062" s="92"/>
      <c r="S2062" s="92"/>
      <c r="T2062" s="92"/>
      <c r="U2062" s="92"/>
      <c r="V2062" s="92"/>
      <c r="W2062" s="92"/>
      <c r="X2062" s="92"/>
      <c r="Y2062" s="92"/>
      <c r="Z2062" s="92"/>
      <c r="AA2062" s="92"/>
      <c r="AB2062" s="92"/>
      <c r="AC2062" s="92"/>
      <c r="AD2062" s="92"/>
      <c r="AE2062" s="92"/>
      <c r="AF2062" s="92"/>
      <c r="AG2062" s="92"/>
    </row>
    <row r="2063">
      <c r="A2063" s="262"/>
      <c r="B2063" s="354"/>
      <c r="C2063" s="355"/>
      <c r="D2063" s="97"/>
      <c r="E2063" s="98"/>
      <c r="F2063" s="98"/>
      <c r="G2063" s="41"/>
      <c r="H2063" s="98"/>
      <c r="I2063" s="98"/>
      <c r="J2063" s="98"/>
      <c r="K2063" s="91"/>
      <c r="L2063" s="91"/>
      <c r="M2063" s="91"/>
      <c r="N2063" s="96" t="b">
        <v>0</v>
      </c>
      <c r="O2063" s="96" t="b">
        <v>0</v>
      </c>
      <c r="P2063" s="92"/>
      <c r="Q2063" s="92"/>
      <c r="R2063" s="92"/>
      <c r="S2063" s="92"/>
      <c r="T2063" s="92"/>
      <c r="U2063" s="92"/>
      <c r="V2063" s="92"/>
      <c r="W2063" s="92"/>
      <c r="X2063" s="92"/>
      <c r="Y2063" s="92"/>
      <c r="Z2063" s="92"/>
      <c r="AA2063" s="92"/>
      <c r="AB2063" s="92"/>
      <c r="AC2063" s="92"/>
      <c r="AD2063" s="92"/>
      <c r="AE2063" s="92"/>
      <c r="AF2063" s="92"/>
      <c r="AG2063" s="92"/>
    </row>
    <row r="2064">
      <c r="A2064" s="262"/>
      <c r="B2064" s="354"/>
      <c r="C2064" s="355"/>
      <c r="D2064" s="97"/>
      <c r="E2064" s="98"/>
      <c r="F2064" s="98"/>
      <c r="G2064" s="41"/>
      <c r="H2064" s="98"/>
      <c r="I2064" s="98"/>
      <c r="J2064" s="98"/>
      <c r="K2064" s="91"/>
      <c r="L2064" s="91"/>
      <c r="M2064" s="91"/>
      <c r="N2064" s="96" t="b">
        <v>0</v>
      </c>
      <c r="O2064" s="96" t="b">
        <v>0</v>
      </c>
      <c r="P2064" s="92"/>
      <c r="Q2064" s="92"/>
      <c r="R2064" s="92"/>
      <c r="S2064" s="92"/>
      <c r="T2064" s="92"/>
      <c r="U2064" s="92"/>
      <c r="V2064" s="92"/>
      <c r="W2064" s="92"/>
      <c r="X2064" s="92"/>
      <c r="Y2064" s="92"/>
      <c r="Z2064" s="92"/>
      <c r="AA2064" s="92"/>
      <c r="AB2064" s="92"/>
      <c r="AC2064" s="92"/>
      <c r="AD2064" s="92"/>
      <c r="AE2064" s="92"/>
      <c r="AF2064" s="92"/>
      <c r="AG2064" s="92"/>
    </row>
    <row r="2065">
      <c r="A2065" s="262"/>
      <c r="B2065" s="354"/>
      <c r="C2065" s="355"/>
      <c r="D2065" s="97"/>
      <c r="E2065" s="98"/>
      <c r="F2065" s="98"/>
      <c r="G2065" s="41"/>
      <c r="H2065" s="98"/>
      <c r="I2065" s="98"/>
      <c r="J2065" s="98"/>
      <c r="K2065" s="91"/>
      <c r="L2065" s="91"/>
      <c r="M2065" s="91"/>
      <c r="N2065" s="96" t="b">
        <v>0</v>
      </c>
      <c r="O2065" s="96" t="b">
        <v>0</v>
      </c>
      <c r="P2065" s="92"/>
      <c r="Q2065" s="92"/>
      <c r="R2065" s="92"/>
      <c r="S2065" s="92"/>
      <c r="T2065" s="92"/>
      <c r="U2065" s="92"/>
      <c r="V2065" s="92"/>
      <c r="W2065" s="92"/>
      <c r="X2065" s="92"/>
      <c r="Y2065" s="92"/>
      <c r="Z2065" s="92"/>
      <c r="AA2065" s="92"/>
      <c r="AB2065" s="92"/>
      <c r="AC2065" s="92"/>
      <c r="AD2065" s="92"/>
      <c r="AE2065" s="92"/>
      <c r="AF2065" s="92"/>
      <c r="AG2065" s="92"/>
    </row>
    <row r="2066">
      <c r="A2066" s="262"/>
      <c r="B2066" s="354"/>
      <c r="C2066" s="355"/>
      <c r="D2066" s="97"/>
      <c r="E2066" s="98"/>
      <c r="F2066" s="98"/>
      <c r="G2066" s="41"/>
      <c r="H2066" s="98"/>
      <c r="I2066" s="98"/>
      <c r="J2066" s="98"/>
      <c r="K2066" s="91"/>
      <c r="L2066" s="91"/>
      <c r="M2066" s="91"/>
      <c r="N2066" s="96" t="b">
        <v>0</v>
      </c>
      <c r="O2066" s="96" t="b">
        <v>0</v>
      </c>
      <c r="P2066" s="92"/>
      <c r="Q2066" s="92"/>
      <c r="R2066" s="92"/>
      <c r="S2066" s="92"/>
      <c r="T2066" s="92"/>
      <c r="U2066" s="92"/>
      <c r="V2066" s="92"/>
      <c r="W2066" s="92"/>
      <c r="X2066" s="92"/>
      <c r="Y2066" s="92"/>
      <c r="Z2066" s="92"/>
      <c r="AA2066" s="92"/>
      <c r="AB2066" s="92"/>
      <c r="AC2066" s="92"/>
      <c r="AD2066" s="92"/>
      <c r="AE2066" s="92"/>
      <c r="AF2066" s="92"/>
      <c r="AG2066" s="92"/>
    </row>
    <row r="2067">
      <c r="A2067" s="262"/>
      <c r="B2067" s="354"/>
      <c r="C2067" s="355"/>
      <c r="D2067" s="97"/>
      <c r="E2067" s="98"/>
      <c r="F2067" s="98"/>
      <c r="G2067" s="41"/>
      <c r="H2067" s="98"/>
      <c r="I2067" s="98"/>
      <c r="J2067" s="98"/>
      <c r="K2067" s="91"/>
      <c r="L2067" s="91"/>
      <c r="M2067" s="91"/>
      <c r="N2067" s="96" t="b">
        <v>0</v>
      </c>
      <c r="O2067" s="96" t="b">
        <v>0</v>
      </c>
      <c r="P2067" s="92"/>
      <c r="Q2067" s="92"/>
      <c r="R2067" s="92"/>
      <c r="S2067" s="92"/>
      <c r="T2067" s="92"/>
      <c r="U2067" s="92"/>
      <c r="V2067" s="92"/>
      <c r="W2067" s="92"/>
      <c r="X2067" s="92"/>
      <c r="Y2067" s="92"/>
      <c r="Z2067" s="92"/>
      <c r="AA2067" s="92"/>
      <c r="AB2067" s="92"/>
      <c r="AC2067" s="92"/>
      <c r="AD2067" s="92"/>
      <c r="AE2067" s="92"/>
      <c r="AF2067" s="92"/>
      <c r="AG2067" s="92"/>
    </row>
    <row r="2068">
      <c r="A2068" s="262"/>
      <c r="B2068" s="354"/>
      <c r="C2068" s="355"/>
      <c r="D2068" s="97"/>
      <c r="E2068" s="98"/>
      <c r="F2068" s="98"/>
      <c r="G2068" s="41"/>
      <c r="H2068" s="98"/>
      <c r="I2068" s="98"/>
      <c r="J2068" s="98"/>
      <c r="K2068" s="91"/>
      <c r="L2068" s="91"/>
      <c r="M2068" s="91"/>
      <c r="N2068" s="96" t="b">
        <v>0</v>
      </c>
      <c r="O2068" s="96" t="b">
        <v>0</v>
      </c>
      <c r="P2068" s="92"/>
      <c r="Q2068" s="92"/>
      <c r="R2068" s="92"/>
      <c r="S2068" s="92"/>
      <c r="T2068" s="92"/>
      <c r="U2068" s="92"/>
      <c r="V2068" s="92"/>
      <c r="W2068" s="92"/>
      <c r="X2068" s="92"/>
      <c r="Y2068" s="92"/>
      <c r="Z2068" s="92"/>
      <c r="AA2068" s="92"/>
      <c r="AB2068" s="92"/>
      <c r="AC2068" s="92"/>
      <c r="AD2068" s="92"/>
      <c r="AE2068" s="92"/>
      <c r="AF2068" s="92"/>
      <c r="AG2068" s="92"/>
    </row>
    <row r="2069">
      <c r="A2069" s="262"/>
      <c r="B2069" s="354"/>
      <c r="C2069" s="355"/>
      <c r="D2069" s="97"/>
      <c r="E2069" s="98"/>
      <c r="F2069" s="98"/>
      <c r="G2069" s="41"/>
      <c r="H2069" s="98"/>
      <c r="I2069" s="98"/>
      <c r="J2069" s="98"/>
      <c r="K2069" s="91"/>
      <c r="L2069" s="91"/>
      <c r="M2069" s="91"/>
      <c r="N2069" s="96" t="b">
        <v>0</v>
      </c>
      <c r="O2069" s="96" t="b">
        <v>0</v>
      </c>
      <c r="P2069" s="92"/>
      <c r="Q2069" s="92"/>
      <c r="R2069" s="92"/>
      <c r="S2069" s="92"/>
      <c r="T2069" s="92"/>
      <c r="U2069" s="92"/>
      <c r="V2069" s="92"/>
      <c r="W2069" s="92"/>
      <c r="X2069" s="92"/>
      <c r="Y2069" s="92"/>
      <c r="Z2069" s="92"/>
      <c r="AA2069" s="92"/>
      <c r="AB2069" s="92"/>
      <c r="AC2069" s="92"/>
      <c r="AD2069" s="92"/>
      <c r="AE2069" s="92"/>
      <c r="AF2069" s="92"/>
      <c r="AG2069" s="92"/>
    </row>
    <row r="2070">
      <c r="A2070" s="262"/>
      <c r="B2070" s="354"/>
      <c r="C2070" s="355"/>
      <c r="D2070" s="97"/>
      <c r="E2070" s="98"/>
      <c r="F2070" s="98"/>
      <c r="G2070" s="41"/>
      <c r="H2070" s="98"/>
      <c r="I2070" s="98"/>
      <c r="J2070" s="98"/>
      <c r="K2070" s="91"/>
      <c r="L2070" s="91"/>
      <c r="M2070" s="91"/>
      <c r="N2070" s="96" t="b">
        <v>0</v>
      </c>
      <c r="O2070" s="96" t="b">
        <v>0</v>
      </c>
      <c r="P2070" s="92"/>
      <c r="Q2070" s="92"/>
      <c r="R2070" s="92"/>
      <c r="S2070" s="92"/>
      <c r="T2070" s="92"/>
      <c r="U2070" s="92"/>
      <c r="V2070" s="92"/>
      <c r="W2070" s="92"/>
      <c r="X2070" s="92"/>
      <c r="Y2070" s="92"/>
      <c r="Z2070" s="92"/>
      <c r="AA2070" s="92"/>
      <c r="AB2070" s="92"/>
      <c r="AC2070" s="92"/>
      <c r="AD2070" s="92"/>
      <c r="AE2070" s="92"/>
      <c r="AF2070" s="92"/>
      <c r="AG2070" s="92"/>
    </row>
    <row r="2071">
      <c r="A2071" s="262"/>
      <c r="B2071" s="354"/>
      <c r="C2071" s="355"/>
      <c r="D2071" s="97"/>
      <c r="E2071" s="98"/>
      <c r="F2071" s="98"/>
      <c r="G2071" s="41"/>
      <c r="H2071" s="98"/>
      <c r="I2071" s="98"/>
      <c r="J2071" s="98"/>
      <c r="K2071" s="91"/>
      <c r="L2071" s="91"/>
      <c r="M2071" s="91"/>
      <c r="N2071" s="96" t="b">
        <v>0</v>
      </c>
      <c r="O2071" s="96" t="b">
        <v>0</v>
      </c>
      <c r="P2071" s="92"/>
      <c r="Q2071" s="92"/>
      <c r="R2071" s="92"/>
      <c r="S2071" s="92"/>
      <c r="T2071" s="92"/>
      <c r="U2071" s="92"/>
      <c r="V2071" s="92"/>
      <c r="W2071" s="92"/>
      <c r="X2071" s="92"/>
      <c r="Y2071" s="92"/>
      <c r="Z2071" s="92"/>
      <c r="AA2071" s="92"/>
      <c r="AB2071" s="92"/>
      <c r="AC2071" s="92"/>
      <c r="AD2071" s="92"/>
      <c r="AE2071" s="92"/>
      <c r="AF2071" s="92"/>
      <c r="AG2071" s="92"/>
    </row>
    <row r="2072">
      <c r="A2072" s="262"/>
      <c r="B2072" s="354"/>
      <c r="C2072" s="355"/>
      <c r="D2072" s="97"/>
      <c r="E2072" s="98"/>
      <c r="F2072" s="98"/>
      <c r="G2072" s="41"/>
      <c r="H2072" s="98"/>
      <c r="I2072" s="98"/>
      <c r="J2072" s="98"/>
      <c r="K2072" s="91"/>
      <c r="L2072" s="91"/>
      <c r="M2072" s="91"/>
      <c r="N2072" s="96" t="b">
        <v>0</v>
      </c>
      <c r="O2072" s="96" t="b">
        <v>0</v>
      </c>
      <c r="P2072" s="92"/>
      <c r="Q2072" s="92"/>
      <c r="R2072" s="92"/>
      <c r="S2072" s="92"/>
      <c r="T2072" s="92"/>
      <c r="U2072" s="92"/>
      <c r="V2072" s="92"/>
      <c r="W2072" s="92"/>
      <c r="X2072" s="92"/>
      <c r="Y2072" s="92"/>
      <c r="Z2072" s="92"/>
      <c r="AA2072" s="92"/>
      <c r="AB2072" s="92"/>
      <c r="AC2072" s="92"/>
      <c r="AD2072" s="92"/>
      <c r="AE2072" s="92"/>
      <c r="AF2072" s="92"/>
      <c r="AG2072" s="92"/>
    </row>
    <row r="2073">
      <c r="A2073" s="262"/>
      <c r="B2073" s="354"/>
      <c r="C2073" s="355"/>
      <c r="D2073" s="97"/>
      <c r="E2073" s="98"/>
      <c r="F2073" s="98"/>
      <c r="G2073" s="41"/>
      <c r="H2073" s="98"/>
      <c r="I2073" s="98"/>
      <c r="J2073" s="98"/>
      <c r="K2073" s="91"/>
      <c r="L2073" s="91"/>
      <c r="M2073" s="91"/>
      <c r="N2073" s="96" t="b">
        <v>0</v>
      </c>
      <c r="O2073" s="96" t="b">
        <v>0</v>
      </c>
      <c r="P2073" s="92"/>
      <c r="Q2073" s="92"/>
      <c r="R2073" s="92"/>
      <c r="S2073" s="92"/>
      <c r="T2073" s="92"/>
      <c r="U2073" s="92"/>
      <c r="V2073" s="92"/>
      <c r="W2073" s="92"/>
      <c r="X2073" s="92"/>
      <c r="Y2073" s="92"/>
      <c r="Z2073" s="92"/>
      <c r="AA2073" s="92"/>
      <c r="AB2073" s="92"/>
      <c r="AC2073" s="92"/>
      <c r="AD2073" s="92"/>
      <c r="AE2073" s="92"/>
      <c r="AF2073" s="92"/>
      <c r="AG2073" s="92"/>
    </row>
    <row r="2074">
      <c r="A2074" s="262"/>
      <c r="B2074" s="354"/>
      <c r="C2074" s="355"/>
      <c r="D2074" s="97"/>
      <c r="E2074" s="98"/>
      <c r="F2074" s="98"/>
      <c r="G2074" s="41"/>
      <c r="H2074" s="98"/>
      <c r="I2074" s="98"/>
      <c r="J2074" s="98"/>
      <c r="K2074" s="91"/>
      <c r="L2074" s="91"/>
      <c r="M2074" s="91"/>
      <c r="N2074" s="96" t="b">
        <v>0</v>
      </c>
      <c r="O2074" s="96" t="b">
        <v>0</v>
      </c>
      <c r="P2074" s="92"/>
      <c r="Q2074" s="92"/>
      <c r="R2074" s="92"/>
      <c r="S2074" s="92"/>
      <c r="T2074" s="92"/>
      <c r="U2074" s="92"/>
      <c r="V2074" s="92"/>
      <c r="W2074" s="92"/>
      <c r="X2074" s="92"/>
      <c r="Y2074" s="92"/>
      <c r="Z2074" s="92"/>
      <c r="AA2074" s="92"/>
      <c r="AB2074" s="92"/>
      <c r="AC2074" s="92"/>
      <c r="AD2074" s="92"/>
      <c r="AE2074" s="92"/>
      <c r="AF2074" s="92"/>
      <c r="AG2074" s="92"/>
    </row>
    <row r="2075">
      <c r="A2075" s="262"/>
      <c r="B2075" s="354"/>
      <c r="C2075" s="355"/>
      <c r="D2075" s="97"/>
      <c r="E2075" s="98"/>
      <c r="F2075" s="98"/>
      <c r="G2075" s="41"/>
      <c r="H2075" s="98"/>
      <c r="I2075" s="98"/>
      <c r="J2075" s="98"/>
      <c r="K2075" s="91"/>
      <c r="L2075" s="91"/>
      <c r="M2075" s="91"/>
      <c r="N2075" s="96" t="b">
        <v>0</v>
      </c>
      <c r="O2075" s="96" t="b">
        <v>0</v>
      </c>
      <c r="P2075" s="92"/>
      <c r="Q2075" s="92"/>
      <c r="R2075" s="92"/>
      <c r="S2075" s="92"/>
      <c r="T2075" s="92"/>
      <c r="U2075" s="92"/>
      <c r="V2075" s="92"/>
      <c r="W2075" s="92"/>
      <c r="X2075" s="92"/>
      <c r="Y2075" s="92"/>
      <c r="Z2075" s="92"/>
      <c r="AA2075" s="92"/>
      <c r="AB2075" s="92"/>
      <c r="AC2075" s="92"/>
      <c r="AD2075" s="92"/>
      <c r="AE2075" s="92"/>
      <c r="AF2075" s="92"/>
      <c r="AG2075" s="92"/>
    </row>
    <row r="2076">
      <c r="A2076" s="262"/>
      <c r="B2076" s="354"/>
      <c r="C2076" s="355"/>
      <c r="D2076" s="97"/>
      <c r="E2076" s="98"/>
      <c r="F2076" s="98"/>
      <c r="G2076" s="41"/>
      <c r="H2076" s="98"/>
      <c r="I2076" s="98"/>
      <c r="J2076" s="98"/>
      <c r="K2076" s="91"/>
      <c r="L2076" s="91"/>
      <c r="M2076" s="91"/>
      <c r="N2076" s="96" t="b">
        <v>0</v>
      </c>
      <c r="O2076" s="96" t="b">
        <v>0</v>
      </c>
      <c r="P2076" s="92"/>
      <c r="Q2076" s="92"/>
      <c r="R2076" s="92"/>
      <c r="S2076" s="92"/>
      <c r="T2076" s="92"/>
      <c r="U2076" s="92"/>
      <c r="V2076" s="92"/>
      <c r="W2076" s="92"/>
      <c r="X2076" s="92"/>
      <c r="Y2076" s="92"/>
      <c r="Z2076" s="92"/>
      <c r="AA2076" s="92"/>
      <c r="AB2076" s="92"/>
      <c r="AC2076" s="92"/>
      <c r="AD2076" s="92"/>
      <c r="AE2076" s="92"/>
      <c r="AF2076" s="92"/>
      <c r="AG2076" s="92"/>
    </row>
    <row r="2077">
      <c r="A2077" s="262"/>
      <c r="B2077" s="354"/>
      <c r="C2077" s="355"/>
      <c r="D2077" s="97"/>
      <c r="E2077" s="98"/>
      <c r="F2077" s="98"/>
      <c r="G2077" s="41"/>
      <c r="H2077" s="98"/>
      <c r="I2077" s="98"/>
      <c r="J2077" s="98"/>
      <c r="K2077" s="91"/>
      <c r="L2077" s="91"/>
      <c r="M2077" s="91"/>
      <c r="N2077" s="96" t="b">
        <v>0</v>
      </c>
      <c r="O2077" s="96" t="b">
        <v>0</v>
      </c>
      <c r="P2077" s="92"/>
      <c r="Q2077" s="92"/>
      <c r="R2077" s="92"/>
      <c r="S2077" s="92"/>
      <c r="T2077" s="92"/>
      <c r="U2077" s="92"/>
      <c r="V2077" s="92"/>
      <c r="W2077" s="92"/>
      <c r="X2077" s="92"/>
      <c r="Y2077" s="92"/>
      <c r="Z2077" s="92"/>
      <c r="AA2077" s="92"/>
      <c r="AB2077" s="92"/>
      <c r="AC2077" s="92"/>
      <c r="AD2077" s="92"/>
      <c r="AE2077" s="92"/>
      <c r="AF2077" s="92"/>
      <c r="AG2077" s="92"/>
    </row>
    <row r="2078">
      <c r="A2078" s="262"/>
      <c r="B2078" s="354"/>
      <c r="C2078" s="355"/>
      <c r="D2078" s="97"/>
      <c r="E2078" s="98"/>
      <c r="F2078" s="98"/>
      <c r="G2078" s="41"/>
      <c r="H2078" s="98"/>
      <c r="I2078" s="98"/>
      <c r="J2078" s="98"/>
      <c r="K2078" s="91"/>
      <c r="L2078" s="91"/>
      <c r="M2078" s="91"/>
      <c r="N2078" s="96" t="b">
        <v>0</v>
      </c>
      <c r="O2078" s="96" t="b">
        <v>0</v>
      </c>
      <c r="P2078" s="92"/>
      <c r="Q2078" s="92"/>
      <c r="R2078" s="92"/>
      <c r="S2078" s="92"/>
      <c r="T2078" s="92"/>
      <c r="U2078" s="92"/>
      <c r="V2078" s="92"/>
      <c r="W2078" s="92"/>
      <c r="X2078" s="92"/>
      <c r="Y2078" s="92"/>
      <c r="Z2078" s="92"/>
      <c r="AA2078" s="92"/>
      <c r="AB2078" s="92"/>
      <c r="AC2078" s="92"/>
      <c r="AD2078" s="92"/>
      <c r="AE2078" s="92"/>
      <c r="AF2078" s="92"/>
      <c r="AG2078" s="92"/>
    </row>
    <row r="2079">
      <c r="A2079" s="262"/>
      <c r="B2079" s="354"/>
      <c r="C2079" s="355"/>
      <c r="D2079" s="97"/>
      <c r="E2079" s="98"/>
      <c r="F2079" s="98"/>
      <c r="G2079" s="41"/>
      <c r="H2079" s="98"/>
      <c r="I2079" s="98"/>
      <c r="J2079" s="98"/>
      <c r="K2079" s="91"/>
      <c r="L2079" s="91"/>
      <c r="M2079" s="91"/>
      <c r="N2079" s="96" t="b">
        <v>0</v>
      </c>
      <c r="O2079" s="96" t="b">
        <v>0</v>
      </c>
      <c r="P2079" s="92"/>
      <c r="Q2079" s="92"/>
      <c r="R2079" s="92"/>
      <c r="S2079" s="92"/>
      <c r="T2079" s="92"/>
      <c r="U2079" s="92"/>
      <c r="V2079" s="92"/>
      <c r="W2079" s="92"/>
      <c r="X2079" s="92"/>
      <c r="Y2079" s="92"/>
      <c r="Z2079" s="92"/>
      <c r="AA2079" s="92"/>
      <c r="AB2079" s="92"/>
      <c r="AC2079" s="92"/>
      <c r="AD2079" s="92"/>
      <c r="AE2079" s="92"/>
      <c r="AF2079" s="92"/>
      <c r="AG2079" s="92"/>
    </row>
    <row r="2080">
      <c r="A2080" s="262"/>
      <c r="B2080" s="354"/>
      <c r="C2080" s="355"/>
      <c r="D2080" s="97"/>
      <c r="E2080" s="98"/>
      <c r="F2080" s="98"/>
      <c r="G2080" s="41"/>
      <c r="H2080" s="98"/>
      <c r="I2080" s="98"/>
      <c r="J2080" s="98"/>
      <c r="K2080" s="91"/>
      <c r="L2080" s="91"/>
      <c r="M2080" s="91"/>
      <c r="N2080" s="96" t="b">
        <v>0</v>
      </c>
      <c r="O2080" s="96" t="b">
        <v>0</v>
      </c>
      <c r="P2080" s="92"/>
      <c r="Q2080" s="92"/>
      <c r="R2080" s="92"/>
      <c r="S2080" s="92"/>
      <c r="T2080" s="92"/>
      <c r="U2080" s="92"/>
      <c r="V2080" s="92"/>
      <c r="W2080" s="92"/>
      <c r="X2080" s="92"/>
      <c r="Y2080" s="92"/>
      <c r="Z2080" s="92"/>
      <c r="AA2080" s="92"/>
      <c r="AB2080" s="92"/>
      <c r="AC2080" s="92"/>
      <c r="AD2080" s="92"/>
      <c r="AE2080" s="92"/>
      <c r="AF2080" s="92"/>
      <c r="AG2080" s="92"/>
    </row>
    <row r="2081">
      <c r="A2081" s="262"/>
      <c r="B2081" s="354"/>
      <c r="C2081" s="355"/>
      <c r="D2081" s="97"/>
      <c r="E2081" s="98"/>
      <c r="F2081" s="98"/>
      <c r="G2081" s="41"/>
      <c r="H2081" s="98"/>
      <c r="I2081" s="98"/>
      <c r="J2081" s="98"/>
      <c r="K2081" s="91"/>
      <c r="L2081" s="91"/>
      <c r="M2081" s="91"/>
      <c r="N2081" s="96" t="b">
        <v>0</v>
      </c>
      <c r="O2081" s="96" t="b">
        <v>0</v>
      </c>
      <c r="P2081" s="92"/>
      <c r="Q2081" s="92"/>
      <c r="R2081" s="92"/>
      <c r="S2081" s="92"/>
      <c r="T2081" s="92"/>
      <c r="U2081" s="92"/>
      <c r="V2081" s="92"/>
      <c r="W2081" s="92"/>
      <c r="X2081" s="92"/>
      <c r="Y2081" s="92"/>
      <c r="Z2081" s="92"/>
      <c r="AA2081" s="92"/>
      <c r="AB2081" s="92"/>
      <c r="AC2081" s="92"/>
      <c r="AD2081" s="92"/>
      <c r="AE2081" s="92"/>
      <c r="AF2081" s="92"/>
      <c r="AG2081" s="92"/>
    </row>
    <row r="2082">
      <c r="A2082" s="262"/>
      <c r="B2082" s="354"/>
      <c r="C2082" s="355"/>
      <c r="D2082" s="97"/>
      <c r="E2082" s="98"/>
      <c r="F2082" s="98"/>
      <c r="G2082" s="41"/>
      <c r="H2082" s="98"/>
      <c r="I2082" s="98"/>
      <c r="J2082" s="98"/>
      <c r="K2082" s="91"/>
      <c r="L2082" s="91"/>
      <c r="M2082" s="91"/>
      <c r="N2082" s="96" t="b">
        <v>0</v>
      </c>
      <c r="O2082" s="96" t="b">
        <v>0</v>
      </c>
      <c r="P2082" s="92"/>
      <c r="Q2082" s="92"/>
      <c r="R2082" s="92"/>
      <c r="S2082" s="92"/>
      <c r="T2082" s="92"/>
      <c r="U2082" s="92"/>
      <c r="V2082" s="92"/>
      <c r="W2082" s="92"/>
      <c r="X2082" s="92"/>
      <c r="Y2082" s="92"/>
      <c r="Z2082" s="92"/>
      <c r="AA2082" s="92"/>
      <c r="AB2082" s="92"/>
      <c r="AC2082" s="92"/>
      <c r="AD2082" s="92"/>
      <c r="AE2082" s="92"/>
      <c r="AF2082" s="92"/>
      <c r="AG2082" s="92"/>
    </row>
    <row r="2083">
      <c r="A2083" s="262"/>
      <c r="B2083" s="354"/>
      <c r="C2083" s="355"/>
      <c r="D2083" s="97"/>
      <c r="E2083" s="98"/>
      <c r="F2083" s="98"/>
      <c r="G2083" s="41"/>
      <c r="H2083" s="98"/>
      <c r="I2083" s="98"/>
      <c r="J2083" s="98"/>
      <c r="K2083" s="91"/>
      <c r="L2083" s="91"/>
      <c r="M2083" s="91"/>
      <c r="N2083" s="96" t="b">
        <v>0</v>
      </c>
      <c r="O2083" s="96" t="b">
        <v>0</v>
      </c>
      <c r="P2083" s="92"/>
      <c r="Q2083" s="92"/>
      <c r="R2083" s="92"/>
      <c r="S2083" s="92"/>
      <c r="T2083" s="92"/>
      <c r="U2083" s="92"/>
      <c r="V2083" s="92"/>
      <c r="W2083" s="92"/>
      <c r="X2083" s="92"/>
      <c r="Y2083" s="92"/>
      <c r="Z2083" s="92"/>
      <c r="AA2083" s="92"/>
      <c r="AB2083" s="92"/>
      <c r="AC2083" s="92"/>
      <c r="AD2083" s="92"/>
      <c r="AE2083" s="92"/>
      <c r="AF2083" s="92"/>
      <c r="AG2083" s="92"/>
    </row>
    <row r="2084">
      <c r="A2084" s="262"/>
      <c r="B2084" s="354"/>
      <c r="C2084" s="355"/>
      <c r="D2084" s="97"/>
      <c r="E2084" s="98"/>
      <c r="F2084" s="98"/>
      <c r="G2084" s="41"/>
      <c r="H2084" s="98"/>
      <c r="I2084" s="98"/>
      <c r="J2084" s="98"/>
      <c r="K2084" s="91"/>
      <c r="L2084" s="91"/>
      <c r="M2084" s="91"/>
      <c r="N2084" s="96" t="b">
        <v>0</v>
      </c>
      <c r="O2084" s="96" t="b">
        <v>0</v>
      </c>
      <c r="P2084" s="92"/>
      <c r="Q2084" s="92"/>
      <c r="R2084" s="92"/>
      <c r="S2084" s="92"/>
      <c r="T2084" s="92"/>
      <c r="U2084" s="92"/>
      <c r="V2084" s="92"/>
      <c r="W2084" s="92"/>
      <c r="X2084" s="92"/>
      <c r="Y2084" s="92"/>
      <c r="Z2084" s="92"/>
      <c r="AA2084" s="92"/>
      <c r="AB2084" s="92"/>
      <c r="AC2084" s="92"/>
      <c r="AD2084" s="92"/>
      <c r="AE2084" s="92"/>
      <c r="AF2084" s="92"/>
      <c r="AG2084" s="92"/>
    </row>
    <row r="2085">
      <c r="A2085" s="262"/>
      <c r="B2085" s="354"/>
      <c r="C2085" s="355"/>
      <c r="D2085" s="97"/>
      <c r="E2085" s="98"/>
      <c r="F2085" s="98"/>
      <c r="G2085" s="41"/>
      <c r="H2085" s="98"/>
      <c r="I2085" s="98"/>
      <c r="J2085" s="98"/>
      <c r="K2085" s="91"/>
      <c r="L2085" s="91"/>
      <c r="M2085" s="91"/>
      <c r="N2085" s="96" t="b">
        <v>0</v>
      </c>
      <c r="O2085" s="96" t="b">
        <v>0</v>
      </c>
      <c r="P2085" s="92"/>
      <c r="Q2085" s="92"/>
      <c r="R2085" s="92"/>
      <c r="S2085" s="92"/>
      <c r="T2085" s="92"/>
      <c r="U2085" s="92"/>
      <c r="V2085" s="92"/>
      <c r="W2085" s="92"/>
      <c r="X2085" s="92"/>
      <c r="Y2085" s="92"/>
      <c r="Z2085" s="92"/>
      <c r="AA2085" s="92"/>
      <c r="AB2085" s="92"/>
      <c r="AC2085" s="92"/>
      <c r="AD2085" s="92"/>
      <c r="AE2085" s="92"/>
      <c r="AF2085" s="92"/>
      <c r="AG2085" s="92"/>
    </row>
    <row r="2086">
      <c r="A2086" s="262"/>
      <c r="B2086" s="354"/>
      <c r="C2086" s="355"/>
      <c r="D2086" s="97"/>
      <c r="E2086" s="98"/>
      <c r="F2086" s="98"/>
      <c r="G2086" s="41"/>
      <c r="H2086" s="98"/>
      <c r="I2086" s="98"/>
      <c r="J2086" s="98"/>
      <c r="K2086" s="91"/>
      <c r="L2086" s="91"/>
      <c r="M2086" s="91"/>
      <c r="N2086" s="96" t="b">
        <v>0</v>
      </c>
      <c r="O2086" s="96" t="b">
        <v>0</v>
      </c>
      <c r="P2086" s="92"/>
      <c r="Q2086" s="92"/>
      <c r="R2086" s="92"/>
      <c r="S2086" s="92"/>
      <c r="T2086" s="92"/>
      <c r="U2086" s="92"/>
      <c r="V2086" s="92"/>
      <c r="W2086" s="92"/>
      <c r="X2086" s="92"/>
      <c r="Y2086" s="92"/>
      <c r="Z2086" s="92"/>
      <c r="AA2086" s="92"/>
      <c r="AB2086" s="92"/>
      <c r="AC2086" s="92"/>
      <c r="AD2086" s="92"/>
      <c r="AE2086" s="92"/>
      <c r="AF2086" s="92"/>
      <c r="AG2086" s="92"/>
    </row>
    <row r="2087">
      <c r="A2087" s="262"/>
      <c r="B2087" s="354"/>
      <c r="C2087" s="355"/>
      <c r="D2087" s="97"/>
      <c r="E2087" s="98"/>
      <c r="F2087" s="98"/>
      <c r="G2087" s="41"/>
      <c r="H2087" s="98"/>
      <c r="I2087" s="98"/>
      <c r="J2087" s="98"/>
      <c r="K2087" s="91"/>
      <c r="L2087" s="91"/>
      <c r="M2087" s="91"/>
      <c r="N2087" s="96" t="b">
        <v>0</v>
      </c>
      <c r="O2087" s="96" t="b">
        <v>0</v>
      </c>
      <c r="P2087" s="92"/>
      <c r="Q2087" s="92"/>
      <c r="R2087" s="92"/>
      <c r="S2087" s="92"/>
      <c r="T2087" s="92"/>
      <c r="U2087" s="92"/>
      <c r="V2087" s="92"/>
      <c r="W2087" s="92"/>
      <c r="X2087" s="92"/>
      <c r="Y2087" s="92"/>
      <c r="Z2087" s="92"/>
      <c r="AA2087" s="92"/>
      <c r="AB2087" s="92"/>
      <c r="AC2087" s="92"/>
      <c r="AD2087" s="92"/>
      <c r="AE2087" s="92"/>
      <c r="AF2087" s="92"/>
      <c r="AG2087" s="92"/>
    </row>
    <row r="2088">
      <c r="A2088" s="262"/>
      <c r="B2088" s="354"/>
      <c r="C2088" s="355"/>
      <c r="D2088" s="97"/>
      <c r="E2088" s="98"/>
      <c r="F2088" s="98"/>
      <c r="G2088" s="41"/>
      <c r="H2088" s="98"/>
      <c r="I2088" s="98"/>
      <c r="J2088" s="98"/>
      <c r="K2088" s="91"/>
      <c r="L2088" s="91"/>
      <c r="M2088" s="91"/>
      <c r="N2088" s="96" t="b">
        <v>0</v>
      </c>
      <c r="O2088" s="96" t="b">
        <v>0</v>
      </c>
      <c r="P2088" s="92"/>
      <c r="Q2088" s="92"/>
      <c r="R2088" s="92"/>
      <c r="S2088" s="92"/>
      <c r="T2088" s="92"/>
      <c r="U2088" s="92"/>
      <c r="V2088" s="92"/>
      <c r="W2088" s="92"/>
      <c r="X2088" s="92"/>
      <c r="Y2088" s="92"/>
      <c r="Z2088" s="92"/>
      <c r="AA2088" s="92"/>
      <c r="AB2088" s="92"/>
      <c r="AC2088" s="92"/>
      <c r="AD2088" s="92"/>
      <c r="AE2088" s="92"/>
      <c r="AF2088" s="92"/>
      <c r="AG2088" s="92"/>
    </row>
    <row r="2089">
      <c r="A2089" s="262"/>
      <c r="B2089" s="354"/>
      <c r="C2089" s="355"/>
      <c r="D2089" s="97"/>
      <c r="E2089" s="98"/>
      <c r="F2089" s="98"/>
      <c r="G2089" s="41"/>
      <c r="H2089" s="98"/>
      <c r="I2089" s="98"/>
      <c r="J2089" s="98"/>
      <c r="K2089" s="91"/>
      <c r="L2089" s="91"/>
      <c r="M2089" s="91"/>
      <c r="N2089" s="96" t="b">
        <v>0</v>
      </c>
      <c r="O2089" s="96" t="b">
        <v>0</v>
      </c>
      <c r="P2089" s="92"/>
      <c r="Q2089" s="92"/>
      <c r="R2089" s="92"/>
      <c r="S2089" s="92"/>
      <c r="T2089" s="92"/>
      <c r="U2089" s="92"/>
      <c r="V2089" s="92"/>
      <c r="W2089" s="92"/>
      <c r="X2089" s="92"/>
      <c r="Y2089" s="92"/>
      <c r="Z2089" s="92"/>
      <c r="AA2089" s="92"/>
      <c r="AB2089" s="92"/>
      <c r="AC2089" s="92"/>
      <c r="AD2089" s="92"/>
      <c r="AE2089" s="92"/>
      <c r="AF2089" s="92"/>
      <c r="AG2089" s="92"/>
    </row>
    <row r="2090">
      <c r="A2090" s="262"/>
      <c r="B2090" s="354"/>
      <c r="C2090" s="355"/>
      <c r="D2090" s="97"/>
      <c r="E2090" s="98"/>
      <c r="F2090" s="98"/>
      <c r="G2090" s="41"/>
      <c r="H2090" s="98"/>
      <c r="I2090" s="98"/>
      <c r="J2090" s="98"/>
      <c r="K2090" s="91"/>
      <c r="L2090" s="91"/>
      <c r="M2090" s="91"/>
      <c r="N2090" s="96" t="b">
        <v>0</v>
      </c>
      <c r="O2090" s="96" t="b">
        <v>0</v>
      </c>
      <c r="P2090" s="92"/>
      <c r="Q2090" s="92"/>
      <c r="R2090" s="92"/>
      <c r="S2090" s="92"/>
      <c r="T2090" s="92"/>
      <c r="U2090" s="92"/>
      <c r="V2090" s="92"/>
      <c r="W2090" s="92"/>
      <c r="X2090" s="92"/>
      <c r="Y2090" s="92"/>
      <c r="Z2090" s="92"/>
      <c r="AA2090" s="92"/>
      <c r="AB2090" s="92"/>
      <c r="AC2090" s="92"/>
      <c r="AD2090" s="92"/>
      <c r="AE2090" s="92"/>
      <c r="AF2090" s="92"/>
      <c r="AG2090" s="92"/>
    </row>
    <row r="2091">
      <c r="A2091" s="262"/>
      <c r="B2091" s="354"/>
      <c r="C2091" s="355"/>
      <c r="D2091" s="97"/>
      <c r="E2091" s="98"/>
      <c r="F2091" s="98"/>
      <c r="G2091" s="41"/>
      <c r="H2091" s="98"/>
      <c r="I2091" s="98"/>
      <c r="J2091" s="98"/>
      <c r="K2091" s="91"/>
      <c r="L2091" s="91"/>
      <c r="M2091" s="91"/>
      <c r="N2091" s="96" t="b">
        <v>0</v>
      </c>
      <c r="O2091" s="96" t="b">
        <v>0</v>
      </c>
      <c r="P2091" s="92"/>
      <c r="Q2091" s="92"/>
      <c r="R2091" s="92"/>
      <c r="S2091" s="92"/>
      <c r="T2091" s="92"/>
      <c r="U2091" s="92"/>
      <c r="V2091" s="92"/>
      <c r="W2091" s="92"/>
      <c r="X2091" s="92"/>
      <c r="Y2091" s="92"/>
      <c r="Z2091" s="92"/>
      <c r="AA2091" s="92"/>
      <c r="AB2091" s="92"/>
      <c r="AC2091" s="92"/>
      <c r="AD2091" s="92"/>
      <c r="AE2091" s="92"/>
      <c r="AF2091" s="92"/>
      <c r="AG2091" s="92"/>
    </row>
    <row r="2092">
      <c r="A2092" s="262"/>
      <c r="B2092" s="354"/>
      <c r="C2092" s="355"/>
      <c r="D2092" s="97"/>
      <c r="E2092" s="98"/>
      <c r="F2092" s="98"/>
      <c r="G2092" s="41"/>
      <c r="H2092" s="98"/>
      <c r="I2092" s="98"/>
      <c r="J2092" s="98"/>
      <c r="K2092" s="91"/>
      <c r="L2092" s="91"/>
      <c r="M2092" s="91"/>
      <c r="N2092" s="96" t="b">
        <v>0</v>
      </c>
      <c r="O2092" s="96" t="b">
        <v>0</v>
      </c>
      <c r="P2092" s="92"/>
      <c r="Q2092" s="92"/>
      <c r="R2092" s="92"/>
      <c r="S2092" s="92"/>
      <c r="T2092" s="92"/>
      <c r="U2092" s="92"/>
      <c r="V2092" s="92"/>
      <c r="W2092" s="92"/>
      <c r="X2092" s="92"/>
      <c r="Y2092" s="92"/>
      <c r="Z2092" s="92"/>
      <c r="AA2092" s="92"/>
      <c r="AB2092" s="92"/>
      <c r="AC2092" s="92"/>
      <c r="AD2092" s="92"/>
      <c r="AE2092" s="92"/>
      <c r="AF2092" s="92"/>
      <c r="AG2092" s="92"/>
    </row>
    <row r="2093">
      <c r="A2093" s="262"/>
      <c r="B2093" s="354"/>
      <c r="C2093" s="355"/>
      <c r="D2093" s="97"/>
      <c r="E2093" s="98"/>
      <c r="F2093" s="98"/>
      <c r="G2093" s="41"/>
      <c r="H2093" s="98"/>
      <c r="I2093" s="98"/>
      <c r="J2093" s="98"/>
      <c r="K2093" s="91"/>
      <c r="L2093" s="91"/>
      <c r="M2093" s="91"/>
      <c r="N2093" s="96" t="b">
        <v>0</v>
      </c>
      <c r="O2093" s="96" t="b">
        <v>0</v>
      </c>
      <c r="P2093" s="92"/>
      <c r="Q2093" s="92"/>
      <c r="R2093" s="92"/>
      <c r="S2093" s="92"/>
      <c r="T2093" s="92"/>
      <c r="U2093" s="92"/>
      <c r="V2093" s="92"/>
      <c r="W2093" s="92"/>
      <c r="X2093" s="92"/>
      <c r="Y2093" s="92"/>
      <c r="Z2093" s="92"/>
      <c r="AA2093" s="92"/>
      <c r="AB2093" s="92"/>
      <c r="AC2093" s="92"/>
      <c r="AD2093" s="92"/>
      <c r="AE2093" s="92"/>
      <c r="AF2093" s="92"/>
      <c r="AG2093" s="92"/>
    </row>
    <row r="2094">
      <c r="A2094" s="262"/>
      <c r="B2094" s="354"/>
      <c r="C2094" s="355"/>
      <c r="D2094" s="97"/>
      <c r="E2094" s="98"/>
      <c r="F2094" s="98"/>
      <c r="G2094" s="41"/>
      <c r="H2094" s="98"/>
      <c r="I2094" s="98"/>
      <c r="J2094" s="98"/>
      <c r="K2094" s="91"/>
      <c r="L2094" s="91"/>
      <c r="M2094" s="91"/>
      <c r="N2094" s="96" t="b">
        <v>0</v>
      </c>
      <c r="O2094" s="96" t="b">
        <v>0</v>
      </c>
      <c r="P2094" s="92"/>
      <c r="Q2094" s="92"/>
      <c r="R2094" s="92"/>
      <c r="S2094" s="92"/>
      <c r="T2094" s="92"/>
      <c r="U2094" s="92"/>
      <c r="V2094" s="92"/>
      <c r="W2094" s="92"/>
      <c r="X2094" s="92"/>
      <c r="Y2094" s="92"/>
      <c r="Z2094" s="92"/>
      <c r="AA2094" s="92"/>
      <c r="AB2094" s="92"/>
      <c r="AC2094" s="92"/>
      <c r="AD2094" s="92"/>
      <c r="AE2094" s="92"/>
      <c r="AF2094" s="92"/>
      <c r="AG2094" s="92"/>
    </row>
    <row r="2095">
      <c r="A2095" s="262"/>
      <c r="B2095" s="354"/>
      <c r="C2095" s="355"/>
      <c r="D2095" s="97"/>
      <c r="E2095" s="98"/>
      <c r="F2095" s="98"/>
      <c r="G2095" s="41"/>
      <c r="H2095" s="98"/>
      <c r="I2095" s="98"/>
      <c r="J2095" s="98"/>
      <c r="K2095" s="91"/>
      <c r="L2095" s="91"/>
      <c r="M2095" s="91"/>
      <c r="N2095" s="96" t="b">
        <v>0</v>
      </c>
      <c r="O2095" s="96" t="b">
        <v>0</v>
      </c>
      <c r="P2095" s="92"/>
      <c r="Q2095" s="92"/>
      <c r="R2095" s="92"/>
      <c r="S2095" s="92"/>
      <c r="T2095" s="92"/>
      <c r="U2095" s="92"/>
      <c r="V2095" s="92"/>
      <c r="W2095" s="92"/>
      <c r="X2095" s="92"/>
      <c r="Y2095" s="92"/>
      <c r="Z2095" s="92"/>
      <c r="AA2095" s="92"/>
      <c r="AB2095" s="92"/>
      <c r="AC2095" s="92"/>
      <c r="AD2095" s="92"/>
      <c r="AE2095" s="92"/>
      <c r="AF2095" s="92"/>
      <c r="AG2095" s="92"/>
    </row>
    <row r="2096">
      <c r="A2096" s="262"/>
      <c r="B2096" s="354"/>
      <c r="C2096" s="355"/>
      <c r="D2096" s="97"/>
      <c r="E2096" s="98"/>
      <c r="F2096" s="98"/>
      <c r="G2096" s="41"/>
      <c r="H2096" s="98"/>
      <c r="I2096" s="98"/>
      <c r="J2096" s="98"/>
      <c r="K2096" s="91"/>
      <c r="L2096" s="91"/>
      <c r="M2096" s="91"/>
      <c r="N2096" s="96" t="b">
        <v>0</v>
      </c>
      <c r="O2096" s="96" t="b">
        <v>0</v>
      </c>
      <c r="P2096" s="92"/>
      <c r="Q2096" s="92"/>
      <c r="R2096" s="92"/>
      <c r="S2096" s="92"/>
      <c r="T2096" s="92"/>
      <c r="U2096" s="92"/>
      <c r="V2096" s="92"/>
      <c r="W2096" s="92"/>
      <c r="X2096" s="92"/>
      <c r="Y2096" s="92"/>
      <c r="Z2096" s="92"/>
      <c r="AA2096" s="92"/>
      <c r="AB2096" s="92"/>
      <c r="AC2096" s="92"/>
      <c r="AD2096" s="92"/>
      <c r="AE2096" s="92"/>
      <c r="AF2096" s="92"/>
      <c r="AG2096" s="92"/>
    </row>
    <row r="2097">
      <c r="A2097" s="262"/>
      <c r="B2097" s="354"/>
      <c r="C2097" s="355"/>
      <c r="D2097" s="97"/>
      <c r="E2097" s="98"/>
      <c r="F2097" s="98"/>
      <c r="G2097" s="41"/>
      <c r="H2097" s="98"/>
      <c r="I2097" s="98"/>
      <c r="J2097" s="98"/>
      <c r="K2097" s="91"/>
      <c r="L2097" s="91"/>
      <c r="M2097" s="91"/>
      <c r="N2097" s="96" t="b">
        <v>0</v>
      </c>
      <c r="O2097" s="96" t="b">
        <v>0</v>
      </c>
      <c r="P2097" s="92"/>
      <c r="Q2097" s="92"/>
      <c r="R2097" s="92"/>
      <c r="S2097" s="92"/>
      <c r="T2097" s="92"/>
      <c r="U2097" s="92"/>
      <c r="V2097" s="92"/>
      <c r="W2097" s="92"/>
      <c r="X2097" s="92"/>
      <c r="Y2097" s="92"/>
      <c r="Z2097" s="92"/>
      <c r="AA2097" s="92"/>
      <c r="AB2097" s="92"/>
      <c r="AC2097" s="92"/>
      <c r="AD2097" s="92"/>
      <c r="AE2097" s="92"/>
      <c r="AF2097" s="92"/>
      <c r="AG2097" s="92"/>
    </row>
    <row r="2098">
      <c r="A2098" s="262"/>
      <c r="B2098" s="354"/>
      <c r="C2098" s="355"/>
      <c r="D2098" s="97"/>
      <c r="E2098" s="98"/>
      <c r="F2098" s="98"/>
      <c r="G2098" s="41"/>
      <c r="H2098" s="98"/>
      <c r="I2098" s="98"/>
      <c r="J2098" s="98"/>
      <c r="K2098" s="91"/>
      <c r="L2098" s="91"/>
      <c r="M2098" s="91"/>
      <c r="N2098" s="96" t="b">
        <v>0</v>
      </c>
      <c r="O2098" s="96" t="b">
        <v>0</v>
      </c>
      <c r="P2098" s="92"/>
      <c r="Q2098" s="92"/>
      <c r="R2098" s="92"/>
      <c r="S2098" s="92"/>
      <c r="T2098" s="92"/>
      <c r="U2098" s="92"/>
      <c r="V2098" s="92"/>
      <c r="W2098" s="92"/>
      <c r="X2098" s="92"/>
      <c r="Y2098" s="92"/>
      <c r="Z2098" s="92"/>
      <c r="AA2098" s="92"/>
      <c r="AB2098" s="92"/>
      <c r="AC2098" s="92"/>
      <c r="AD2098" s="92"/>
      <c r="AE2098" s="92"/>
      <c r="AF2098" s="92"/>
      <c r="AG2098" s="92"/>
    </row>
    <row r="2099">
      <c r="A2099" s="262"/>
      <c r="B2099" s="354"/>
      <c r="C2099" s="355"/>
      <c r="D2099" s="97"/>
      <c r="E2099" s="98"/>
      <c r="F2099" s="98"/>
      <c r="G2099" s="41"/>
      <c r="H2099" s="98"/>
      <c r="I2099" s="98"/>
      <c r="J2099" s="98"/>
      <c r="K2099" s="91"/>
      <c r="L2099" s="91"/>
      <c r="M2099" s="91"/>
      <c r="N2099" s="96" t="b">
        <v>0</v>
      </c>
      <c r="O2099" s="96" t="b">
        <v>0</v>
      </c>
      <c r="P2099" s="92"/>
      <c r="Q2099" s="92"/>
      <c r="R2099" s="92"/>
      <c r="S2099" s="92"/>
      <c r="T2099" s="92"/>
      <c r="U2099" s="92"/>
      <c r="V2099" s="92"/>
      <c r="W2099" s="92"/>
      <c r="X2099" s="92"/>
      <c r="Y2099" s="92"/>
      <c r="Z2099" s="92"/>
      <c r="AA2099" s="92"/>
      <c r="AB2099" s="92"/>
      <c r="AC2099" s="92"/>
      <c r="AD2099" s="92"/>
      <c r="AE2099" s="92"/>
      <c r="AF2099" s="92"/>
      <c r="AG2099" s="92"/>
    </row>
    <row r="2100">
      <c r="A2100" s="262"/>
      <c r="B2100" s="354"/>
      <c r="C2100" s="355"/>
      <c r="D2100" s="97"/>
      <c r="E2100" s="98"/>
      <c r="F2100" s="98"/>
      <c r="G2100" s="41"/>
      <c r="H2100" s="98"/>
      <c r="I2100" s="98"/>
      <c r="J2100" s="98"/>
      <c r="K2100" s="91"/>
      <c r="L2100" s="91"/>
      <c r="M2100" s="91"/>
      <c r="N2100" s="96" t="b">
        <v>0</v>
      </c>
      <c r="O2100" s="96" t="b">
        <v>0</v>
      </c>
      <c r="P2100" s="92"/>
      <c r="Q2100" s="92"/>
      <c r="R2100" s="92"/>
      <c r="S2100" s="92"/>
      <c r="T2100" s="92"/>
      <c r="U2100" s="92"/>
      <c r="V2100" s="92"/>
      <c r="W2100" s="92"/>
      <c r="X2100" s="92"/>
      <c r="Y2100" s="92"/>
      <c r="Z2100" s="92"/>
      <c r="AA2100" s="92"/>
      <c r="AB2100" s="92"/>
      <c r="AC2100" s="92"/>
      <c r="AD2100" s="92"/>
      <c r="AE2100" s="92"/>
      <c r="AF2100" s="92"/>
      <c r="AG2100" s="92"/>
    </row>
    <row r="2101">
      <c r="A2101" s="262"/>
      <c r="B2101" s="354"/>
      <c r="C2101" s="355"/>
      <c r="D2101" s="97"/>
      <c r="E2101" s="98"/>
      <c r="F2101" s="98"/>
      <c r="G2101" s="41"/>
      <c r="H2101" s="98"/>
      <c r="I2101" s="98"/>
      <c r="J2101" s="98"/>
      <c r="K2101" s="91"/>
      <c r="L2101" s="91"/>
      <c r="M2101" s="91"/>
      <c r="N2101" s="96" t="b">
        <v>0</v>
      </c>
      <c r="O2101" s="96" t="b">
        <v>0</v>
      </c>
      <c r="P2101" s="92"/>
      <c r="Q2101" s="92"/>
      <c r="R2101" s="92"/>
      <c r="S2101" s="92"/>
      <c r="T2101" s="92"/>
      <c r="U2101" s="92"/>
      <c r="V2101" s="92"/>
      <c r="W2101" s="92"/>
      <c r="X2101" s="92"/>
      <c r="Y2101" s="92"/>
      <c r="Z2101" s="92"/>
      <c r="AA2101" s="92"/>
      <c r="AB2101" s="92"/>
      <c r="AC2101" s="92"/>
      <c r="AD2101" s="92"/>
      <c r="AE2101" s="92"/>
      <c r="AF2101" s="92"/>
      <c r="AG2101" s="92"/>
    </row>
    <row r="2102">
      <c r="A2102" s="262"/>
      <c r="B2102" s="354"/>
      <c r="C2102" s="355"/>
      <c r="D2102" s="97"/>
      <c r="E2102" s="98"/>
      <c r="F2102" s="98"/>
      <c r="G2102" s="41"/>
      <c r="H2102" s="98"/>
      <c r="I2102" s="98"/>
      <c r="J2102" s="98"/>
      <c r="K2102" s="91"/>
      <c r="L2102" s="91"/>
      <c r="M2102" s="91"/>
      <c r="N2102" s="96" t="b">
        <v>0</v>
      </c>
      <c r="O2102" s="96" t="b">
        <v>0</v>
      </c>
      <c r="P2102" s="92"/>
      <c r="Q2102" s="92"/>
      <c r="R2102" s="92"/>
      <c r="S2102" s="92"/>
      <c r="T2102" s="92"/>
      <c r="U2102" s="92"/>
      <c r="V2102" s="92"/>
      <c r="W2102" s="92"/>
      <c r="X2102" s="92"/>
      <c r="Y2102" s="92"/>
      <c r="Z2102" s="92"/>
      <c r="AA2102" s="92"/>
      <c r="AB2102" s="92"/>
      <c r="AC2102" s="92"/>
      <c r="AD2102" s="92"/>
      <c r="AE2102" s="92"/>
      <c r="AF2102" s="92"/>
      <c r="AG2102" s="92"/>
    </row>
    <row r="2103">
      <c r="A2103" s="262"/>
      <c r="B2103" s="354"/>
      <c r="C2103" s="355"/>
      <c r="D2103" s="97"/>
      <c r="E2103" s="98"/>
      <c r="F2103" s="98"/>
      <c r="G2103" s="41"/>
      <c r="H2103" s="98"/>
      <c r="I2103" s="98"/>
      <c r="J2103" s="98"/>
      <c r="K2103" s="91"/>
      <c r="L2103" s="91"/>
      <c r="M2103" s="91"/>
      <c r="N2103" s="96" t="b">
        <v>0</v>
      </c>
      <c r="O2103" s="96" t="b">
        <v>0</v>
      </c>
      <c r="P2103" s="92"/>
      <c r="Q2103" s="92"/>
      <c r="R2103" s="92"/>
      <c r="S2103" s="92"/>
      <c r="T2103" s="92"/>
      <c r="U2103" s="92"/>
      <c r="V2103" s="92"/>
      <c r="W2103" s="92"/>
      <c r="X2103" s="92"/>
      <c r="Y2103" s="92"/>
      <c r="Z2103" s="92"/>
      <c r="AA2103" s="92"/>
      <c r="AB2103" s="92"/>
      <c r="AC2103" s="92"/>
      <c r="AD2103" s="92"/>
      <c r="AE2103" s="92"/>
      <c r="AF2103" s="92"/>
      <c r="AG2103" s="92"/>
    </row>
    <row r="2104">
      <c r="A2104" s="262"/>
      <c r="B2104" s="354"/>
      <c r="C2104" s="355"/>
      <c r="D2104" s="97"/>
      <c r="E2104" s="98"/>
      <c r="F2104" s="98"/>
      <c r="G2104" s="41"/>
      <c r="H2104" s="98"/>
      <c r="I2104" s="98"/>
      <c r="J2104" s="98"/>
      <c r="K2104" s="91"/>
      <c r="L2104" s="91"/>
      <c r="M2104" s="91"/>
      <c r="N2104" s="96" t="b">
        <v>0</v>
      </c>
      <c r="O2104" s="96" t="b">
        <v>0</v>
      </c>
      <c r="P2104" s="92"/>
      <c r="Q2104" s="92"/>
      <c r="R2104" s="92"/>
      <c r="S2104" s="92"/>
      <c r="T2104" s="92"/>
      <c r="U2104" s="92"/>
      <c r="V2104" s="92"/>
      <c r="W2104" s="92"/>
      <c r="X2104" s="92"/>
      <c r="Y2104" s="92"/>
      <c r="Z2104" s="92"/>
      <c r="AA2104" s="92"/>
      <c r="AB2104" s="92"/>
      <c r="AC2104" s="92"/>
      <c r="AD2104" s="92"/>
      <c r="AE2104" s="92"/>
      <c r="AF2104" s="92"/>
      <c r="AG2104" s="92"/>
    </row>
    <row r="2105">
      <c r="A2105" s="262"/>
      <c r="B2105" s="354"/>
      <c r="C2105" s="355"/>
      <c r="D2105" s="97"/>
      <c r="E2105" s="98"/>
      <c r="F2105" s="98"/>
      <c r="G2105" s="41"/>
      <c r="H2105" s="98"/>
      <c r="I2105" s="98"/>
      <c r="J2105" s="98"/>
      <c r="K2105" s="91"/>
      <c r="L2105" s="91"/>
      <c r="M2105" s="91"/>
      <c r="N2105" s="96" t="b">
        <v>0</v>
      </c>
      <c r="O2105" s="96" t="b">
        <v>0</v>
      </c>
      <c r="P2105" s="92"/>
      <c r="Q2105" s="92"/>
      <c r="R2105" s="92"/>
      <c r="S2105" s="92"/>
      <c r="T2105" s="92"/>
      <c r="U2105" s="92"/>
      <c r="V2105" s="92"/>
      <c r="W2105" s="92"/>
      <c r="X2105" s="92"/>
      <c r="Y2105" s="92"/>
      <c r="Z2105" s="92"/>
      <c r="AA2105" s="92"/>
      <c r="AB2105" s="92"/>
      <c r="AC2105" s="92"/>
      <c r="AD2105" s="92"/>
      <c r="AE2105" s="92"/>
      <c r="AF2105" s="92"/>
      <c r="AG2105" s="92"/>
    </row>
    <row r="2106">
      <c r="A2106" s="262"/>
      <c r="B2106" s="354"/>
      <c r="C2106" s="355"/>
      <c r="D2106" s="97"/>
      <c r="E2106" s="98"/>
      <c r="F2106" s="98"/>
      <c r="G2106" s="41"/>
      <c r="H2106" s="98"/>
      <c r="I2106" s="98"/>
      <c r="J2106" s="98"/>
      <c r="K2106" s="91"/>
      <c r="L2106" s="91"/>
      <c r="M2106" s="91"/>
      <c r="N2106" s="96" t="b">
        <v>0</v>
      </c>
      <c r="O2106" s="96" t="b">
        <v>0</v>
      </c>
      <c r="P2106" s="92"/>
      <c r="Q2106" s="92"/>
      <c r="R2106" s="92"/>
      <c r="S2106" s="92"/>
      <c r="T2106" s="92"/>
      <c r="U2106" s="92"/>
      <c r="V2106" s="92"/>
      <c r="W2106" s="92"/>
      <c r="X2106" s="92"/>
      <c r="Y2106" s="92"/>
      <c r="Z2106" s="92"/>
      <c r="AA2106" s="92"/>
      <c r="AB2106" s="92"/>
      <c r="AC2106" s="92"/>
      <c r="AD2106" s="92"/>
      <c r="AE2106" s="92"/>
      <c r="AF2106" s="92"/>
      <c r="AG2106" s="92"/>
    </row>
    <row r="2107">
      <c r="A2107" s="262"/>
      <c r="B2107" s="354"/>
      <c r="C2107" s="355"/>
      <c r="D2107" s="97"/>
      <c r="E2107" s="98"/>
      <c r="F2107" s="98"/>
      <c r="G2107" s="41"/>
      <c r="H2107" s="98"/>
      <c r="I2107" s="98"/>
      <c r="J2107" s="98"/>
      <c r="K2107" s="91"/>
      <c r="L2107" s="91"/>
      <c r="M2107" s="91"/>
      <c r="N2107" s="96" t="b">
        <v>0</v>
      </c>
      <c r="O2107" s="96" t="b">
        <v>0</v>
      </c>
      <c r="P2107" s="92"/>
      <c r="Q2107" s="92"/>
      <c r="R2107" s="92"/>
      <c r="S2107" s="92"/>
      <c r="T2107" s="92"/>
      <c r="U2107" s="92"/>
      <c r="V2107" s="92"/>
      <c r="W2107" s="92"/>
      <c r="X2107" s="92"/>
      <c r="Y2107" s="92"/>
      <c r="Z2107" s="92"/>
      <c r="AA2107" s="92"/>
      <c r="AB2107" s="92"/>
      <c r="AC2107" s="92"/>
      <c r="AD2107" s="92"/>
      <c r="AE2107" s="92"/>
      <c r="AF2107" s="92"/>
      <c r="AG2107" s="92"/>
    </row>
    <row r="2108">
      <c r="A2108" s="262"/>
      <c r="B2108" s="354"/>
      <c r="C2108" s="355"/>
      <c r="D2108" s="97"/>
      <c r="E2108" s="98"/>
      <c r="F2108" s="98"/>
      <c r="G2108" s="41"/>
      <c r="H2108" s="98"/>
      <c r="I2108" s="98"/>
      <c r="J2108" s="98"/>
      <c r="K2108" s="91"/>
      <c r="L2108" s="91"/>
      <c r="M2108" s="91"/>
      <c r="N2108" s="96" t="b">
        <v>0</v>
      </c>
      <c r="O2108" s="96" t="b">
        <v>0</v>
      </c>
      <c r="P2108" s="92"/>
      <c r="Q2108" s="92"/>
      <c r="R2108" s="92"/>
      <c r="S2108" s="92"/>
      <c r="T2108" s="92"/>
      <c r="U2108" s="92"/>
      <c r="V2108" s="92"/>
      <c r="W2108" s="92"/>
      <c r="X2108" s="92"/>
      <c r="Y2108" s="92"/>
      <c r="Z2108" s="92"/>
      <c r="AA2108" s="92"/>
      <c r="AB2108" s="92"/>
      <c r="AC2108" s="92"/>
      <c r="AD2108" s="92"/>
      <c r="AE2108" s="92"/>
      <c r="AF2108" s="92"/>
      <c r="AG2108" s="92"/>
    </row>
    <row r="2109">
      <c r="A2109" s="262"/>
      <c r="B2109" s="354"/>
      <c r="C2109" s="355"/>
      <c r="D2109" s="97"/>
      <c r="E2109" s="98"/>
      <c r="F2109" s="98"/>
      <c r="G2109" s="41"/>
      <c r="H2109" s="98"/>
      <c r="I2109" s="98"/>
      <c r="J2109" s="98"/>
      <c r="K2109" s="91"/>
      <c r="L2109" s="91"/>
      <c r="M2109" s="91"/>
      <c r="N2109" s="96" t="b">
        <v>0</v>
      </c>
      <c r="O2109" s="96" t="b">
        <v>0</v>
      </c>
      <c r="P2109" s="92"/>
      <c r="Q2109" s="92"/>
      <c r="R2109" s="92"/>
      <c r="S2109" s="92"/>
      <c r="T2109" s="92"/>
      <c r="U2109" s="92"/>
      <c r="V2109" s="92"/>
      <c r="W2109" s="92"/>
      <c r="X2109" s="92"/>
      <c r="Y2109" s="92"/>
      <c r="Z2109" s="92"/>
      <c r="AA2109" s="92"/>
      <c r="AB2109" s="92"/>
      <c r="AC2109" s="92"/>
      <c r="AD2109" s="92"/>
      <c r="AE2109" s="92"/>
      <c r="AF2109" s="92"/>
      <c r="AG2109" s="92"/>
    </row>
    <row r="2110">
      <c r="A2110" s="262"/>
      <c r="B2110" s="354"/>
      <c r="C2110" s="355"/>
      <c r="D2110" s="97"/>
      <c r="E2110" s="98"/>
      <c r="F2110" s="98"/>
      <c r="G2110" s="41"/>
      <c r="H2110" s="98"/>
      <c r="I2110" s="98"/>
      <c r="J2110" s="98"/>
      <c r="K2110" s="91"/>
      <c r="L2110" s="91"/>
      <c r="M2110" s="91"/>
      <c r="N2110" s="96" t="b">
        <v>0</v>
      </c>
      <c r="O2110" s="96" t="b">
        <v>0</v>
      </c>
      <c r="P2110" s="92"/>
      <c r="Q2110" s="92"/>
      <c r="R2110" s="92"/>
      <c r="S2110" s="92"/>
      <c r="T2110" s="92"/>
      <c r="U2110" s="92"/>
      <c r="V2110" s="92"/>
      <c r="W2110" s="92"/>
      <c r="X2110" s="92"/>
      <c r="Y2110" s="92"/>
      <c r="Z2110" s="92"/>
      <c r="AA2110" s="92"/>
      <c r="AB2110" s="92"/>
      <c r="AC2110" s="92"/>
      <c r="AD2110" s="92"/>
      <c r="AE2110" s="92"/>
      <c r="AF2110" s="92"/>
      <c r="AG2110" s="92"/>
    </row>
    <row r="2111">
      <c r="A2111" s="262"/>
      <c r="B2111" s="354"/>
      <c r="C2111" s="355"/>
      <c r="D2111" s="97"/>
      <c r="E2111" s="98"/>
      <c r="F2111" s="98"/>
      <c r="G2111" s="41"/>
      <c r="H2111" s="98"/>
      <c r="I2111" s="98"/>
      <c r="J2111" s="98"/>
      <c r="K2111" s="91"/>
      <c r="L2111" s="91"/>
      <c r="M2111" s="91"/>
      <c r="N2111" s="96" t="b">
        <v>0</v>
      </c>
      <c r="O2111" s="96" t="b">
        <v>0</v>
      </c>
      <c r="P2111" s="92"/>
      <c r="Q2111" s="92"/>
      <c r="R2111" s="92"/>
      <c r="S2111" s="92"/>
      <c r="T2111" s="92"/>
      <c r="U2111" s="92"/>
      <c r="V2111" s="92"/>
      <c r="W2111" s="92"/>
      <c r="X2111" s="92"/>
      <c r="Y2111" s="92"/>
      <c r="Z2111" s="92"/>
      <c r="AA2111" s="92"/>
      <c r="AB2111" s="92"/>
      <c r="AC2111" s="92"/>
      <c r="AD2111" s="92"/>
      <c r="AE2111" s="92"/>
      <c r="AF2111" s="92"/>
      <c r="AG2111" s="92"/>
    </row>
    <row r="2112">
      <c r="A2112" s="262"/>
      <c r="B2112" s="354"/>
      <c r="C2112" s="355"/>
      <c r="D2112" s="97"/>
      <c r="E2112" s="98"/>
      <c r="F2112" s="98"/>
      <c r="G2112" s="41"/>
      <c r="H2112" s="98"/>
      <c r="I2112" s="98"/>
      <c r="J2112" s="98"/>
      <c r="K2112" s="91"/>
      <c r="L2112" s="91"/>
      <c r="M2112" s="91"/>
      <c r="N2112" s="96" t="b">
        <v>0</v>
      </c>
      <c r="O2112" s="96" t="b">
        <v>0</v>
      </c>
      <c r="P2112" s="92"/>
      <c r="Q2112" s="92"/>
      <c r="R2112" s="92"/>
      <c r="S2112" s="92"/>
      <c r="T2112" s="92"/>
      <c r="U2112" s="92"/>
      <c r="V2112" s="92"/>
      <c r="W2112" s="92"/>
      <c r="X2112" s="92"/>
      <c r="Y2112" s="92"/>
      <c r="Z2112" s="92"/>
      <c r="AA2112" s="92"/>
      <c r="AB2112" s="92"/>
      <c r="AC2112" s="92"/>
      <c r="AD2112" s="92"/>
      <c r="AE2112" s="92"/>
      <c r="AF2112" s="92"/>
      <c r="AG2112" s="92"/>
    </row>
    <row r="2113">
      <c r="A2113" s="262"/>
      <c r="B2113" s="354"/>
      <c r="C2113" s="355"/>
      <c r="D2113" s="97"/>
      <c r="E2113" s="98"/>
      <c r="F2113" s="98"/>
      <c r="G2113" s="41"/>
      <c r="H2113" s="98"/>
      <c r="I2113" s="98"/>
      <c r="J2113" s="98"/>
      <c r="K2113" s="91"/>
      <c r="L2113" s="91"/>
      <c r="M2113" s="91"/>
      <c r="N2113" s="96" t="b">
        <v>0</v>
      </c>
      <c r="O2113" s="96" t="b">
        <v>0</v>
      </c>
      <c r="P2113" s="92"/>
      <c r="Q2113" s="92"/>
      <c r="R2113" s="92"/>
      <c r="S2113" s="92"/>
      <c r="T2113" s="92"/>
      <c r="U2113" s="92"/>
      <c r="V2113" s="92"/>
      <c r="W2113" s="92"/>
      <c r="X2113" s="92"/>
      <c r="Y2113" s="92"/>
      <c r="Z2113" s="92"/>
      <c r="AA2113" s="92"/>
      <c r="AB2113" s="92"/>
      <c r="AC2113" s="92"/>
      <c r="AD2113" s="92"/>
      <c r="AE2113" s="92"/>
      <c r="AF2113" s="92"/>
      <c r="AG2113" s="92"/>
    </row>
    <row r="2114">
      <c r="A2114" s="262"/>
      <c r="B2114" s="354"/>
      <c r="C2114" s="355"/>
      <c r="D2114" s="97"/>
      <c r="E2114" s="98"/>
      <c r="F2114" s="98"/>
      <c r="G2114" s="41"/>
      <c r="H2114" s="98"/>
      <c r="I2114" s="98"/>
      <c r="J2114" s="98"/>
      <c r="K2114" s="91"/>
      <c r="L2114" s="91"/>
      <c r="M2114" s="91"/>
      <c r="N2114" s="96" t="b">
        <v>0</v>
      </c>
      <c r="O2114" s="96" t="b">
        <v>0</v>
      </c>
      <c r="P2114" s="92"/>
      <c r="Q2114" s="92"/>
      <c r="R2114" s="92"/>
      <c r="S2114" s="92"/>
      <c r="T2114" s="92"/>
      <c r="U2114" s="92"/>
      <c r="V2114" s="92"/>
      <c r="W2114" s="92"/>
      <c r="X2114" s="92"/>
      <c r="Y2114" s="92"/>
      <c r="Z2114" s="92"/>
      <c r="AA2114" s="92"/>
      <c r="AB2114" s="92"/>
      <c r="AC2114" s="92"/>
      <c r="AD2114" s="92"/>
      <c r="AE2114" s="92"/>
      <c r="AF2114" s="92"/>
      <c r="AG2114" s="92"/>
    </row>
    <row r="2115">
      <c r="A2115" s="262"/>
      <c r="B2115" s="354"/>
      <c r="C2115" s="355"/>
      <c r="D2115" s="97"/>
      <c r="E2115" s="98"/>
      <c r="F2115" s="98"/>
      <c r="G2115" s="41"/>
      <c r="H2115" s="98"/>
      <c r="I2115" s="98"/>
      <c r="J2115" s="98"/>
      <c r="K2115" s="91"/>
      <c r="L2115" s="91"/>
      <c r="M2115" s="91"/>
      <c r="N2115" s="96" t="b">
        <v>0</v>
      </c>
      <c r="O2115" s="96" t="b">
        <v>0</v>
      </c>
      <c r="P2115" s="92"/>
      <c r="Q2115" s="92"/>
      <c r="R2115" s="92"/>
      <c r="S2115" s="92"/>
      <c r="T2115" s="92"/>
      <c r="U2115" s="92"/>
      <c r="V2115" s="92"/>
      <c r="W2115" s="92"/>
      <c r="X2115" s="92"/>
      <c r="Y2115" s="92"/>
      <c r="Z2115" s="92"/>
      <c r="AA2115" s="92"/>
      <c r="AB2115" s="92"/>
      <c r="AC2115" s="92"/>
      <c r="AD2115" s="92"/>
      <c r="AE2115" s="92"/>
      <c r="AF2115" s="92"/>
      <c r="AG2115" s="92"/>
    </row>
    <row r="2116">
      <c r="A2116" s="262"/>
      <c r="B2116" s="354"/>
      <c r="C2116" s="355"/>
      <c r="D2116" s="97"/>
      <c r="E2116" s="98"/>
      <c r="F2116" s="98"/>
      <c r="G2116" s="41"/>
      <c r="H2116" s="98"/>
      <c r="I2116" s="98"/>
      <c r="J2116" s="98"/>
      <c r="K2116" s="91"/>
      <c r="L2116" s="91"/>
      <c r="M2116" s="91"/>
      <c r="N2116" s="96" t="b">
        <v>0</v>
      </c>
      <c r="O2116" s="96" t="b">
        <v>0</v>
      </c>
      <c r="P2116" s="92"/>
      <c r="Q2116" s="92"/>
      <c r="R2116" s="92"/>
      <c r="S2116" s="92"/>
      <c r="T2116" s="92"/>
      <c r="U2116" s="92"/>
      <c r="V2116" s="92"/>
      <c r="W2116" s="92"/>
      <c r="X2116" s="92"/>
      <c r="Y2116" s="92"/>
      <c r="Z2116" s="92"/>
      <c r="AA2116" s="92"/>
      <c r="AB2116" s="92"/>
      <c r="AC2116" s="92"/>
      <c r="AD2116" s="92"/>
      <c r="AE2116" s="92"/>
      <c r="AF2116" s="92"/>
      <c r="AG2116" s="92"/>
    </row>
    <row r="2117">
      <c r="A2117" s="262"/>
      <c r="B2117" s="354"/>
      <c r="C2117" s="355"/>
      <c r="D2117" s="97"/>
      <c r="E2117" s="98"/>
      <c r="F2117" s="98"/>
      <c r="G2117" s="41"/>
      <c r="H2117" s="98"/>
      <c r="I2117" s="98"/>
      <c r="J2117" s="98"/>
      <c r="K2117" s="91"/>
      <c r="L2117" s="91"/>
      <c r="M2117" s="91"/>
      <c r="N2117" s="96" t="b">
        <v>0</v>
      </c>
      <c r="O2117" s="96" t="b">
        <v>0</v>
      </c>
      <c r="P2117" s="92"/>
      <c r="Q2117" s="92"/>
      <c r="R2117" s="92"/>
      <c r="S2117" s="92"/>
      <c r="T2117" s="92"/>
      <c r="U2117" s="92"/>
      <c r="V2117" s="92"/>
      <c r="W2117" s="92"/>
      <c r="X2117" s="92"/>
      <c r="Y2117" s="92"/>
      <c r="Z2117" s="92"/>
      <c r="AA2117" s="92"/>
      <c r="AB2117" s="92"/>
      <c r="AC2117" s="92"/>
      <c r="AD2117" s="92"/>
      <c r="AE2117" s="92"/>
      <c r="AF2117" s="92"/>
      <c r="AG2117" s="92"/>
    </row>
    <row r="2118">
      <c r="A2118" s="262"/>
      <c r="B2118" s="354"/>
      <c r="C2118" s="355"/>
      <c r="D2118" s="97"/>
      <c r="E2118" s="98"/>
      <c r="F2118" s="98"/>
      <c r="G2118" s="41"/>
      <c r="H2118" s="98"/>
      <c r="I2118" s="98"/>
      <c r="J2118" s="98"/>
      <c r="K2118" s="91"/>
      <c r="L2118" s="91"/>
      <c r="M2118" s="91"/>
      <c r="N2118" s="96" t="b">
        <v>0</v>
      </c>
      <c r="O2118" s="96" t="b">
        <v>0</v>
      </c>
      <c r="P2118" s="92"/>
      <c r="Q2118" s="92"/>
      <c r="R2118" s="92"/>
      <c r="S2118" s="92"/>
      <c r="T2118" s="92"/>
      <c r="U2118" s="92"/>
      <c r="V2118" s="92"/>
      <c r="W2118" s="92"/>
      <c r="X2118" s="92"/>
      <c r="Y2118" s="92"/>
      <c r="Z2118" s="92"/>
      <c r="AA2118" s="92"/>
      <c r="AB2118" s="92"/>
      <c r="AC2118" s="92"/>
      <c r="AD2118" s="92"/>
      <c r="AE2118" s="92"/>
      <c r="AF2118" s="92"/>
      <c r="AG2118" s="92"/>
    </row>
    <row r="2119">
      <c r="A2119" s="262"/>
      <c r="B2119" s="354"/>
      <c r="C2119" s="355"/>
      <c r="D2119" s="97"/>
      <c r="E2119" s="98"/>
      <c r="F2119" s="98"/>
      <c r="G2119" s="41"/>
      <c r="H2119" s="98"/>
      <c r="I2119" s="98"/>
      <c r="J2119" s="98"/>
      <c r="K2119" s="91"/>
      <c r="L2119" s="91"/>
      <c r="M2119" s="91"/>
      <c r="N2119" s="96" t="b">
        <v>0</v>
      </c>
      <c r="O2119" s="96" t="b">
        <v>0</v>
      </c>
      <c r="P2119" s="92"/>
      <c r="Q2119" s="92"/>
      <c r="R2119" s="92"/>
      <c r="S2119" s="92"/>
      <c r="T2119" s="92"/>
      <c r="U2119" s="92"/>
      <c r="V2119" s="92"/>
      <c r="W2119" s="92"/>
      <c r="X2119" s="92"/>
      <c r="Y2119" s="92"/>
      <c r="Z2119" s="92"/>
      <c r="AA2119" s="92"/>
      <c r="AB2119" s="92"/>
      <c r="AC2119" s="92"/>
      <c r="AD2119" s="92"/>
      <c r="AE2119" s="92"/>
      <c r="AF2119" s="92"/>
      <c r="AG2119" s="92"/>
    </row>
    <row r="2120">
      <c r="A2120" s="262"/>
      <c r="B2120" s="354"/>
      <c r="C2120" s="355"/>
      <c r="D2120" s="97"/>
      <c r="E2120" s="98"/>
      <c r="F2120" s="98"/>
      <c r="G2120" s="41"/>
      <c r="H2120" s="98"/>
      <c r="I2120" s="98"/>
      <c r="J2120" s="98"/>
      <c r="K2120" s="91"/>
      <c r="L2120" s="91"/>
      <c r="M2120" s="91"/>
      <c r="N2120" s="96" t="b">
        <v>0</v>
      </c>
      <c r="O2120" s="96" t="b">
        <v>0</v>
      </c>
      <c r="P2120" s="92"/>
      <c r="Q2120" s="92"/>
      <c r="R2120" s="92"/>
      <c r="S2120" s="92"/>
      <c r="T2120" s="92"/>
      <c r="U2120" s="92"/>
      <c r="V2120" s="92"/>
      <c r="W2120" s="92"/>
      <c r="X2120" s="92"/>
      <c r="Y2120" s="92"/>
      <c r="Z2120" s="92"/>
      <c r="AA2120" s="92"/>
      <c r="AB2120" s="92"/>
      <c r="AC2120" s="92"/>
      <c r="AD2120" s="92"/>
      <c r="AE2120" s="92"/>
      <c r="AF2120" s="92"/>
      <c r="AG2120" s="92"/>
    </row>
    <row r="2121">
      <c r="A2121" s="262"/>
      <c r="B2121" s="354"/>
      <c r="C2121" s="355"/>
      <c r="D2121" s="97"/>
      <c r="E2121" s="98"/>
      <c r="F2121" s="98"/>
      <c r="G2121" s="41"/>
      <c r="H2121" s="98"/>
      <c r="I2121" s="98"/>
      <c r="J2121" s="98"/>
      <c r="K2121" s="91"/>
      <c r="L2121" s="91"/>
      <c r="M2121" s="91"/>
      <c r="N2121" s="96" t="b">
        <v>0</v>
      </c>
      <c r="O2121" s="96" t="b">
        <v>0</v>
      </c>
      <c r="P2121" s="92"/>
      <c r="Q2121" s="92"/>
      <c r="R2121" s="92"/>
      <c r="S2121" s="92"/>
      <c r="T2121" s="92"/>
      <c r="U2121" s="92"/>
      <c r="V2121" s="92"/>
      <c r="W2121" s="92"/>
      <c r="X2121" s="92"/>
      <c r="Y2121" s="92"/>
      <c r="Z2121" s="92"/>
      <c r="AA2121" s="92"/>
      <c r="AB2121" s="92"/>
      <c r="AC2121" s="92"/>
      <c r="AD2121" s="92"/>
      <c r="AE2121" s="92"/>
      <c r="AF2121" s="92"/>
      <c r="AG2121" s="92"/>
    </row>
    <row r="2122">
      <c r="A2122" s="262"/>
      <c r="B2122" s="354"/>
      <c r="C2122" s="355"/>
      <c r="D2122" s="97"/>
      <c r="E2122" s="98"/>
      <c r="F2122" s="98"/>
      <c r="G2122" s="41"/>
      <c r="H2122" s="98"/>
      <c r="I2122" s="98"/>
      <c r="J2122" s="98"/>
      <c r="K2122" s="91"/>
      <c r="L2122" s="91"/>
      <c r="M2122" s="91"/>
      <c r="N2122" s="96" t="b">
        <v>0</v>
      </c>
      <c r="O2122" s="96" t="b">
        <v>0</v>
      </c>
      <c r="P2122" s="92"/>
      <c r="Q2122" s="92"/>
      <c r="R2122" s="92"/>
      <c r="S2122" s="92"/>
      <c r="T2122" s="92"/>
      <c r="U2122" s="92"/>
      <c r="V2122" s="92"/>
      <c r="W2122" s="92"/>
      <c r="X2122" s="92"/>
      <c r="Y2122" s="92"/>
      <c r="Z2122" s="92"/>
      <c r="AA2122" s="92"/>
      <c r="AB2122" s="92"/>
      <c r="AC2122" s="92"/>
      <c r="AD2122" s="92"/>
      <c r="AE2122" s="92"/>
      <c r="AF2122" s="92"/>
      <c r="AG2122" s="92"/>
    </row>
    <row r="2123">
      <c r="A2123" s="262"/>
      <c r="B2123" s="354"/>
      <c r="C2123" s="355"/>
      <c r="D2123" s="97"/>
      <c r="E2123" s="98"/>
      <c r="F2123" s="98"/>
      <c r="G2123" s="41"/>
      <c r="H2123" s="98"/>
      <c r="I2123" s="98"/>
      <c r="J2123" s="98"/>
      <c r="K2123" s="91"/>
      <c r="L2123" s="91"/>
      <c r="M2123" s="91"/>
      <c r="N2123" s="96" t="b">
        <v>0</v>
      </c>
      <c r="O2123" s="96" t="b">
        <v>0</v>
      </c>
      <c r="P2123" s="92"/>
      <c r="Q2123" s="92"/>
      <c r="R2123" s="92"/>
      <c r="S2123" s="92"/>
      <c r="T2123" s="92"/>
      <c r="U2123" s="92"/>
      <c r="V2123" s="92"/>
      <c r="W2123" s="92"/>
      <c r="X2123" s="92"/>
      <c r="Y2123" s="92"/>
      <c r="Z2123" s="92"/>
      <c r="AA2123" s="92"/>
      <c r="AB2123" s="92"/>
      <c r="AC2123" s="92"/>
      <c r="AD2123" s="92"/>
      <c r="AE2123" s="92"/>
      <c r="AF2123" s="92"/>
      <c r="AG2123" s="92"/>
    </row>
    <row r="2124">
      <c r="A2124" s="262"/>
      <c r="B2124" s="354"/>
      <c r="C2124" s="355"/>
      <c r="D2124" s="97"/>
      <c r="E2124" s="98"/>
      <c r="F2124" s="98"/>
      <c r="G2124" s="41"/>
      <c r="H2124" s="98"/>
      <c r="I2124" s="98"/>
      <c r="J2124" s="98"/>
      <c r="K2124" s="91"/>
      <c r="L2124" s="91"/>
      <c r="M2124" s="91"/>
      <c r="N2124" s="96" t="b">
        <v>0</v>
      </c>
      <c r="O2124" s="96" t="b">
        <v>0</v>
      </c>
      <c r="P2124" s="92"/>
      <c r="Q2124" s="92"/>
      <c r="R2124" s="92"/>
      <c r="S2124" s="92"/>
      <c r="T2124" s="92"/>
      <c r="U2124" s="92"/>
      <c r="V2124" s="92"/>
      <c r="W2124" s="92"/>
      <c r="X2124" s="92"/>
      <c r="Y2124" s="92"/>
      <c r="Z2124" s="92"/>
      <c r="AA2124" s="92"/>
      <c r="AB2124" s="92"/>
      <c r="AC2124" s="92"/>
      <c r="AD2124" s="92"/>
      <c r="AE2124" s="92"/>
      <c r="AF2124" s="92"/>
      <c r="AG2124" s="92"/>
    </row>
    <row r="2125">
      <c r="A2125" s="262"/>
      <c r="B2125" s="354"/>
      <c r="C2125" s="355"/>
      <c r="D2125" s="97"/>
      <c r="E2125" s="98"/>
      <c r="F2125" s="98"/>
      <c r="G2125" s="41"/>
      <c r="H2125" s="98"/>
      <c r="I2125" s="98"/>
      <c r="J2125" s="98"/>
      <c r="K2125" s="91"/>
      <c r="L2125" s="91"/>
      <c r="M2125" s="91"/>
      <c r="N2125" s="96" t="b">
        <v>0</v>
      </c>
      <c r="O2125" s="96" t="b">
        <v>0</v>
      </c>
      <c r="P2125" s="92"/>
      <c r="Q2125" s="92"/>
      <c r="R2125" s="92"/>
      <c r="S2125" s="92"/>
      <c r="T2125" s="92"/>
      <c r="U2125" s="92"/>
      <c r="V2125" s="92"/>
      <c r="W2125" s="92"/>
      <c r="X2125" s="92"/>
      <c r="Y2125" s="92"/>
      <c r="Z2125" s="92"/>
      <c r="AA2125" s="92"/>
      <c r="AB2125" s="92"/>
      <c r="AC2125" s="92"/>
      <c r="AD2125" s="92"/>
      <c r="AE2125" s="92"/>
      <c r="AF2125" s="92"/>
      <c r="AG2125" s="92"/>
    </row>
    <row r="2126">
      <c r="A2126" s="262"/>
      <c r="B2126" s="354"/>
      <c r="C2126" s="355"/>
      <c r="D2126" s="97"/>
      <c r="E2126" s="98"/>
      <c r="F2126" s="98"/>
      <c r="G2126" s="41"/>
      <c r="H2126" s="98"/>
      <c r="I2126" s="98"/>
      <c r="J2126" s="98"/>
      <c r="K2126" s="91"/>
      <c r="L2126" s="91"/>
      <c r="M2126" s="91"/>
      <c r="N2126" s="96" t="b">
        <v>0</v>
      </c>
      <c r="O2126" s="96" t="b">
        <v>0</v>
      </c>
      <c r="P2126" s="92"/>
      <c r="Q2126" s="92"/>
      <c r="R2126" s="92"/>
      <c r="S2126" s="92"/>
      <c r="T2126" s="92"/>
      <c r="U2126" s="92"/>
      <c r="V2126" s="92"/>
      <c r="W2126" s="92"/>
      <c r="X2126" s="92"/>
      <c r="Y2126" s="92"/>
      <c r="Z2126" s="92"/>
      <c r="AA2126" s="92"/>
      <c r="AB2126" s="92"/>
      <c r="AC2126" s="92"/>
      <c r="AD2126" s="92"/>
      <c r="AE2126" s="92"/>
      <c r="AF2126" s="92"/>
      <c r="AG2126" s="92"/>
    </row>
    <row r="2127">
      <c r="A2127" s="262"/>
      <c r="B2127" s="354"/>
      <c r="C2127" s="355"/>
      <c r="D2127" s="97"/>
      <c r="E2127" s="98"/>
      <c r="F2127" s="98"/>
      <c r="G2127" s="41"/>
      <c r="H2127" s="98"/>
      <c r="I2127" s="98"/>
      <c r="J2127" s="98"/>
      <c r="K2127" s="91"/>
      <c r="L2127" s="91"/>
      <c r="M2127" s="91"/>
      <c r="N2127" s="96" t="b">
        <v>0</v>
      </c>
      <c r="O2127" s="96" t="b">
        <v>0</v>
      </c>
      <c r="P2127" s="92"/>
      <c r="Q2127" s="92"/>
      <c r="R2127" s="92"/>
      <c r="S2127" s="92"/>
      <c r="T2127" s="92"/>
      <c r="U2127" s="92"/>
      <c r="V2127" s="92"/>
      <c r="W2127" s="92"/>
      <c r="X2127" s="92"/>
      <c r="Y2127" s="92"/>
      <c r="Z2127" s="92"/>
      <c r="AA2127" s="92"/>
      <c r="AB2127" s="92"/>
      <c r="AC2127" s="92"/>
      <c r="AD2127" s="92"/>
      <c r="AE2127" s="92"/>
      <c r="AF2127" s="92"/>
      <c r="AG2127" s="92"/>
    </row>
    <row r="2128">
      <c r="A2128" s="262"/>
      <c r="B2128" s="354"/>
      <c r="C2128" s="355"/>
      <c r="D2128" s="97"/>
      <c r="E2128" s="98"/>
      <c r="F2128" s="98"/>
      <c r="G2128" s="41"/>
      <c r="H2128" s="98"/>
      <c r="I2128" s="98"/>
      <c r="J2128" s="98"/>
      <c r="K2128" s="91"/>
      <c r="L2128" s="91"/>
      <c r="M2128" s="91"/>
      <c r="N2128" s="96" t="b">
        <v>0</v>
      </c>
      <c r="O2128" s="96" t="b">
        <v>0</v>
      </c>
      <c r="P2128" s="92"/>
      <c r="Q2128" s="92"/>
      <c r="R2128" s="92"/>
      <c r="S2128" s="92"/>
      <c r="T2128" s="92"/>
      <c r="U2128" s="92"/>
      <c r="V2128" s="92"/>
      <c r="W2128" s="92"/>
      <c r="X2128" s="92"/>
      <c r="Y2128" s="92"/>
      <c r="Z2128" s="92"/>
      <c r="AA2128" s="92"/>
      <c r="AB2128" s="92"/>
      <c r="AC2128" s="92"/>
      <c r="AD2128" s="92"/>
      <c r="AE2128" s="92"/>
      <c r="AF2128" s="92"/>
      <c r="AG2128" s="92"/>
    </row>
    <row r="2129">
      <c r="A2129" s="262"/>
      <c r="B2129" s="354"/>
      <c r="C2129" s="355"/>
      <c r="D2129" s="97"/>
      <c r="E2129" s="98"/>
      <c r="F2129" s="98"/>
      <c r="G2129" s="41"/>
      <c r="H2129" s="98"/>
      <c r="I2129" s="98"/>
      <c r="J2129" s="98"/>
      <c r="K2129" s="91"/>
      <c r="L2129" s="91"/>
      <c r="M2129" s="91"/>
      <c r="N2129" s="96" t="b">
        <v>0</v>
      </c>
      <c r="O2129" s="96" t="b">
        <v>0</v>
      </c>
      <c r="P2129" s="92"/>
      <c r="Q2129" s="92"/>
      <c r="R2129" s="92"/>
      <c r="S2129" s="92"/>
      <c r="T2129" s="92"/>
      <c r="U2129" s="92"/>
      <c r="V2129" s="92"/>
      <c r="W2129" s="92"/>
      <c r="X2129" s="92"/>
      <c r="Y2129" s="92"/>
      <c r="Z2129" s="92"/>
      <c r="AA2129" s="92"/>
      <c r="AB2129" s="92"/>
      <c r="AC2129" s="92"/>
      <c r="AD2129" s="92"/>
      <c r="AE2129" s="92"/>
      <c r="AF2129" s="92"/>
      <c r="AG2129" s="92"/>
    </row>
    <row r="2130">
      <c r="A2130" s="262"/>
      <c r="B2130" s="354"/>
      <c r="C2130" s="355"/>
      <c r="D2130" s="97"/>
      <c r="E2130" s="98"/>
      <c r="F2130" s="98"/>
      <c r="G2130" s="41"/>
      <c r="H2130" s="98"/>
      <c r="I2130" s="98"/>
      <c r="J2130" s="98"/>
      <c r="K2130" s="91"/>
      <c r="L2130" s="91"/>
      <c r="M2130" s="91"/>
      <c r="N2130" s="96" t="b">
        <v>0</v>
      </c>
      <c r="O2130" s="96" t="b">
        <v>0</v>
      </c>
      <c r="P2130" s="92"/>
      <c r="Q2130" s="92"/>
      <c r="R2130" s="92"/>
      <c r="S2130" s="92"/>
      <c r="T2130" s="92"/>
      <c r="U2130" s="92"/>
      <c r="V2130" s="92"/>
      <c r="W2130" s="92"/>
      <c r="X2130" s="92"/>
      <c r="Y2130" s="92"/>
      <c r="Z2130" s="92"/>
      <c r="AA2130" s="92"/>
      <c r="AB2130" s="92"/>
      <c r="AC2130" s="92"/>
      <c r="AD2130" s="92"/>
      <c r="AE2130" s="92"/>
      <c r="AF2130" s="92"/>
      <c r="AG2130" s="92"/>
    </row>
    <row r="2131">
      <c r="A2131" s="262"/>
      <c r="B2131" s="354"/>
      <c r="C2131" s="355"/>
      <c r="D2131" s="97"/>
      <c r="E2131" s="98"/>
      <c r="F2131" s="98"/>
      <c r="G2131" s="41"/>
      <c r="H2131" s="98"/>
      <c r="I2131" s="98"/>
      <c r="J2131" s="98"/>
      <c r="K2131" s="91"/>
      <c r="L2131" s="91"/>
      <c r="M2131" s="91"/>
      <c r="N2131" s="96" t="b">
        <v>0</v>
      </c>
      <c r="O2131" s="96" t="b">
        <v>0</v>
      </c>
      <c r="P2131" s="92"/>
      <c r="Q2131" s="92"/>
      <c r="R2131" s="92"/>
      <c r="S2131" s="92"/>
      <c r="T2131" s="92"/>
      <c r="U2131" s="92"/>
      <c r="V2131" s="92"/>
      <c r="W2131" s="92"/>
      <c r="X2131" s="92"/>
      <c r="Y2131" s="92"/>
      <c r="Z2131" s="92"/>
      <c r="AA2131" s="92"/>
      <c r="AB2131" s="92"/>
      <c r="AC2131" s="92"/>
      <c r="AD2131" s="92"/>
      <c r="AE2131" s="92"/>
      <c r="AF2131" s="92"/>
      <c r="AG2131" s="92"/>
    </row>
    <row r="2132">
      <c r="A2132" s="262"/>
      <c r="B2132" s="354"/>
      <c r="C2132" s="355"/>
      <c r="D2132" s="97"/>
      <c r="E2132" s="98"/>
      <c r="F2132" s="98"/>
      <c r="G2132" s="41"/>
      <c r="H2132" s="98"/>
      <c r="I2132" s="98"/>
      <c r="J2132" s="98"/>
      <c r="K2132" s="91"/>
      <c r="L2132" s="91"/>
      <c r="M2132" s="91"/>
      <c r="N2132" s="96" t="b">
        <v>0</v>
      </c>
      <c r="O2132" s="96" t="b">
        <v>0</v>
      </c>
      <c r="P2132" s="92"/>
      <c r="Q2132" s="92"/>
      <c r="R2132" s="92"/>
      <c r="S2132" s="92"/>
      <c r="T2132" s="92"/>
      <c r="U2132" s="92"/>
      <c r="V2132" s="92"/>
      <c r="W2132" s="92"/>
      <c r="X2132" s="92"/>
      <c r="Y2132" s="92"/>
      <c r="Z2132" s="92"/>
      <c r="AA2132" s="92"/>
      <c r="AB2132" s="92"/>
      <c r="AC2132" s="92"/>
      <c r="AD2132" s="92"/>
      <c r="AE2132" s="92"/>
      <c r="AF2132" s="92"/>
      <c r="AG2132" s="92"/>
    </row>
    <row r="2133">
      <c r="A2133" s="262"/>
      <c r="B2133" s="354"/>
      <c r="C2133" s="355"/>
      <c r="D2133" s="97"/>
      <c r="E2133" s="98"/>
      <c r="F2133" s="98"/>
      <c r="G2133" s="41"/>
      <c r="H2133" s="98"/>
      <c r="I2133" s="98"/>
      <c r="J2133" s="98"/>
      <c r="K2133" s="91"/>
      <c r="L2133" s="91"/>
      <c r="M2133" s="91"/>
      <c r="N2133" s="96" t="b">
        <v>0</v>
      </c>
      <c r="O2133" s="96" t="b">
        <v>0</v>
      </c>
      <c r="P2133" s="92"/>
      <c r="Q2133" s="92"/>
      <c r="R2133" s="92"/>
      <c r="S2133" s="92"/>
      <c r="T2133" s="92"/>
      <c r="U2133" s="92"/>
      <c r="V2133" s="92"/>
      <c r="W2133" s="92"/>
      <c r="X2133" s="92"/>
      <c r="Y2133" s="92"/>
      <c r="Z2133" s="92"/>
      <c r="AA2133" s="92"/>
      <c r="AB2133" s="92"/>
      <c r="AC2133" s="92"/>
      <c r="AD2133" s="92"/>
      <c r="AE2133" s="92"/>
      <c r="AF2133" s="92"/>
      <c r="AG2133" s="92"/>
    </row>
    <row r="2134">
      <c r="A2134" s="262"/>
      <c r="B2134" s="354"/>
      <c r="C2134" s="355"/>
      <c r="D2134" s="97"/>
      <c r="E2134" s="98"/>
      <c r="F2134" s="98"/>
      <c r="G2134" s="41"/>
      <c r="H2134" s="98"/>
      <c r="I2134" s="98"/>
      <c r="J2134" s="98"/>
      <c r="K2134" s="91"/>
      <c r="L2134" s="91"/>
      <c r="M2134" s="91"/>
      <c r="N2134" s="96" t="b">
        <v>0</v>
      </c>
      <c r="O2134" s="96" t="b">
        <v>0</v>
      </c>
      <c r="P2134" s="92"/>
      <c r="Q2134" s="92"/>
      <c r="R2134" s="92"/>
      <c r="S2134" s="92"/>
      <c r="T2134" s="92"/>
      <c r="U2134" s="92"/>
      <c r="V2134" s="92"/>
      <c r="W2134" s="92"/>
      <c r="X2134" s="92"/>
      <c r="Y2134" s="92"/>
      <c r="Z2134" s="92"/>
      <c r="AA2134" s="92"/>
      <c r="AB2134" s="92"/>
      <c r="AC2134" s="92"/>
      <c r="AD2134" s="92"/>
      <c r="AE2134" s="92"/>
      <c r="AF2134" s="92"/>
      <c r="AG2134" s="92"/>
    </row>
    <row r="2135">
      <c r="A2135" s="262"/>
      <c r="B2135" s="354"/>
      <c r="C2135" s="355"/>
      <c r="D2135" s="97"/>
      <c r="E2135" s="98"/>
      <c r="F2135" s="98"/>
      <c r="G2135" s="41"/>
      <c r="H2135" s="98"/>
      <c r="I2135" s="98"/>
      <c r="J2135" s="98"/>
      <c r="K2135" s="91"/>
      <c r="L2135" s="91"/>
      <c r="M2135" s="91"/>
      <c r="N2135" s="96" t="b">
        <v>0</v>
      </c>
      <c r="O2135" s="96" t="b">
        <v>0</v>
      </c>
      <c r="P2135" s="92"/>
      <c r="Q2135" s="92"/>
      <c r="R2135" s="92"/>
      <c r="S2135" s="92"/>
      <c r="T2135" s="92"/>
      <c r="U2135" s="92"/>
      <c r="V2135" s="92"/>
      <c r="W2135" s="92"/>
      <c r="X2135" s="92"/>
      <c r="Y2135" s="92"/>
      <c r="Z2135" s="92"/>
      <c r="AA2135" s="92"/>
      <c r="AB2135" s="92"/>
      <c r="AC2135" s="92"/>
      <c r="AD2135" s="92"/>
      <c r="AE2135" s="92"/>
      <c r="AF2135" s="92"/>
      <c r="AG2135" s="92"/>
    </row>
    <row r="2136">
      <c r="A2136" s="262"/>
      <c r="B2136" s="354"/>
      <c r="C2136" s="355"/>
      <c r="D2136" s="97"/>
      <c r="E2136" s="98"/>
      <c r="F2136" s="98"/>
      <c r="G2136" s="41"/>
      <c r="H2136" s="98"/>
      <c r="I2136" s="98"/>
      <c r="J2136" s="98"/>
      <c r="K2136" s="91"/>
      <c r="L2136" s="91"/>
      <c r="M2136" s="91"/>
      <c r="N2136" s="96" t="b">
        <v>0</v>
      </c>
      <c r="O2136" s="96" t="b">
        <v>0</v>
      </c>
      <c r="P2136" s="92"/>
      <c r="Q2136" s="92"/>
      <c r="R2136" s="92"/>
      <c r="S2136" s="92"/>
      <c r="T2136" s="92"/>
      <c r="U2136" s="92"/>
      <c r="V2136" s="92"/>
      <c r="W2136" s="92"/>
      <c r="X2136" s="92"/>
      <c r="Y2136" s="92"/>
      <c r="Z2136" s="92"/>
      <c r="AA2136" s="92"/>
      <c r="AB2136" s="92"/>
      <c r="AC2136" s="92"/>
      <c r="AD2136" s="92"/>
      <c r="AE2136" s="92"/>
      <c r="AF2136" s="92"/>
      <c r="AG2136" s="92"/>
    </row>
    <row r="2137">
      <c r="A2137" s="262"/>
      <c r="B2137" s="354"/>
      <c r="C2137" s="355"/>
      <c r="D2137" s="97"/>
      <c r="E2137" s="98"/>
      <c r="F2137" s="98"/>
      <c r="G2137" s="41"/>
      <c r="H2137" s="98"/>
      <c r="I2137" s="98"/>
      <c r="J2137" s="98"/>
      <c r="K2137" s="91"/>
      <c r="L2137" s="91"/>
      <c r="M2137" s="91"/>
      <c r="N2137" s="96" t="b">
        <v>0</v>
      </c>
      <c r="O2137" s="96" t="b">
        <v>0</v>
      </c>
      <c r="P2137" s="92"/>
      <c r="Q2137" s="92"/>
      <c r="R2137" s="92"/>
      <c r="S2137" s="92"/>
      <c r="T2137" s="92"/>
      <c r="U2137" s="92"/>
      <c r="V2137" s="92"/>
      <c r="W2137" s="92"/>
      <c r="X2137" s="92"/>
      <c r="Y2137" s="92"/>
      <c r="Z2137" s="92"/>
      <c r="AA2137" s="92"/>
      <c r="AB2137" s="92"/>
      <c r="AC2137" s="92"/>
      <c r="AD2137" s="92"/>
      <c r="AE2137" s="92"/>
      <c r="AF2137" s="92"/>
      <c r="AG2137" s="92"/>
    </row>
    <row r="2138">
      <c r="A2138" s="262"/>
      <c r="B2138" s="354"/>
      <c r="C2138" s="355"/>
      <c r="D2138" s="97"/>
      <c r="E2138" s="98"/>
      <c r="F2138" s="98"/>
      <c r="G2138" s="41"/>
      <c r="H2138" s="98"/>
      <c r="I2138" s="98"/>
      <c r="J2138" s="98"/>
      <c r="K2138" s="91"/>
      <c r="L2138" s="91"/>
      <c r="M2138" s="91"/>
      <c r="N2138" s="96" t="b">
        <v>0</v>
      </c>
      <c r="O2138" s="96" t="b">
        <v>0</v>
      </c>
      <c r="P2138" s="92"/>
      <c r="Q2138" s="92"/>
      <c r="R2138" s="92"/>
      <c r="S2138" s="92"/>
      <c r="T2138" s="92"/>
      <c r="U2138" s="92"/>
      <c r="V2138" s="92"/>
      <c r="W2138" s="92"/>
      <c r="X2138" s="92"/>
      <c r="Y2138" s="92"/>
      <c r="Z2138" s="92"/>
      <c r="AA2138" s="92"/>
      <c r="AB2138" s="92"/>
      <c r="AC2138" s="92"/>
      <c r="AD2138" s="92"/>
      <c r="AE2138" s="92"/>
      <c r="AF2138" s="92"/>
      <c r="AG2138" s="92"/>
    </row>
    <row r="2139">
      <c r="A2139" s="262"/>
      <c r="B2139" s="354"/>
      <c r="C2139" s="355"/>
      <c r="D2139" s="97"/>
      <c r="E2139" s="98"/>
      <c r="F2139" s="98"/>
      <c r="G2139" s="41"/>
      <c r="H2139" s="98"/>
      <c r="I2139" s="98"/>
      <c r="J2139" s="98"/>
      <c r="K2139" s="91"/>
      <c r="L2139" s="91"/>
      <c r="M2139" s="91"/>
      <c r="N2139" s="96" t="b">
        <v>0</v>
      </c>
      <c r="O2139" s="96" t="b">
        <v>0</v>
      </c>
      <c r="P2139" s="92"/>
      <c r="Q2139" s="92"/>
      <c r="R2139" s="92"/>
      <c r="S2139" s="92"/>
      <c r="T2139" s="92"/>
      <c r="U2139" s="92"/>
      <c r="V2139" s="92"/>
      <c r="W2139" s="92"/>
      <c r="X2139" s="92"/>
      <c r="Y2139" s="92"/>
      <c r="Z2139" s="92"/>
      <c r="AA2139" s="92"/>
      <c r="AB2139" s="92"/>
      <c r="AC2139" s="92"/>
      <c r="AD2139" s="92"/>
      <c r="AE2139" s="92"/>
      <c r="AF2139" s="92"/>
      <c r="AG2139" s="92"/>
    </row>
    <row r="2140">
      <c r="A2140" s="262"/>
      <c r="B2140" s="354"/>
      <c r="C2140" s="355"/>
      <c r="D2140" s="97"/>
      <c r="E2140" s="98"/>
      <c r="F2140" s="98"/>
      <c r="G2140" s="41"/>
      <c r="H2140" s="98"/>
      <c r="I2140" s="98"/>
      <c r="J2140" s="98"/>
      <c r="K2140" s="91"/>
      <c r="L2140" s="91"/>
      <c r="M2140" s="91"/>
      <c r="N2140" s="96" t="b">
        <v>0</v>
      </c>
      <c r="O2140" s="96" t="b">
        <v>0</v>
      </c>
      <c r="P2140" s="92"/>
      <c r="Q2140" s="92"/>
      <c r="R2140" s="92"/>
      <c r="S2140" s="92"/>
      <c r="T2140" s="92"/>
      <c r="U2140" s="92"/>
      <c r="V2140" s="92"/>
      <c r="W2140" s="92"/>
      <c r="X2140" s="92"/>
      <c r="Y2140" s="92"/>
      <c r="Z2140" s="92"/>
      <c r="AA2140" s="92"/>
      <c r="AB2140" s="92"/>
      <c r="AC2140" s="92"/>
      <c r="AD2140" s="92"/>
      <c r="AE2140" s="92"/>
      <c r="AF2140" s="92"/>
      <c r="AG2140" s="92"/>
    </row>
    <row r="2141">
      <c r="A2141" s="262"/>
      <c r="B2141" s="354"/>
      <c r="C2141" s="355"/>
      <c r="D2141" s="97"/>
      <c r="E2141" s="98"/>
      <c r="F2141" s="98"/>
      <c r="G2141" s="41"/>
      <c r="H2141" s="98"/>
      <c r="I2141" s="98"/>
      <c r="J2141" s="98"/>
      <c r="K2141" s="91"/>
      <c r="L2141" s="91"/>
      <c r="M2141" s="91"/>
      <c r="N2141" s="96" t="b">
        <v>0</v>
      </c>
      <c r="O2141" s="96" t="b">
        <v>0</v>
      </c>
      <c r="P2141" s="92"/>
      <c r="Q2141" s="92"/>
      <c r="R2141" s="92"/>
      <c r="S2141" s="92"/>
      <c r="T2141" s="92"/>
      <c r="U2141" s="92"/>
      <c r="V2141" s="92"/>
      <c r="W2141" s="92"/>
      <c r="X2141" s="92"/>
      <c r="Y2141" s="92"/>
      <c r="Z2141" s="92"/>
      <c r="AA2141" s="92"/>
      <c r="AB2141" s="92"/>
      <c r="AC2141" s="92"/>
      <c r="AD2141" s="92"/>
      <c r="AE2141" s="92"/>
      <c r="AF2141" s="92"/>
      <c r="AG2141" s="92"/>
    </row>
    <row r="2142">
      <c r="A2142" s="262"/>
      <c r="B2142" s="354"/>
      <c r="C2142" s="355"/>
      <c r="D2142" s="97"/>
      <c r="E2142" s="98"/>
      <c r="F2142" s="98"/>
      <c r="G2142" s="41"/>
      <c r="H2142" s="98"/>
      <c r="I2142" s="98"/>
      <c r="J2142" s="98"/>
      <c r="K2142" s="91"/>
      <c r="L2142" s="91"/>
      <c r="M2142" s="91"/>
      <c r="N2142" s="96" t="b">
        <v>0</v>
      </c>
      <c r="O2142" s="96" t="b">
        <v>0</v>
      </c>
      <c r="P2142" s="92"/>
      <c r="Q2142" s="92"/>
      <c r="R2142" s="92"/>
      <c r="S2142" s="92"/>
      <c r="T2142" s="92"/>
      <c r="U2142" s="92"/>
      <c r="V2142" s="92"/>
      <c r="W2142" s="92"/>
      <c r="X2142" s="92"/>
      <c r="Y2142" s="92"/>
      <c r="Z2142" s="92"/>
      <c r="AA2142" s="92"/>
      <c r="AB2142" s="92"/>
      <c r="AC2142" s="92"/>
      <c r="AD2142" s="92"/>
      <c r="AE2142" s="92"/>
      <c r="AF2142" s="92"/>
      <c r="AG2142" s="92"/>
    </row>
    <row r="2143">
      <c r="A2143" s="262"/>
      <c r="B2143" s="354"/>
      <c r="C2143" s="355"/>
      <c r="D2143" s="97"/>
      <c r="E2143" s="98"/>
      <c r="F2143" s="98"/>
      <c r="G2143" s="41"/>
      <c r="H2143" s="98"/>
      <c r="I2143" s="98"/>
      <c r="J2143" s="98"/>
      <c r="K2143" s="91"/>
      <c r="L2143" s="91"/>
      <c r="M2143" s="91"/>
      <c r="N2143" s="96" t="b">
        <v>0</v>
      </c>
      <c r="O2143" s="96" t="b">
        <v>0</v>
      </c>
      <c r="P2143" s="92"/>
      <c r="Q2143" s="92"/>
      <c r="R2143" s="92"/>
      <c r="S2143" s="92"/>
      <c r="T2143" s="92"/>
      <c r="U2143" s="92"/>
      <c r="V2143" s="92"/>
      <c r="W2143" s="92"/>
      <c r="X2143" s="92"/>
      <c r="Y2143" s="92"/>
      <c r="Z2143" s="92"/>
      <c r="AA2143" s="92"/>
      <c r="AB2143" s="92"/>
      <c r="AC2143" s="92"/>
      <c r="AD2143" s="92"/>
      <c r="AE2143" s="92"/>
      <c r="AF2143" s="92"/>
      <c r="AG2143" s="92"/>
    </row>
    <row r="2144">
      <c r="A2144" s="262"/>
      <c r="B2144" s="354"/>
      <c r="C2144" s="355"/>
      <c r="D2144" s="97"/>
      <c r="E2144" s="98"/>
      <c r="F2144" s="98"/>
      <c r="G2144" s="41"/>
      <c r="H2144" s="98"/>
      <c r="I2144" s="98"/>
      <c r="J2144" s="98"/>
      <c r="K2144" s="91"/>
      <c r="L2144" s="91"/>
      <c r="M2144" s="91"/>
      <c r="N2144" s="96" t="b">
        <v>0</v>
      </c>
      <c r="O2144" s="96" t="b">
        <v>0</v>
      </c>
      <c r="P2144" s="92"/>
      <c r="Q2144" s="92"/>
      <c r="R2144" s="92"/>
      <c r="S2144" s="92"/>
      <c r="T2144" s="92"/>
      <c r="U2144" s="92"/>
      <c r="V2144" s="92"/>
      <c r="W2144" s="92"/>
      <c r="X2144" s="92"/>
      <c r="Y2144" s="92"/>
      <c r="Z2144" s="92"/>
      <c r="AA2144" s="92"/>
      <c r="AB2144" s="92"/>
      <c r="AC2144" s="92"/>
      <c r="AD2144" s="92"/>
      <c r="AE2144" s="92"/>
      <c r="AF2144" s="92"/>
      <c r="AG2144" s="92"/>
    </row>
    <row r="2145">
      <c r="A2145" s="262"/>
      <c r="B2145" s="354"/>
      <c r="C2145" s="355"/>
      <c r="D2145" s="97"/>
      <c r="E2145" s="98"/>
      <c r="F2145" s="98"/>
      <c r="G2145" s="41"/>
      <c r="H2145" s="98"/>
      <c r="I2145" s="98"/>
      <c r="J2145" s="98"/>
      <c r="K2145" s="91"/>
      <c r="L2145" s="91"/>
      <c r="M2145" s="91"/>
      <c r="N2145" s="96" t="b">
        <v>0</v>
      </c>
      <c r="O2145" s="96" t="b">
        <v>0</v>
      </c>
      <c r="P2145" s="92"/>
      <c r="Q2145" s="92"/>
      <c r="R2145" s="92"/>
      <c r="S2145" s="92"/>
      <c r="T2145" s="92"/>
      <c r="U2145" s="92"/>
      <c r="V2145" s="92"/>
      <c r="W2145" s="92"/>
      <c r="X2145" s="92"/>
      <c r="Y2145" s="92"/>
      <c r="Z2145" s="92"/>
      <c r="AA2145" s="92"/>
      <c r="AB2145" s="92"/>
      <c r="AC2145" s="92"/>
      <c r="AD2145" s="92"/>
      <c r="AE2145" s="92"/>
      <c r="AF2145" s="92"/>
      <c r="AG2145" s="92"/>
    </row>
    <row r="2146">
      <c r="A2146" s="262"/>
      <c r="B2146" s="354"/>
      <c r="C2146" s="355"/>
      <c r="D2146" s="97"/>
      <c r="E2146" s="98"/>
      <c r="F2146" s="98"/>
      <c r="G2146" s="41"/>
      <c r="H2146" s="98"/>
      <c r="I2146" s="98"/>
      <c r="J2146" s="98"/>
      <c r="K2146" s="91"/>
      <c r="L2146" s="91"/>
      <c r="M2146" s="91"/>
      <c r="N2146" s="96" t="b">
        <v>0</v>
      </c>
      <c r="O2146" s="96" t="b">
        <v>0</v>
      </c>
      <c r="P2146" s="92"/>
      <c r="Q2146" s="92"/>
      <c r="R2146" s="92"/>
      <c r="S2146" s="92"/>
      <c r="T2146" s="92"/>
      <c r="U2146" s="92"/>
      <c r="V2146" s="92"/>
      <c r="W2146" s="92"/>
      <c r="X2146" s="92"/>
      <c r="Y2146" s="92"/>
      <c r="Z2146" s="92"/>
      <c r="AA2146" s="92"/>
      <c r="AB2146" s="92"/>
      <c r="AC2146" s="92"/>
      <c r="AD2146" s="92"/>
      <c r="AE2146" s="92"/>
      <c r="AF2146" s="92"/>
      <c r="AG2146" s="92"/>
    </row>
    <row r="2147">
      <c r="A2147" s="262"/>
      <c r="B2147" s="354"/>
      <c r="C2147" s="355"/>
      <c r="D2147" s="97"/>
      <c r="E2147" s="98"/>
      <c r="F2147" s="98"/>
      <c r="G2147" s="41"/>
      <c r="H2147" s="98"/>
      <c r="I2147" s="98"/>
      <c r="J2147" s="98"/>
      <c r="K2147" s="91"/>
      <c r="L2147" s="91"/>
      <c r="M2147" s="91"/>
      <c r="N2147" s="96" t="b">
        <v>0</v>
      </c>
      <c r="O2147" s="96" t="b">
        <v>0</v>
      </c>
      <c r="P2147" s="92"/>
      <c r="Q2147" s="92"/>
      <c r="R2147" s="92"/>
      <c r="S2147" s="92"/>
      <c r="T2147" s="92"/>
      <c r="U2147" s="92"/>
      <c r="V2147" s="92"/>
      <c r="W2147" s="92"/>
      <c r="X2147" s="92"/>
      <c r="Y2147" s="92"/>
      <c r="Z2147" s="92"/>
      <c r="AA2147" s="92"/>
      <c r="AB2147" s="92"/>
      <c r="AC2147" s="92"/>
      <c r="AD2147" s="92"/>
      <c r="AE2147" s="92"/>
      <c r="AF2147" s="92"/>
      <c r="AG2147" s="92"/>
    </row>
    <row r="2148">
      <c r="A2148" s="262"/>
      <c r="B2148" s="354"/>
      <c r="C2148" s="355"/>
      <c r="D2148" s="97"/>
      <c r="E2148" s="98"/>
      <c r="F2148" s="98"/>
      <c r="G2148" s="41"/>
      <c r="H2148" s="98"/>
      <c r="I2148" s="98"/>
      <c r="J2148" s="98"/>
      <c r="K2148" s="91"/>
      <c r="L2148" s="91"/>
      <c r="M2148" s="91"/>
      <c r="N2148" s="96" t="b">
        <v>0</v>
      </c>
      <c r="O2148" s="96" t="b">
        <v>0</v>
      </c>
      <c r="P2148" s="92"/>
      <c r="Q2148" s="92"/>
      <c r="R2148" s="92"/>
      <c r="S2148" s="92"/>
      <c r="T2148" s="92"/>
      <c r="U2148" s="92"/>
      <c r="V2148" s="92"/>
      <c r="W2148" s="92"/>
      <c r="X2148" s="92"/>
      <c r="Y2148" s="92"/>
      <c r="Z2148" s="92"/>
      <c r="AA2148" s="92"/>
      <c r="AB2148" s="92"/>
      <c r="AC2148" s="92"/>
      <c r="AD2148" s="92"/>
      <c r="AE2148" s="92"/>
      <c r="AF2148" s="92"/>
      <c r="AG2148" s="92"/>
    </row>
    <row r="2149">
      <c r="A2149" s="262"/>
      <c r="B2149" s="354"/>
      <c r="C2149" s="355"/>
      <c r="D2149" s="97"/>
      <c r="E2149" s="98"/>
      <c r="F2149" s="98"/>
      <c r="G2149" s="41"/>
      <c r="H2149" s="98"/>
      <c r="I2149" s="98"/>
      <c r="J2149" s="98"/>
      <c r="K2149" s="91"/>
      <c r="L2149" s="91"/>
      <c r="M2149" s="91"/>
      <c r="N2149" s="96" t="b">
        <v>0</v>
      </c>
      <c r="O2149" s="96" t="b">
        <v>0</v>
      </c>
      <c r="P2149" s="92"/>
      <c r="Q2149" s="92"/>
      <c r="R2149" s="92"/>
      <c r="S2149" s="92"/>
      <c r="T2149" s="92"/>
      <c r="U2149" s="92"/>
      <c r="V2149" s="92"/>
      <c r="W2149" s="92"/>
      <c r="X2149" s="92"/>
      <c r="Y2149" s="92"/>
      <c r="Z2149" s="92"/>
      <c r="AA2149" s="92"/>
      <c r="AB2149" s="92"/>
      <c r="AC2149" s="92"/>
      <c r="AD2149" s="92"/>
      <c r="AE2149" s="92"/>
      <c r="AF2149" s="92"/>
      <c r="AG2149" s="92"/>
    </row>
    <row r="2150">
      <c r="A2150" s="262"/>
      <c r="B2150" s="354"/>
      <c r="C2150" s="355"/>
      <c r="D2150" s="97"/>
      <c r="E2150" s="98"/>
      <c r="F2150" s="98"/>
      <c r="G2150" s="41"/>
      <c r="H2150" s="98"/>
      <c r="I2150" s="98"/>
      <c r="J2150" s="98"/>
      <c r="K2150" s="91"/>
      <c r="L2150" s="91"/>
      <c r="M2150" s="91"/>
      <c r="N2150" s="96" t="b">
        <v>0</v>
      </c>
      <c r="O2150" s="96" t="b">
        <v>0</v>
      </c>
      <c r="P2150" s="92"/>
      <c r="Q2150" s="92"/>
      <c r="R2150" s="92"/>
      <c r="S2150" s="92"/>
      <c r="T2150" s="92"/>
      <c r="U2150" s="92"/>
      <c r="V2150" s="92"/>
      <c r="W2150" s="92"/>
      <c r="X2150" s="92"/>
      <c r="Y2150" s="92"/>
      <c r="Z2150" s="92"/>
      <c r="AA2150" s="92"/>
      <c r="AB2150" s="92"/>
      <c r="AC2150" s="92"/>
      <c r="AD2150" s="92"/>
      <c r="AE2150" s="92"/>
      <c r="AF2150" s="92"/>
      <c r="AG2150" s="92"/>
    </row>
    <row r="2151">
      <c r="A2151" s="262"/>
      <c r="B2151" s="354"/>
      <c r="C2151" s="355"/>
      <c r="D2151" s="97"/>
      <c r="E2151" s="98"/>
      <c r="F2151" s="98"/>
      <c r="G2151" s="41"/>
      <c r="H2151" s="98"/>
      <c r="I2151" s="98"/>
      <c r="J2151" s="98"/>
      <c r="K2151" s="91"/>
      <c r="L2151" s="91"/>
      <c r="M2151" s="91"/>
      <c r="N2151" s="96" t="b">
        <v>0</v>
      </c>
      <c r="O2151" s="96" t="b">
        <v>0</v>
      </c>
      <c r="P2151" s="92"/>
      <c r="Q2151" s="92"/>
      <c r="R2151" s="92"/>
      <c r="S2151" s="92"/>
      <c r="T2151" s="92"/>
      <c r="U2151" s="92"/>
      <c r="V2151" s="92"/>
      <c r="W2151" s="92"/>
      <c r="X2151" s="92"/>
      <c r="Y2151" s="92"/>
      <c r="Z2151" s="92"/>
      <c r="AA2151" s="92"/>
      <c r="AB2151" s="92"/>
      <c r="AC2151" s="92"/>
      <c r="AD2151" s="92"/>
      <c r="AE2151" s="92"/>
      <c r="AF2151" s="92"/>
      <c r="AG2151" s="92"/>
    </row>
    <row r="2152">
      <c r="A2152" s="262"/>
      <c r="B2152" s="354"/>
      <c r="C2152" s="355"/>
      <c r="D2152" s="97"/>
      <c r="E2152" s="98"/>
      <c r="F2152" s="98"/>
      <c r="G2152" s="41"/>
      <c r="H2152" s="98"/>
      <c r="I2152" s="98"/>
      <c r="J2152" s="98"/>
      <c r="K2152" s="91"/>
      <c r="L2152" s="91"/>
      <c r="M2152" s="91"/>
      <c r="N2152" s="96" t="b">
        <v>0</v>
      </c>
      <c r="O2152" s="96" t="b">
        <v>0</v>
      </c>
      <c r="P2152" s="92"/>
      <c r="Q2152" s="92"/>
      <c r="R2152" s="92"/>
      <c r="S2152" s="92"/>
      <c r="T2152" s="92"/>
      <c r="U2152" s="92"/>
      <c r="V2152" s="92"/>
      <c r="W2152" s="92"/>
      <c r="X2152" s="92"/>
      <c r="Y2152" s="92"/>
      <c r="Z2152" s="92"/>
      <c r="AA2152" s="92"/>
      <c r="AB2152" s="92"/>
      <c r="AC2152" s="92"/>
      <c r="AD2152" s="92"/>
      <c r="AE2152" s="92"/>
      <c r="AF2152" s="92"/>
      <c r="AG2152" s="92"/>
    </row>
    <row r="2153">
      <c r="A2153" s="262"/>
      <c r="B2153" s="354"/>
      <c r="C2153" s="355"/>
      <c r="D2153" s="97"/>
      <c r="E2153" s="98"/>
      <c r="F2153" s="98"/>
      <c r="G2153" s="41"/>
      <c r="H2153" s="98"/>
      <c r="I2153" s="98"/>
      <c r="J2153" s="98"/>
      <c r="K2153" s="91"/>
      <c r="L2153" s="91"/>
      <c r="M2153" s="91"/>
      <c r="N2153" s="96" t="b">
        <v>0</v>
      </c>
      <c r="O2153" s="96" t="b">
        <v>0</v>
      </c>
      <c r="P2153" s="92"/>
      <c r="Q2153" s="92"/>
      <c r="R2153" s="92"/>
      <c r="S2153" s="92"/>
      <c r="T2153" s="92"/>
      <c r="U2153" s="92"/>
      <c r="V2153" s="92"/>
      <c r="W2153" s="92"/>
      <c r="X2153" s="92"/>
      <c r="Y2153" s="92"/>
      <c r="Z2153" s="92"/>
      <c r="AA2153" s="92"/>
      <c r="AB2153" s="92"/>
      <c r="AC2153" s="92"/>
      <c r="AD2153" s="92"/>
      <c r="AE2153" s="92"/>
      <c r="AF2153" s="92"/>
      <c r="AG2153" s="92"/>
    </row>
    <row r="2154">
      <c r="A2154" s="262"/>
      <c r="B2154" s="354"/>
      <c r="C2154" s="355"/>
      <c r="D2154" s="97"/>
      <c r="E2154" s="98"/>
      <c r="F2154" s="98"/>
      <c r="G2154" s="41"/>
      <c r="H2154" s="98"/>
      <c r="I2154" s="98"/>
      <c r="J2154" s="98"/>
      <c r="K2154" s="91"/>
      <c r="L2154" s="91"/>
      <c r="M2154" s="91"/>
      <c r="N2154" s="96" t="b">
        <v>0</v>
      </c>
      <c r="O2154" s="96" t="b">
        <v>0</v>
      </c>
      <c r="P2154" s="92"/>
      <c r="Q2154" s="92"/>
      <c r="R2154" s="92"/>
      <c r="S2154" s="92"/>
      <c r="T2154" s="92"/>
      <c r="U2154" s="92"/>
      <c r="V2154" s="92"/>
      <c r="W2154" s="92"/>
      <c r="X2154" s="92"/>
      <c r="Y2154" s="92"/>
      <c r="Z2154" s="92"/>
      <c r="AA2154" s="92"/>
      <c r="AB2154" s="92"/>
      <c r="AC2154" s="92"/>
      <c r="AD2154" s="92"/>
      <c r="AE2154" s="92"/>
      <c r="AF2154" s="92"/>
      <c r="AG2154" s="92"/>
    </row>
    <row r="2155">
      <c r="A2155" s="262"/>
      <c r="B2155" s="354"/>
      <c r="C2155" s="355"/>
      <c r="D2155" s="97"/>
      <c r="E2155" s="98"/>
      <c r="F2155" s="98"/>
      <c r="G2155" s="41"/>
      <c r="H2155" s="98"/>
      <c r="I2155" s="98"/>
      <c r="J2155" s="98"/>
      <c r="K2155" s="91"/>
      <c r="L2155" s="91"/>
      <c r="M2155" s="91"/>
      <c r="N2155" s="96" t="b">
        <v>0</v>
      </c>
      <c r="O2155" s="96" t="b">
        <v>0</v>
      </c>
      <c r="P2155" s="92"/>
      <c r="Q2155" s="92"/>
      <c r="R2155" s="92"/>
      <c r="S2155" s="92"/>
      <c r="T2155" s="92"/>
      <c r="U2155" s="92"/>
      <c r="V2155" s="92"/>
      <c r="W2155" s="92"/>
      <c r="X2155" s="92"/>
      <c r="Y2155" s="92"/>
      <c r="Z2155" s="92"/>
      <c r="AA2155" s="92"/>
      <c r="AB2155" s="92"/>
      <c r="AC2155" s="92"/>
      <c r="AD2155" s="92"/>
      <c r="AE2155" s="92"/>
      <c r="AF2155" s="92"/>
      <c r="AG2155" s="92"/>
    </row>
    <row r="2156">
      <c r="A2156" s="262"/>
      <c r="B2156" s="354"/>
      <c r="C2156" s="355"/>
      <c r="D2156" s="97"/>
      <c r="E2156" s="98"/>
      <c r="F2156" s="98"/>
      <c r="G2156" s="41"/>
      <c r="H2156" s="98"/>
      <c r="I2156" s="98"/>
      <c r="J2156" s="98"/>
      <c r="K2156" s="91"/>
      <c r="L2156" s="91"/>
      <c r="M2156" s="91"/>
      <c r="N2156" s="96" t="b">
        <v>0</v>
      </c>
      <c r="O2156" s="96" t="b">
        <v>0</v>
      </c>
      <c r="P2156" s="92"/>
      <c r="Q2156" s="92"/>
      <c r="R2156" s="92"/>
      <c r="S2156" s="92"/>
      <c r="T2156" s="92"/>
      <c r="U2156" s="92"/>
      <c r="V2156" s="92"/>
      <c r="W2156" s="92"/>
      <c r="X2156" s="92"/>
      <c r="Y2156" s="92"/>
      <c r="Z2156" s="92"/>
      <c r="AA2156" s="92"/>
      <c r="AB2156" s="92"/>
      <c r="AC2156" s="92"/>
      <c r="AD2156" s="92"/>
      <c r="AE2156" s="92"/>
      <c r="AF2156" s="92"/>
      <c r="AG2156" s="92"/>
    </row>
    <row r="2157">
      <c r="A2157" s="262"/>
      <c r="B2157" s="354"/>
      <c r="C2157" s="355"/>
      <c r="D2157" s="97"/>
      <c r="E2157" s="98"/>
      <c r="F2157" s="98"/>
      <c r="G2157" s="41"/>
      <c r="H2157" s="98"/>
      <c r="I2157" s="98"/>
      <c r="J2157" s="98"/>
      <c r="K2157" s="91"/>
      <c r="L2157" s="91"/>
      <c r="M2157" s="91"/>
      <c r="N2157" s="96" t="b">
        <v>0</v>
      </c>
      <c r="O2157" s="96" t="b">
        <v>0</v>
      </c>
      <c r="P2157" s="92"/>
      <c r="Q2157" s="92"/>
      <c r="R2157" s="92"/>
      <c r="S2157" s="92"/>
      <c r="T2157" s="92"/>
      <c r="U2157" s="92"/>
      <c r="V2157" s="92"/>
      <c r="W2157" s="92"/>
      <c r="X2157" s="92"/>
      <c r="Y2157" s="92"/>
      <c r="Z2157" s="92"/>
      <c r="AA2157" s="92"/>
      <c r="AB2157" s="92"/>
      <c r="AC2157" s="92"/>
      <c r="AD2157" s="92"/>
      <c r="AE2157" s="92"/>
      <c r="AF2157" s="92"/>
      <c r="AG2157" s="92"/>
    </row>
    <row r="2158">
      <c r="A2158" s="262"/>
      <c r="B2158" s="354"/>
      <c r="C2158" s="355"/>
      <c r="D2158" s="97"/>
      <c r="E2158" s="98"/>
      <c r="F2158" s="98"/>
      <c r="G2158" s="41"/>
      <c r="H2158" s="98"/>
      <c r="I2158" s="98"/>
      <c r="J2158" s="98"/>
      <c r="K2158" s="91"/>
      <c r="L2158" s="91"/>
      <c r="M2158" s="91"/>
      <c r="N2158" s="96" t="b">
        <v>0</v>
      </c>
      <c r="O2158" s="96" t="b">
        <v>0</v>
      </c>
      <c r="P2158" s="92"/>
      <c r="Q2158" s="92"/>
      <c r="R2158" s="92"/>
      <c r="S2158" s="92"/>
      <c r="T2158" s="92"/>
      <c r="U2158" s="92"/>
      <c r="V2158" s="92"/>
      <c r="W2158" s="92"/>
      <c r="X2158" s="92"/>
      <c r="Y2158" s="92"/>
      <c r="Z2158" s="92"/>
      <c r="AA2158" s="92"/>
      <c r="AB2158" s="92"/>
      <c r="AC2158" s="92"/>
      <c r="AD2158" s="92"/>
      <c r="AE2158" s="92"/>
      <c r="AF2158" s="92"/>
      <c r="AG2158" s="92"/>
    </row>
    <row r="2159">
      <c r="A2159" s="262"/>
      <c r="B2159" s="354"/>
      <c r="C2159" s="355"/>
      <c r="D2159" s="97"/>
      <c r="E2159" s="98"/>
      <c r="F2159" s="98"/>
      <c r="G2159" s="41"/>
      <c r="H2159" s="98"/>
      <c r="I2159" s="98"/>
      <c r="J2159" s="98"/>
      <c r="K2159" s="91"/>
      <c r="L2159" s="91"/>
      <c r="M2159" s="91"/>
      <c r="N2159" s="96" t="b">
        <v>0</v>
      </c>
      <c r="O2159" s="96" t="b">
        <v>0</v>
      </c>
      <c r="P2159" s="92"/>
      <c r="Q2159" s="92"/>
      <c r="R2159" s="92"/>
      <c r="S2159" s="92"/>
      <c r="T2159" s="92"/>
      <c r="U2159" s="92"/>
      <c r="V2159" s="92"/>
      <c r="W2159" s="92"/>
      <c r="X2159" s="92"/>
      <c r="Y2159" s="92"/>
      <c r="Z2159" s="92"/>
      <c r="AA2159" s="92"/>
      <c r="AB2159" s="92"/>
      <c r="AC2159" s="92"/>
      <c r="AD2159" s="92"/>
      <c r="AE2159" s="92"/>
      <c r="AF2159" s="92"/>
      <c r="AG2159" s="92"/>
    </row>
    <row r="2160">
      <c r="A2160" s="262"/>
      <c r="B2160" s="354"/>
      <c r="C2160" s="355"/>
      <c r="D2160" s="97"/>
      <c r="E2160" s="98"/>
      <c r="F2160" s="98"/>
      <c r="G2160" s="41"/>
      <c r="H2160" s="98"/>
      <c r="I2160" s="98"/>
      <c r="J2160" s="98"/>
      <c r="K2160" s="91"/>
      <c r="L2160" s="91"/>
      <c r="M2160" s="91"/>
      <c r="N2160" s="96" t="b">
        <v>0</v>
      </c>
      <c r="O2160" s="96" t="b">
        <v>0</v>
      </c>
      <c r="P2160" s="92"/>
      <c r="Q2160" s="92"/>
      <c r="R2160" s="92"/>
      <c r="S2160" s="92"/>
      <c r="T2160" s="92"/>
      <c r="U2160" s="92"/>
      <c r="V2160" s="92"/>
      <c r="W2160" s="92"/>
      <c r="X2160" s="92"/>
      <c r="Y2160" s="92"/>
      <c r="Z2160" s="92"/>
      <c r="AA2160" s="92"/>
      <c r="AB2160" s="92"/>
      <c r="AC2160" s="92"/>
      <c r="AD2160" s="92"/>
      <c r="AE2160" s="92"/>
      <c r="AF2160" s="92"/>
      <c r="AG2160" s="92"/>
    </row>
    <row r="2161">
      <c r="A2161" s="262"/>
      <c r="B2161" s="354"/>
      <c r="C2161" s="355"/>
      <c r="D2161" s="97"/>
      <c r="E2161" s="98"/>
      <c r="F2161" s="98"/>
      <c r="G2161" s="41"/>
      <c r="H2161" s="98"/>
      <c r="I2161" s="98"/>
      <c r="J2161" s="98"/>
      <c r="K2161" s="91"/>
      <c r="L2161" s="91"/>
      <c r="M2161" s="91"/>
      <c r="N2161" s="96" t="b">
        <v>0</v>
      </c>
      <c r="O2161" s="96" t="b">
        <v>0</v>
      </c>
      <c r="P2161" s="92"/>
      <c r="Q2161" s="92"/>
      <c r="R2161" s="92"/>
      <c r="S2161" s="92"/>
      <c r="T2161" s="92"/>
      <c r="U2161" s="92"/>
      <c r="V2161" s="92"/>
      <c r="W2161" s="92"/>
      <c r="X2161" s="92"/>
      <c r="Y2161" s="92"/>
      <c r="Z2161" s="92"/>
      <c r="AA2161" s="92"/>
      <c r="AB2161" s="92"/>
      <c r="AC2161" s="92"/>
      <c r="AD2161" s="92"/>
      <c r="AE2161" s="92"/>
      <c r="AF2161" s="92"/>
      <c r="AG2161" s="92"/>
    </row>
    <row r="2162">
      <c r="A2162" s="262"/>
      <c r="B2162" s="354"/>
      <c r="C2162" s="355"/>
      <c r="D2162" s="97"/>
      <c r="E2162" s="98"/>
      <c r="F2162" s="98"/>
      <c r="G2162" s="41"/>
      <c r="H2162" s="98"/>
      <c r="I2162" s="98"/>
      <c r="J2162" s="98"/>
      <c r="K2162" s="91"/>
      <c r="L2162" s="91"/>
      <c r="M2162" s="91"/>
      <c r="N2162" s="96" t="b">
        <v>0</v>
      </c>
      <c r="O2162" s="96" t="b">
        <v>0</v>
      </c>
      <c r="P2162" s="92"/>
      <c r="Q2162" s="92"/>
      <c r="R2162" s="92"/>
      <c r="S2162" s="92"/>
      <c r="T2162" s="92"/>
      <c r="U2162" s="92"/>
      <c r="V2162" s="92"/>
      <c r="W2162" s="92"/>
      <c r="X2162" s="92"/>
      <c r="Y2162" s="92"/>
      <c r="Z2162" s="92"/>
      <c r="AA2162" s="92"/>
      <c r="AB2162" s="92"/>
      <c r="AC2162" s="92"/>
      <c r="AD2162" s="92"/>
      <c r="AE2162" s="92"/>
      <c r="AF2162" s="92"/>
      <c r="AG2162" s="92"/>
    </row>
    <row r="2163">
      <c r="A2163" s="262"/>
      <c r="B2163" s="354"/>
      <c r="C2163" s="355"/>
      <c r="D2163" s="97"/>
      <c r="E2163" s="98"/>
      <c r="F2163" s="98"/>
      <c r="G2163" s="41"/>
      <c r="H2163" s="98"/>
      <c r="I2163" s="98"/>
      <c r="J2163" s="98"/>
      <c r="K2163" s="91"/>
      <c r="L2163" s="91"/>
      <c r="M2163" s="91"/>
      <c r="N2163" s="96" t="b">
        <v>0</v>
      </c>
      <c r="O2163" s="96" t="b">
        <v>0</v>
      </c>
      <c r="P2163" s="92"/>
      <c r="Q2163" s="92"/>
      <c r="R2163" s="92"/>
      <c r="S2163" s="92"/>
      <c r="T2163" s="92"/>
      <c r="U2163" s="92"/>
      <c r="V2163" s="92"/>
      <c r="W2163" s="92"/>
      <c r="X2163" s="92"/>
      <c r="Y2163" s="92"/>
      <c r="Z2163" s="92"/>
      <c r="AA2163" s="92"/>
      <c r="AB2163" s="92"/>
      <c r="AC2163" s="92"/>
      <c r="AD2163" s="92"/>
      <c r="AE2163" s="92"/>
      <c r="AF2163" s="92"/>
      <c r="AG2163" s="92"/>
    </row>
    <row r="2164">
      <c r="A2164" s="262"/>
      <c r="B2164" s="354"/>
      <c r="C2164" s="355"/>
      <c r="D2164" s="97"/>
      <c r="E2164" s="98"/>
      <c r="F2164" s="98"/>
      <c r="G2164" s="41"/>
      <c r="H2164" s="98"/>
      <c r="I2164" s="98"/>
      <c r="J2164" s="98"/>
      <c r="K2164" s="91"/>
      <c r="L2164" s="91"/>
      <c r="M2164" s="91"/>
      <c r="N2164" s="96" t="b">
        <v>0</v>
      </c>
      <c r="O2164" s="96" t="b">
        <v>0</v>
      </c>
      <c r="P2164" s="92"/>
      <c r="Q2164" s="92"/>
      <c r="R2164" s="92"/>
      <c r="S2164" s="92"/>
      <c r="T2164" s="92"/>
      <c r="U2164" s="92"/>
      <c r="V2164" s="92"/>
      <c r="W2164" s="92"/>
      <c r="X2164" s="92"/>
      <c r="Y2164" s="92"/>
      <c r="Z2164" s="92"/>
      <c r="AA2164" s="92"/>
      <c r="AB2164" s="92"/>
      <c r="AC2164" s="92"/>
      <c r="AD2164" s="92"/>
      <c r="AE2164" s="92"/>
      <c r="AF2164" s="92"/>
      <c r="AG2164" s="92"/>
    </row>
    <row r="2165">
      <c r="A2165" s="262"/>
      <c r="B2165" s="354"/>
      <c r="C2165" s="355"/>
      <c r="D2165" s="97"/>
      <c r="E2165" s="98"/>
      <c r="F2165" s="98"/>
      <c r="G2165" s="41"/>
      <c r="H2165" s="98"/>
      <c r="I2165" s="98"/>
      <c r="J2165" s="98"/>
      <c r="K2165" s="91"/>
      <c r="L2165" s="91"/>
      <c r="M2165" s="91"/>
      <c r="N2165" s="96" t="b">
        <v>0</v>
      </c>
      <c r="O2165" s="96" t="b">
        <v>0</v>
      </c>
      <c r="P2165" s="92"/>
      <c r="Q2165" s="92"/>
      <c r="R2165" s="92"/>
      <c r="S2165" s="92"/>
      <c r="T2165" s="92"/>
      <c r="U2165" s="92"/>
      <c r="V2165" s="92"/>
      <c r="W2165" s="92"/>
      <c r="X2165" s="92"/>
      <c r="Y2165" s="92"/>
      <c r="Z2165" s="92"/>
      <c r="AA2165" s="92"/>
      <c r="AB2165" s="92"/>
      <c r="AC2165" s="92"/>
      <c r="AD2165" s="92"/>
      <c r="AE2165" s="92"/>
      <c r="AF2165" s="92"/>
      <c r="AG2165" s="92"/>
    </row>
    <row r="2166">
      <c r="A2166" s="262"/>
      <c r="B2166" s="354"/>
      <c r="C2166" s="355"/>
      <c r="D2166" s="97"/>
      <c r="E2166" s="98"/>
      <c r="F2166" s="98"/>
      <c r="G2166" s="41"/>
      <c r="H2166" s="98"/>
      <c r="I2166" s="98"/>
      <c r="J2166" s="98"/>
      <c r="K2166" s="91"/>
      <c r="L2166" s="91"/>
      <c r="M2166" s="91"/>
      <c r="N2166" s="96" t="b">
        <v>0</v>
      </c>
      <c r="O2166" s="96" t="b">
        <v>0</v>
      </c>
      <c r="P2166" s="92"/>
      <c r="Q2166" s="92"/>
      <c r="R2166" s="92"/>
      <c r="S2166" s="92"/>
      <c r="T2166" s="92"/>
      <c r="U2166" s="92"/>
      <c r="V2166" s="92"/>
      <c r="W2166" s="92"/>
      <c r="X2166" s="92"/>
      <c r="Y2166" s="92"/>
      <c r="Z2166" s="92"/>
      <c r="AA2166" s="92"/>
      <c r="AB2166" s="92"/>
      <c r="AC2166" s="92"/>
      <c r="AD2166" s="92"/>
      <c r="AE2166" s="92"/>
      <c r="AF2166" s="92"/>
      <c r="AG2166" s="92"/>
    </row>
    <row r="2167">
      <c r="A2167" s="262"/>
      <c r="B2167" s="354"/>
      <c r="C2167" s="355"/>
      <c r="D2167" s="97"/>
      <c r="E2167" s="98"/>
      <c r="F2167" s="98"/>
      <c r="G2167" s="41"/>
      <c r="H2167" s="98"/>
      <c r="I2167" s="98"/>
      <c r="J2167" s="98"/>
      <c r="K2167" s="91"/>
      <c r="L2167" s="91"/>
      <c r="M2167" s="91"/>
      <c r="N2167" s="96" t="b">
        <v>0</v>
      </c>
      <c r="O2167" s="96" t="b">
        <v>0</v>
      </c>
      <c r="P2167" s="92"/>
      <c r="Q2167" s="92"/>
      <c r="R2167" s="92"/>
      <c r="S2167" s="92"/>
      <c r="T2167" s="92"/>
      <c r="U2167" s="92"/>
      <c r="V2167" s="92"/>
      <c r="W2167" s="92"/>
      <c r="X2167" s="92"/>
      <c r="Y2167" s="92"/>
      <c r="Z2167" s="92"/>
      <c r="AA2167" s="92"/>
      <c r="AB2167" s="92"/>
      <c r="AC2167" s="92"/>
      <c r="AD2167" s="92"/>
      <c r="AE2167" s="92"/>
      <c r="AF2167" s="92"/>
      <c r="AG2167" s="92"/>
    </row>
    <row r="2168">
      <c r="A2168" s="262"/>
      <c r="B2168" s="354"/>
      <c r="C2168" s="355"/>
      <c r="D2168" s="97"/>
      <c r="E2168" s="98"/>
      <c r="F2168" s="98"/>
      <c r="G2168" s="41"/>
      <c r="H2168" s="98"/>
      <c r="I2168" s="98"/>
      <c r="J2168" s="98"/>
      <c r="K2168" s="91"/>
      <c r="L2168" s="91"/>
      <c r="M2168" s="91"/>
      <c r="N2168" s="96" t="b">
        <v>0</v>
      </c>
      <c r="O2168" s="96" t="b">
        <v>0</v>
      </c>
      <c r="P2168" s="92"/>
      <c r="Q2168" s="92"/>
      <c r="R2168" s="92"/>
      <c r="S2168" s="92"/>
      <c r="T2168" s="92"/>
      <c r="U2168" s="92"/>
      <c r="V2168" s="92"/>
      <c r="W2168" s="92"/>
      <c r="X2168" s="92"/>
      <c r="Y2168" s="92"/>
      <c r="Z2168" s="92"/>
      <c r="AA2168" s="92"/>
      <c r="AB2168" s="92"/>
      <c r="AC2168" s="92"/>
      <c r="AD2168" s="92"/>
      <c r="AE2168" s="92"/>
      <c r="AF2168" s="92"/>
      <c r="AG2168" s="92"/>
    </row>
    <row r="2169">
      <c r="A2169" s="262"/>
      <c r="B2169" s="354"/>
      <c r="C2169" s="355"/>
      <c r="D2169" s="97"/>
      <c r="E2169" s="98"/>
      <c r="F2169" s="98"/>
      <c r="G2169" s="41"/>
      <c r="H2169" s="98"/>
      <c r="I2169" s="98"/>
      <c r="J2169" s="98"/>
      <c r="K2169" s="91"/>
      <c r="L2169" s="91"/>
      <c r="M2169" s="91"/>
      <c r="N2169" s="96" t="b">
        <v>0</v>
      </c>
      <c r="O2169" s="96" t="b">
        <v>0</v>
      </c>
      <c r="P2169" s="92"/>
      <c r="Q2169" s="92"/>
      <c r="R2169" s="92"/>
      <c r="S2169" s="92"/>
      <c r="T2169" s="92"/>
      <c r="U2169" s="92"/>
      <c r="V2169" s="92"/>
      <c r="W2169" s="92"/>
      <c r="X2169" s="92"/>
      <c r="Y2169" s="92"/>
      <c r="Z2169" s="92"/>
      <c r="AA2169" s="92"/>
      <c r="AB2169" s="92"/>
      <c r="AC2169" s="92"/>
      <c r="AD2169" s="92"/>
      <c r="AE2169" s="92"/>
      <c r="AF2169" s="92"/>
      <c r="AG2169" s="92"/>
    </row>
    <row r="2170">
      <c r="A2170" s="262"/>
      <c r="B2170" s="354"/>
      <c r="C2170" s="355"/>
      <c r="D2170" s="97"/>
      <c r="E2170" s="98"/>
      <c r="F2170" s="98"/>
      <c r="G2170" s="41"/>
      <c r="H2170" s="98"/>
      <c r="I2170" s="98"/>
      <c r="J2170" s="98"/>
      <c r="K2170" s="91"/>
      <c r="L2170" s="91"/>
      <c r="M2170" s="91"/>
      <c r="N2170" s="96" t="b">
        <v>0</v>
      </c>
      <c r="O2170" s="96" t="b">
        <v>0</v>
      </c>
      <c r="P2170" s="92"/>
      <c r="Q2170" s="92"/>
      <c r="R2170" s="92"/>
      <c r="S2170" s="92"/>
      <c r="T2170" s="92"/>
      <c r="U2170" s="92"/>
      <c r="V2170" s="92"/>
      <c r="W2170" s="92"/>
      <c r="X2170" s="92"/>
      <c r="Y2170" s="92"/>
      <c r="Z2170" s="92"/>
      <c r="AA2170" s="92"/>
      <c r="AB2170" s="92"/>
      <c r="AC2170" s="92"/>
      <c r="AD2170" s="92"/>
      <c r="AE2170" s="92"/>
      <c r="AF2170" s="92"/>
      <c r="AG2170" s="92"/>
    </row>
    <row r="2171">
      <c r="A2171" s="262"/>
      <c r="B2171" s="354"/>
      <c r="C2171" s="355"/>
      <c r="D2171" s="97"/>
      <c r="E2171" s="98"/>
      <c r="F2171" s="98"/>
      <c r="G2171" s="41"/>
      <c r="H2171" s="98"/>
      <c r="I2171" s="98"/>
      <c r="J2171" s="98"/>
      <c r="K2171" s="91"/>
      <c r="L2171" s="91"/>
      <c r="M2171" s="91"/>
      <c r="N2171" s="96" t="b">
        <v>0</v>
      </c>
      <c r="O2171" s="96" t="b">
        <v>0</v>
      </c>
      <c r="P2171" s="92"/>
      <c r="Q2171" s="92"/>
      <c r="R2171" s="92"/>
      <c r="S2171" s="92"/>
      <c r="T2171" s="92"/>
      <c r="U2171" s="92"/>
      <c r="V2171" s="92"/>
      <c r="W2171" s="92"/>
      <c r="X2171" s="92"/>
      <c r="Y2171" s="92"/>
      <c r="Z2171" s="92"/>
      <c r="AA2171" s="92"/>
      <c r="AB2171" s="92"/>
      <c r="AC2171" s="92"/>
      <c r="AD2171" s="92"/>
      <c r="AE2171" s="92"/>
      <c r="AF2171" s="92"/>
      <c r="AG2171" s="92"/>
    </row>
    <row r="2172">
      <c r="A2172" s="262"/>
      <c r="B2172" s="354"/>
      <c r="C2172" s="355"/>
      <c r="D2172" s="97"/>
      <c r="E2172" s="98"/>
      <c r="F2172" s="98"/>
      <c r="G2172" s="41"/>
      <c r="H2172" s="98"/>
      <c r="I2172" s="98"/>
      <c r="J2172" s="98"/>
      <c r="K2172" s="91"/>
      <c r="L2172" s="91"/>
      <c r="M2172" s="91"/>
      <c r="N2172" s="96" t="b">
        <v>0</v>
      </c>
      <c r="O2172" s="96" t="b">
        <v>0</v>
      </c>
      <c r="P2172" s="92"/>
      <c r="Q2172" s="92"/>
      <c r="R2172" s="92"/>
      <c r="S2172" s="92"/>
      <c r="T2172" s="92"/>
      <c r="U2172" s="92"/>
      <c r="V2172" s="92"/>
      <c r="W2172" s="92"/>
      <c r="X2172" s="92"/>
      <c r="Y2172" s="92"/>
      <c r="Z2172" s="92"/>
      <c r="AA2172" s="92"/>
      <c r="AB2172" s="92"/>
      <c r="AC2172" s="92"/>
      <c r="AD2172" s="92"/>
      <c r="AE2172" s="92"/>
      <c r="AF2172" s="92"/>
      <c r="AG2172" s="92"/>
    </row>
    <row r="2173">
      <c r="A2173" s="262"/>
      <c r="B2173" s="354"/>
      <c r="C2173" s="355"/>
      <c r="D2173" s="97"/>
      <c r="E2173" s="98"/>
      <c r="F2173" s="98"/>
      <c r="G2173" s="41"/>
      <c r="H2173" s="98"/>
      <c r="I2173" s="98"/>
      <c r="J2173" s="98"/>
      <c r="K2173" s="91"/>
      <c r="L2173" s="91"/>
      <c r="M2173" s="91"/>
      <c r="N2173" s="96" t="b">
        <v>0</v>
      </c>
      <c r="O2173" s="96" t="b">
        <v>0</v>
      </c>
      <c r="P2173" s="92"/>
      <c r="Q2173" s="92"/>
      <c r="R2173" s="92"/>
      <c r="S2173" s="92"/>
      <c r="T2173" s="92"/>
      <c r="U2173" s="92"/>
      <c r="V2173" s="92"/>
      <c r="W2173" s="92"/>
      <c r="X2173" s="92"/>
      <c r="Y2173" s="92"/>
      <c r="Z2173" s="92"/>
      <c r="AA2173" s="92"/>
      <c r="AB2173" s="92"/>
      <c r="AC2173" s="92"/>
      <c r="AD2173" s="92"/>
      <c r="AE2173" s="92"/>
      <c r="AF2173" s="92"/>
      <c r="AG2173" s="92"/>
    </row>
    <row r="2174">
      <c r="A2174" s="262"/>
      <c r="B2174" s="354"/>
      <c r="C2174" s="355"/>
      <c r="D2174" s="97"/>
      <c r="E2174" s="98"/>
      <c r="F2174" s="98"/>
      <c r="G2174" s="41"/>
      <c r="H2174" s="98"/>
      <c r="I2174" s="98"/>
      <c r="J2174" s="98"/>
      <c r="K2174" s="91"/>
      <c r="L2174" s="91"/>
      <c r="M2174" s="91"/>
      <c r="N2174" s="96" t="b">
        <v>0</v>
      </c>
      <c r="O2174" s="96" t="b">
        <v>0</v>
      </c>
      <c r="P2174" s="92"/>
      <c r="Q2174" s="92"/>
      <c r="R2174" s="92"/>
      <c r="S2174" s="92"/>
      <c r="T2174" s="92"/>
      <c r="U2174" s="92"/>
      <c r="V2174" s="92"/>
      <c r="W2174" s="92"/>
      <c r="X2174" s="92"/>
      <c r="Y2174" s="92"/>
      <c r="Z2174" s="92"/>
      <c r="AA2174" s="92"/>
      <c r="AB2174" s="92"/>
      <c r="AC2174" s="92"/>
      <c r="AD2174" s="92"/>
      <c r="AE2174" s="92"/>
      <c r="AF2174" s="92"/>
      <c r="AG2174" s="92"/>
    </row>
    <row r="2175">
      <c r="A2175" s="262"/>
      <c r="B2175" s="354"/>
      <c r="C2175" s="355"/>
      <c r="D2175" s="97"/>
      <c r="E2175" s="98"/>
      <c r="F2175" s="98"/>
      <c r="G2175" s="41"/>
      <c r="H2175" s="98"/>
      <c r="I2175" s="98"/>
      <c r="J2175" s="98"/>
      <c r="K2175" s="91"/>
      <c r="L2175" s="91"/>
      <c r="M2175" s="91"/>
      <c r="N2175" s="96" t="b">
        <v>0</v>
      </c>
      <c r="O2175" s="96" t="b">
        <v>0</v>
      </c>
      <c r="P2175" s="92"/>
      <c r="Q2175" s="92"/>
      <c r="R2175" s="92"/>
      <c r="S2175" s="92"/>
      <c r="T2175" s="92"/>
      <c r="U2175" s="92"/>
      <c r="V2175" s="92"/>
      <c r="W2175" s="92"/>
      <c r="X2175" s="92"/>
      <c r="Y2175" s="92"/>
      <c r="Z2175" s="92"/>
      <c r="AA2175" s="92"/>
      <c r="AB2175" s="92"/>
      <c r="AC2175" s="92"/>
      <c r="AD2175" s="92"/>
      <c r="AE2175" s="92"/>
      <c r="AF2175" s="92"/>
      <c r="AG2175" s="92"/>
    </row>
    <row r="2176">
      <c r="A2176" s="262"/>
      <c r="B2176" s="354"/>
      <c r="C2176" s="355"/>
      <c r="D2176" s="97"/>
      <c r="E2176" s="98"/>
      <c r="F2176" s="98"/>
      <c r="G2176" s="41"/>
      <c r="H2176" s="98"/>
      <c r="I2176" s="98"/>
      <c r="J2176" s="98"/>
      <c r="K2176" s="91"/>
      <c r="L2176" s="91"/>
      <c r="M2176" s="91"/>
      <c r="N2176" s="96" t="b">
        <v>0</v>
      </c>
      <c r="O2176" s="96" t="b">
        <v>0</v>
      </c>
      <c r="P2176" s="92"/>
      <c r="Q2176" s="92"/>
      <c r="R2176" s="92"/>
      <c r="S2176" s="92"/>
      <c r="T2176" s="92"/>
      <c r="U2176" s="92"/>
      <c r="V2176" s="92"/>
      <c r="W2176" s="92"/>
      <c r="X2176" s="92"/>
      <c r="Y2176" s="92"/>
      <c r="Z2176" s="92"/>
      <c r="AA2176" s="92"/>
      <c r="AB2176" s="92"/>
      <c r="AC2176" s="92"/>
      <c r="AD2176" s="92"/>
      <c r="AE2176" s="92"/>
      <c r="AF2176" s="92"/>
      <c r="AG2176" s="92"/>
    </row>
    <row r="2177">
      <c r="A2177" s="262"/>
      <c r="B2177" s="354"/>
      <c r="C2177" s="355"/>
      <c r="D2177" s="97"/>
      <c r="E2177" s="98"/>
      <c r="F2177" s="98"/>
      <c r="G2177" s="41"/>
      <c r="H2177" s="98"/>
      <c r="I2177" s="98"/>
      <c r="J2177" s="98"/>
      <c r="K2177" s="91"/>
      <c r="L2177" s="91"/>
      <c r="M2177" s="91"/>
      <c r="N2177" s="96" t="b">
        <v>0</v>
      </c>
      <c r="O2177" s="96" t="b">
        <v>0</v>
      </c>
      <c r="P2177" s="92"/>
      <c r="Q2177" s="92"/>
      <c r="R2177" s="92"/>
      <c r="S2177" s="92"/>
      <c r="T2177" s="92"/>
      <c r="U2177" s="92"/>
      <c r="V2177" s="92"/>
      <c r="W2177" s="92"/>
      <c r="X2177" s="92"/>
      <c r="Y2177" s="92"/>
      <c r="Z2177" s="92"/>
      <c r="AA2177" s="92"/>
      <c r="AB2177" s="92"/>
      <c r="AC2177" s="92"/>
      <c r="AD2177" s="92"/>
      <c r="AE2177" s="92"/>
      <c r="AF2177" s="92"/>
      <c r="AG2177" s="92"/>
    </row>
    <row r="2178">
      <c r="A2178" s="262"/>
      <c r="B2178" s="354"/>
      <c r="C2178" s="355"/>
      <c r="D2178" s="97"/>
      <c r="E2178" s="98"/>
      <c r="F2178" s="98"/>
      <c r="G2178" s="41"/>
      <c r="H2178" s="98"/>
      <c r="I2178" s="98"/>
      <c r="J2178" s="98"/>
      <c r="K2178" s="91"/>
      <c r="L2178" s="91"/>
      <c r="M2178" s="91"/>
      <c r="N2178" s="96" t="b">
        <v>0</v>
      </c>
      <c r="O2178" s="96" t="b">
        <v>0</v>
      </c>
      <c r="P2178" s="92"/>
      <c r="Q2178" s="92"/>
      <c r="R2178" s="92"/>
      <c r="S2178" s="92"/>
      <c r="T2178" s="92"/>
      <c r="U2178" s="92"/>
      <c r="V2178" s="92"/>
      <c r="W2178" s="92"/>
      <c r="X2178" s="92"/>
      <c r="Y2178" s="92"/>
      <c r="Z2178" s="92"/>
      <c r="AA2178" s="92"/>
      <c r="AB2178" s="92"/>
      <c r="AC2178" s="92"/>
      <c r="AD2178" s="92"/>
      <c r="AE2178" s="92"/>
      <c r="AF2178" s="92"/>
      <c r="AG2178" s="92"/>
    </row>
    <row r="2179">
      <c r="A2179" s="262"/>
      <c r="B2179" s="354"/>
      <c r="C2179" s="355"/>
      <c r="D2179" s="97"/>
      <c r="E2179" s="98"/>
      <c r="F2179" s="98"/>
      <c r="G2179" s="41"/>
      <c r="H2179" s="98"/>
      <c r="I2179" s="98"/>
      <c r="J2179" s="98"/>
      <c r="K2179" s="91"/>
      <c r="L2179" s="91"/>
      <c r="M2179" s="91"/>
      <c r="N2179" s="96" t="b">
        <v>0</v>
      </c>
      <c r="O2179" s="96" t="b">
        <v>0</v>
      </c>
      <c r="P2179" s="92"/>
      <c r="Q2179" s="92"/>
      <c r="R2179" s="92"/>
      <c r="S2179" s="92"/>
      <c r="T2179" s="92"/>
      <c r="U2179" s="92"/>
      <c r="V2179" s="92"/>
      <c r="W2179" s="92"/>
      <c r="X2179" s="92"/>
      <c r="Y2179" s="92"/>
      <c r="Z2179" s="92"/>
      <c r="AA2179" s="92"/>
      <c r="AB2179" s="92"/>
      <c r="AC2179" s="92"/>
      <c r="AD2179" s="92"/>
      <c r="AE2179" s="92"/>
      <c r="AF2179" s="92"/>
      <c r="AG2179" s="92"/>
    </row>
    <row r="2180">
      <c r="A2180" s="262"/>
      <c r="B2180" s="354"/>
      <c r="C2180" s="355"/>
      <c r="D2180" s="97"/>
      <c r="E2180" s="98"/>
      <c r="F2180" s="98"/>
      <c r="G2180" s="41"/>
      <c r="H2180" s="98"/>
      <c r="I2180" s="98"/>
      <c r="J2180" s="98"/>
      <c r="K2180" s="91"/>
      <c r="L2180" s="91"/>
      <c r="M2180" s="91"/>
      <c r="N2180" s="96" t="b">
        <v>0</v>
      </c>
      <c r="O2180" s="96" t="b">
        <v>0</v>
      </c>
      <c r="P2180" s="92"/>
      <c r="Q2180" s="92"/>
      <c r="R2180" s="92"/>
      <c r="S2180" s="92"/>
      <c r="T2180" s="92"/>
      <c r="U2180" s="92"/>
      <c r="V2180" s="92"/>
      <c r="W2180" s="92"/>
      <c r="X2180" s="92"/>
      <c r="Y2180" s="92"/>
      <c r="Z2180" s="92"/>
      <c r="AA2180" s="92"/>
      <c r="AB2180" s="92"/>
      <c r="AC2180" s="92"/>
      <c r="AD2180" s="92"/>
      <c r="AE2180" s="92"/>
      <c r="AF2180" s="92"/>
      <c r="AG2180" s="92"/>
    </row>
    <row r="2181">
      <c r="A2181" s="262"/>
      <c r="B2181" s="354"/>
      <c r="C2181" s="355"/>
      <c r="D2181" s="97"/>
      <c r="E2181" s="98"/>
      <c r="F2181" s="98"/>
      <c r="G2181" s="41"/>
      <c r="H2181" s="98"/>
      <c r="I2181" s="98"/>
      <c r="J2181" s="98"/>
      <c r="K2181" s="91"/>
      <c r="L2181" s="91"/>
      <c r="M2181" s="91"/>
      <c r="N2181" s="96" t="b">
        <v>0</v>
      </c>
      <c r="O2181" s="96" t="b">
        <v>0</v>
      </c>
      <c r="P2181" s="92"/>
      <c r="Q2181" s="92"/>
      <c r="R2181" s="92"/>
      <c r="S2181" s="92"/>
      <c r="T2181" s="92"/>
      <c r="U2181" s="92"/>
      <c r="V2181" s="92"/>
      <c r="W2181" s="92"/>
      <c r="X2181" s="92"/>
      <c r="Y2181" s="92"/>
      <c r="Z2181" s="92"/>
      <c r="AA2181" s="92"/>
      <c r="AB2181" s="92"/>
      <c r="AC2181" s="92"/>
      <c r="AD2181" s="92"/>
      <c r="AE2181" s="92"/>
      <c r="AF2181" s="92"/>
      <c r="AG2181" s="92"/>
    </row>
    <row r="2182">
      <c r="A2182" s="262"/>
      <c r="B2182" s="354"/>
      <c r="C2182" s="355"/>
      <c r="D2182" s="97"/>
      <c r="E2182" s="98"/>
      <c r="F2182" s="98"/>
      <c r="G2182" s="41"/>
      <c r="H2182" s="98"/>
      <c r="I2182" s="98"/>
      <c r="J2182" s="98"/>
      <c r="K2182" s="91"/>
      <c r="L2182" s="91"/>
      <c r="M2182" s="91"/>
      <c r="N2182" s="96" t="b">
        <v>0</v>
      </c>
      <c r="O2182" s="96" t="b">
        <v>0</v>
      </c>
      <c r="P2182" s="92"/>
      <c r="Q2182" s="92"/>
      <c r="R2182" s="92"/>
      <c r="S2182" s="92"/>
      <c r="T2182" s="92"/>
      <c r="U2182" s="92"/>
      <c r="V2182" s="92"/>
      <c r="W2182" s="92"/>
      <c r="X2182" s="92"/>
      <c r="Y2182" s="92"/>
      <c r="Z2182" s="92"/>
      <c r="AA2182" s="92"/>
      <c r="AB2182" s="92"/>
      <c r="AC2182" s="92"/>
      <c r="AD2182" s="92"/>
      <c r="AE2182" s="92"/>
      <c r="AF2182" s="92"/>
      <c r="AG2182" s="92"/>
    </row>
    <row r="2183">
      <c r="A2183" s="262"/>
      <c r="B2183" s="354"/>
      <c r="C2183" s="355"/>
      <c r="D2183" s="97"/>
      <c r="E2183" s="98"/>
      <c r="F2183" s="98"/>
      <c r="G2183" s="41"/>
      <c r="H2183" s="98"/>
      <c r="I2183" s="98"/>
      <c r="J2183" s="98"/>
      <c r="K2183" s="91"/>
      <c r="L2183" s="91"/>
      <c r="M2183" s="91"/>
      <c r="N2183" s="96" t="b">
        <v>0</v>
      </c>
      <c r="O2183" s="96" t="b">
        <v>0</v>
      </c>
      <c r="P2183" s="92"/>
      <c r="Q2183" s="92"/>
      <c r="R2183" s="92"/>
      <c r="S2183" s="92"/>
      <c r="T2183" s="92"/>
      <c r="U2183" s="92"/>
      <c r="V2183" s="92"/>
      <c r="W2183" s="92"/>
      <c r="X2183" s="92"/>
      <c r="Y2183" s="92"/>
      <c r="Z2183" s="92"/>
      <c r="AA2183" s="92"/>
      <c r="AB2183" s="92"/>
      <c r="AC2183" s="92"/>
      <c r="AD2183" s="92"/>
      <c r="AE2183" s="92"/>
      <c r="AF2183" s="92"/>
      <c r="AG2183" s="92"/>
    </row>
    <row r="2184">
      <c r="A2184" s="262"/>
      <c r="B2184" s="354"/>
      <c r="C2184" s="355"/>
      <c r="D2184" s="97"/>
      <c r="E2184" s="98"/>
      <c r="F2184" s="98"/>
      <c r="G2184" s="41"/>
      <c r="H2184" s="98"/>
      <c r="I2184" s="98"/>
      <c r="J2184" s="98"/>
      <c r="K2184" s="91"/>
      <c r="L2184" s="91"/>
      <c r="M2184" s="91"/>
      <c r="N2184" s="96" t="b">
        <v>0</v>
      </c>
      <c r="O2184" s="96" t="b">
        <v>0</v>
      </c>
      <c r="P2184" s="92"/>
      <c r="Q2184" s="92"/>
      <c r="R2184" s="92"/>
      <c r="S2184" s="92"/>
      <c r="T2184" s="92"/>
      <c r="U2184" s="92"/>
      <c r="V2184" s="92"/>
      <c r="W2184" s="92"/>
      <c r="X2184" s="92"/>
      <c r="Y2184" s="92"/>
      <c r="Z2184" s="92"/>
      <c r="AA2184" s="92"/>
      <c r="AB2184" s="92"/>
      <c r="AC2184" s="92"/>
      <c r="AD2184" s="92"/>
      <c r="AE2184" s="92"/>
      <c r="AF2184" s="92"/>
      <c r="AG2184" s="92"/>
    </row>
    <row r="2185">
      <c r="A2185" s="262"/>
      <c r="B2185" s="354"/>
      <c r="C2185" s="355"/>
      <c r="D2185" s="97"/>
      <c r="E2185" s="98"/>
      <c r="F2185" s="98"/>
      <c r="G2185" s="41"/>
      <c r="H2185" s="98"/>
      <c r="I2185" s="98"/>
      <c r="J2185" s="98"/>
      <c r="K2185" s="91"/>
      <c r="L2185" s="91"/>
      <c r="M2185" s="91"/>
      <c r="N2185" s="96" t="b">
        <v>0</v>
      </c>
      <c r="O2185" s="96" t="b">
        <v>0</v>
      </c>
      <c r="P2185" s="92"/>
      <c r="Q2185" s="92"/>
      <c r="R2185" s="92"/>
      <c r="S2185" s="92"/>
      <c r="T2185" s="92"/>
      <c r="U2185" s="92"/>
      <c r="V2185" s="92"/>
      <c r="W2185" s="92"/>
      <c r="X2185" s="92"/>
      <c r="Y2185" s="92"/>
      <c r="Z2185" s="92"/>
      <c r="AA2185" s="92"/>
      <c r="AB2185" s="92"/>
      <c r="AC2185" s="92"/>
      <c r="AD2185" s="92"/>
      <c r="AE2185" s="92"/>
      <c r="AF2185" s="92"/>
      <c r="AG2185" s="92"/>
    </row>
    <row r="2186">
      <c r="A2186" s="262"/>
      <c r="B2186" s="354"/>
      <c r="C2186" s="355"/>
      <c r="D2186" s="97"/>
      <c r="E2186" s="98"/>
      <c r="F2186" s="98"/>
      <c r="G2186" s="41"/>
      <c r="H2186" s="98"/>
      <c r="I2186" s="98"/>
      <c r="J2186" s="98"/>
      <c r="K2186" s="91"/>
      <c r="L2186" s="91"/>
      <c r="M2186" s="91"/>
      <c r="N2186" s="96" t="b">
        <v>0</v>
      </c>
      <c r="O2186" s="96" t="b">
        <v>0</v>
      </c>
      <c r="P2186" s="92"/>
      <c r="Q2186" s="92"/>
      <c r="R2186" s="92"/>
      <c r="S2186" s="92"/>
      <c r="T2186" s="92"/>
      <c r="U2186" s="92"/>
      <c r="V2186" s="92"/>
      <c r="W2186" s="92"/>
      <c r="X2186" s="92"/>
      <c r="Y2186" s="92"/>
      <c r="Z2186" s="92"/>
      <c r="AA2186" s="92"/>
      <c r="AB2186" s="92"/>
      <c r="AC2186" s="92"/>
      <c r="AD2186" s="92"/>
      <c r="AE2186" s="92"/>
      <c r="AF2186" s="92"/>
      <c r="AG2186" s="92"/>
    </row>
    <row r="2187">
      <c r="A2187" s="262"/>
      <c r="B2187" s="354"/>
      <c r="C2187" s="355"/>
      <c r="D2187" s="97"/>
      <c r="E2187" s="98"/>
      <c r="F2187" s="98"/>
      <c r="G2187" s="41"/>
      <c r="H2187" s="98"/>
      <c r="I2187" s="98"/>
      <c r="J2187" s="98"/>
      <c r="K2187" s="91"/>
      <c r="L2187" s="91"/>
      <c r="M2187" s="91"/>
      <c r="N2187" s="96" t="b">
        <v>0</v>
      </c>
      <c r="O2187" s="96" t="b">
        <v>0</v>
      </c>
      <c r="P2187" s="92"/>
      <c r="Q2187" s="92"/>
      <c r="R2187" s="92"/>
      <c r="S2187" s="92"/>
      <c r="T2187" s="92"/>
      <c r="U2187" s="92"/>
      <c r="V2187" s="92"/>
      <c r="W2187" s="92"/>
      <c r="X2187" s="92"/>
      <c r="Y2187" s="92"/>
      <c r="Z2187" s="92"/>
      <c r="AA2187" s="92"/>
      <c r="AB2187" s="92"/>
      <c r="AC2187" s="92"/>
      <c r="AD2187" s="92"/>
      <c r="AE2187" s="92"/>
      <c r="AF2187" s="92"/>
      <c r="AG2187" s="92"/>
    </row>
    <row r="2188">
      <c r="A2188" s="262"/>
      <c r="B2188" s="354"/>
      <c r="C2188" s="355"/>
      <c r="D2188" s="97"/>
      <c r="E2188" s="98"/>
      <c r="F2188" s="98"/>
      <c r="G2188" s="41"/>
      <c r="H2188" s="98"/>
      <c r="I2188" s="98"/>
      <c r="J2188" s="98"/>
      <c r="K2188" s="91"/>
      <c r="L2188" s="91"/>
      <c r="M2188" s="91"/>
      <c r="N2188" s="96" t="b">
        <v>0</v>
      </c>
      <c r="O2188" s="96" t="b">
        <v>0</v>
      </c>
      <c r="P2188" s="92"/>
      <c r="Q2188" s="92"/>
      <c r="R2188" s="92"/>
      <c r="S2188" s="92"/>
      <c r="T2188" s="92"/>
      <c r="U2188" s="92"/>
      <c r="V2188" s="92"/>
      <c r="W2188" s="92"/>
      <c r="X2188" s="92"/>
      <c r="Y2188" s="92"/>
      <c r="Z2188" s="92"/>
      <c r="AA2188" s="92"/>
      <c r="AB2188" s="92"/>
      <c r="AC2188" s="92"/>
      <c r="AD2188" s="92"/>
      <c r="AE2188" s="92"/>
      <c r="AF2188" s="92"/>
      <c r="AG2188" s="92"/>
    </row>
    <row r="2189">
      <c r="A2189" s="262"/>
      <c r="B2189" s="354"/>
      <c r="C2189" s="355"/>
      <c r="D2189" s="97"/>
      <c r="E2189" s="98"/>
      <c r="F2189" s="98"/>
      <c r="G2189" s="41"/>
      <c r="H2189" s="98"/>
      <c r="I2189" s="98"/>
      <c r="J2189" s="98"/>
      <c r="K2189" s="91"/>
      <c r="L2189" s="91"/>
      <c r="M2189" s="91"/>
      <c r="N2189" s="96" t="b">
        <v>0</v>
      </c>
      <c r="O2189" s="96" t="b">
        <v>0</v>
      </c>
      <c r="P2189" s="92"/>
      <c r="Q2189" s="92"/>
      <c r="R2189" s="92"/>
      <c r="S2189" s="92"/>
      <c r="T2189" s="92"/>
      <c r="U2189" s="92"/>
      <c r="V2189" s="92"/>
      <c r="W2189" s="92"/>
      <c r="X2189" s="92"/>
      <c r="Y2189" s="92"/>
      <c r="Z2189" s="92"/>
      <c r="AA2189" s="92"/>
      <c r="AB2189" s="92"/>
      <c r="AC2189" s="92"/>
      <c r="AD2189" s="92"/>
      <c r="AE2189" s="92"/>
      <c r="AF2189" s="92"/>
      <c r="AG2189" s="92"/>
    </row>
    <row r="2190">
      <c r="A2190" s="262"/>
      <c r="B2190" s="354"/>
      <c r="C2190" s="355"/>
      <c r="D2190" s="97"/>
      <c r="E2190" s="98"/>
      <c r="F2190" s="98"/>
      <c r="G2190" s="41"/>
      <c r="H2190" s="98"/>
      <c r="I2190" s="98"/>
      <c r="J2190" s="98"/>
      <c r="K2190" s="91"/>
      <c r="L2190" s="91"/>
      <c r="M2190" s="91"/>
      <c r="N2190" s="96" t="b">
        <v>0</v>
      </c>
      <c r="O2190" s="96" t="b">
        <v>0</v>
      </c>
      <c r="P2190" s="92"/>
      <c r="Q2190" s="92"/>
      <c r="R2190" s="92"/>
      <c r="S2190" s="92"/>
      <c r="T2190" s="92"/>
      <c r="U2190" s="92"/>
      <c r="V2190" s="92"/>
      <c r="W2190" s="92"/>
      <c r="X2190" s="92"/>
      <c r="Y2190" s="92"/>
      <c r="Z2190" s="92"/>
      <c r="AA2190" s="92"/>
      <c r="AB2190" s="92"/>
      <c r="AC2190" s="92"/>
      <c r="AD2190" s="92"/>
      <c r="AE2190" s="92"/>
      <c r="AF2190" s="92"/>
      <c r="AG2190" s="92"/>
    </row>
    <row r="2191">
      <c r="A2191" s="262"/>
      <c r="B2191" s="354"/>
      <c r="C2191" s="355"/>
      <c r="D2191" s="97"/>
      <c r="E2191" s="98"/>
      <c r="F2191" s="98"/>
      <c r="G2191" s="41"/>
      <c r="H2191" s="98"/>
      <c r="I2191" s="98"/>
      <c r="J2191" s="98"/>
      <c r="K2191" s="91"/>
      <c r="L2191" s="91"/>
      <c r="M2191" s="91"/>
      <c r="N2191" s="96" t="b">
        <v>0</v>
      </c>
      <c r="O2191" s="96" t="b">
        <v>0</v>
      </c>
      <c r="P2191" s="92"/>
      <c r="Q2191" s="92"/>
      <c r="R2191" s="92"/>
      <c r="S2191" s="92"/>
      <c r="T2191" s="92"/>
      <c r="U2191" s="92"/>
      <c r="V2191" s="92"/>
      <c r="W2191" s="92"/>
      <c r="X2191" s="92"/>
      <c r="Y2191" s="92"/>
      <c r="Z2191" s="92"/>
      <c r="AA2191" s="92"/>
      <c r="AB2191" s="92"/>
      <c r="AC2191" s="92"/>
      <c r="AD2191" s="92"/>
      <c r="AE2191" s="92"/>
      <c r="AF2191" s="92"/>
      <c r="AG2191" s="92"/>
    </row>
    <row r="2192">
      <c r="A2192" s="262"/>
      <c r="B2192" s="354"/>
      <c r="C2192" s="355"/>
      <c r="D2192" s="97"/>
      <c r="E2192" s="98"/>
      <c r="F2192" s="98"/>
      <c r="G2192" s="41"/>
      <c r="H2192" s="98"/>
      <c r="I2192" s="98"/>
      <c r="J2192" s="98"/>
      <c r="K2192" s="91"/>
      <c r="L2192" s="91"/>
      <c r="M2192" s="91"/>
      <c r="N2192" s="96" t="b">
        <v>0</v>
      </c>
      <c r="O2192" s="96" t="b">
        <v>0</v>
      </c>
      <c r="P2192" s="92"/>
      <c r="Q2192" s="92"/>
      <c r="R2192" s="92"/>
      <c r="S2192" s="92"/>
      <c r="T2192" s="92"/>
      <c r="U2192" s="92"/>
      <c r="V2192" s="92"/>
      <c r="W2192" s="92"/>
      <c r="X2192" s="92"/>
      <c r="Y2192" s="92"/>
      <c r="Z2192" s="92"/>
      <c r="AA2192" s="92"/>
      <c r="AB2192" s="92"/>
      <c r="AC2192" s="92"/>
      <c r="AD2192" s="92"/>
      <c r="AE2192" s="92"/>
      <c r="AF2192" s="92"/>
      <c r="AG2192" s="92"/>
    </row>
    <row r="2193">
      <c r="A2193" s="262"/>
      <c r="B2193" s="354"/>
      <c r="C2193" s="355"/>
      <c r="D2193" s="97"/>
      <c r="E2193" s="98"/>
      <c r="F2193" s="98"/>
      <c r="G2193" s="41"/>
      <c r="H2193" s="98"/>
      <c r="I2193" s="98"/>
      <c r="J2193" s="98"/>
      <c r="K2193" s="91"/>
      <c r="L2193" s="91"/>
      <c r="M2193" s="91"/>
      <c r="N2193" s="96" t="b">
        <v>0</v>
      </c>
      <c r="O2193" s="96" t="b">
        <v>0</v>
      </c>
      <c r="P2193" s="92"/>
      <c r="Q2193" s="92"/>
      <c r="R2193" s="92"/>
      <c r="S2193" s="92"/>
      <c r="T2193" s="92"/>
      <c r="U2193" s="92"/>
      <c r="V2193" s="92"/>
      <c r="W2193" s="92"/>
      <c r="X2193" s="92"/>
      <c r="Y2193" s="92"/>
      <c r="Z2193" s="92"/>
      <c r="AA2193" s="92"/>
      <c r="AB2193" s="92"/>
      <c r="AC2193" s="92"/>
      <c r="AD2193" s="92"/>
      <c r="AE2193" s="92"/>
      <c r="AF2193" s="92"/>
      <c r="AG2193" s="92"/>
    </row>
    <row r="2194">
      <c r="A2194" s="262"/>
      <c r="B2194" s="354"/>
      <c r="C2194" s="355"/>
      <c r="D2194" s="97"/>
      <c r="E2194" s="98"/>
      <c r="F2194" s="98"/>
      <c r="G2194" s="41"/>
      <c r="H2194" s="98"/>
      <c r="I2194" s="98"/>
      <c r="J2194" s="98"/>
      <c r="K2194" s="91"/>
      <c r="L2194" s="91"/>
      <c r="M2194" s="91"/>
      <c r="N2194" s="96" t="b">
        <v>0</v>
      </c>
      <c r="O2194" s="96" t="b">
        <v>0</v>
      </c>
      <c r="P2194" s="92"/>
      <c r="Q2194" s="92"/>
      <c r="R2194" s="92"/>
      <c r="S2194" s="92"/>
      <c r="T2194" s="92"/>
      <c r="U2194" s="92"/>
      <c r="V2194" s="92"/>
      <c r="W2194" s="92"/>
      <c r="X2194" s="92"/>
      <c r="Y2194" s="92"/>
      <c r="Z2194" s="92"/>
      <c r="AA2194" s="92"/>
      <c r="AB2194" s="92"/>
      <c r="AC2194" s="92"/>
      <c r="AD2194" s="92"/>
      <c r="AE2194" s="92"/>
      <c r="AF2194" s="92"/>
      <c r="AG2194" s="92"/>
    </row>
    <row r="2195">
      <c r="A2195" s="262"/>
      <c r="B2195" s="354"/>
      <c r="C2195" s="355"/>
      <c r="D2195" s="97"/>
      <c r="E2195" s="98"/>
      <c r="F2195" s="98"/>
      <c r="G2195" s="41"/>
      <c r="H2195" s="98"/>
      <c r="I2195" s="98"/>
      <c r="J2195" s="98"/>
      <c r="K2195" s="91"/>
      <c r="L2195" s="91"/>
      <c r="M2195" s="91"/>
      <c r="N2195" s="96" t="b">
        <v>0</v>
      </c>
      <c r="O2195" s="96" t="b">
        <v>0</v>
      </c>
      <c r="P2195" s="92"/>
      <c r="Q2195" s="92"/>
      <c r="R2195" s="92"/>
      <c r="S2195" s="92"/>
      <c r="T2195" s="92"/>
      <c r="U2195" s="92"/>
      <c r="V2195" s="92"/>
      <c r="W2195" s="92"/>
      <c r="X2195" s="92"/>
      <c r="Y2195" s="92"/>
      <c r="Z2195" s="92"/>
      <c r="AA2195" s="92"/>
      <c r="AB2195" s="92"/>
      <c r="AC2195" s="92"/>
      <c r="AD2195" s="92"/>
      <c r="AE2195" s="92"/>
      <c r="AF2195" s="92"/>
      <c r="AG2195" s="92"/>
    </row>
    <row r="2196">
      <c r="A2196" s="262"/>
      <c r="B2196" s="354"/>
      <c r="C2196" s="355"/>
      <c r="D2196" s="97"/>
      <c r="E2196" s="98"/>
      <c r="F2196" s="98"/>
      <c r="G2196" s="41"/>
      <c r="H2196" s="98"/>
      <c r="I2196" s="98"/>
      <c r="J2196" s="98"/>
      <c r="K2196" s="91"/>
      <c r="L2196" s="91"/>
      <c r="M2196" s="91"/>
      <c r="N2196" s="96" t="b">
        <v>0</v>
      </c>
      <c r="O2196" s="96" t="b">
        <v>0</v>
      </c>
      <c r="P2196" s="92"/>
      <c r="Q2196" s="92"/>
      <c r="R2196" s="92"/>
      <c r="S2196" s="92"/>
      <c r="T2196" s="92"/>
      <c r="U2196" s="92"/>
      <c r="V2196" s="92"/>
      <c r="W2196" s="92"/>
      <c r="X2196" s="92"/>
      <c r="Y2196" s="92"/>
      <c r="Z2196" s="92"/>
      <c r="AA2196" s="92"/>
      <c r="AB2196" s="92"/>
      <c r="AC2196" s="92"/>
      <c r="AD2196" s="92"/>
      <c r="AE2196" s="92"/>
      <c r="AF2196" s="92"/>
      <c r="AG2196" s="92"/>
    </row>
    <row r="2197">
      <c r="A2197" s="262"/>
      <c r="B2197" s="354"/>
      <c r="C2197" s="355"/>
      <c r="D2197" s="97"/>
      <c r="E2197" s="98"/>
      <c r="F2197" s="98"/>
      <c r="G2197" s="41"/>
      <c r="H2197" s="98"/>
      <c r="I2197" s="98"/>
      <c r="J2197" s="98"/>
      <c r="K2197" s="91"/>
      <c r="L2197" s="91"/>
      <c r="M2197" s="91"/>
      <c r="N2197" s="96" t="b">
        <v>0</v>
      </c>
      <c r="O2197" s="96" t="b">
        <v>0</v>
      </c>
      <c r="P2197" s="92"/>
      <c r="Q2197" s="92"/>
      <c r="R2197" s="92"/>
      <c r="S2197" s="92"/>
      <c r="T2197" s="92"/>
      <c r="U2197" s="92"/>
      <c r="V2197" s="92"/>
      <c r="W2197" s="92"/>
      <c r="X2197" s="92"/>
      <c r="Y2197" s="92"/>
      <c r="Z2197" s="92"/>
      <c r="AA2197" s="92"/>
      <c r="AB2197" s="92"/>
      <c r="AC2197" s="92"/>
      <c r="AD2197" s="92"/>
      <c r="AE2197" s="92"/>
      <c r="AF2197" s="92"/>
      <c r="AG2197" s="92"/>
    </row>
    <row r="2198">
      <c r="A2198" s="262"/>
      <c r="B2198" s="354"/>
      <c r="C2198" s="355"/>
      <c r="D2198" s="97"/>
      <c r="E2198" s="98"/>
      <c r="F2198" s="98"/>
      <c r="G2198" s="41"/>
      <c r="H2198" s="98"/>
      <c r="I2198" s="98"/>
      <c r="J2198" s="98"/>
      <c r="K2198" s="91"/>
      <c r="L2198" s="91"/>
      <c r="M2198" s="91"/>
      <c r="N2198" s="96" t="b">
        <v>0</v>
      </c>
      <c r="O2198" s="96" t="b">
        <v>0</v>
      </c>
      <c r="P2198" s="92"/>
      <c r="Q2198" s="92"/>
      <c r="R2198" s="92"/>
      <c r="S2198" s="92"/>
      <c r="T2198" s="92"/>
      <c r="U2198" s="92"/>
      <c r="V2198" s="92"/>
      <c r="W2198" s="92"/>
      <c r="X2198" s="92"/>
      <c r="Y2198" s="92"/>
      <c r="Z2198" s="92"/>
      <c r="AA2198" s="92"/>
      <c r="AB2198" s="92"/>
      <c r="AC2198" s="92"/>
      <c r="AD2198" s="92"/>
      <c r="AE2198" s="92"/>
      <c r="AF2198" s="92"/>
      <c r="AG2198" s="92"/>
    </row>
    <row r="2199">
      <c r="A2199" s="262"/>
      <c r="B2199" s="354"/>
      <c r="C2199" s="355"/>
      <c r="D2199" s="97"/>
      <c r="E2199" s="98"/>
      <c r="F2199" s="98"/>
      <c r="G2199" s="41"/>
      <c r="H2199" s="98"/>
      <c r="I2199" s="98"/>
      <c r="J2199" s="98"/>
      <c r="K2199" s="91"/>
      <c r="L2199" s="91"/>
      <c r="M2199" s="91"/>
      <c r="N2199" s="96" t="b">
        <v>0</v>
      </c>
      <c r="O2199" s="96" t="b">
        <v>0</v>
      </c>
      <c r="P2199" s="92"/>
      <c r="Q2199" s="92"/>
      <c r="R2199" s="92"/>
      <c r="S2199" s="92"/>
      <c r="T2199" s="92"/>
      <c r="U2199" s="92"/>
      <c r="V2199" s="92"/>
      <c r="W2199" s="92"/>
      <c r="X2199" s="92"/>
      <c r="Y2199" s="92"/>
      <c r="Z2199" s="92"/>
      <c r="AA2199" s="92"/>
      <c r="AB2199" s="92"/>
      <c r="AC2199" s="92"/>
      <c r="AD2199" s="92"/>
      <c r="AE2199" s="92"/>
      <c r="AF2199" s="92"/>
      <c r="AG2199" s="92"/>
    </row>
    <row r="2200">
      <c r="A2200" s="262"/>
      <c r="B2200" s="354"/>
      <c r="C2200" s="355"/>
      <c r="D2200" s="97"/>
      <c r="E2200" s="98"/>
      <c r="F2200" s="98"/>
      <c r="G2200" s="41"/>
      <c r="H2200" s="98"/>
      <c r="I2200" s="98"/>
      <c r="J2200" s="98"/>
      <c r="K2200" s="91"/>
      <c r="L2200" s="91"/>
      <c r="M2200" s="91"/>
      <c r="N2200" s="96" t="b">
        <v>0</v>
      </c>
      <c r="O2200" s="96" t="b">
        <v>0</v>
      </c>
      <c r="P2200" s="92"/>
      <c r="Q2200" s="92"/>
      <c r="R2200" s="92"/>
      <c r="S2200" s="92"/>
      <c r="T2200" s="92"/>
      <c r="U2200" s="92"/>
      <c r="V2200" s="92"/>
      <c r="W2200" s="92"/>
      <c r="X2200" s="92"/>
      <c r="Y2200" s="92"/>
      <c r="Z2200" s="92"/>
      <c r="AA2200" s="92"/>
      <c r="AB2200" s="92"/>
      <c r="AC2200" s="92"/>
      <c r="AD2200" s="92"/>
      <c r="AE2200" s="92"/>
      <c r="AF2200" s="92"/>
      <c r="AG2200" s="92"/>
    </row>
    <row r="2201">
      <c r="A2201" s="262"/>
      <c r="B2201" s="354"/>
      <c r="C2201" s="355"/>
      <c r="D2201" s="97"/>
      <c r="E2201" s="98"/>
      <c r="F2201" s="98"/>
      <c r="G2201" s="41"/>
      <c r="H2201" s="98"/>
      <c r="I2201" s="98"/>
      <c r="J2201" s="98"/>
      <c r="K2201" s="91"/>
      <c r="L2201" s="91"/>
      <c r="M2201" s="91"/>
      <c r="N2201" s="96" t="b">
        <v>0</v>
      </c>
      <c r="O2201" s="96" t="b">
        <v>0</v>
      </c>
      <c r="P2201" s="92"/>
      <c r="Q2201" s="92"/>
      <c r="R2201" s="92"/>
      <c r="S2201" s="92"/>
      <c r="T2201" s="92"/>
      <c r="U2201" s="92"/>
      <c r="V2201" s="92"/>
      <c r="W2201" s="92"/>
      <c r="X2201" s="92"/>
      <c r="Y2201" s="92"/>
      <c r="Z2201" s="92"/>
      <c r="AA2201" s="92"/>
      <c r="AB2201" s="92"/>
      <c r="AC2201" s="92"/>
      <c r="AD2201" s="92"/>
      <c r="AE2201" s="92"/>
      <c r="AF2201" s="92"/>
      <c r="AG2201" s="92"/>
    </row>
    <row r="2202">
      <c r="A2202" s="262"/>
      <c r="B2202" s="354"/>
      <c r="C2202" s="355"/>
      <c r="D2202" s="97"/>
      <c r="E2202" s="98"/>
      <c r="F2202" s="98"/>
      <c r="G2202" s="41"/>
      <c r="H2202" s="98"/>
      <c r="I2202" s="98"/>
      <c r="J2202" s="98"/>
      <c r="K2202" s="91"/>
      <c r="L2202" s="91"/>
      <c r="M2202" s="91"/>
      <c r="N2202" s="96" t="b">
        <v>0</v>
      </c>
      <c r="O2202" s="96" t="b">
        <v>0</v>
      </c>
      <c r="P2202" s="92"/>
      <c r="Q2202" s="92"/>
      <c r="R2202" s="92"/>
      <c r="S2202" s="92"/>
      <c r="T2202" s="92"/>
      <c r="U2202" s="92"/>
      <c r="V2202" s="92"/>
      <c r="W2202" s="92"/>
      <c r="X2202" s="92"/>
      <c r="Y2202" s="92"/>
      <c r="Z2202" s="92"/>
      <c r="AA2202" s="92"/>
      <c r="AB2202" s="92"/>
      <c r="AC2202" s="92"/>
      <c r="AD2202" s="92"/>
      <c r="AE2202" s="92"/>
      <c r="AF2202" s="92"/>
      <c r="AG2202" s="92"/>
    </row>
    <row r="2203">
      <c r="A2203" s="262"/>
      <c r="B2203" s="354"/>
      <c r="C2203" s="355"/>
      <c r="D2203" s="97"/>
      <c r="E2203" s="98"/>
      <c r="F2203" s="98"/>
      <c r="G2203" s="41"/>
      <c r="H2203" s="98"/>
      <c r="I2203" s="98"/>
      <c r="J2203" s="98"/>
      <c r="K2203" s="91"/>
      <c r="L2203" s="91"/>
      <c r="M2203" s="91"/>
      <c r="N2203" s="96" t="b">
        <v>0</v>
      </c>
      <c r="O2203" s="96" t="b">
        <v>0</v>
      </c>
      <c r="P2203" s="92"/>
      <c r="Q2203" s="92"/>
      <c r="R2203" s="92"/>
      <c r="S2203" s="92"/>
      <c r="T2203" s="92"/>
      <c r="U2203" s="92"/>
      <c r="V2203" s="92"/>
      <c r="W2203" s="92"/>
      <c r="X2203" s="92"/>
      <c r="Y2203" s="92"/>
      <c r="Z2203" s="92"/>
      <c r="AA2203" s="92"/>
      <c r="AB2203" s="92"/>
      <c r="AC2203" s="92"/>
      <c r="AD2203" s="92"/>
      <c r="AE2203" s="92"/>
      <c r="AF2203" s="92"/>
      <c r="AG2203" s="92"/>
    </row>
    <row r="2204">
      <c r="A2204" s="262"/>
      <c r="B2204" s="354"/>
      <c r="C2204" s="355"/>
      <c r="D2204" s="97"/>
      <c r="E2204" s="98"/>
      <c r="F2204" s="98"/>
      <c r="G2204" s="41"/>
      <c r="H2204" s="98"/>
      <c r="I2204" s="98"/>
      <c r="J2204" s="98"/>
      <c r="K2204" s="91"/>
      <c r="L2204" s="91"/>
      <c r="M2204" s="91"/>
      <c r="N2204" s="96" t="b">
        <v>0</v>
      </c>
      <c r="O2204" s="96" t="b">
        <v>0</v>
      </c>
      <c r="P2204" s="92"/>
      <c r="Q2204" s="92"/>
      <c r="R2204" s="92"/>
      <c r="S2204" s="92"/>
      <c r="T2204" s="92"/>
      <c r="U2204" s="92"/>
      <c r="V2204" s="92"/>
      <c r="W2204" s="92"/>
      <c r="X2204" s="92"/>
      <c r="Y2204" s="92"/>
      <c r="Z2204" s="92"/>
      <c r="AA2204" s="92"/>
      <c r="AB2204" s="92"/>
      <c r="AC2204" s="92"/>
      <c r="AD2204" s="92"/>
      <c r="AE2204" s="92"/>
      <c r="AF2204" s="92"/>
      <c r="AG2204" s="92"/>
    </row>
    <row r="2205">
      <c r="A2205" s="262"/>
      <c r="B2205" s="354"/>
      <c r="C2205" s="355"/>
      <c r="D2205" s="97"/>
      <c r="E2205" s="98"/>
      <c r="F2205" s="98"/>
      <c r="G2205" s="41"/>
      <c r="H2205" s="98"/>
      <c r="I2205" s="98"/>
      <c r="J2205" s="98"/>
      <c r="K2205" s="91"/>
      <c r="L2205" s="91"/>
      <c r="M2205" s="91"/>
      <c r="N2205" s="96" t="b">
        <v>0</v>
      </c>
      <c r="O2205" s="96" t="b">
        <v>0</v>
      </c>
      <c r="P2205" s="92"/>
      <c r="Q2205" s="92"/>
      <c r="R2205" s="92"/>
      <c r="S2205" s="92"/>
      <c r="T2205" s="92"/>
      <c r="U2205" s="92"/>
      <c r="V2205" s="92"/>
      <c r="W2205" s="92"/>
      <c r="X2205" s="92"/>
      <c r="Y2205" s="92"/>
      <c r="Z2205" s="92"/>
      <c r="AA2205" s="92"/>
      <c r="AB2205" s="92"/>
      <c r="AC2205" s="92"/>
      <c r="AD2205" s="92"/>
      <c r="AE2205" s="92"/>
      <c r="AF2205" s="92"/>
      <c r="AG2205" s="92"/>
    </row>
    <row r="2206">
      <c r="A2206" s="262"/>
      <c r="B2206" s="354"/>
      <c r="C2206" s="355"/>
      <c r="D2206" s="97"/>
      <c r="E2206" s="98"/>
      <c r="F2206" s="98"/>
      <c r="G2206" s="41"/>
      <c r="H2206" s="98"/>
      <c r="I2206" s="98"/>
      <c r="J2206" s="98"/>
      <c r="K2206" s="91"/>
      <c r="L2206" s="91"/>
      <c r="M2206" s="91"/>
      <c r="N2206" s="96" t="b">
        <v>0</v>
      </c>
      <c r="O2206" s="96" t="b">
        <v>0</v>
      </c>
      <c r="P2206" s="92"/>
      <c r="Q2206" s="92"/>
      <c r="R2206" s="92"/>
      <c r="S2206" s="92"/>
      <c r="T2206" s="92"/>
      <c r="U2206" s="92"/>
      <c r="V2206" s="92"/>
      <c r="W2206" s="92"/>
      <c r="X2206" s="92"/>
      <c r="Y2206" s="92"/>
      <c r="Z2206" s="92"/>
      <c r="AA2206" s="92"/>
      <c r="AB2206" s="92"/>
      <c r="AC2206" s="92"/>
      <c r="AD2206" s="92"/>
      <c r="AE2206" s="92"/>
      <c r="AF2206" s="92"/>
      <c r="AG2206" s="92"/>
    </row>
    <row r="2207">
      <c r="A2207" s="262"/>
      <c r="B2207" s="354"/>
      <c r="C2207" s="355"/>
      <c r="D2207" s="97"/>
      <c r="E2207" s="98"/>
      <c r="F2207" s="98"/>
      <c r="G2207" s="41"/>
      <c r="H2207" s="98"/>
      <c r="I2207" s="98"/>
      <c r="J2207" s="98"/>
      <c r="K2207" s="91"/>
      <c r="L2207" s="91"/>
      <c r="M2207" s="91"/>
      <c r="N2207" s="96" t="b">
        <v>0</v>
      </c>
      <c r="O2207" s="96" t="b">
        <v>0</v>
      </c>
      <c r="P2207" s="92"/>
      <c r="Q2207" s="92"/>
      <c r="R2207" s="92"/>
      <c r="S2207" s="92"/>
      <c r="T2207" s="92"/>
      <c r="U2207" s="92"/>
      <c r="V2207" s="92"/>
      <c r="W2207" s="92"/>
      <c r="X2207" s="92"/>
      <c r="Y2207" s="92"/>
      <c r="Z2207" s="92"/>
      <c r="AA2207" s="92"/>
      <c r="AB2207" s="92"/>
      <c r="AC2207" s="92"/>
      <c r="AD2207" s="92"/>
      <c r="AE2207" s="92"/>
      <c r="AF2207" s="92"/>
      <c r="AG2207" s="92"/>
    </row>
    <row r="2208">
      <c r="A2208" s="262"/>
      <c r="B2208" s="354"/>
      <c r="C2208" s="355"/>
      <c r="D2208" s="97"/>
      <c r="E2208" s="98"/>
      <c r="F2208" s="98"/>
      <c r="G2208" s="41"/>
      <c r="H2208" s="98"/>
      <c r="I2208" s="98"/>
      <c r="J2208" s="98"/>
      <c r="K2208" s="91"/>
      <c r="L2208" s="91"/>
      <c r="M2208" s="91"/>
      <c r="N2208" s="96" t="b">
        <v>0</v>
      </c>
      <c r="O2208" s="96" t="b">
        <v>0</v>
      </c>
      <c r="P2208" s="92"/>
      <c r="Q2208" s="92"/>
      <c r="R2208" s="92"/>
      <c r="S2208" s="92"/>
      <c r="T2208" s="92"/>
      <c r="U2208" s="92"/>
      <c r="V2208" s="92"/>
      <c r="W2208" s="92"/>
      <c r="X2208" s="92"/>
      <c r="Y2208" s="92"/>
      <c r="Z2208" s="92"/>
      <c r="AA2208" s="92"/>
      <c r="AB2208" s="92"/>
      <c r="AC2208" s="92"/>
      <c r="AD2208" s="92"/>
      <c r="AE2208" s="92"/>
      <c r="AF2208" s="92"/>
      <c r="AG2208" s="92"/>
    </row>
    <row r="2209">
      <c r="A2209" s="262"/>
      <c r="B2209" s="354"/>
      <c r="C2209" s="355"/>
      <c r="D2209" s="97"/>
      <c r="E2209" s="98"/>
      <c r="F2209" s="98"/>
      <c r="G2209" s="41"/>
      <c r="H2209" s="98"/>
      <c r="I2209" s="98"/>
      <c r="J2209" s="98"/>
      <c r="K2209" s="91"/>
      <c r="L2209" s="91"/>
      <c r="M2209" s="91"/>
      <c r="N2209" s="96" t="b">
        <v>0</v>
      </c>
      <c r="O2209" s="96" t="b">
        <v>0</v>
      </c>
      <c r="P2209" s="92"/>
      <c r="Q2209" s="92"/>
      <c r="R2209" s="92"/>
      <c r="S2209" s="92"/>
      <c r="T2209" s="92"/>
      <c r="U2209" s="92"/>
      <c r="V2209" s="92"/>
      <c r="W2209" s="92"/>
      <c r="X2209" s="92"/>
      <c r="Y2209" s="92"/>
      <c r="Z2209" s="92"/>
      <c r="AA2209" s="92"/>
      <c r="AB2209" s="92"/>
      <c r="AC2209" s="92"/>
      <c r="AD2209" s="92"/>
      <c r="AE2209" s="92"/>
      <c r="AF2209" s="92"/>
      <c r="AG2209" s="92"/>
    </row>
    <row r="2210">
      <c r="A2210" s="262"/>
      <c r="B2210" s="354"/>
      <c r="C2210" s="355"/>
      <c r="D2210" s="97"/>
      <c r="E2210" s="98"/>
      <c r="F2210" s="98"/>
      <c r="G2210" s="41"/>
      <c r="H2210" s="98"/>
      <c r="I2210" s="98"/>
      <c r="J2210" s="98"/>
      <c r="K2210" s="91"/>
      <c r="L2210" s="91"/>
      <c r="M2210" s="91"/>
      <c r="N2210" s="96" t="b">
        <v>0</v>
      </c>
      <c r="O2210" s="96" t="b">
        <v>0</v>
      </c>
      <c r="P2210" s="92"/>
      <c r="Q2210" s="92"/>
      <c r="R2210" s="92"/>
      <c r="S2210" s="92"/>
      <c r="T2210" s="92"/>
      <c r="U2210" s="92"/>
      <c r="V2210" s="92"/>
      <c r="W2210" s="92"/>
      <c r="X2210" s="92"/>
      <c r="Y2210" s="92"/>
      <c r="Z2210" s="92"/>
      <c r="AA2210" s="92"/>
      <c r="AB2210" s="92"/>
      <c r="AC2210" s="92"/>
      <c r="AD2210" s="92"/>
      <c r="AE2210" s="92"/>
      <c r="AF2210" s="92"/>
      <c r="AG2210" s="92"/>
    </row>
    <row r="2211">
      <c r="A2211" s="262"/>
      <c r="B2211" s="354"/>
      <c r="C2211" s="355"/>
      <c r="D2211" s="97"/>
      <c r="E2211" s="98"/>
      <c r="F2211" s="98"/>
      <c r="G2211" s="41"/>
      <c r="H2211" s="98"/>
      <c r="I2211" s="98"/>
      <c r="J2211" s="98"/>
      <c r="K2211" s="91"/>
      <c r="L2211" s="91"/>
      <c r="M2211" s="91"/>
      <c r="N2211" s="96" t="b">
        <v>0</v>
      </c>
      <c r="O2211" s="96" t="b">
        <v>0</v>
      </c>
      <c r="P2211" s="92"/>
      <c r="Q2211" s="92"/>
      <c r="R2211" s="92"/>
      <c r="S2211" s="92"/>
      <c r="T2211" s="92"/>
      <c r="U2211" s="92"/>
      <c r="V2211" s="92"/>
      <c r="W2211" s="92"/>
      <c r="X2211" s="92"/>
      <c r="Y2211" s="92"/>
      <c r="Z2211" s="92"/>
      <c r="AA2211" s="92"/>
      <c r="AB2211" s="92"/>
      <c r="AC2211" s="92"/>
      <c r="AD2211" s="92"/>
      <c r="AE2211" s="92"/>
      <c r="AF2211" s="92"/>
      <c r="AG2211" s="92"/>
    </row>
    <row r="2212">
      <c r="A2212" s="262"/>
      <c r="B2212" s="354"/>
      <c r="C2212" s="355"/>
      <c r="D2212" s="97"/>
      <c r="E2212" s="98"/>
      <c r="F2212" s="98"/>
      <c r="G2212" s="41"/>
      <c r="H2212" s="98"/>
      <c r="I2212" s="98"/>
      <c r="J2212" s="98"/>
      <c r="K2212" s="91"/>
      <c r="L2212" s="91"/>
      <c r="M2212" s="91"/>
      <c r="N2212" s="96" t="b">
        <v>0</v>
      </c>
      <c r="O2212" s="96" t="b">
        <v>0</v>
      </c>
      <c r="P2212" s="92"/>
      <c r="Q2212" s="92"/>
      <c r="R2212" s="92"/>
      <c r="S2212" s="92"/>
      <c r="T2212" s="92"/>
      <c r="U2212" s="92"/>
      <c r="V2212" s="92"/>
      <c r="W2212" s="92"/>
      <c r="X2212" s="92"/>
      <c r="Y2212" s="92"/>
      <c r="Z2212" s="92"/>
      <c r="AA2212" s="92"/>
      <c r="AB2212" s="92"/>
      <c r="AC2212" s="92"/>
      <c r="AD2212" s="92"/>
      <c r="AE2212" s="92"/>
      <c r="AF2212" s="92"/>
      <c r="AG2212" s="92"/>
    </row>
    <row r="2213">
      <c r="A2213" s="262"/>
      <c r="B2213" s="354"/>
      <c r="C2213" s="355"/>
      <c r="D2213" s="97"/>
      <c r="E2213" s="98"/>
      <c r="F2213" s="98"/>
      <c r="G2213" s="41"/>
      <c r="H2213" s="98"/>
      <c r="I2213" s="98"/>
      <c r="J2213" s="98"/>
      <c r="K2213" s="91"/>
      <c r="L2213" s="91"/>
      <c r="M2213" s="91"/>
      <c r="N2213" s="96" t="b">
        <v>0</v>
      </c>
      <c r="O2213" s="96" t="b">
        <v>0</v>
      </c>
      <c r="P2213" s="92"/>
      <c r="Q2213" s="92"/>
      <c r="R2213" s="92"/>
      <c r="S2213" s="92"/>
      <c r="T2213" s="92"/>
      <c r="U2213" s="92"/>
      <c r="V2213" s="92"/>
      <c r="W2213" s="92"/>
      <c r="X2213" s="92"/>
      <c r="Y2213" s="92"/>
      <c r="Z2213" s="92"/>
      <c r="AA2213" s="92"/>
      <c r="AB2213" s="92"/>
      <c r="AC2213" s="92"/>
      <c r="AD2213" s="92"/>
      <c r="AE2213" s="92"/>
      <c r="AF2213" s="92"/>
      <c r="AG2213" s="92"/>
    </row>
    <row r="2214">
      <c r="A2214" s="262"/>
      <c r="B2214" s="354"/>
      <c r="C2214" s="355"/>
      <c r="D2214" s="97"/>
      <c r="E2214" s="98"/>
      <c r="F2214" s="98"/>
      <c r="G2214" s="41"/>
      <c r="H2214" s="98"/>
      <c r="I2214" s="98"/>
      <c r="J2214" s="98"/>
      <c r="K2214" s="91"/>
      <c r="L2214" s="91"/>
      <c r="M2214" s="91"/>
      <c r="N2214" s="96" t="b">
        <v>0</v>
      </c>
      <c r="O2214" s="96" t="b">
        <v>0</v>
      </c>
      <c r="P2214" s="92"/>
      <c r="Q2214" s="92"/>
      <c r="R2214" s="92"/>
      <c r="S2214" s="92"/>
      <c r="T2214" s="92"/>
      <c r="U2214" s="92"/>
      <c r="V2214" s="92"/>
      <c r="W2214" s="92"/>
      <c r="X2214" s="92"/>
      <c r="Y2214" s="92"/>
      <c r="Z2214" s="92"/>
      <c r="AA2214" s="92"/>
      <c r="AB2214" s="92"/>
      <c r="AC2214" s="92"/>
      <c r="AD2214" s="92"/>
      <c r="AE2214" s="92"/>
      <c r="AF2214" s="92"/>
      <c r="AG2214" s="92"/>
    </row>
    <row r="2215">
      <c r="A2215" s="262"/>
      <c r="B2215" s="354"/>
      <c r="C2215" s="355"/>
      <c r="D2215" s="97"/>
      <c r="E2215" s="98"/>
      <c r="F2215" s="98"/>
      <c r="G2215" s="41"/>
      <c r="H2215" s="98"/>
      <c r="I2215" s="98"/>
      <c r="J2215" s="98"/>
      <c r="K2215" s="91"/>
      <c r="L2215" s="91"/>
      <c r="M2215" s="91"/>
      <c r="N2215" s="96" t="b">
        <v>0</v>
      </c>
      <c r="O2215" s="96" t="b">
        <v>0</v>
      </c>
      <c r="P2215" s="92"/>
      <c r="Q2215" s="92"/>
      <c r="R2215" s="92"/>
      <c r="S2215" s="92"/>
      <c r="T2215" s="92"/>
      <c r="U2215" s="92"/>
      <c r="V2215" s="92"/>
      <c r="W2215" s="92"/>
      <c r="X2215" s="92"/>
      <c r="Y2215" s="92"/>
      <c r="Z2215" s="92"/>
      <c r="AA2215" s="92"/>
      <c r="AB2215" s="92"/>
      <c r="AC2215" s="92"/>
      <c r="AD2215" s="92"/>
      <c r="AE2215" s="92"/>
      <c r="AF2215" s="92"/>
      <c r="AG2215" s="92"/>
    </row>
    <row r="2216">
      <c r="A2216" s="262"/>
      <c r="B2216" s="354"/>
      <c r="C2216" s="355"/>
      <c r="D2216" s="97"/>
      <c r="E2216" s="98"/>
      <c r="F2216" s="98"/>
      <c r="G2216" s="41"/>
      <c r="H2216" s="98"/>
      <c r="I2216" s="98"/>
      <c r="J2216" s="98"/>
      <c r="K2216" s="91"/>
      <c r="L2216" s="91"/>
      <c r="M2216" s="91"/>
      <c r="N2216" s="96" t="b">
        <v>0</v>
      </c>
      <c r="O2216" s="96" t="b">
        <v>0</v>
      </c>
      <c r="P2216" s="92"/>
      <c r="Q2216" s="92"/>
      <c r="R2216" s="92"/>
      <c r="S2216" s="92"/>
      <c r="T2216" s="92"/>
      <c r="U2216" s="92"/>
      <c r="V2216" s="92"/>
      <c r="W2216" s="92"/>
      <c r="X2216" s="92"/>
      <c r="Y2216" s="92"/>
      <c r="Z2216" s="92"/>
      <c r="AA2216" s="92"/>
      <c r="AB2216" s="92"/>
      <c r="AC2216" s="92"/>
      <c r="AD2216" s="92"/>
      <c r="AE2216" s="92"/>
      <c r="AF2216" s="92"/>
      <c r="AG2216" s="92"/>
    </row>
    <row r="2217">
      <c r="A2217" s="262"/>
      <c r="B2217" s="354"/>
      <c r="C2217" s="355"/>
      <c r="D2217" s="97"/>
      <c r="E2217" s="98"/>
      <c r="F2217" s="98"/>
      <c r="G2217" s="41"/>
      <c r="H2217" s="98"/>
      <c r="I2217" s="98"/>
      <c r="J2217" s="98"/>
      <c r="K2217" s="91"/>
      <c r="L2217" s="91"/>
      <c r="M2217" s="91"/>
      <c r="N2217" s="96" t="b">
        <v>0</v>
      </c>
      <c r="O2217" s="96" t="b">
        <v>0</v>
      </c>
      <c r="P2217" s="92"/>
      <c r="Q2217" s="92"/>
      <c r="R2217" s="92"/>
      <c r="S2217" s="92"/>
      <c r="T2217" s="92"/>
      <c r="U2217" s="92"/>
      <c r="V2217" s="92"/>
      <c r="W2217" s="92"/>
      <c r="X2217" s="92"/>
      <c r="Y2217" s="92"/>
      <c r="Z2217" s="92"/>
      <c r="AA2217" s="92"/>
      <c r="AB2217" s="92"/>
      <c r="AC2217" s="92"/>
      <c r="AD2217" s="92"/>
      <c r="AE2217" s="92"/>
      <c r="AF2217" s="92"/>
      <c r="AG2217" s="92"/>
    </row>
    <row r="2218">
      <c r="A2218" s="262"/>
      <c r="B2218" s="354"/>
      <c r="C2218" s="355"/>
      <c r="D2218" s="97"/>
      <c r="E2218" s="98"/>
      <c r="F2218" s="98"/>
      <c r="G2218" s="41"/>
      <c r="H2218" s="98"/>
      <c r="I2218" s="98"/>
      <c r="J2218" s="98"/>
      <c r="K2218" s="91"/>
      <c r="L2218" s="91"/>
      <c r="M2218" s="91"/>
      <c r="N2218" s="96" t="b">
        <v>0</v>
      </c>
      <c r="O2218" s="96" t="b">
        <v>0</v>
      </c>
      <c r="P2218" s="92"/>
      <c r="Q2218" s="92"/>
      <c r="R2218" s="92"/>
      <c r="S2218" s="92"/>
      <c r="T2218" s="92"/>
      <c r="U2218" s="92"/>
      <c r="V2218" s="92"/>
      <c r="W2218" s="92"/>
      <c r="X2218" s="92"/>
      <c r="Y2218" s="92"/>
      <c r="Z2218" s="92"/>
      <c r="AA2218" s="92"/>
      <c r="AB2218" s="92"/>
      <c r="AC2218" s="92"/>
      <c r="AD2218" s="92"/>
      <c r="AE2218" s="92"/>
      <c r="AF2218" s="92"/>
      <c r="AG2218" s="92"/>
    </row>
    <row r="2219">
      <c r="A2219" s="262"/>
      <c r="B2219" s="354"/>
      <c r="C2219" s="355"/>
      <c r="D2219" s="97"/>
      <c r="E2219" s="98"/>
      <c r="F2219" s="98"/>
      <c r="G2219" s="41"/>
      <c r="H2219" s="98"/>
      <c r="I2219" s="98"/>
      <c r="J2219" s="98"/>
      <c r="K2219" s="91"/>
      <c r="L2219" s="91"/>
      <c r="M2219" s="91"/>
      <c r="N2219" s="96" t="b">
        <v>0</v>
      </c>
      <c r="O2219" s="96" t="b">
        <v>0</v>
      </c>
      <c r="P2219" s="92"/>
      <c r="Q2219" s="92"/>
      <c r="R2219" s="92"/>
      <c r="S2219" s="92"/>
      <c r="T2219" s="92"/>
      <c r="U2219" s="92"/>
      <c r="V2219" s="92"/>
      <c r="W2219" s="92"/>
      <c r="X2219" s="92"/>
      <c r="Y2219" s="92"/>
      <c r="Z2219" s="92"/>
      <c r="AA2219" s="92"/>
      <c r="AB2219" s="92"/>
      <c r="AC2219" s="92"/>
      <c r="AD2219" s="92"/>
      <c r="AE2219" s="92"/>
      <c r="AF2219" s="92"/>
      <c r="AG2219" s="92"/>
    </row>
    <row r="2220">
      <c r="A2220" s="262"/>
      <c r="B2220" s="354"/>
      <c r="C2220" s="355"/>
      <c r="D2220" s="97"/>
      <c r="E2220" s="98"/>
      <c r="F2220" s="98"/>
      <c r="G2220" s="41"/>
      <c r="H2220" s="98"/>
      <c r="I2220" s="98"/>
      <c r="J2220" s="98"/>
      <c r="K2220" s="91"/>
      <c r="L2220" s="91"/>
      <c r="M2220" s="91"/>
      <c r="N2220" s="96" t="b">
        <v>0</v>
      </c>
      <c r="O2220" s="96" t="b">
        <v>0</v>
      </c>
      <c r="P2220" s="92"/>
      <c r="Q2220" s="92"/>
      <c r="R2220" s="92"/>
      <c r="S2220" s="92"/>
      <c r="T2220" s="92"/>
      <c r="U2220" s="92"/>
      <c r="V2220" s="92"/>
      <c r="W2220" s="92"/>
      <c r="X2220" s="92"/>
      <c r="Y2220" s="92"/>
      <c r="Z2220" s="92"/>
      <c r="AA2220" s="92"/>
      <c r="AB2220" s="92"/>
      <c r="AC2220" s="92"/>
      <c r="AD2220" s="92"/>
      <c r="AE2220" s="92"/>
      <c r="AF2220" s="92"/>
      <c r="AG2220" s="92"/>
    </row>
    <row r="2221">
      <c r="A2221" s="262"/>
      <c r="B2221" s="354"/>
      <c r="C2221" s="355"/>
      <c r="D2221" s="97"/>
      <c r="E2221" s="98"/>
      <c r="F2221" s="98"/>
      <c r="G2221" s="41"/>
      <c r="H2221" s="98"/>
      <c r="I2221" s="98"/>
      <c r="J2221" s="98"/>
      <c r="K2221" s="91"/>
      <c r="L2221" s="91"/>
      <c r="M2221" s="91"/>
      <c r="N2221" s="96" t="b">
        <v>0</v>
      </c>
      <c r="O2221" s="96" t="b">
        <v>0</v>
      </c>
      <c r="P2221" s="92"/>
      <c r="Q2221" s="92"/>
      <c r="R2221" s="92"/>
      <c r="S2221" s="92"/>
      <c r="T2221" s="92"/>
      <c r="U2221" s="92"/>
      <c r="V2221" s="92"/>
      <c r="W2221" s="92"/>
      <c r="X2221" s="92"/>
      <c r="Y2221" s="92"/>
      <c r="Z2221" s="92"/>
      <c r="AA2221" s="92"/>
      <c r="AB2221" s="92"/>
      <c r="AC2221" s="92"/>
      <c r="AD2221" s="92"/>
      <c r="AE2221" s="92"/>
      <c r="AF2221" s="92"/>
      <c r="AG2221" s="92"/>
    </row>
    <row r="2222">
      <c r="A2222" s="262"/>
      <c r="B2222" s="354"/>
      <c r="C2222" s="355"/>
      <c r="D2222" s="97"/>
      <c r="E2222" s="98"/>
      <c r="F2222" s="98"/>
      <c r="G2222" s="41"/>
      <c r="H2222" s="98"/>
      <c r="I2222" s="98"/>
      <c r="J2222" s="98"/>
      <c r="K2222" s="91"/>
      <c r="L2222" s="91"/>
      <c r="M2222" s="91"/>
      <c r="N2222" s="96" t="b">
        <v>0</v>
      </c>
      <c r="O2222" s="96" t="b">
        <v>0</v>
      </c>
      <c r="P2222" s="92"/>
      <c r="Q2222" s="92"/>
      <c r="R2222" s="92"/>
      <c r="S2222" s="92"/>
      <c r="T2222" s="92"/>
      <c r="U2222" s="92"/>
      <c r="V2222" s="92"/>
      <c r="W2222" s="92"/>
      <c r="X2222" s="92"/>
      <c r="Y2222" s="92"/>
      <c r="Z2222" s="92"/>
      <c r="AA2222" s="92"/>
      <c r="AB2222" s="92"/>
      <c r="AC2222" s="92"/>
      <c r="AD2222" s="92"/>
      <c r="AE2222" s="92"/>
      <c r="AF2222" s="92"/>
      <c r="AG2222" s="92"/>
    </row>
    <row r="2223">
      <c r="A2223" s="262"/>
      <c r="B2223" s="354"/>
      <c r="C2223" s="355"/>
      <c r="D2223" s="97"/>
      <c r="E2223" s="98"/>
      <c r="F2223" s="98"/>
      <c r="G2223" s="41"/>
      <c r="H2223" s="98"/>
      <c r="I2223" s="98"/>
      <c r="J2223" s="98"/>
      <c r="K2223" s="91"/>
      <c r="L2223" s="91"/>
      <c r="M2223" s="91"/>
      <c r="N2223" s="96" t="b">
        <v>0</v>
      </c>
      <c r="O2223" s="96" t="b">
        <v>0</v>
      </c>
      <c r="P2223" s="92"/>
      <c r="Q2223" s="92"/>
      <c r="R2223" s="92"/>
      <c r="S2223" s="92"/>
      <c r="T2223" s="92"/>
      <c r="U2223" s="92"/>
      <c r="V2223" s="92"/>
      <c r="W2223" s="92"/>
      <c r="X2223" s="92"/>
      <c r="Y2223" s="92"/>
      <c r="Z2223" s="92"/>
      <c r="AA2223" s="92"/>
      <c r="AB2223" s="92"/>
      <c r="AC2223" s="92"/>
      <c r="AD2223" s="92"/>
      <c r="AE2223" s="92"/>
      <c r="AF2223" s="92"/>
      <c r="AG2223" s="92"/>
    </row>
    <row r="2224">
      <c r="A2224" s="262"/>
      <c r="B2224" s="354"/>
      <c r="C2224" s="355"/>
      <c r="D2224" s="97"/>
      <c r="E2224" s="98"/>
      <c r="F2224" s="98"/>
      <c r="G2224" s="41"/>
      <c r="H2224" s="98"/>
      <c r="I2224" s="98"/>
      <c r="J2224" s="98"/>
      <c r="K2224" s="91"/>
      <c r="L2224" s="91"/>
      <c r="M2224" s="91"/>
      <c r="N2224" s="96" t="b">
        <v>0</v>
      </c>
      <c r="O2224" s="96" t="b">
        <v>0</v>
      </c>
      <c r="P2224" s="92"/>
      <c r="Q2224" s="92"/>
      <c r="R2224" s="92"/>
      <c r="S2224" s="92"/>
      <c r="T2224" s="92"/>
      <c r="U2224" s="92"/>
      <c r="V2224" s="92"/>
      <c r="W2224" s="92"/>
      <c r="X2224" s="92"/>
      <c r="Y2224" s="92"/>
      <c r="Z2224" s="92"/>
      <c r="AA2224" s="92"/>
      <c r="AB2224" s="92"/>
      <c r="AC2224" s="92"/>
      <c r="AD2224" s="92"/>
      <c r="AE2224" s="92"/>
      <c r="AF2224" s="92"/>
      <c r="AG2224" s="92"/>
    </row>
    <row r="2225">
      <c r="A2225" s="262"/>
      <c r="B2225" s="354"/>
      <c r="C2225" s="355"/>
      <c r="D2225" s="97"/>
      <c r="E2225" s="98"/>
      <c r="F2225" s="98"/>
      <c r="G2225" s="41"/>
      <c r="H2225" s="98"/>
      <c r="I2225" s="98"/>
      <c r="J2225" s="98"/>
      <c r="K2225" s="91"/>
      <c r="L2225" s="91"/>
      <c r="M2225" s="91"/>
      <c r="N2225" s="96" t="b">
        <v>0</v>
      </c>
      <c r="O2225" s="96" t="b">
        <v>0</v>
      </c>
      <c r="P2225" s="92"/>
      <c r="Q2225" s="92"/>
      <c r="R2225" s="92"/>
      <c r="S2225" s="92"/>
      <c r="T2225" s="92"/>
      <c r="U2225" s="92"/>
      <c r="V2225" s="92"/>
      <c r="W2225" s="92"/>
      <c r="X2225" s="92"/>
      <c r="Y2225" s="92"/>
      <c r="Z2225" s="92"/>
      <c r="AA2225" s="92"/>
      <c r="AB2225" s="92"/>
      <c r="AC2225" s="92"/>
      <c r="AD2225" s="92"/>
      <c r="AE2225" s="92"/>
      <c r="AF2225" s="92"/>
      <c r="AG2225" s="92"/>
    </row>
    <row r="2226">
      <c r="A2226" s="262"/>
      <c r="B2226" s="354"/>
      <c r="C2226" s="355"/>
      <c r="D2226" s="97"/>
      <c r="E2226" s="98"/>
      <c r="F2226" s="98"/>
      <c r="G2226" s="41"/>
      <c r="H2226" s="98"/>
      <c r="I2226" s="98"/>
      <c r="J2226" s="98"/>
      <c r="K2226" s="91"/>
      <c r="L2226" s="91"/>
      <c r="M2226" s="91"/>
      <c r="N2226" s="96" t="b">
        <v>0</v>
      </c>
      <c r="O2226" s="96" t="b">
        <v>0</v>
      </c>
      <c r="P2226" s="92"/>
      <c r="Q2226" s="92"/>
      <c r="R2226" s="92"/>
      <c r="S2226" s="92"/>
      <c r="T2226" s="92"/>
      <c r="U2226" s="92"/>
      <c r="V2226" s="92"/>
      <c r="W2226" s="92"/>
      <c r="X2226" s="92"/>
      <c r="Y2226" s="92"/>
      <c r="Z2226" s="92"/>
      <c r="AA2226" s="92"/>
      <c r="AB2226" s="92"/>
      <c r="AC2226" s="92"/>
      <c r="AD2226" s="92"/>
      <c r="AE2226" s="92"/>
      <c r="AF2226" s="92"/>
      <c r="AG2226" s="92"/>
    </row>
    <row r="2227">
      <c r="A2227" s="262"/>
      <c r="B2227" s="354"/>
      <c r="C2227" s="355"/>
      <c r="D2227" s="97"/>
      <c r="E2227" s="98"/>
      <c r="F2227" s="98"/>
      <c r="G2227" s="41"/>
      <c r="H2227" s="98"/>
      <c r="I2227" s="98"/>
      <c r="J2227" s="98"/>
      <c r="K2227" s="91"/>
      <c r="L2227" s="91"/>
      <c r="M2227" s="91"/>
      <c r="N2227" s="96" t="b">
        <v>0</v>
      </c>
      <c r="O2227" s="96" t="b">
        <v>0</v>
      </c>
      <c r="P2227" s="92"/>
      <c r="Q2227" s="92"/>
      <c r="R2227" s="92"/>
      <c r="S2227" s="92"/>
      <c r="T2227" s="92"/>
      <c r="U2227" s="92"/>
      <c r="V2227" s="92"/>
      <c r="W2227" s="92"/>
      <c r="X2227" s="92"/>
      <c r="Y2227" s="92"/>
      <c r="Z2227" s="92"/>
      <c r="AA2227" s="92"/>
      <c r="AB2227" s="92"/>
      <c r="AC2227" s="92"/>
      <c r="AD2227" s="92"/>
      <c r="AE2227" s="92"/>
      <c r="AF2227" s="92"/>
      <c r="AG2227" s="92"/>
    </row>
    <row r="2228">
      <c r="A2228" s="262"/>
      <c r="B2228" s="354"/>
      <c r="C2228" s="355"/>
      <c r="D2228" s="97"/>
      <c r="E2228" s="98"/>
      <c r="F2228" s="98"/>
      <c r="G2228" s="41"/>
      <c r="H2228" s="98"/>
      <c r="I2228" s="98"/>
      <c r="J2228" s="98"/>
      <c r="K2228" s="91"/>
      <c r="L2228" s="91"/>
      <c r="M2228" s="91"/>
      <c r="N2228" s="96" t="b">
        <v>0</v>
      </c>
      <c r="O2228" s="96" t="b">
        <v>0</v>
      </c>
      <c r="P2228" s="92"/>
      <c r="Q2228" s="92"/>
      <c r="R2228" s="92"/>
      <c r="S2228" s="92"/>
      <c r="T2228" s="92"/>
      <c r="U2228" s="92"/>
      <c r="V2228" s="92"/>
      <c r="W2228" s="92"/>
      <c r="X2228" s="92"/>
      <c r="Y2228" s="92"/>
      <c r="Z2228" s="92"/>
      <c r="AA2228" s="92"/>
      <c r="AB2228" s="92"/>
      <c r="AC2228" s="92"/>
      <c r="AD2228" s="92"/>
      <c r="AE2228" s="92"/>
      <c r="AF2228" s="92"/>
      <c r="AG2228" s="92"/>
    </row>
    <row r="2229">
      <c r="A2229" s="262"/>
      <c r="B2229" s="354"/>
      <c r="C2229" s="355"/>
      <c r="D2229" s="97"/>
      <c r="E2229" s="98"/>
      <c r="F2229" s="98"/>
      <c r="G2229" s="41"/>
      <c r="H2229" s="98"/>
      <c r="I2229" s="98"/>
      <c r="J2229" s="98"/>
      <c r="K2229" s="91"/>
      <c r="L2229" s="91"/>
      <c r="M2229" s="91"/>
      <c r="N2229" s="96" t="b">
        <v>0</v>
      </c>
      <c r="O2229" s="96" t="b">
        <v>0</v>
      </c>
      <c r="P2229" s="92"/>
      <c r="Q2229" s="92"/>
      <c r="R2229" s="92"/>
      <c r="S2229" s="92"/>
      <c r="T2229" s="92"/>
      <c r="U2229" s="92"/>
      <c r="V2229" s="92"/>
      <c r="W2229" s="92"/>
      <c r="X2229" s="92"/>
      <c r="Y2229" s="92"/>
      <c r="Z2229" s="92"/>
      <c r="AA2229" s="92"/>
      <c r="AB2229" s="92"/>
      <c r="AC2229" s="92"/>
      <c r="AD2229" s="92"/>
      <c r="AE2229" s="92"/>
      <c r="AF2229" s="92"/>
      <c r="AG2229" s="92"/>
    </row>
    <row r="2230">
      <c r="A2230" s="262"/>
      <c r="B2230" s="354"/>
      <c r="C2230" s="355"/>
      <c r="D2230" s="97"/>
      <c r="E2230" s="98"/>
      <c r="F2230" s="98"/>
      <c r="G2230" s="41"/>
      <c r="H2230" s="98"/>
      <c r="I2230" s="98"/>
      <c r="J2230" s="98"/>
      <c r="K2230" s="91"/>
      <c r="L2230" s="91"/>
      <c r="M2230" s="91"/>
      <c r="N2230" s="96" t="b">
        <v>0</v>
      </c>
      <c r="O2230" s="96" t="b">
        <v>0</v>
      </c>
      <c r="P2230" s="92"/>
      <c r="Q2230" s="92"/>
      <c r="R2230" s="92"/>
      <c r="S2230" s="92"/>
      <c r="T2230" s="92"/>
      <c r="U2230" s="92"/>
      <c r="V2230" s="92"/>
      <c r="W2230" s="92"/>
      <c r="X2230" s="92"/>
      <c r="Y2230" s="92"/>
      <c r="Z2230" s="92"/>
      <c r="AA2230" s="92"/>
      <c r="AB2230" s="92"/>
      <c r="AC2230" s="92"/>
      <c r="AD2230" s="92"/>
      <c r="AE2230" s="92"/>
      <c r="AF2230" s="92"/>
      <c r="AG2230" s="92"/>
    </row>
    <row r="2231">
      <c r="A2231" s="262"/>
      <c r="B2231" s="354"/>
      <c r="C2231" s="355"/>
      <c r="D2231" s="97"/>
      <c r="E2231" s="98"/>
      <c r="F2231" s="98"/>
      <c r="G2231" s="41"/>
      <c r="H2231" s="98"/>
      <c r="I2231" s="98"/>
      <c r="J2231" s="98"/>
      <c r="K2231" s="91"/>
      <c r="L2231" s="91"/>
      <c r="M2231" s="91"/>
      <c r="N2231" s="96" t="b">
        <v>0</v>
      </c>
      <c r="O2231" s="96" t="b">
        <v>0</v>
      </c>
      <c r="P2231" s="92"/>
      <c r="Q2231" s="92"/>
      <c r="R2231" s="92"/>
      <c r="S2231" s="92"/>
      <c r="T2231" s="92"/>
      <c r="U2231" s="92"/>
      <c r="V2231" s="92"/>
      <c r="W2231" s="92"/>
      <c r="X2231" s="92"/>
      <c r="Y2231" s="92"/>
      <c r="Z2231" s="92"/>
      <c r="AA2231" s="92"/>
      <c r="AB2231" s="92"/>
      <c r="AC2231" s="92"/>
      <c r="AD2231" s="92"/>
      <c r="AE2231" s="92"/>
      <c r="AF2231" s="92"/>
      <c r="AG2231" s="92"/>
    </row>
    <row r="2232">
      <c r="A2232" s="262"/>
      <c r="B2232" s="354"/>
      <c r="C2232" s="355"/>
      <c r="D2232" s="97"/>
      <c r="E2232" s="98"/>
      <c r="F2232" s="98"/>
      <c r="G2232" s="41"/>
      <c r="H2232" s="98"/>
      <c r="I2232" s="98"/>
      <c r="J2232" s="98"/>
      <c r="K2232" s="91"/>
      <c r="L2232" s="91"/>
      <c r="M2232" s="91"/>
      <c r="N2232" s="96" t="b">
        <v>0</v>
      </c>
      <c r="O2232" s="96" t="b">
        <v>0</v>
      </c>
      <c r="P2232" s="92"/>
      <c r="Q2232" s="92"/>
      <c r="R2232" s="92"/>
      <c r="S2232" s="92"/>
      <c r="T2232" s="92"/>
      <c r="U2232" s="92"/>
      <c r="V2232" s="92"/>
      <c r="W2232" s="92"/>
      <c r="X2232" s="92"/>
      <c r="Y2232" s="92"/>
      <c r="Z2232" s="92"/>
      <c r="AA2232" s="92"/>
      <c r="AB2232" s="92"/>
      <c r="AC2232" s="92"/>
      <c r="AD2232" s="92"/>
      <c r="AE2232" s="92"/>
      <c r="AF2232" s="92"/>
      <c r="AG2232" s="92"/>
    </row>
    <row r="2233">
      <c r="A2233" s="262"/>
      <c r="B2233" s="354"/>
      <c r="C2233" s="355"/>
      <c r="D2233" s="97"/>
      <c r="E2233" s="98"/>
      <c r="F2233" s="98"/>
      <c r="G2233" s="41"/>
      <c r="H2233" s="98"/>
      <c r="I2233" s="98"/>
      <c r="J2233" s="98"/>
      <c r="K2233" s="91"/>
      <c r="L2233" s="91"/>
      <c r="M2233" s="91"/>
      <c r="N2233" s="96" t="b">
        <v>0</v>
      </c>
      <c r="O2233" s="96" t="b">
        <v>0</v>
      </c>
      <c r="P2233" s="92"/>
      <c r="Q2233" s="92"/>
      <c r="R2233" s="92"/>
      <c r="S2233" s="92"/>
      <c r="T2233" s="92"/>
      <c r="U2233" s="92"/>
      <c r="V2233" s="92"/>
      <c r="W2233" s="92"/>
      <c r="X2233" s="92"/>
      <c r="Y2233" s="92"/>
      <c r="Z2233" s="92"/>
      <c r="AA2233" s="92"/>
      <c r="AB2233" s="92"/>
      <c r="AC2233" s="92"/>
      <c r="AD2233" s="92"/>
      <c r="AE2233" s="92"/>
      <c r="AF2233" s="92"/>
      <c r="AG2233" s="92"/>
    </row>
    <row r="2234">
      <c r="A2234" s="262"/>
      <c r="B2234" s="354"/>
      <c r="C2234" s="355"/>
      <c r="D2234" s="97"/>
      <c r="E2234" s="98"/>
      <c r="F2234" s="98"/>
      <c r="G2234" s="41"/>
      <c r="H2234" s="98"/>
      <c r="I2234" s="98"/>
      <c r="J2234" s="98"/>
      <c r="K2234" s="91"/>
      <c r="L2234" s="91"/>
      <c r="M2234" s="91"/>
      <c r="N2234" s="96" t="b">
        <v>0</v>
      </c>
      <c r="O2234" s="96" t="b">
        <v>0</v>
      </c>
      <c r="P2234" s="92"/>
      <c r="Q2234" s="92"/>
      <c r="R2234" s="92"/>
      <c r="S2234" s="92"/>
      <c r="T2234" s="92"/>
      <c r="U2234" s="92"/>
      <c r="V2234" s="92"/>
      <c r="W2234" s="92"/>
      <c r="X2234" s="92"/>
      <c r="Y2234" s="92"/>
      <c r="Z2234" s="92"/>
      <c r="AA2234" s="92"/>
      <c r="AB2234" s="92"/>
      <c r="AC2234" s="92"/>
      <c r="AD2234" s="92"/>
      <c r="AE2234" s="92"/>
      <c r="AF2234" s="92"/>
      <c r="AG2234" s="92"/>
    </row>
    <row r="2235">
      <c r="A2235" s="262"/>
      <c r="B2235" s="354"/>
      <c r="C2235" s="355"/>
      <c r="D2235" s="97"/>
      <c r="E2235" s="98"/>
      <c r="F2235" s="98"/>
      <c r="G2235" s="41"/>
      <c r="H2235" s="98"/>
      <c r="I2235" s="98"/>
      <c r="J2235" s="98"/>
      <c r="K2235" s="91"/>
      <c r="L2235" s="91"/>
      <c r="M2235" s="91"/>
      <c r="N2235" s="96" t="b">
        <v>0</v>
      </c>
      <c r="O2235" s="96" t="b">
        <v>0</v>
      </c>
      <c r="P2235" s="92"/>
      <c r="Q2235" s="92"/>
      <c r="R2235" s="92"/>
      <c r="S2235" s="92"/>
      <c r="T2235" s="92"/>
      <c r="U2235" s="92"/>
      <c r="V2235" s="92"/>
      <c r="W2235" s="92"/>
      <c r="X2235" s="92"/>
      <c r="Y2235" s="92"/>
      <c r="Z2235" s="92"/>
      <c r="AA2235" s="92"/>
      <c r="AB2235" s="92"/>
      <c r="AC2235" s="92"/>
      <c r="AD2235" s="92"/>
      <c r="AE2235" s="92"/>
      <c r="AF2235" s="92"/>
      <c r="AG2235" s="92"/>
    </row>
    <row r="2236">
      <c r="A2236" s="262"/>
      <c r="B2236" s="354"/>
      <c r="C2236" s="355"/>
      <c r="D2236" s="97"/>
      <c r="E2236" s="98"/>
      <c r="F2236" s="98"/>
      <c r="G2236" s="41"/>
      <c r="H2236" s="98"/>
      <c r="I2236" s="98"/>
      <c r="J2236" s="98"/>
      <c r="K2236" s="91"/>
      <c r="L2236" s="91"/>
      <c r="M2236" s="91"/>
      <c r="N2236" s="96" t="b">
        <v>0</v>
      </c>
      <c r="O2236" s="96" t="b">
        <v>0</v>
      </c>
      <c r="P2236" s="92"/>
      <c r="Q2236" s="92"/>
      <c r="R2236" s="92"/>
      <c r="S2236" s="92"/>
      <c r="T2236" s="92"/>
      <c r="U2236" s="92"/>
      <c r="V2236" s="92"/>
      <c r="W2236" s="92"/>
      <c r="X2236" s="92"/>
      <c r="Y2236" s="92"/>
      <c r="Z2236" s="92"/>
      <c r="AA2236" s="92"/>
      <c r="AB2236" s="92"/>
      <c r="AC2236" s="92"/>
      <c r="AD2236" s="92"/>
      <c r="AE2236" s="92"/>
      <c r="AF2236" s="92"/>
      <c r="AG2236" s="92"/>
    </row>
    <row r="2237">
      <c r="A2237" s="262"/>
      <c r="B2237" s="354"/>
      <c r="C2237" s="355"/>
      <c r="D2237" s="97"/>
      <c r="E2237" s="98"/>
      <c r="F2237" s="98"/>
      <c r="G2237" s="41"/>
      <c r="H2237" s="98"/>
      <c r="I2237" s="98"/>
      <c r="J2237" s="98"/>
      <c r="K2237" s="91"/>
      <c r="L2237" s="91"/>
      <c r="M2237" s="91"/>
      <c r="N2237" s="96" t="b">
        <v>0</v>
      </c>
      <c r="O2237" s="96" t="b">
        <v>0</v>
      </c>
      <c r="P2237" s="92"/>
      <c r="Q2237" s="92"/>
      <c r="R2237" s="92"/>
      <c r="S2237" s="92"/>
      <c r="T2237" s="92"/>
      <c r="U2237" s="92"/>
      <c r="V2237" s="92"/>
      <c r="W2237" s="92"/>
      <c r="X2237" s="92"/>
      <c r="Y2237" s="92"/>
      <c r="Z2237" s="92"/>
      <c r="AA2237" s="92"/>
      <c r="AB2237" s="92"/>
      <c r="AC2237" s="92"/>
      <c r="AD2237" s="92"/>
      <c r="AE2237" s="92"/>
      <c r="AF2237" s="92"/>
      <c r="AG2237" s="92"/>
    </row>
    <row r="2238">
      <c r="A2238" s="262"/>
      <c r="B2238" s="354"/>
      <c r="C2238" s="355"/>
      <c r="D2238" s="97"/>
      <c r="E2238" s="98"/>
      <c r="F2238" s="98"/>
      <c r="G2238" s="41"/>
      <c r="H2238" s="98"/>
      <c r="I2238" s="98"/>
      <c r="J2238" s="98"/>
      <c r="K2238" s="91"/>
      <c r="L2238" s="91"/>
      <c r="M2238" s="91"/>
      <c r="N2238" s="96" t="b">
        <v>0</v>
      </c>
      <c r="O2238" s="96" t="b">
        <v>0</v>
      </c>
      <c r="P2238" s="92"/>
      <c r="Q2238" s="92"/>
      <c r="R2238" s="92"/>
      <c r="S2238" s="92"/>
      <c r="T2238" s="92"/>
      <c r="U2238" s="92"/>
      <c r="V2238" s="92"/>
      <c r="W2238" s="92"/>
      <c r="X2238" s="92"/>
      <c r="Y2238" s="92"/>
      <c r="Z2238" s="92"/>
      <c r="AA2238" s="92"/>
      <c r="AB2238" s="92"/>
      <c r="AC2238" s="92"/>
      <c r="AD2238" s="92"/>
      <c r="AE2238" s="92"/>
      <c r="AF2238" s="92"/>
      <c r="AG2238" s="92"/>
    </row>
    <row r="2239">
      <c r="A2239" s="262"/>
      <c r="B2239" s="354"/>
      <c r="C2239" s="355"/>
      <c r="D2239" s="97"/>
      <c r="E2239" s="98"/>
      <c r="F2239" s="98"/>
      <c r="G2239" s="41"/>
      <c r="H2239" s="98"/>
      <c r="I2239" s="98"/>
      <c r="J2239" s="98"/>
      <c r="K2239" s="91"/>
      <c r="L2239" s="91"/>
      <c r="M2239" s="91"/>
      <c r="N2239" s="96" t="b">
        <v>0</v>
      </c>
      <c r="O2239" s="96" t="b">
        <v>0</v>
      </c>
      <c r="P2239" s="92"/>
      <c r="Q2239" s="92"/>
      <c r="R2239" s="92"/>
      <c r="S2239" s="92"/>
      <c r="T2239" s="92"/>
      <c r="U2239" s="92"/>
      <c r="V2239" s="92"/>
      <c r="W2239" s="92"/>
      <c r="X2239" s="92"/>
      <c r="Y2239" s="92"/>
      <c r="Z2239" s="92"/>
      <c r="AA2239" s="92"/>
      <c r="AB2239" s="92"/>
      <c r="AC2239" s="92"/>
      <c r="AD2239" s="92"/>
      <c r="AE2239" s="92"/>
      <c r="AF2239" s="92"/>
      <c r="AG2239" s="92"/>
    </row>
    <row r="2240">
      <c r="A2240" s="262"/>
      <c r="B2240" s="354"/>
      <c r="C2240" s="355"/>
      <c r="D2240" s="97"/>
      <c r="E2240" s="98"/>
      <c r="F2240" s="98"/>
      <c r="G2240" s="41"/>
      <c r="H2240" s="98"/>
      <c r="I2240" s="98"/>
      <c r="J2240" s="98"/>
      <c r="K2240" s="91"/>
      <c r="L2240" s="91"/>
      <c r="M2240" s="91"/>
      <c r="N2240" s="96" t="b">
        <v>0</v>
      </c>
      <c r="O2240" s="96" t="b">
        <v>0</v>
      </c>
      <c r="P2240" s="92"/>
      <c r="Q2240" s="92"/>
      <c r="R2240" s="92"/>
      <c r="S2240" s="92"/>
      <c r="T2240" s="92"/>
      <c r="U2240" s="92"/>
      <c r="V2240" s="92"/>
      <c r="W2240" s="92"/>
      <c r="X2240" s="92"/>
      <c r="Y2240" s="92"/>
      <c r="Z2240" s="92"/>
      <c r="AA2240" s="92"/>
      <c r="AB2240" s="92"/>
      <c r="AC2240" s="92"/>
      <c r="AD2240" s="92"/>
      <c r="AE2240" s="92"/>
      <c r="AF2240" s="92"/>
      <c r="AG2240" s="92"/>
    </row>
    <row r="2241">
      <c r="A2241" s="262"/>
      <c r="B2241" s="354"/>
      <c r="C2241" s="355"/>
      <c r="D2241" s="97"/>
      <c r="E2241" s="98"/>
      <c r="F2241" s="98"/>
      <c r="G2241" s="41"/>
      <c r="H2241" s="98"/>
      <c r="I2241" s="98"/>
      <c r="J2241" s="98"/>
      <c r="K2241" s="91"/>
      <c r="L2241" s="91"/>
      <c r="M2241" s="91"/>
      <c r="N2241" s="96" t="b">
        <v>0</v>
      </c>
      <c r="O2241" s="96" t="b">
        <v>0</v>
      </c>
      <c r="P2241" s="92"/>
      <c r="Q2241" s="92"/>
      <c r="R2241" s="92"/>
      <c r="S2241" s="92"/>
      <c r="T2241" s="92"/>
      <c r="U2241" s="92"/>
      <c r="V2241" s="92"/>
      <c r="W2241" s="92"/>
      <c r="X2241" s="92"/>
      <c r="Y2241" s="92"/>
      <c r="Z2241" s="92"/>
      <c r="AA2241" s="92"/>
      <c r="AB2241" s="92"/>
      <c r="AC2241" s="92"/>
      <c r="AD2241" s="92"/>
      <c r="AE2241" s="92"/>
      <c r="AF2241" s="92"/>
      <c r="AG2241" s="92"/>
    </row>
    <row r="2242">
      <c r="A2242" s="262"/>
      <c r="B2242" s="354"/>
      <c r="C2242" s="355"/>
      <c r="D2242" s="97"/>
      <c r="E2242" s="98"/>
      <c r="F2242" s="98"/>
      <c r="G2242" s="41"/>
      <c r="H2242" s="98"/>
      <c r="I2242" s="98"/>
      <c r="J2242" s="98"/>
      <c r="K2242" s="91"/>
      <c r="L2242" s="91"/>
      <c r="M2242" s="91"/>
      <c r="N2242" s="96" t="b">
        <v>0</v>
      </c>
      <c r="O2242" s="96" t="b">
        <v>0</v>
      </c>
      <c r="P2242" s="92"/>
      <c r="Q2242" s="92"/>
      <c r="R2242" s="92"/>
      <c r="S2242" s="92"/>
      <c r="T2242" s="92"/>
      <c r="U2242" s="92"/>
      <c r="V2242" s="92"/>
      <c r="W2242" s="92"/>
      <c r="X2242" s="92"/>
      <c r="Y2242" s="92"/>
      <c r="Z2242" s="92"/>
      <c r="AA2242" s="92"/>
      <c r="AB2242" s="92"/>
      <c r="AC2242" s="92"/>
      <c r="AD2242" s="92"/>
      <c r="AE2242" s="92"/>
      <c r="AF2242" s="92"/>
      <c r="AG2242" s="92"/>
    </row>
    <row r="2243">
      <c r="A2243" s="262"/>
      <c r="B2243" s="354"/>
      <c r="C2243" s="355"/>
      <c r="D2243" s="97"/>
      <c r="E2243" s="98"/>
      <c r="F2243" s="98"/>
      <c r="G2243" s="41"/>
      <c r="H2243" s="98"/>
      <c r="I2243" s="98"/>
      <c r="J2243" s="98"/>
      <c r="K2243" s="91"/>
      <c r="L2243" s="91"/>
      <c r="M2243" s="91"/>
      <c r="N2243" s="96" t="b">
        <v>0</v>
      </c>
      <c r="O2243" s="96" t="b">
        <v>0</v>
      </c>
      <c r="P2243" s="92"/>
      <c r="Q2243" s="92"/>
      <c r="R2243" s="92"/>
      <c r="S2243" s="92"/>
      <c r="T2243" s="92"/>
      <c r="U2243" s="92"/>
      <c r="V2243" s="92"/>
      <c r="W2243" s="92"/>
      <c r="X2243" s="92"/>
      <c r="Y2243" s="92"/>
      <c r="Z2243" s="92"/>
      <c r="AA2243" s="92"/>
      <c r="AB2243" s="92"/>
      <c r="AC2243" s="92"/>
      <c r="AD2243" s="92"/>
      <c r="AE2243" s="92"/>
      <c r="AF2243" s="92"/>
      <c r="AG2243" s="92"/>
    </row>
    <row r="2244">
      <c r="A2244" s="262"/>
      <c r="B2244" s="354"/>
      <c r="C2244" s="355"/>
      <c r="D2244" s="97"/>
      <c r="E2244" s="98"/>
      <c r="F2244" s="98"/>
      <c r="G2244" s="41"/>
      <c r="H2244" s="98"/>
      <c r="I2244" s="98"/>
      <c r="J2244" s="98"/>
      <c r="K2244" s="91"/>
      <c r="L2244" s="91"/>
      <c r="M2244" s="91"/>
      <c r="N2244" s="96" t="b">
        <v>0</v>
      </c>
      <c r="O2244" s="96" t="b">
        <v>0</v>
      </c>
      <c r="P2244" s="92"/>
      <c r="Q2244" s="92"/>
      <c r="R2244" s="92"/>
      <c r="S2244" s="92"/>
      <c r="T2244" s="92"/>
      <c r="U2244" s="92"/>
      <c r="V2244" s="92"/>
      <c r="W2244" s="92"/>
      <c r="X2244" s="92"/>
      <c r="Y2244" s="92"/>
      <c r="Z2244" s="92"/>
      <c r="AA2244" s="92"/>
      <c r="AB2244" s="92"/>
      <c r="AC2244" s="92"/>
      <c r="AD2244" s="92"/>
      <c r="AE2244" s="92"/>
      <c r="AF2244" s="92"/>
      <c r="AG2244" s="92"/>
    </row>
    <row r="2245">
      <c r="A2245" s="262"/>
      <c r="B2245" s="354"/>
      <c r="C2245" s="355"/>
      <c r="D2245" s="97"/>
      <c r="E2245" s="98"/>
      <c r="F2245" s="98"/>
      <c r="G2245" s="41"/>
      <c r="H2245" s="98"/>
      <c r="I2245" s="98"/>
      <c r="J2245" s="98"/>
      <c r="K2245" s="91"/>
      <c r="L2245" s="91"/>
      <c r="M2245" s="91"/>
      <c r="N2245" s="96" t="b">
        <v>0</v>
      </c>
      <c r="O2245" s="96" t="b">
        <v>0</v>
      </c>
      <c r="P2245" s="92"/>
      <c r="Q2245" s="92"/>
      <c r="R2245" s="92"/>
      <c r="S2245" s="92"/>
      <c r="T2245" s="92"/>
      <c r="U2245" s="92"/>
      <c r="V2245" s="92"/>
      <c r="W2245" s="92"/>
      <c r="X2245" s="92"/>
      <c r="Y2245" s="92"/>
      <c r="Z2245" s="92"/>
      <c r="AA2245" s="92"/>
      <c r="AB2245" s="92"/>
      <c r="AC2245" s="92"/>
      <c r="AD2245" s="92"/>
      <c r="AE2245" s="92"/>
      <c r="AF2245" s="92"/>
      <c r="AG2245" s="92"/>
    </row>
    <row r="2246">
      <c r="A2246" s="262"/>
      <c r="B2246" s="354"/>
      <c r="C2246" s="355"/>
      <c r="D2246" s="97"/>
      <c r="E2246" s="98"/>
      <c r="F2246" s="98"/>
      <c r="G2246" s="41"/>
      <c r="H2246" s="98"/>
      <c r="I2246" s="98"/>
      <c r="J2246" s="98"/>
      <c r="K2246" s="91"/>
      <c r="L2246" s="91"/>
      <c r="M2246" s="91"/>
      <c r="N2246" s="96" t="b">
        <v>0</v>
      </c>
      <c r="O2246" s="96" t="b">
        <v>0</v>
      </c>
      <c r="P2246" s="92"/>
      <c r="Q2246" s="92"/>
      <c r="R2246" s="92"/>
      <c r="S2246" s="92"/>
      <c r="T2246" s="92"/>
      <c r="U2246" s="92"/>
      <c r="V2246" s="92"/>
      <c r="W2246" s="92"/>
      <c r="X2246" s="92"/>
      <c r="Y2246" s="92"/>
      <c r="Z2246" s="92"/>
      <c r="AA2246" s="92"/>
      <c r="AB2246" s="92"/>
      <c r="AC2246" s="92"/>
      <c r="AD2246" s="92"/>
      <c r="AE2246" s="92"/>
      <c r="AF2246" s="92"/>
      <c r="AG2246" s="92"/>
    </row>
    <row r="2247">
      <c r="A2247" s="262"/>
      <c r="B2247" s="354"/>
      <c r="C2247" s="355"/>
      <c r="D2247" s="97"/>
      <c r="E2247" s="98"/>
      <c r="F2247" s="98"/>
      <c r="G2247" s="41"/>
      <c r="H2247" s="98"/>
      <c r="I2247" s="98"/>
      <c r="J2247" s="98"/>
      <c r="K2247" s="91"/>
      <c r="L2247" s="91"/>
      <c r="M2247" s="91"/>
      <c r="N2247" s="96" t="b">
        <v>0</v>
      </c>
      <c r="O2247" s="96" t="b">
        <v>0</v>
      </c>
      <c r="P2247" s="92"/>
      <c r="Q2247" s="92"/>
      <c r="R2247" s="92"/>
      <c r="S2247" s="92"/>
      <c r="T2247" s="92"/>
      <c r="U2247" s="92"/>
      <c r="V2247" s="92"/>
      <c r="W2247" s="92"/>
      <c r="X2247" s="92"/>
      <c r="Y2247" s="92"/>
      <c r="Z2247" s="92"/>
      <c r="AA2247" s="92"/>
      <c r="AB2247" s="92"/>
      <c r="AC2247" s="92"/>
      <c r="AD2247" s="92"/>
      <c r="AE2247" s="92"/>
      <c r="AF2247" s="92"/>
      <c r="AG2247" s="92"/>
    </row>
    <row r="2248">
      <c r="A2248" s="262"/>
      <c r="B2248" s="354"/>
      <c r="C2248" s="355"/>
      <c r="D2248" s="97"/>
      <c r="E2248" s="98"/>
      <c r="F2248" s="98"/>
      <c r="G2248" s="41"/>
      <c r="H2248" s="98"/>
      <c r="I2248" s="98"/>
      <c r="J2248" s="98"/>
      <c r="K2248" s="91"/>
      <c r="L2248" s="91"/>
      <c r="M2248" s="91"/>
      <c r="N2248" s="96" t="b">
        <v>0</v>
      </c>
      <c r="O2248" s="96" t="b">
        <v>0</v>
      </c>
      <c r="P2248" s="92"/>
      <c r="Q2248" s="92"/>
      <c r="R2248" s="92"/>
      <c r="S2248" s="92"/>
      <c r="T2248" s="92"/>
      <c r="U2248" s="92"/>
      <c r="V2248" s="92"/>
      <c r="W2248" s="92"/>
      <c r="X2248" s="92"/>
      <c r="Y2248" s="92"/>
      <c r="Z2248" s="92"/>
      <c r="AA2248" s="92"/>
      <c r="AB2248" s="92"/>
      <c r="AC2248" s="92"/>
      <c r="AD2248" s="92"/>
      <c r="AE2248" s="92"/>
      <c r="AF2248" s="92"/>
      <c r="AG2248" s="92"/>
    </row>
    <row r="2249">
      <c r="A2249" s="262"/>
      <c r="B2249" s="354"/>
      <c r="C2249" s="355"/>
      <c r="D2249" s="97"/>
      <c r="E2249" s="98"/>
      <c r="F2249" s="98"/>
      <c r="G2249" s="41"/>
      <c r="H2249" s="98"/>
      <c r="I2249" s="98"/>
      <c r="J2249" s="98"/>
      <c r="K2249" s="91"/>
      <c r="L2249" s="91"/>
      <c r="M2249" s="91"/>
      <c r="N2249" s="96" t="b">
        <v>0</v>
      </c>
      <c r="O2249" s="96" t="b">
        <v>0</v>
      </c>
      <c r="P2249" s="92"/>
      <c r="Q2249" s="92"/>
      <c r="R2249" s="92"/>
      <c r="S2249" s="92"/>
      <c r="T2249" s="92"/>
      <c r="U2249" s="92"/>
      <c r="V2249" s="92"/>
      <c r="W2249" s="92"/>
      <c r="X2249" s="92"/>
      <c r="Y2249" s="92"/>
      <c r="Z2249" s="92"/>
      <c r="AA2249" s="92"/>
      <c r="AB2249" s="92"/>
      <c r="AC2249" s="92"/>
      <c r="AD2249" s="92"/>
      <c r="AE2249" s="92"/>
      <c r="AF2249" s="92"/>
      <c r="AG2249" s="92"/>
    </row>
    <row r="2250">
      <c r="A2250" s="262"/>
      <c r="B2250" s="354"/>
      <c r="C2250" s="355"/>
      <c r="D2250" s="97"/>
      <c r="E2250" s="98"/>
      <c r="F2250" s="98"/>
      <c r="G2250" s="41"/>
      <c r="H2250" s="98"/>
      <c r="I2250" s="98"/>
      <c r="J2250" s="98"/>
      <c r="K2250" s="91"/>
      <c r="L2250" s="91"/>
      <c r="M2250" s="91"/>
      <c r="N2250" s="96" t="b">
        <v>0</v>
      </c>
      <c r="O2250" s="96" t="b">
        <v>0</v>
      </c>
      <c r="P2250" s="92"/>
      <c r="Q2250" s="92"/>
      <c r="R2250" s="92"/>
      <c r="S2250" s="92"/>
      <c r="T2250" s="92"/>
      <c r="U2250" s="92"/>
      <c r="V2250" s="92"/>
      <c r="W2250" s="92"/>
      <c r="X2250" s="92"/>
      <c r="Y2250" s="92"/>
      <c r="Z2250" s="92"/>
      <c r="AA2250" s="92"/>
      <c r="AB2250" s="92"/>
      <c r="AC2250" s="92"/>
      <c r="AD2250" s="92"/>
      <c r="AE2250" s="92"/>
      <c r="AF2250" s="92"/>
      <c r="AG2250" s="92"/>
    </row>
    <row r="2251">
      <c r="A2251" s="262"/>
      <c r="B2251" s="354"/>
      <c r="C2251" s="355"/>
      <c r="D2251" s="97"/>
      <c r="E2251" s="98"/>
      <c r="F2251" s="98"/>
      <c r="G2251" s="41"/>
      <c r="H2251" s="98"/>
      <c r="I2251" s="98"/>
      <c r="J2251" s="98"/>
      <c r="K2251" s="91"/>
      <c r="L2251" s="91"/>
      <c r="M2251" s="91"/>
      <c r="N2251" s="96" t="b">
        <v>0</v>
      </c>
      <c r="O2251" s="96" t="b">
        <v>0</v>
      </c>
      <c r="P2251" s="92"/>
      <c r="Q2251" s="92"/>
      <c r="R2251" s="92"/>
      <c r="S2251" s="92"/>
      <c r="T2251" s="92"/>
      <c r="U2251" s="92"/>
      <c r="V2251" s="92"/>
      <c r="W2251" s="92"/>
      <c r="X2251" s="92"/>
      <c r="Y2251" s="92"/>
      <c r="Z2251" s="92"/>
      <c r="AA2251" s="92"/>
      <c r="AB2251" s="92"/>
      <c r="AC2251" s="92"/>
      <c r="AD2251" s="92"/>
      <c r="AE2251" s="92"/>
      <c r="AF2251" s="92"/>
      <c r="AG2251" s="92"/>
    </row>
    <row r="2252">
      <c r="A2252" s="262"/>
      <c r="B2252" s="354"/>
      <c r="C2252" s="355"/>
      <c r="D2252" s="97"/>
      <c r="E2252" s="98"/>
      <c r="F2252" s="98"/>
      <c r="G2252" s="41"/>
      <c r="H2252" s="98"/>
      <c r="I2252" s="98"/>
      <c r="J2252" s="98"/>
      <c r="K2252" s="91"/>
      <c r="L2252" s="91"/>
      <c r="M2252" s="91"/>
      <c r="N2252" s="96" t="b">
        <v>0</v>
      </c>
      <c r="O2252" s="96" t="b">
        <v>0</v>
      </c>
      <c r="P2252" s="92"/>
      <c r="Q2252" s="92"/>
      <c r="R2252" s="92"/>
      <c r="S2252" s="92"/>
      <c r="T2252" s="92"/>
      <c r="U2252" s="92"/>
      <c r="V2252" s="92"/>
      <c r="W2252" s="92"/>
      <c r="X2252" s="92"/>
      <c r="Y2252" s="92"/>
      <c r="Z2252" s="92"/>
      <c r="AA2252" s="92"/>
      <c r="AB2252" s="92"/>
      <c r="AC2252" s="92"/>
      <c r="AD2252" s="92"/>
      <c r="AE2252" s="92"/>
      <c r="AF2252" s="92"/>
      <c r="AG2252" s="92"/>
    </row>
    <row r="2253">
      <c r="A2253" s="262"/>
      <c r="B2253" s="354"/>
      <c r="C2253" s="355"/>
      <c r="D2253" s="97"/>
      <c r="E2253" s="98"/>
      <c r="F2253" s="98"/>
      <c r="G2253" s="41"/>
      <c r="H2253" s="98"/>
      <c r="I2253" s="98"/>
      <c r="J2253" s="98"/>
      <c r="K2253" s="91"/>
      <c r="L2253" s="91"/>
      <c r="M2253" s="91"/>
      <c r="N2253" s="96" t="b">
        <v>0</v>
      </c>
      <c r="O2253" s="96" t="b">
        <v>0</v>
      </c>
      <c r="P2253" s="92"/>
      <c r="Q2253" s="92"/>
      <c r="R2253" s="92"/>
      <c r="S2253" s="92"/>
      <c r="T2253" s="92"/>
      <c r="U2253" s="92"/>
      <c r="V2253" s="92"/>
      <c r="W2253" s="92"/>
      <c r="X2253" s="92"/>
      <c r="Y2253" s="92"/>
      <c r="Z2253" s="92"/>
      <c r="AA2253" s="92"/>
      <c r="AB2253" s="92"/>
      <c r="AC2253" s="92"/>
      <c r="AD2253" s="92"/>
      <c r="AE2253" s="92"/>
      <c r="AF2253" s="92"/>
      <c r="AG2253" s="92"/>
    </row>
    <row r="2254">
      <c r="A2254" s="262"/>
      <c r="B2254" s="354"/>
      <c r="C2254" s="355"/>
      <c r="D2254" s="97"/>
      <c r="E2254" s="98"/>
      <c r="F2254" s="98"/>
      <c r="G2254" s="41"/>
      <c r="H2254" s="98"/>
      <c r="I2254" s="98"/>
      <c r="J2254" s="98"/>
      <c r="K2254" s="91"/>
      <c r="L2254" s="91"/>
      <c r="M2254" s="91"/>
      <c r="N2254" s="96" t="b">
        <v>0</v>
      </c>
      <c r="O2254" s="96" t="b">
        <v>0</v>
      </c>
      <c r="P2254" s="92"/>
      <c r="Q2254" s="92"/>
      <c r="R2254" s="92"/>
      <c r="S2254" s="92"/>
      <c r="T2254" s="92"/>
      <c r="U2254" s="92"/>
      <c r="V2254" s="92"/>
      <c r="W2254" s="92"/>
      <c r="X2254" s="92"/>
      <c r="Y2254" s="92"/>
      <c r="Z2254" s="92"/>
      <c r="AA2254" s="92"/>
      <c r="AB2254" s="92"/>
      <c r="AC2254" s="92"/>
      <c r="AD2254" s="92"/>
      <c r="AE2254" s="92"/>
      <c r="AF2254" s="92"/>
      <c r="AG2254" s="92"/>
    </row>
    <row r="2255">
      <c r="A2255" s="262"/>
      <c r="B2255" s="354"/>
      <c r="C2255" s="355"/>
      <c r="D2255" s="97"/>
      <c r="E2255" s="98"/>
      <c r="F2255" s="98"/>
      <c r="G2255" s="41"/>
      <c r="H2255" s="98"/>
      <c r="I2255" s="98"/>
      <c r="J2255" s="98"/>
      <c r="K2255" s="91"/>
      <c r="L2255" s="91"/>
      <c r="M2255" s="91"/>
      <c r="N2255" s="96" t="b">
        <v>0</v>
      </c>
      <c r="O2255" s="96" t="b">
        <v>0</v>
      </c>
      <c r="P2255" s="92"/>
      <c r="Q2255" s="92"/>
      <c r="R2255" s="92"/>
      <c r="S2255" s="92"/>
      <c r="T2255" s="92"/>
      <c r="U2255" s="92"/>
      <c r="V2255" s="92"/>
      <c r="W2255" s="92"/>
      <c r="X2255" s="92"/>
      <c r="Y2255" s="92"/>
      <c r="Z2255" s="92"/>
      <c r="AA2255" s="92"/>
      <c r="AB2255" s="92"/>
      <c r="AC2255" s="92"/>
      <c r="AD2255" s="92"/>
      <c r="AE2255" s="92"/>
      <c r="AF2255" s="92"/>
      <c r="AG2255" s="92"/>
    </row>
    <row r="2256">
      <c r="A2256" s="262"/>
      <c r="B2256" s="354"/>
      <c r="C2256" s="355"/>
      <c r="D2256" s="97"/>
      <c r="E2256" s="98"/>
      <c r="F2256" s="98"/>
      <c r="G2256" s="41"/>
      <c r="H2256" s="98"/>
      <c r="I2256" s="98"/>
      <c r="J2256" s="98"/>
      <c r="K2256" s="91"/>
      <c r="L2256" s="91"/>
      <c r="M2256" s="91"/>
      <c r="N2256" s="96" t="b">
        <v>0</v>
      </c>
      <c r="O2256" s="96" t="b">
        <v>0</v>
      </c>
      <c r="P2256" s="92"/>
      <c r="Q2256" s="92"/>
      <c r="R2256" s="92"/>
      <c r="S2256" s="92"/>
      <c r="T2256" s="92"/>
      <c r="U2256" s="92"/>
      <c r="V2256" s="92"/>
      <c r="W2256" s="92"/>
      <c r="X2256" s="92"/>
      <c r="Y2256" s="92"/>
      <c r="Z2256" s="92"/>
      <c r="AA2256" s="92"/>
      <c r="AB2256" s="92"/>
      <c r="AC2256" s="92"/>
      <c r="AD2256" s="92"/>
      <c r="AE2256" s="92"/>
      <c r="AF2256" s="92"/>
      <c r="AG2256" s="92"/>
    </row>
    <row r="2257">
      <c r="A2257" s="262"/>
      <c r="B2257" s="354"/>
      <c r="C2257" s="355"/>
      <c r="D2257" s="97"/>
      <c r="E2257" s="98"/>
      <c r="F2257" s="98"/>
      <c r="G2257" s="41"/>
      <c r="H2257" s="98"/>
      <c r="I2257" s="98"/>
      <c r="J2257" s="98"/>
      <c r="K2257" s="91"/>
      <c r="L2257" s="91"/>
      <c r="M2257" s="91"/>
      <c r="N2257" s="96" t="b">
        <v>0</v>
      </c>
      <c r="O2257" s="96" t="b">
        <v>0</v>
      </c>
      <c r="P2257" s="92"/>
      <c r="Q2257" s="92"/>
      <c r="R2257" s="92"/>
      <c r="S2257" s="92"/>
      <c r="T2257" s="92"/>
      <c r="U2257" s="92"/>
      <c r="V2257" s="92"/>
      <c r="W2257" s="92"/>
      <c r="X2257" s="92"/>
      <c r="Y2257" s="92"/>
      <c r="Z2257" s="92"/>
      <c r="AA2257" s="92"/>
      <c r="AB2257" s="92"/>
      <c r="AC2257" s="92"/>
      <c r="AD2257" s="92"/>
      <c r="AE2257" s="92"/>
      <c r="AF2257" s="92"/>
      <c r="AG2257" s="92"/>
    </row>
    <row r="2258">
      <c r="A2258" s="262"/>
      <c r="B2258" s="354"/>
      <c r="C2258" s="355"/>
      <c r="D2258" s="97"/>
      <c r="E2258" s="98"/>
      <c r="F2258" s="98"/>
      <c r="G2258" s="41"/>
      <c r="H2258" s="98"/>
      <c r="I2258" s="98"/>
      <c r="J2258" s="98"/>
      <c r="K2258" s="91"/>
      <c r="L2258" s="91"/>
      <c r="M2258" s="91"/>
      <c r="N2258" s="96" t="b">
        <v>0</v>
      </c>
      <c r="O2258" s="96" t="b">
        <v>0</v>
      </c>
      <c r="P2258" s="92"/>
      <c r="Q2258" s="92"/>
      <c r="R2258" s="92"/>
      <c r="S2258" s="92"/>
      <c r="T2258" s="92"/>
      <c r="U2258" s="92"/>
      <c r="V2258" s="92"/>
      <c r="W2258" s="92"/>
      <c r="X2258" s="92"/>
      <c r="Y2258" s="92"/>
      <c r="Z2258" s="92"/>
      <c r="AA2258" s="92"/>
      <c r="AB2258" s="92"/>
      <c r="AC2258" s="92"/>
      <c r="AD2258" s="92"/>
      <c r="AE2258" s="92"/>
      <c r="AF2258" s="92"/>
      <c r="AG2258" s="92"/>
    </row>
    <row r="2259">
      <c r="A2259" s="262"/>
      <c r="B2259" s="354"/>
      <c r="C2259" s="355"/>
      <c r="D2259" s="97"/>
      <c r="E2259" s="98"/>
      <c r="F2259" s="98"/>
      <c r="G2259" s="41"/>
      <c r="H2259" s="98"/>
      <c r="I2259" s="98"/>
      <c r="J2259" s="98"/>
      <c r="K2259" s="91"/>
      <c r="L2259" s="91"/>
      <c r="M2259" s="91"/>
      <c r="N2259" s="96" t="b">
        <v>0</v>
      </c>
      <c r="O2259" s="96" t="b">
        <v>0</v>
      </c>
      <c r="P2259" s="92"/>
      <c r="Q2259" s="92"/>
      <c r="R2259" s="92"/>
      <c r="S2259" s="92"/>
      <c r="T2259" s="92"/>
      <c r="U2259" s="92"/>
      <c r="V2259" s="92"/>
      <c r="W2259" s="92"/>
      <c r="X2259" s="92"/>
      <c r="Y2259" s="92"/>
      <c r="Z2259" s="92"/>
      <c r="AA2259" s="92"/>
      <c r="AB2259" s="92"/>
      <c r="AC2259" s="92"/>
      <c r="AD2259" s="92"/>
      <c r="AE2259" s="92"/>
      <c r="AF2259" s="92"/>
      <c r="AG2259" s="92"/>
    </row>
    <row r="2260">
      <c r="A2260" s="262"/>
      <c r="B2260" s="354"/>
      <c r="C2260" s="355"/>
      <c r="D2260" s="97"/>
      <c r="E2260" s="98"/>
      <c r="F2260" s="98"/>
      <c r="G2260" s="41"/>
      <c r="H2260" s="98"/>
      <c r="I2260" s="98"/>
      <c r="J2260" s="98"/>
      <c r="K2260" s="91"/>
      <c r="L2260" s="91"/>
      <c r="M2260" s="91"/>
      <c r="N2260" s="96" t="b">
        <v>0</v>
      </c>
      <c r="O2260" s="96" t="b">
        <v>0</v>
      </c>
      <c r="P2260" s="92"/>
      <c r="Q2260" s="92"/>
      <c r="R2260" s="92"/>
      <c r="S2260" s="92"/>
      <c r="T2260" s="92"/>
      <c r="U2260" s="92"/>
      <c r="V2260" s="92"/>
      <c r="W2260" s="92"/>
      <c r="X2260" s="92"/>
      <c r="Y2260" s="92"/>
      <c r="Z2260" s="92"/>
      <c r="AA2260" s="92"/>
      <c r="AB2260" s="92"/>
      <c r="AC2260" s="92"/>
      <c r="AD2260" s="92"/>
      <c r="AE2260" s="92"/>
      <c r="AF2260" s="92"/>
      <c r="AG2260" s="92"/>
    </row>
    <row r="2261">
      <c r="A2261" s="262"/>
      <c r="B2261" s="354"/>
      <c r="C2261" s="355"/>
      <c r="D2261" s="97"/>
      <c r="E2261" s="98"/>
      <c r="F2261" s="98"/>
      <c r="G2261" s="41"/>
      <c r="H2261" s="98"/>
      <c r="I2261" s="98"/>
      <c r="J2261" s="98"/>
      <c r="K2261" s="91"/>
      <c r="L2261" s="91"/>
      <c r="M2261" s="91"/>
      <c r="N2261" s="96" t="b">
        <v>0</v>
      </c>
      <c r="O2261" s="96" t="b">
        <v>0</v>
      </c>
      <c r="P2261" s="92"/>
      <c r="Q2261" s="92"/>
      <c r="R2261" s="92"/>
      <c r="S2261" s="92"/>
      <c r="T2261" s="92"/>
      <c r="U2261" s="92"/>
      <c r="V2261" s="92"/>
      <c r="W2261" s="92"/>
      <c r="X2261" s="92"/>
      <c r="Y2261" s="92"/>
      <c r="Z2261" s="92"/>
      <c r="AA2261" s="92"/>
      <c r="AB2261" s="92"/>
      <c r="AC2261" s="92"/>
      <c r="AD2261" s="92"/>
      <c r="AE2261" s="92"/>
      <c r="AF2261" s="92"/>
      <c r="AG2261" s="92"/>
    </row>
    <row r="2262">
      <c r="A2262" s="262"/>
      <c r="B2262" s="354"/>
      <c r="C2262" s="355"/>
      <c r="D2262" s="97"/>
      <c r="E2262" s="98"/>
      <c r="F2262" s="98"/>
      <c r="G2262" s="41"/>
      <c r="H2262" s="98"/>
      <c r="I2262" s="98"/>
      <c r="J2262" s="98"/>
      <c r="K2262" s="91"/>
      <c r="L2262" s="91"/>
      <c r="M2262" s="91"/>
      <c r="N2262" s="96" t="b">
        <v>0</v>
      </c>
      <c r="O2262" s="96" t="b">
        <v>0</v>
      </c>
      <c r="P2262" s="92"/>
      <c r="Q2262" s="92"/>
      <c r="R2262" s="92"/>
      <c r="S2262" s="92"/>
      <c r="T2262" s="92"/>
      <c r="U2262" s="92"/>
      <c r="V2262" s="92"/>
      <c r="W2262" s="92"/>
      <c r="X2262" s="92"/>
      <c r="Y2262" s="92"/>
      <c r="Z2262" s="92"/>
      <c r="AA2262" s="92"/>
      <c r="AB2262" s="92"/>
      <c r="AC2262" s="92"/>
      <c r="AD2262" s="92"/>
      <c r="AE2262" s="92"/>
      <c r="AF2262" s="92"/>
      <c r="AG2262" s="92"/>
    </row>
    <row r="2263">
      <c r="A2263" s="262"/>
      <c r="B2263" s="354"/>
      <c r="C2263" s="355"/>
      <c r="D2263" s="97"/>
      <c r="E2263" s="98"/>
      <c r="F2263" s="98"/>
      <c r="G2263" s="41"/>
      <c r="H2263" s="98"/>
      <c r="I2263" s="98"/>
      <c r="J2263" s="98"/>
      <c r="K2263" s="91"/>
      <c r="L2263" s="91"/>
      <c r="M2263" s="91"/>
      <c r="N2263" s="96" t="b">
        <v>0</v>
      </c>
      <c r="O2263" s="96" t="b">
        <v>0</v>
      </c>
      <c r="P2263" s="92"/>
      <c r="Q2263" s="92"/>
      <c r="R2263" s="92"/>
      <c r="S2263" s="92"/>
      <c r="T2263" s="92"/>
      <c r="U2263" s="92"/>
      <c r="V2263" s="92"/>
      <c r="W2263" s="92"/>
      <c r="X2263" s="92"/>
      <c r="Y2263" s="92"/>
      <c r="Z2263" s="92"/>
      <c r="AA2263" s="92"/>
      <c r="AB2263" s="92"/>
      <c r="AC2263" s="92"/>
      <c r="AD2263" s="92"/>
      <c r="AE2263" s="92"/>
      <c r="AF2263" s="92"/>
      <c r="AG2263" s="92"/>
    </row>
    <row r="2264">
      <c r="A2264" s="262"/>
      <c r="B2264" s="354"/>
      <c r="C2264" s="355"/>
      <c r="D2264" s="97"/>
      <c r="E2264" s="98"/>
      <c r="F2264" s="98"/>
      <c r="G2264" s="41"/>
      <c r="H2264" s="98"/>
      <c r="I2264" s="98"/>
      <c r="J2264" s="98"/>
      <c r="K2264" s="91"/>
      <c r="L2264" s="91"/>
      <c r="M2264" s="91"/>
      <c r="N2264" s="96" t="b">
        <v>0</v>
      </c>
      <c r="O2264" s="96" t="b">
        <v>0</v>
      </c>
      <c r="P2264" s="92"/>
      <c r="Q2264" s="92"/>
      <c r="R2264" s="92"/>
      <c r="S2264" s="92"/>
      <c r="T2264" s="92"/>
      <c r="U2264" s="92"/>
      <c r="V2264" s="92"/>
      <c r="W2264" s="92"/>
      <c r="X2264" s="92"/>
      <c r="Y2264" s="92"/>
      <c r="Z2264" s="92"/>
      <c r="AA2264" s="92"/>
      <c r="AB2264" s="92"/>
      <c r="AC2264" s="92"/>
      <c r="AD2264" s="92"/>
      <c r="AE2264" s="92"/>
      <c r="AF2264" s="92"/>
      <c r="AG2264" s="92"/>
    </row>
    <row r="2265">
      <c r="A2265" s="262"/>
      <c r="B2265" s="354"/>
      <c r="C2265" s="355"/>
      <c r="D2265" s="97"/>
      <c r="E2265" s="98"/>
      <c r="F2265" s="98"/>
      <c r="G2265" s="41"/>
      <c r="H2265" s="98"/>
      <c r="I2265" s="98"/>
      <c r="J2265" s="98"/>
      <c r="K2265" s="91"/>
      <c r="L2265" s="91"/>
      <c r="M2265" s="91"/>
      <c r="N2265" s="96" t="b">
        <v>0</v>
      </c>
      <c r="O2265" s="96" t="b">
        <v>0</v>
      </c>
      <c r="P2265" s="92"/>
      <c r="Q2265" s="92"/>
      <c r="R2265" s="92"/>
      <c r="S2265" s="92"/>
      <c r="T2265" s="92"/>
      <c r="U2265" s="92"/>
      <c r="V2265" s="92"/>
      <c r="W2265" s="92"/>
      <c r="X2265" s="92"/>
      <c r="Y2265" s="92"/>
      <c r="Z2265" s="92"/>
      <c r="AA2265" s="92"/>
      <c r="AB2265" s="92"/>
      <c r="AC2265" s="92"/>
      <c r="AD2265" s="92"/>
      <c r="AE2265" s="92"/>
      <c r="AF2265" s="92"/>
      <c r="AG2265" s="92"/>
    </row>
    <row r="2266">
      <c r="A2266" s="262"/>
      <c r="B2266" s="354"/>
      <c r="C2266" s="355"/>
      <c r="D2266" s="97"/>
      <c r="E2266" s="98"/>
      <c r="F2266" s="98"/>
      <c r="G2266" s="41"/>
      <c r="H2266" s="98"/>
      <c r="I2266" s="98"/>
      <c r="J2266" s="98"/>
      <c r="K2266" s="91"/>
      <c r="L2266" s="91"/>
      <c r="M2266" s="91"/>
      <c r="N2266" s="96" t="b">
        <v>0</v>
      </c>
      <c r="O2266" s="96" t="b">
        <v>0</v>
      </c>
      <c r="P2266" s="92"/>
      <c r="Q2266" s="92"/>
      <c r="R2266" s="92"/>
      <c r="S2266" s="92"/>
      <c r="T2266" s="92"/>
      <c r="U2266" s="92"/>
      <c r="V2266" s="92"/>
      <c r="W2266" s="92"/>
      <c r="X2266" s="92"/>
      <c r="Y2266" s="92"/>
      <c r="Z2266" s="92"/>
      <c r="AA2266" s="92"/>
      <c r="AB2266" s="92"/>
      <c r="AC2266" s="92"/>
      <c r="AD2266" s="92"/>
      <c r="AE2266" s="92"/>
      <c r="AF2266" s="92"/>
      <c r="AG2266" s="92"/>
    </row>
    <row r="2267">
      <c r="A2267" s="262"/>
      <c r="B2267" s="354"/>
      <c r="C2267" s="355"/>
      <c r="D2267" s="97"/>
      <c r="E2267" s="98"/>
      <c r="F2267" s="98"/>
      <c r="G2267" s="41"/>
      <c r="H2267" s="98"/>
      <c r="I2267" s="98"/>
      <c r="J2267" s="98"/>
      <c r="K2267" s="91"/>
      <c r="L2267" s="91"/>
      <c r="M2267" s="91"/>
      <c r="N2267" s="96" t="b">
        <v>0</v>
      </c>
      <c r="O2267" s="96" t="b">
        <v>0</v>
      </c>
      <c r="P2267" s="92"/>
      <c r="Q2267" s="92"/>
      <c r="R2267" s="92"/>
      <c r="S2267" s="92"/>
      <c r="T2267" s="92"/>
      <c r="U2267" s="92"/>
      <c r="V2267" s="92"/>
      <c r="W2267" s="92"/>
      <c r="X2267" s="92"/>
      <c r="Y2267" s="92"/>
      <c r="Z2267" s="92"/>
      <c r="AA2267" s="92"/>
      <c r="AB2267" s="92"/>
      <c r="AC2267" s="92"/>
      <c r="AD2267" s="92"/>
      <c r="AE2267" s="92"/>
      <c r="AF2267" s="92"/>
      <c r="AG2267" s="92"/>
    </row>
    <row r="2268">
      <c r="A2268" s="262"/>
      <c r="B2268" s="354"/>
      <c r="C2268" s="355"/>
      <c r="D2268" s="97"/>
      <c r="E2268" s="98"/>
      <c r="F2268" s="98"/>
      <c r="G2268" s="41"/>
      <c r="H2268" s="98"/>
      <c r="I2268" s="98"/>
      <c r="J2268" s="98"/>
      <c r="K2268" s="91"/>
      <c r="L2268" s="91"/>
      <c r="M2268" s="91"/>
      <c r="N2268" s="96" t="b">
        <v>0</v>
      </c>
      <c r="O2268" s="96" t="b">
        <v>0</v>
      </c>
      <c r="P2268" s="92"/>
      <c r="Q2268" s="92"/>
      <c r="R2268" s="92"/>
      <c r="S2268" s="92"/>
      <c r="T2268" s="92"/>
      <c r="U2268" s="92"/>
      <c r="V2268" s="92"/>
      <c r="W2268" s="92"/>
      <c r="X2268" s="92"/>
      <c r="Y2268" s="92"/>
      <c r="Z2268" s="92"/>
      <c r="AA2268" s="92"/>
      <c r="AB2268" s="92"/>
      <c r="AC2268" s="92"/>
      <c r="AD2268" s="92"/>
      <c r="AE2268" s="92"/>
      <c r="AF2268" s="92"/>
      <c r="AG2268" s="92"/>
    </row>
    <row r="2269">
      <c r="A2269" s="262"/>
      <c r="B2269" s="354"/>
      <c r="C2269" s="355"/>
      <c r="D2269" s="97"/>
      <c r="E2269" s="98"/>
      <c r="F2269" s="98"/>
      <c r="G2269" s="41"/>
      <c r="H2269" s="98"/>
      <c r="I2269" s="98"/>
      <c r="J2269" s="98"/>
      <c r="K2269" s="91"/>
      <c r="L2269" s="91"/>
      <c r="M2269" s="91"/>
      <c r="N2269" s="96" t="b">
        <v>0</v>
      </c>
      <c r="O2269" s="96" t="b">
        <v>0</v>
      </c>
      <c r="P2269" s="92"/>
      <c r="Q2269" s="92"/>
      <c r="R2269" s="92"/>
      <c r="S2269" s="92"/>
      <c r="T2269" s="92"/>
      <c r="U2269" s="92"/>
      <c r="V2269" s="92"/>
      <c r="W2269" s="92"/>
      <c r="X2269" s="92"/>
      <c r="Y2269" s="92"/>
      <c r="Z2269" s="92"/>
      <c r="AA2269" s="92"/>
      <c r="AB2269" s="92"/>
      <c r="AC2269" s="92"/>
      <c r="AD2269" s="92"/>
      <c r="AE2269" s="92"/>
      <c r="AF2269" s="92"/>
      <c r="AG2269" s="92"/>
    </row>
    <row r="2270">
      <c r="A2270" s="262"/>
      <c r="B2270" s="354"/>
      <c r="C2270" s="355"/>
      <c r="D2270" s="97"/>
      <c r="E2270" s="98"/>
      <c r="F2270" s="98"/>
      <c r="G2270" s="41"/>
      <c r="H2270" s="98"/>
      <c r="I2270" s="98"/>
      <c r="J2270" s="98"/>
      <c r="K2270" s="91"/>
      <c r="L2270" s="91"/>
      <c r="M2270" s="91"/>
      <c r="N2270" s="96" t="b">
        <v>0</v>
      </c>
      <c r="O2270" s="96" t="b">
        <v>0</v>
      </c>
      <c r="P2270" s="92"/>
      <c r="Q2270" s="92"/>
      <c r="R2270" s="92"/>
      <c r="S2270" s="92"/>
      <c r="T2270" s="92"/>
      <c r="U2270" s="92"/>
      <c r="V2270" s="92"/>
      <c r="W2270" s="92"/>
      <c r="X2270" s="92"/>
      <c r="Y2270" s="92"/>
      <c r="Z2270" s="92"/>
      <c r="AA2270" s="92"/>
      <c r="AB2270" s="92"/>
      <c r="AC2270" s="92"/>
      <c r="AD2270" s="92"/>
      <c r="AE2270" s="92"/>
      <c r="AF2270" s="92"/>
      <c r="AG2270" s="92"/>
    </row>
    <row r="2271">
      <c r="A2271" s="262"/>
      <c r="B2271" s="354"/>
      <c r="C2271" s="355"/>
      <c r="D2271" s="97"/>
      <c r="E2271" s="98"/>
      <c r="F2271" s="98"/>
      <c r="G2271" s="41"/>
      <c r="H2271" s="98"/>
      <c r="I2271" s="98"/>
      <c r="J2271" s="98"/>
      <c r="K2271" s="91"/>
      <c r="L2271" s="91"/>
      <c r="M2271" s="91"/>
      <c r="N2271" s="96" t="b">
        <v>0</v>
      </c>
      <c r="O2271" s="96" t="b">
        <v>0</v>
      </c>
      <c r="P2271" s="92"/>
      <c r="Q2271" s="92"/>
      <c r="R2271" s="92"/>
      <c r="S2271" s="92"/>
      <c r="T2271" s="92"/>
      <c r="U2271" s="92"/>
      <c r="V2271" s="92"/>
      <c r="W2271" s="92"/>
      <c r="X2271" s="92"/>
      <c r="Y2271" s="92"/>
      <c r="Z2271" s="92"/>
      <c r="AA2271" s="92"/>
      <c r="AB2271" s="92"/>
      <c r="AC2271" s="92"/>
      <c r="AD2271" s="92"/>
      <c r="AE2271" s="92"/>
      <c r="AF2271" s="92"/>
      <c r="AG2271" s="92"/>
    </row>
    <row r="2272">
      <c r="A2272" s="262"/>
      <c r="B2272" s="354"/>
      <c r="C2272" s="355"/>
      <c r="D2272" s="97"/>
      <c r="E2272" s="98"/>
      <c r="F2272" s="98"/>
      <c r="G2272" s="41"/>
      <c r="H2272" s="98"/>
      <c r="I2272" s="98"/>
      <c r="J2272" s="98"/>
      <c r="K2272" s="91"/>
      <c r="L2272" s="91"/>
      <c r="M2272" s="91"/>
      <c r="N2272" s="96" t="b">
        <v>0</v>
      </c>
      <c r="O2272" s="96" t="b">
        <v>0</v>
      </c>
      <c r="P2272" s="92"/>
      <c r="Q2272" s="92"/>
      <c r="R2272" s="92"/>
      <c r="S2272" s="92"/>
      <c r="T2272" s="92"/>
      <c r="U2272" s="92"/>
      <c r="V2272" s="92"/>
      <c r="W2272" s="92"/>
      <c r="X2272" s="92"/>
      <c r="Y2272" s="92"/>
      <c r="Z2272" s="92"/>
      <c r="AA2272" s="92"/>
      <c r="AB2272" s="92"/>
      <c r="AC2272" s="92"/>
      <c r="AD2272" s="92"/>
      <c r="AE2272" s="92"/>
      <c r="AF2272" s="92"/>
      <c r="AG2272" s="92"/>
    </row>
    <row r="2273">
      <c r="A2273" s="262"/>
      <c r="B2273" s="354"/>
      <c r="C2273" s="355"/>
      <c r="D2273" s="97"/>
      <c r="E2273" s="98"/>
      <c r="F2273" s="98"/>
      <c r="G2273" s="41"/>
      <c r="H2273" s="98"/>
      <c r="I2273" s="98"/>
      <c r="J2273" s="98"/>
      <c r="K2273" s="91"/>
      <c r="L2273" s="91"/>
      <c r="M2273" s="91"/>
      <c r="N2273" s="96" t="b">
        <v>0</v>
      </c>
      <c r="O2273" s="96" t="b">
        <v>0</v>
      </c>
      <c r="P2273" s="92"/>
      <c r="Q2273" s="92"/>
      <c r="R2273" s="92"/>
      <c r="S2273" s="92"/>
      <c r="T2273" s="92"/>
      <c r="U2273" s="92"/>
      <c r="V2273" s="92"/>
      <c r="W2273" s="92"/>
      <c r="X2273" s="92"/>
      <c r="Y2273" s="92"/>
      <c r="Z2273" s="92"/>
      <c r="AA2273" s="92"/>
      <c r="AB2273" s="92"/>
      <c r="AC2273" s="92"/>
      <c r="AD2273" s="92"/>
      <c r="AE2273" s="92"/>
      <c r="AF2273" s="92"/>
      <c r="AG2273" s="92"/>
    </row>
    <row r="2274">
      <c r="A2274" s="262"/>
      <c r="B2274" s="354"/>
      <c r="C2274" s="355"/>
      <c r="D2274" s="97"/>
      <c r="E2274" s="98"/>
      <c r="F2274" s="98"/>
      <c r="G2274" s="41"/>
      <c r="H2274" s="98"/>
      <c r="I2274" s="98"/>
      <c r="J2274" s="98"/>
      <c r="K2274" s="91"/>
      <c r="L2274" s="91"/>
      <c r="M2274" s="91"/>
      <c r="N2274" s="96" t="b">
        <v>0</v>
      </c>
      <c r="O2274" s="96" t="b">
        <v>0</v>
      </c>
      <c r="P2274" s="92"/>
      <c r="Q2274" s="92"/>
      <c r="R2274" s="92"/>
      <c r="S2274" s="92"/>
      <c r="T2274" s="92"/>
      <c r="U2274" s="92"/>
      <c r="V2274" s="92"/>
      <c r="W2274" s="92"/>
      <c r="X2274" s="92"/>
      <c r="Y2274" s="92"/>
      <c r="Z2274" s="92"/>
      <c r="AA2274" s="92"/>
      <c r="AB2274" s="92"/>
      <c r="AC2274" s="92"/>
      <c r="AD2274" s="92"/>
      <c r="AE2274" s="92"/>
      <c r="AF2274" s="92"/>
      <c r="AG2274" s="92"/>
    </row>
    <row r="2275">
      <c r="A2275" s="262"/>
      <c r="B2275" s="354"/>
      <c r="C2275" s="355"/>
      <c r="D2275" s="97"/>
      <c r="E2275" s="98"/>
      <c r="F2275" s="98"/>
      <c r="G2275" s="41"/>
      <c r="H2275" s="98"/>
      <c r="I2275" s="98"/>
      <c r="J2275" s="98"/>
      <c r="K2275" s="91"/>
      <c r="L2275" s="91"/>
      <c r="M2275" s="91"/>
      <c r="N2275" s="96" t="b">
        <v>0</v>
      </c>
      <c r="O2275" s="96" t="b">
        <v>0</v>
      </c>
      <c r="P2275" s="92"/>
      <c r="Q2275" s="92"/>
      <c r="R2275" s="92"/>
      <c r="S2275" s="92"/>
      <c r="T2275" s="92"/>
      <c r="U2275" s="92"/>
      <c r="V2275" s="92"/>
      <c r="W2275" s="92"/>
      <c r="X2275" s="92"/>
      <c r="Y2275" s="92"/>
      <c r="Z2275" s="92"/>
      <c r="AA2275" s="92"/>
      <c r="AB2275" s="92"/>
      <c r="AC2275" s="92"/>
      <c r="AD2275" s="92"/>
      <c r="AE2275" s="92"/>
      <c r="AF2275" s="92"/>
      <c r="AG2275" s="92"/>
    </row>
    <row r="2276">
      <c r="A2276" s="262"/>
      <c r="B2276" s="354"/>
      <c r="C2276" s="355"/>
      <c r="D2276" s="97"/>
      <c r="E2276" s="98"/>
      <c r="F2276" s="98"/>
      <c r="G2276" s="41"/>
      <c r="H2276" s="98"/>
      <c r="I2276" s="98"/>
      <c r="J2276" s="98"/>
      <c r="K2276" s="91"/>
      <c r="L2276" s="91"/>
      <c r="M2276" s="91"/>
      <c r="N2276" s="96" t="b">
        <v>0</v>
      </c>
      <c r="O2276" s="96" t="b">
        <v>0</v>
      </c>
      <c r="P2276" s="92"/>
      <c r="Q2276" s="92"/>
      <c r="R2276" s="92"/>
      <c r="S2276" s="92"/>
      <c r="T2276" s="92"/>
      <c r="U2276" s="92"/>
      <c r="V2276" s="92"/>
      <c r="W2276" s="92"/>
      <c r="X2276" s="92"/>
      <c r="Y2276" s="92"/>
      <c r="Z2276" s="92"/>
      <c r="AA2276" s="92"/>
      <c r="AB2276" s="92"/>
      <c r="AC2276" s="92"/>
      <c r="AD2276" s="92"/>
      <c r="AE2276" s="92"/>
      <c r="AF2276" s="92"/>
      <c r="AG2276" s="92"/>
    </row>
    <row r="2277">
      <c r="A2277" s="262"/>
      <c r="B2277" s="354"/>
      <c r="C2277" s="355"/>
      <c r="D2277" s="97"/>
      <c r="E2277" s="98"/>
      <c r="F2277" s="98"/>
      <c r="G2277" s="41"/>
      <c r="H2277" s="98"/>
      <c r="I2277" s="98"/>
      <c r="J2277" s="98"/>
      <c r="K2277" s="91"/>
      <c r="L2277" s="91"/>
      <c r="M2277" s="91"/>
      <c r="N2277" s="96" t="b">
        <v>0</v>
      </c>
      <c r="O2277" s="96" t="b">
        <v>0</v>
      </c>
      <c r="P2277" s="92"/>
      <c r="Q2277" s="92"/>
      <c r="R2277" s="92"/>
      <c r="S2277" s="92"/>
      <c r="T2277" s="92"/>
      <c r="U2277" s="92"/>
      <c r="V2277" s="92"/>
      <c r="W2277" s="92"/>
      <c r="X2277" s="92"/>
      <c r="Y2277" s="92"/>
      <c r="Z2277" s="92"/>
      <c r="AA2277" s="92"/>
      <c r="AB2277" s="92"/>
      <c r="AC2277" s="92"/>
      <c r="AD2277" s="92"/>
      <c r="AE2277" s="92"/>
      <c r="AF2277" s="92"/>
      <c r="AG2277" s="92"/>
    </row>
    <row r="2278">
      <c r="A2278" s="262"/>
      <c r="B2278" s="354"/>
      <c r="C2278" s="355"/>
      <c r="D2278" s="97"/>
      <c r="E2278" s="98"/>
      <c r="F2278" s="98"/>
      <c r="G2278" s="41"/>
      <c r="H2278" s="98"/>
      <c r="I2278" s="98"/>
      <c r="J2278" s="98"/>
      <c r="K2278" s="91"/>
      <c r="L2278" s="91"/>
      <c r="M2278" s="91"/>
      <c r="N2278" s="96" t="b">
        <v>0</v>
      </c>
      <c r="O2278" s="96" t="b">
        <v>0</v>
      </c>
      <c r="P2278" s="92"/>
      <c r="Q2278" s="92"/>
      <c r="R2278" s="92"/>
      <c r="S2278" s="92"/>
      <c r="T2278" s="92"/>
      <c r="U2278" s="92"/>
      <c r="V2278" s="92"/>
      <c r="W2278" s="92"/>
      <c r="X2278" s="92"/>
      <c r="Y2278" s="92"/>
      <c r="Z2278" s="92"/>
      <c r="AA2278" s="92"/>
      <c r="AB2278" s="92"/>
      <c r="AC2278" s="92"/>
      <c r="AD2278" s="92"/>
      <c r="AE2278" s="92"/>
      <c r="AF2278" s="92"/>
      <c r="AG2278" s="92"/>
    </row>
    <row r="2279">
      <c r="A2279" s="262"/>
      <c r="B2279" s="354"/>
      <c r="C2279" s="355"/>
      <c r="D2279" s="97"/>
      <c r="E2279" s="98"/>
      <c r="F2279" s="98"/>
      <c r="G2279" s="41"/>
      <c r="H2279" s="98"/>
      <c r="I2279" s="98"/>
      <c r="J2279" s="98"/>
      <c r="K2279" s="91"/>
      <c r="L2279" s="91"/>
      <c r="M2279" s="91"/>
      <c r="N2279" s="96" t="b">
        <v>0</v>
      </c>
      <c r="O2279" s="96" t="b">
        <v>0</v>
      </c>
      <c r="P2279" s="92"/>
      <c r="Q2279" s="92"/>
      <c r="R2279" s="92"/>
      <c r="S2279" s="92"/>
      <c r="T2279" s="92"/>
      <c r="U2279" s="92"/>
      <c r="V2279" s="92"/>
      <c r="W2279" s="92"/>
      <c r="X2279" s="92"/>
      <c r="Y2279" s="92"/>
      <c r="Z2279" s="92"/>
      <c r="AA2279" s="92"/>
      <c r="AB2279" s="92"/>
      <c r="AC2279" s="92"/>
      <c r="AD2279" s="92"/>
      <c r="AE2279" s="92"/>
      <c r="AF2279" s="92"/>
      <c r="AG2279" s="92"/>
    </row>
    <row r="2280">
      <c r="A2280" s="262"/>
      <c r="B2280" s="354"/>
      <c r="C2280" s="355"/>
      <c r="D2280" s="97"/>
      <c r="E2280" s="98"/>
      <c r="F2280" s="98"/>
      <c r="G2280" s="41"/>
      <c r="H2280" s="98"/>
      <c r="I2280" s="98"/>
      <c r="J2280" s="98"/>
      <c r="K2280" s="91"/>
      <c r="L2280" s="91"/>
      <c r="M2280" s="91"/>
      <c r="N2280" s="96" t="b">
        <v>0</v>
      </c>
      <c r="O2280" s="96" t="b">
        <v>0</v>
      </c>
      <c r="P2280" s="92"/>
      <c r="Q2280" s="92"/>
      <c r="R2280" s="92"/>
      <c r="S2280" s="92"/>
      <c r="T2280" s="92"/>
      <c r="U2280" s="92"/>
      <c r="V2280" s="92"/>
      <c r="W2280" s="92"/>
      <c r="X2280" s="92"/>
      <c r="Y2280" s="92"/>
      <c r="Z2280" s="92"/>
      <c r="AA2280" s="92"/>
      <c r="AB2280" s="92"/>
      <c r="AC2280" s="92"/>
      <c r="AD2280" s="92"/>
      <c r="AE2280" s="92"/>
      <c r="AF2280" s="92"/>
      <c r="AG2280" s="92"/>
    </row>
    <row r="2281">
      <c r="A2281" s="262"/>
      <c r="B2281" s="354"/>
      <c r="C2281" s="355"/>
      <c r="D2281" s="97"/>
      <c r="E2281" s="98"/>
      <c r="F2281" s="98"/>
      <c r="G2281" s="41"/>
      <c r="H2281" s="98"/>
      <c r="I2281" s="98"/>
      <c r="J2281" s="98"/>
      <c r="K2281" s="91"/>
      <c r="L2281" s="91"/>
      <c r="M2281" s="91"/>
      <c r="N2281" s="96" t="b">
        <v>0</v>
      </c>
      <c r="O2281" s="96" t="b">
        <v>0</v>
      </c>
      <c r="P2281" s="92"/>
      <c r="Q2281" s="92"/>
      <c r="R2281" s="92"/>
      <c r="S2281" s="92"/>
      <c r="T2281" s="92"/>
      <c r="U2281" s="92"/>
      <c r="V2281" s="92"/>
      <c r="W2281" s="92"/>
      <c r="X2281" s="92"/>
      <c r="Y2281" s="92"/>
      <c r="Z2281" s="92"/>
      <c r="AA2281" s="92"/>
      <c r="AB2281" s="92"/>
      <c r="AC2281" s="92"/>
      <c r="AD2281" s="92"/>
      <c r="AE2281" s="92"/>
      <c r="AF2281" s="92"/>
      <c r="AG2281" s="92"/>
    </row>
    <row r="2282">
      <c r="A2282" s="262"/>
      <c r="B2282" s="354"/>
      <c r="C2282" s="355"/>
      <c r="D2282" s="97"/>
      <c r="E2282" s="98"/>
      <c r="F2282" s="98"/>
      <c r="G2282" s="41"/>
      <c r="H2282" s="98"/>
      <c r="I2282" s="98"/>
      <c r="J2282" s="98"/>
      <c r="K2282" s="91"/>
      <c r="L2282" s="91"/>
      <c r="M2282" s="91"/>
      <c r="N2282" s="96" t="b">
        <v>0</v>
      </c>
      <c r="O2282" s="96" t="b">
        <v>0</v>
      </c>
      <c r="P2282" s="92"/>
      <c r="Q2282" s="92"/>
      <c r="R2282" s="92"/>
      <c r="S2282" s="92"/>
      <c r="T2282" s="92"/>
      <c r="U2282" s="92"/>
      <c r="V2282" s="92"/>
      <c r="W2282" s="92"/>
      <c r="X2282" s="92"/>
      <c r="Y2282" s="92"/>
      <c r="Z2282" s="92"/>
      <c r="AA2282" s="92"/>
      <c r="AB2282" s="92"/>
      <c r="AC2282" s="92"/>
      <c r="AD2282" s="92"/>
      <c r="AE2282" s="92"/>
      <c r="AF2282" s="92"/>
      <c r="AG2282" s="92"/>
    </row>
    <row r="2283">
      <c r="A2283" s="262"/>
      <c r="B2283" s="354"/>
      <c r="C2283" s="355"/>
      <c r="D2283" s="97"/>
      <c r="E2283" s="98"/>
      <c r="F2283" s="98"/>
      <c r="G2283" s="41"/>
      <c r="H2283" s="98"/>
      <c r="I2283" s="98"/>
      <c r="J2283" s="98"/>
      <c r="K2283" s="91"/>
      <c r="L2283" s="91"/>
      <c r="M2283" s="91"/>
      <c r="N2283" s="96" t="b">
        <v>0</v>
      </c>
      <c r="O2283" s="96" t="b">
        <v>0</v>
      </c>
      <c r="P2283" s="92"/>
      <c r="Q2283" s="92"/>
      <c r="R2283" s="92"/>
      <c r="S2283" s="92"/>
      <c r="T2283" s="92"/>
      <c r="U2283" s="92"/>
      <c r="V2283" s="92"/>
      <c r="W2283" s="92"/>
      <c r="X2283" s="92"/>
      <c r="Y2283" s="92"/>
      <c r="Z2283" s="92"/>
      <c r="AA2283" s="92"/>
      <c r="AB2283" s="92"/>
      <c r="AC2283" s="92"/>
      <c r="AD2283" s="92"/>
      <c r="AE2283" s="92"/>
      <c r="AF2283" s="92"/>
      <c r="AG2283" s="92"/>
    </row>
    <row r="2284">
      <c r="A2284" s="262"/>
      <c r="B2284" s="354"/>
      <c r="C2284" s="355"/>
      <c r="D2284" s="97"/>
      <c r="E2284" s="98"/>
      <c r="F2284" s="98"/>
      <c r="G2284" s="41"/>
      <c r="H2284" s="98"/>
      <c r="I2284" s="98"/>
      <c r="J2284" s="98"/>
      <c r="K2284" s="91"/>
      <c r="L2284" s="91"/>
      <c r="M2284" s="91"/>
      <c r="N2284" s="96" t="b">
        <v>0</v>
      </c>
      <c r="O2284" s="96" t="b">
        <v>0</v>
      </c>
      <c r="P2284" s="92"/>
      <c r="Q2284" s="92"/>
      <c r="R2284" s="92"/>
      <c r="S2284" s="92"/>
      <c r="T2284" s="92"/>
      <c r="U2284" s="92"/>
      <c r="V2284" s="92"/>
      <c r="W2284" s="92"/>
      <c r="X2284" s="92"/>
      <c r="Y2284" s="92"/>
      <c r="Z2284" s="92"/>
      <c r="AA2284" s="92"/>
      <c r="AB2284" s="92"/>
      <c r="AC2284" s="92"/>
      <c r="AD2284" s="92"/>
      <c r="AE2284" s="92"/>
      <c r="AF2284" s="92"/>
      <c r="AG2284" s="92"/>
    </row>
    <row r="2285">
      <c r="A2285" s="262"/>
      <c r="B2285" s="354"/>
      <c r="C2285" s="355"/>
      <c r="D2285" s="97"/>
      <c r="E2285" s="98"/>
      <c r="F2285" s="98"/>
      <c r="G2285" s="41"/>
      <c r="H2285" s="98"/>
      <c r="I2285" s="98"/>
      <c r="J2285" s="98"/>
      <c r="K2285" s="91"/>
      <c r="L2285" s="91"/>
      <c r="M2285" s="91"/>
      <c r="N2285" s="96" t="b">
        <v>0</v>
      </c>
      <c r="O2285" s="96" t="b">
        <v>0</v>
      </c>
      <c r="P2285" s="92"/>
      <c r="Q2285" s="92"/>
      <c r="R2285" s="92"/>
      <c r="S2285" s="92"/>
      <c r="T2285" s="92"/>
      <c r="U2285" s="92"/>
      <c r="V2285" s="92"/>
      <c r="W2285" s="92"/>
      <c r="X2285" s="92"/>
      <c r="Y2285" s="92"/>
      <c r="Z2285" s="92"/>
      <c r="AA2285" s="92"/>
      <c r="AB2285" s="92"/>
      <c r="AC2285" s="92"/>
      <c r="AD2285" s="92"/>
      <c r="AE2285" s="92"/>
      <c r="AF2285" s="92"/>
      <c r="AG2285" s="92"/>
    </row>
    <row r="2286">
      <c r="A2286" s="262"/>
      <c r="B2286" s="354"/>
      <c r="C2286" s="355"/>
      <c r="D2286" s="97"/>
      <c r="E2286" s="98"/>
      <c r="F2286" s="98"/>
      <c r="G2286" s="41"/>
      <c r="H2286" s="98"/>
      <c r="I2286" s="98"/>
      <c r="J2286" s="98"/>
      <c r="K2286" s="91"/>
      <c r="L2286" s="91"/>
      <c r="M2286" s="91"/>
      <c r="N2286" s="96" t="b">
        <v>0</v>
      </c>
      <c r="O2286" s="96" t="b">
        <v>0</v>
      </c>
      <c r="P2286" s="92"/>
      <c r="Q2286" s="92"/>
      <c r="R2286" s="92"/>
      <c r="S2286" s="92"/>
      <c r="T2286" s="92"/>
      <c r="U2286" s="92"/>
      <c r="V2286" s="92"/>
      <c r="W2286" s="92"/>
      <c r="X2286" s="92"/>
      <c r="Y2286" s="92"/>
      <c r="Z2286" s="92"/>
      <c r="AA2286" s="92"/>
      <c r="AB2286" s="92"/>
      <c r="AC2286" s="92"/>
      <c r="AD2286" s="92"/>
      <c r="AE2286" s="92"/>
      <c r="AF2286" s="92"/>
      <c r="AG2286" s="92"/>
    </row>
    <row r="2287">
      <c r="A2287" s="262"/>
      <c r="B2287" s="354"/>
      <c r="C2287" s="355"/>
      <c r="D2287" s="97"/>
      <c r="E2287" s="98"/>
      <c r="F2287" s="98"/>
      <c r="G2287" s="41"/>
      <c r="H2287" s="98"/>
      <c r="I2287" s="98"/>
      <c r="J2287" s="98"/>
      <c r="K2287" s="91"/>
      <c r="L2287" s="91"/>
      <c r="M2287" s="91"/>
      <c r="N2287" s="96" t="b">
        <v>0</v>
      </c>
      <c r="O2287" s="96" t="b">
        <v>0</v>
      </c>
      <c r="P2287" s="92"/>
      <c r="Q2287" s="92"/>
      <c r="R2287" s="92"/>
      <c r="S2287" s="92"/>
      <c r="T2287" s="92"/>
      <c r="U2287" s="92"/>
      <c r="V2287" s="92"/>
      <c r="W2287" s="92"/>
      <c r="X2287" s="92"/>
      <c r="Y2287" s="92"/>
      <c r="Z2287" s="92"/>
      <c r="AA2287" s="92"/>
      <c r="AB2287" s="92"/>
      <c r="AC2287" s="92"/>
      <c r="AD2287" s="92"/>
      <c r="AE2287" s="92"/>
      <c r="AF2287" s="92"/>
      <c r="AG2287" s="92"/>
    </row>
    <row r="2288">
      <c r="A2288" s="262"/>
      <c r="B2288" s="354"/>
      <c r="C2288" s="355"/>
      <c r="D2288" s="97"/>
      <c r="E2288" s="98"/>
      <c r="F2288" s="98"/>
      <c r="G2288" s="41"/>
      <c r="H2288" s="98"/>
      <c r="I2288" s="98"/>
      <c r="J2288" s="98"/>
      <c r="K2288" s="91"/>
      <c r="L2288" s="91"/>
      <c r="M2288" s="91"/>
      <c r="N2288" s="96" t="b">
        <v>0</v>
      </c>
      <c r="O2288" s="96" t="b">
        <v>0</v>
      </c>
      <c r="P2288" s="92"/>
      <c r="Q2288" s="92"/>
      <c r="R2288" s="92"/>
      <c r="S2288" s="92"/>
      <c r="T2288" s="92"/>
      <c r="U2288" s="92"/>
      <c r="V2288" s="92"/>
      <c r="W2288" s="92"/>
      <c r="X2288" s="92"/>
      <c r="Y2288" s="92"/>
      <c r="Z2288" s="92"/>
      <c r="AA2288" s="92"/>
      <c r="AB2288" s="92"/>
      <c r="AC2288" s="92"/>
      <c r="AD2288" s="92"/>
      <c r="AE2288" s="92"/>
      <c r="AF2288" s="92"/>
      <c r="AG2288" s="92"/>
    </row>
    <row r="2289">
      <c r="A2289" s="262"/>
      <c r="B2289" s="354"/>
      <c r="C2289" s="355"/>
      <c r="D2289" s="97"/>
      <c r="E2289" s="98"/>
      <c r="F2289" s="98"/>
      <c r="G2289" s="41"/>
      <c r="H2289" s="98"/>
      <c r="I2289" s="98"/>
      <c r="J2289" s="98"/>
      <c r="K2289" s="91"/>
      <c r="L2289" s="91"/>
      <c r="M2289" s="91"/>
      <c r="N2289" s="96" t="b">
        <v>0</v>
      </c>
      <c r="O2289" s="96" t="b">
        <v>0</v>
      </c>
      <c r="P2289" s="92"/>
      <c r="Q2289" s="92"/>
      <c r="R2289" s="92"/>
      <c r="S2289" s="92"/>
      <c r="T2289" s="92"/>
      <c r="U2289" s="92"/>
      <c r="V2289" s="92"/>
      <c r="W2289" s="92"/>
      <c r="X2289" s="92"/>
      <c r="Y2289" s="92"/>
      <c r="Z2289" s="92"/>
      <c r="AA2289" s="92"/>
      <c r="AB2289" s="92"/>
      <c r="AC2289" s="92"/>
      <c r="AD2289" s="92"/>
      <c r="AE2289" s="92"/>
      <c r="AF2289" s="92"/>
      <c r="AG2289" s="92"/>
    </row>
    <row r="2290">
      <c r="A2290" s="262"/>
      <c r="B2290" s="354"/>
      <c r="C2290" s="355"/>
      <c r="D2290" s="97"/>
      <c r="E2290" s="98"/>
      <c r="F2290" s="98"/>
      <c r="G2290" s="41"/>
      <c r="H2290" s="98"/>
      <c r="I2290" s="98"/>
      <c r="J2290" s="98"/>
      <c r="K2290" s="91"/>
      <c r="L2290" s="91"/>
      <c r="M2290" s="91"/>
      <c r="N2290" s="96" t="b">
        <v>0</v>
      </c>
      <c r="O2290" s="96" t="b">
        <v>0</v>
      </c>
      <c r="P2290" s="92"/>
      <c r="Q2290" s="92"/>
      <c r="R2290" s="92"/>
      <c r="S2290" s="92"/>
      <c r="T2290" s="92"/>
      <c r="U2290" s="92"/>
      <c r="V2290" s="92"/>
      <c r="W2290" s="92"/>
      <c r="X2290" s="92"/>
      <c r="Y2290" s="92"/>
      <c r="Z2290" s="92"/>
      <c r="AA2290" s="92"/>
      <c r="AB2290" s="92"/>
      <c r="AC2290" s="92"/>
      <c r="AD2290" s="92"/>
      <c r="AE2290" s="92"/>
      <c r="AF2290" s="92"/>
      <c r="AG2290" s="92"/>
    </row>
    <row r="2291">
      <c r="A2291" s="262"/>
      <c r="B2291" s="354"/>
      <c r="C2291" s="355"/>
      <c r="D2291" s="97"/>
      <c r="E2291" s="98"/>
      <c r="F2291" s="98"/>
      <c r="G2291" s="41"/>
      <c r="H2291" s="98"/>
      <c r="I2291" s="98"/>
      <c r="J2291" s="98"/>
      <c r="K2291" s="91"/>
      <c r="L2291" s="91"/>
      <c r="M2291" s="91"/>
      <c r="N2291" s="96" t="b">
        <v>0</v>
      </c>
      <c r="O2291" s="96" t="b">
        <v>0</v>
      </c>
      <c r="P2291" s="92"/>
      <c r="Q2291" s="92"/>
      <c r="R2291" s="92"/>
      <c r="S2291" s="92"/>
      <c r="T2291" s="92"/>
      <c r="U2291" s="92"/>
      <c r="V2291" s="92"/>
      <c r="W2291" s="92"/>
      <c r="X2291" s="92"/>
      <c r="Y2291" s="92"/>
      <c r="Z2291" s="92"/>
      <c r="AA2291" s="92"/>
      <c r="AB2291" s="92"/>
      <c r="AC2291" s="92"/>
      <c r="AD2291" s="92"/>
      <c r="AE2291" s="92"/>
      <c r="AF2291" s="92"/>
      <c r="AG2291" s="92"/>
    </row>
    <row r="2292">
      <c r="A2292" s="262"/>
      <c r="B2292" s="354"/>
      <c r="C2292" s="355"/>
      <c r="D2292" s="97"/>
      <c r="E2292" s="98"/>
      <c r="F2292" s="98"/>
      <c r="G2292" s="41"/>
      <c r="H2292" s="98"/>
      <c r="I2292" s="98"/>
      <c r="J2292" s="98"/>
      <c r="K2292" s="91"/>
      <c r="L2292" s="91"/>
      <c r="M2292" s="91"/>
      <c r="N2292" s="96" t="b">
        <v>0</v>
      </c>
      <c r="O2292" s="96" t="b">
        <v>0</v>
      </c>
      <c r="P2292" s="92"/>
      <c r="Q2292" s="92"/>
      <c r="R2292" s="92"/>
      <c r="S2292" s="92"/>
      <c r="T2292" s="92"/>
      <c r="U2292" s="92"/>
      <c r="V2292" s="92"/>
      <c r="W2292" s="92"/>
      <c r="X2292" s="92"/>
      <c r="Y2292" s="92"/>
      <c r="Z2292" s="92"/>
      <c r="AA2292" s="92"/>
      <c r="AB2292" s="92"/>
      <c r="AC2292" s="92"/>
      <c r="AD2292" s="92"/>
      <c r="AE2292" s="92"/>
      <c r="AF2292" s="92"/>
      <c r="AG2292" s="92"/>
    </row>
    <row r="2293">
      <c r="A2293" s="262"/>
      <c r="B2293" s="354"/>
      <c r="C2293" s="355"/>
      <c r="D2293" s="97"/>
      <c r="E2293" s="98"/>
      <c r="F2293" s="98"/>
      <c r="G2293" s="41"/>
      <c r="H2293" s="98"/>
      <c r="I2293" s="98"/>
      <c r="J2293" s="98"/>
      <c r="K2293" s="91"/>
      <c r="L2293" s="91"/>
      <c r="M2293" s="91"/>
      <c r="N2293" s="96" t="b">
        <v>0</v>
      </c>
      <c r="O2293" s="96" t="b">
        <v>0</v>
      </c>
      <c r="P2293" s="92"/>
      <c r="Q2293" s="92"/>
      <c r="R2293" s="92"/>
      <c r="S2293" s="92"/>
      <c r="T2293" s="92"/>
      <c r="U2293" s="92"/>
      <c r="V2293" s="92"/>
      <c r="W2293" s="92"/>
      <c r="X2293" s="92"/>
      <c r="Y2293" s="92"/>
      <c r="Z2293" s="92"/>
      <c r="AA2293" s="92"/>
      <c r="AB2293" s="92"/>
      <c r="AC2293" s="92"/>
      <c r="AD2293" s="92"/>
      <c r="AE2293" s="92"/>
      <c r="AF2293" s="92"/>
      <c r="AG2293" s="92"/>
    </row>
    <row r="2294">
      <c r="A2294" s="262"/>
      <c r="B2294" s="354"/>
      <c r="C2294" s="355"/>
      <c r="D2294" s="97"/>
      <c r="E2294" s="98"/>
      <c r="F2294" s="98"/>
      <c r="G2294" s="41"/>
      <c r="H2294" s="98"/>
      <c r="I2294" s="98"/>
      <c r="J2294" s="98"/>
      <c r="K2294" s="91"/>
      <c r="L2294" s="91"/>
      <c r="M2294" s="91"/>
      <c r="N2294" s="96" t="b">
        <v>0</v>
      </c>
      <c r="O2294" s="96" t="b">
        <v>0</v>
      </c>
      <c r="P2294" s="92"/>
      <c r="Q2294" s="92"/>
      <c r="R2294" s="92"/>
      <c r="S2294" s="92"/>
      <c r="T2294" s="92"/>
      <c r="U2294" s="92"/>
      <c r="V2294" s="92"/>
      <c r="W2294" s="92"/>
      <c r="X2294" s="92"/>
      <c r="Y2294" s="92"/>
      <c r="Z2294" s="92"/>
      <c r="AA2294" s="92"/>
      <c r="AB2294" s="92"/>
      <c r="AC2294" s="92"/>
      <c r="AD2294" s="92"/>
      <c r="AE2294" s="92"/>
      <c r="AF2294" s="92"/>
      <c r="AG2294" s="92"/>
    </row>
    <row r="2295">
      <c r="A2295" s="262"/>
      <c r="B2295" s="354"/>
      <c r="C2295" s="355"/>
      <c r="D2295" s="97"/>
      <c r="E2295" s="98"/>
      <c r="F2295" s="98"/>
      <c r="G2295" s="41"/>
      <c r="H2295" s="98"/>
      <c r="I2295" s="98"/>
      <c r="J2295" s="98"/>
      <c r="K2295" s="91"/>
      <c r="L2295" s="91"/>
      <c r="M2295" s="91"/>
      <c r="N2295" s="96" t="b">
        <v>0</v>
      </c>
      <c r="O2295" s="96" t="b">
        <v>0</v>
      </c>
      <c r="P2295" s="92"/>
      <c r="Q2295" s="92"/>
      <c r="R2295" s="92"/>
      <c r="S2295" s="92"/>
      <c r="T2295" s="92"/>
      <c r="U2295" s="92"/>
      <c r="V2295" s="92"/>
      <c r="W2295" s="92"/>
      <c r="X2295" s="92"/>
      <c r="Y2295" s="92"/>
      <c r="Z2295" s="92"/>
      <c r="AA2295" s="92"/>
      <c r="AB2295" s="92"/>
      <c r="AC2295" s="92"/>
      <c r="AD2295" s="92"/>
      <c r="AE2295" s="92"/>
      <c r="AF2295" s="92"/>
      <c r="AG2295" s="92"/>
    </row>
    <row r="2296">
      <c r="A2296" s="262"/>
      <c r="B2296" s="354"/>
      <c r="C2296" s="355"/>
      <c r="D2296" s="97"/>
      <c r="E2296" s="98"/>
      <c r="F2296" s="98"/>
      <c r="G2296" s="41"/>
      <c r="H2296" s="98"/>
      <c r="I2296" s="98"/>
      <c r="J2296" s="98"/>
      <c r="K2296" s="91"/>
      <c r="L2296" s="91"/>
      <c r="M2296" s="91"/>
      <c r="N2296" s="96" t="b">
        <v>0</v>
      </c>
      <c r="O2296" s="96" t="b">
        <v>0</v>
      </c>
      <c r="P2296" s="92"/>
      <c r="Q2296" s="92"/>
      <c r="R2296" s="92"/>
      <c r="S2296" s="92"/>
      <c r="T2296" s="92"/>
      <c r="U2296" s="92"/>
      <c r="V2296" s="92"/>
      <c r="W2296" s="92"/>
      <c r="X2296" s="92"/>
      <c r="Y2296" s="92"/>
      <c r="Z2296" s="92"/>
      <c r="AA2296" s="92"/>
      <c r="AB2296" s="92"/>
      <c r="AC2296" s="92"/>
      <c r="AD2296" s="92"/>
      <c r="AE2296" s="92"/>
      <c r="AF2296" s="92"/>
      <c r="AG2296" s="92"/>
    </row>
    <row r="2297">
      <c r="A2297" s="262"/>
      <c r="B2297" s="354"/>
      <c r="C2297" s="355"/>
      <c r="D2297" s="97"/>
      <c r="E2297" s="98"/>
      <c r="F2297" s="98"/>
      <c r="G2297" s="41"/>
      <c r="H2297" s="98"/>
      <c r="I2297" s="98"/>
      <c r="J2297" s="98"/>
      <c r="K2297" s="91"/>
      <c r="L2297" s="91"/>
      <c r="M2297" s="91"/>
      <c r="N2297" s="96" t="b">
        <v>0</v>
      </c>
      <c r="O2297" s="96" t="b">
        <v>0</v>
      </c>
      <c r="P2297" s="92"/>
      <c r="Q2297" s="92"/>
      <c r="R2297" s="92"/>
      <c r="S2297" s="92"/>
      <c r="T2297" s="92"/>
      <c r="U2297" s="92"/>
      <c r="V2297" s="92"/>
      <c r="W2297" s="92"/>
      <c r="X2297" s="92"/>
      <c r="Y2297" s="92"/>
      <c r="Z2297" s="92"/>
      <c r="AA2297" s="92"/>
      <c r="AB2297" s="92"/>
      <c r="AC2297" s="92"/>
      <c r="AD2297" s="92"/>
      <c r="AE2297" s="92"/>
      <c r="AF2297" s="92"/>
      <c r="AG2297" s="92"/>
    </row>
    <row r="2298">
      <c r="A2298" s="262"/>
      <c r="B2298" s="354"/>
      <c r="C2298" s="355"/>
      <c r="D2298" s="97"/>
      <c r="E2298" s="98"/>
      <c r="F2298" s="98"/>
      <c r="G2298" s="41"/>
      <c r="H2298" s="98"/>
      <c r="I2298" s="98"/>
      <c r="J2298" s="98"/>
      <c r="K2298" s="91"/>
      <c r="L2298" s="91"/>
      <c r="M2298" s="91"/>
      <c r="N2298" s="96" t="b">
        <v>0</v>
      </c>
      <c r="O2298" s="96" t="b">
        <v>0</v>
      </c>
      <c r="P2298" s="92"/>
      <c r="Q2298" s="92"/>
      <c r="R2298" s="92"/>
      <c r="S2298" s="92"/>
      <c r="T2298" s="92"/>
      <c r="U2298" s="92"/>
      <c r="V2298" s="92"/>
      <c r="W2298" s="92"/>
      <c r="X2298" s="92"/>
      <c r="Y2298" s="92"/>
      <c r="Z2298" s="92"/>
      <c r="AA2298" s="92"/>
      <c r="AB2298" s="92"/>
      <c r="AC2298" s="92"/>
      <c r="AD2298" s="92"/>
      <c r="AE2298" s="92"/>
      <c r="AF2298" s="92"/>
      <c r="AG2298" s="92"/>
    </row>
    <row r="2299">
      <c r="A2299" s="262"/>
      <c r="B2299" s="354"/>
      <c r="C2299" s="355"/>
      <c r="D2299" s="97"/>
      <c r="E2299" s="98"/>
      <c r="F2299" s="98"/>
      <c r="G2299" s="41"/>
      <c r="H2299" s="98"/>
      <c r="I2299" s="98"/>
      <c r="J2299" s="98"/>
      <c r="K2299" s="91"/>
      <c r="L2299" s="91"/>
      <c r="M2299" s="91"/>
      <c r="N2299" s="96" t="b">
        <v>0</v>
      </c>
      <c r="O2299" s="96" t="b">
        <v>0</v>
      </c>
      <c r="P2299" s="92"/>
      <c r="Q2299" s="92"/>
      <c r="R2299" s="92"/>
      <c r="S2299" s="92"/>
      <c r="T2299" s="92"/>
      <c r="U2299" s="92"/>
      <c r="V2299" s="92"/>
      <c r="W2299" s="92"/>
      <c r="X2299" s="92"/>
      <c r="Y2299" s="92"/>
      <c r="Z2299" s="92"/>
      <c r="AA2299" s="92"/>
      <c r="AB2299" s="92"/>
      <c r="AC2299" s="92"/>
      <c r="AD2299" s="92"/>
      <c r="AE2299" s="92"/>
      <c r="AF2299" s="92"/>
      <c r="AG2299" s="92"/>
    </row>
    <row r="2300">
      <c r="A2300" s="262"/>
      <c r="B2300" s="354"/>
      <c r="C2300" s="355"/>
      <c r="D2300" s="97"/>
      <c r="E2300" s="98"/>
      <c r="F2300" s="98"/>
      <c r="G2300" s="41"/>
      <c r="H2300" s="98"/>
      <c r="I2300" s="98"/>
      <c r="J2300" s="98"/>
      <c r="K2300" s="91"/>
      <c r="L2300" s="91"/>
      <c r="M2300" s="91"/>
      <c r="N2300" s="96" t="b">
        <v>0</v>
      </c>
      <c r="O2300" s="96" t="b">
        <v>0</v>
      </c>
      <c r="P2300" s="92"/>
      <c r="Q2300" s="92"/>
      <c r="R2300" s="92"/>
      <c r="S2300" s="92"/>
      <c r="T2300" s="92"/>
      <c r="U2300" s="92"/>
      <c r="V2300" s="92"/>
      <c r="W2300" s="92"/>
      <c r="X2300" s="92"/>
      <c r="Y2300" s="92"/>
      <c r="Z2300" s="92"/>
      <c r="AA2300" s="92"/>
      <c r="AB2300" s="92"/>
      <c r="AC2300" s="92"/>
      <c r="AD2300" s="92"/>
      <c r="AE2300" s="92"/>
      <c r="AF2300" s="92"/>
      <c r="AG2300" s="92"/>
    </row>
    <row r="2301">
      <c r="A2301" s="262"/>
      <c r="B2301" s="354"/>
      <c r="C2301" s="355"/>
      <c r="D2301" s="97"/>
      <c r="E2301" s="98"/>
      <c r="F2301" s="98"/>
      <c r="G2301" s="41"/>
      <c r="H2301" s="98"/>
      <c r="I2301" s="98"/>
      <c r="J2301" s="98"/>
      <c r="K2301" s="91"/>
      <c r="L2301" s="91"/>
      <c r="M2301" s="91"/>
      <c r="N2301" s="96" t="b">
        <v>0</v>
      </c>
      <c r="O2301" s="96" t="b">
        <v>0</v>
      </c>
      <c r="P2301" s="92"/>
      <c r="Q2301" s="92"/>
      <c r="R2301" s="92"/>
      <c r="S2301" s="92"/>
      <c r="T2301" s="92"/>
      <c r="U2301" s="92"/>
      <c r="V2301" s="92"/>
      <c r="W2301" s="92"/>
      <c r="X2301" s="92"/>
      <c r="Y2301" s="92"/>
      <c r="Z2301" s="92"/>
      <c r="AA2301" s="92"/>
      <c r="AB2301" s="92"/>
      <c r="AC2301" s="92"/>
      <c r="AD2301" s="92"/>
      <c r="AE2301" s="92"/>
      <c r="AF2301" s="92"/>
      <c r="AG2301" s="92"/>
    </row>
    <row r="2302">
      <c r="A2302" s="262"/>
      <c r="B2302" s="354"/>
      <c r="C2302" s="355"/>
      <c r="D2302" s="97"/>
      <c r="E2302" s="98"/>
      <c r="F2302" s="98"/>
      <c r="G2302" s="41"/>
      <c r="H2302" s="98"/>
      <c r="I2302" s="98"/>
      <c r="J2302" s="98"/>
      <c r="K2302" s="91"/>
      <c r="L2302" s="91"/>
      <c r="M2302" s="91"/>
      <c r="N2302" s="96" t="b">
        <v>0</v>
      </c>
      <c r="O2302" s="96" t="b">
        <v>0</v>
      </c>
      <c r="P2302" s="92"/>
      <c r="Q2302" s="92"/>
      <c r="R2302" s="92"/>
      <c r="S2302" s="92"/>
      <c r="T2302" s="92"/>
      <c r="U2302" s="92"/>
      <c r="V2302" s="92"/>
      <c r="W2302" s="92"/>
      <c r="X2302" s="92"/>
      <c r="Y2302" s="92"/>
      <c r="Z2302" s="92"/>
      <c r="AA2302" s="92"/>
      <c r="AB2302" s="92"/>
      <c r="AC2302" s="92"/>
      <c r="AD2302" s="92"/>
      <c r="AE2302" s="92"/>
      <c r="AF2302" s="92"/>
      <c r="AG2302" s="92"/>
    </row>
    <row r="2303">
      <c r="A2303" s="262"/>
      <c r="B2303" s="354"/>
      <c r="C2303" s="355"/>
      <c r="D2303" s="97"/>
      <c r="E2303" s="98"/>
      <c r="F2303" s="98"/>
      <c r="G2303" s="41"/>
      <c r="H2303" s="98"/>
      <c r="I2303" s="98"/>
      <c r="J2303" s="98"/>
      <c r="K2303" s="91"/>
      <c r="L2303" s="91"/>
      <c r="M2303" s="91"/>
      <c r="N2303" s="96" t="b">
        <v>0</v>
      </c>
      <c r="O2303" s="96" t="b">
        <v>0</v>
      </c>
      <c r="P2303" s="92"/>
      <c r="Q2303" s="92"/>
      <c r="R2303" s="92"/>
      <c r="S2303" s="92"/>
      <c r="T2303" s="92"/>
      <c r="U2303" s="92"/>
      <c r="V2303" s="92"/>
      <c r="W2303" s="92"/>
      <c r="X2303" s="92"/>
      <c r="Y2303" s="92"/>
      <c r="Z2303" s="92"/>
      <c r="AA2303" s="92"/>
      <c r="AB2303" s="92"/>
      <c r="AC2303" s="92"/>
      <c r="AD2303" s="92"/>
      <c r="AE2303" s="92"/>
      <c r="AF2303" s="92"/>
      <c r="AG2303" s="92"/>
    </row>
    <row r="2304">
      <c r="A2304" s="262"/>
      <c r="B2304" s="354"/>
      <c r="C2304" s="355"/>
      <c r="D2304" s="97"/>
      <c r="E2304" s="98"/>
      <c r="F2304" s="98"/>
      <c r="G2304" s="41"/>
      <c r="H2304" s="98"/>
      <c r="I2304" s="98"/>
      <c r="J2304" s="98"/>
      <c r="K2304" s="91"/>
      <c r="L2304" s="91"/>
      <c r="M2304" s="91"/>
      <c r="N2304" s="96" t="b">
        <v>0</v>
      </c>
      <c r="O2304" s="96" t="b">
        <v>0</v>
      </c>
      <c r="P2304" s="92"/>
      <c r="Q2304" s="92"/>
      <c r="R2304" s="92"/>
      <c r="S2304" s="92"/>
      <c r="T2304" s="92"/>
      <c r="U2304" s="92"/>
      <c r="V2304" s="92"/>
      <c r="W2304" s="92"/>
      <c r="X2304" s="92"/>
      <c r="Y2304" s="92"/>
      <c r="Z2304" s="92"/>
      <c r="AA2304" s="92"/>
      <c r="AB2304" s="92"/>
      <c r="AC2304" s="92"/>
      <c r="AD2304" s="92"/>
      <c r="AE2304" s="92"/>
      <c r="AF2304" s="92"/>
      <c r="AG2304" s="92"/>
    </row>
    <row r="2305">
      <c r="A2305" s="262"/>
      <c r="B2305" s="354"/>
      <c r="C2305" s="355"/>
      <c r="D2305" s="97"/>
      <c r="E2305" s="98"/>
      <c r="F2305" s="98"/>
      <c r="G2305" s="41"/>
      <c r="H2305" s="98"/>
      <c r="I2305" s="98"/>
      <c r="J2305" s="98"/>
      <c r="K2305" s="91"/>
      <c r="L2305" s="91"/>
      <c r="M2305" s="91"/>
      <c r="N2305" s="96" t="b">
        <v>0</v>
      </c>
      <c r="O2305" s="96" t="b">
        <v>0</v>
      </c>
      <c r="P2305" s="92"/>
      <c r="Q2305" s="92"/>
      <c r="R2305" s="92"/>
      <c r="S2305" s="92"/>
      <c r="T2305" s="92"/>
      <c r="U2305" s="92"/>
      <c r="V2305" s="92"/>
      <c r="W2305" s="92"/>
      <c r="X2305" s="92"/>
      <c r="Y2305" s="92"/>
      <c r="Z2305" s="92"/>
      <c r="AA2305" s="92"/>
      <c r="AB2305" s="92"/>
      <c r="AC2305" s="92"/>
      <c r="AD2305" s="92"/>
      <c r="AE2305" s="92"/>
      <c r="AF2305" s="92"/>
      <c r="AG2305" s="92"/>
    </row>
    <row r="2306">
      <c r="A2306" s="262"/>
      <c r="B2306" s="354"/>
      <c r="C2306" s="355"/>
      <c r="D2306" s="97"/>
      <c r="E2306" s="98"/>
      <c r="F2306" s="98"/>
      <c r="G2306" s="41"/>
      <c r="H2306" s="98"/>
      <c r="I2306" s="98"/>
      <c r="J2306" s="98"/>
      <c r="K2306" s="91"/>
      <c r="L2306" s="91"/>
      <c r="M2306" s="91"/>
      <c r="N2306" s="96" t="b">
        <v>0</v>
      </c>
      <c r="O2306" s="96" t="b">
        <v>0</v>
      </c>
      <c r="P2306" s="92"/>
      <c r="Q2306" s="92"/>
      <c r="R2306" s="92"/>
      <c r="S2306" s="92"/>
      <c r="T2306" s="92"/>
      <c r="U2306" s="92"/>
      <c r="V2306" s="92"/>
      <c r="W2306" s="92"/>
      <c r="X2306" s="92"/>
      <c r="Y2306" s="92"/>
      <c r="Z2306" s="92"/>
      <c r="AA2306" s="92"/>
      <c r="AB2306" s="92"/>
      <c r="AC2306" s="92"/>
      <c r="AD2306" s="92"/>
      <c r="AE2306" s="92"/>
      <c r="AF2306" s="92"/>
      <c r="AG2306" s="92"/>
    </row>
    <row r="2307">
      <c r="A2307" s="262"/>
      <c r="B2307" s="354"/>
      <c r="C2307" s="355"/>
      <c r="D2307" s="97"/>
      <c r="E2307" s="98"/>
      <c r="F2307" s="98"/>
      <c r="G2307" s="41"/>
      <c r="H2307" s="98"/>
      <c r="I2307" s="98"/>
      <c r="J2307" s="98"/>
      <c r="K2307" s="91"/>
      <c r="L2307" s="91"/>
      <c r="M2307" s="91"/>
      <c r="N2307" s="96" t="b">
        <v>0</v>
      </c>
      <c r="O2307" s="96" t="b">
        <v>0</v>
      </c>
      <c r="P2307" s="92"/>
      <c r="Q2307" s="92"/>
      <c r="R2307" s="92"/>
      <c r="S2307" s="92"/>
      <c r="T2307" s="92"/>
      <c r="U2307" s="92"/>
      <c r="V2307" s="92"/>
      <c r="W2307" s="92"/>
      <c r="X2307" s="92"/>
      <c r="Y2307" s="92"/>
      <c r="Z2307" s="92"/>
      <c r="AA2307" s="92"/>
      <c r="AB2307" s="92"/>
      <c r="AC2307" s="92"/>
      <c r="AD2307" s="92"/>
      <c r="AE2307" s="92"/>
      <c r="AF2307" s="92"/>
      <c r="AG2307" s="92"/>
    </row>
    <row r="2308">
      <c r="A2308" s="262"/>
      <c r="B2308" s="354"/>
      <c r="C2308" s="355"/>
      <c r="D2308" s="97"/>
      <c r="E2308" s="98"/>
      <c r="F2308" s="98"/>
      <c r="G2308" s="41"/>
      <c r="H2308" s="98"/>
      <c r="I2308" s="98"/>
      <c r="J2308" s="98"/>
      <c r="K2308" s="91"/>
      <c r="L2308" s="91"/>
      <c r="M2308" s="91"/>
      <c r="N2308" s="96" t="b">
        <v>0</v>
      </c>
      <c r="O2308" s="96" t="b">
        <v>0</v>
      </c>
      <c r="P2308" s="92"/>
      <c r="Q2308" s="92"/>
      <c r="R2308" s="92"/>
      <c r="S2308" s="92"/>
      <c r="T2308" s="92"/>
      <c r="U2308" s="92"/>
      <c r="V2308" s="92"/>
      <c r="W2308" s="92"/>
      <c r="X2308" s="92"/>
      <c r="Y2308" s="92"/>
      <c r="Z2308" s="92"/>
      <c r="AA2308" s="92"/>
      <c r="AB2308" s="92"/>
      <c r="AC2308" s="92"/>
      <c r="AD2308" s="92"/>
      <c r="AE2308" s="92"/>
      <c r="AF2308" s="92"/>
      <c r="AG2308" s="92"/>
    </row>
    <row r="2309">
      <c r="A2309" s="262"/>
      <c r="B2309" s="354"/>
      <c r="C2309" s="355"/>
      <c r="D2309" s="97"/>
      <c r="E2309" s="98"/>
      <c r="F2309" s="98"/>
      <c r="G2309" s="41"/>
      <c r="H2309" s="98"/>
      <c r="I2309" s="98"/>
      <c r="J2309" s="98"/>
      <c r="K2309" s="91"/>
      <c r="L2309" s="91"/>
      <c r="M2309" s="91"/>
      <c r="N2309" s="96" t="b">
        <v>0</v>
      </c>
      <c r="O2309" s="96" t="b">
        <v>0</v>
      </c>
      <c r="P2309" s="92"/>
      <c r="Q2309" s="92"/>
      <c r="R2309" s="92"/>
      <c r="S2309" s="92"/>
      <c r="T2309" s="92"/>
      <c r="U2309" s="92"/>
      <c r="V2309" s="92"/>
      <c r="W2309" s="92"/>
      <c r="X2309" s="92"/>
      <c r="Y2309" s="92"/>
      <c r="Z2309" s="92"/>
      <c r="AA2309" s="92"/>
      <c r="AB2309" s="92"/>
      <c r="AC2309" s="92"/>
      <c r="AD2309" s="92"/>
      <c r="AE2309" s="92"/>
      <c r="AF2309" s="92"/>
      <c r="AG2309" s="92"/>
    </row>
    <row r="2310">
      <c r="A2310" s="262"/>
      <c r="B2310" s="354"/>
      <c r="C2310" s="355"/>
      <c r="D2310" s="97"/>
      <c r="E2310" s="98"/>
      <c r="F2310" s="98"/>
      <c r="G2310" s="41"/>
      <c r="H2310" s="98"/>
      <c r="I2310" s="98"/>
      <c r="J2310" s="98"/>
      <c r="K2310" s="91"/>
      <c r="L2310" s="91"/>
      <c r="M2310" s="91"/>
      <c r="N2310" s="96" t="b">
        <v>0</v>
      </c>
      <c r="O2310" s="96" t="b">
        <v>0</v>
      </c>
      <c r="P2310" s="92"/>
      <c r="Q2310" s="92"/>
      <c r="R2310" s="92"/>
      <c r="S2310" s="92"/>
      <c r="T2310" s="92"/>
      <c r="U2310" s="92"/>
      <c r="V2310" s="92"/>
      <c r="W2310" s="92"/>
      <c r="X2310" s="92"/>
      <c r="Y2310" s="92"/>
      <c r="Z2310" s="92"/>
      <c r="AA2310" s="92"/>
      <c r="AB2310" s="92"/>
      <c r="AC2310" s="92"/>
      <c r="AD2310" s="92"/>
      <c r="AE2310" s="92"/>
      <c r="AF2310" s="92"/>
      <c r="AG2310" s="92"/>
    </row>
    <row r="2311">
      <c r="A2311" s="262"/>
      <c r="B2311" s="354"/>
      <c r="C2311" s="355"/>
      <c r="D2311" s="97"/>
      <c r="E2311" s="98"/>
      <c r="F2311" s="98"/>
      <c r="G2311" s="41"/>
      <c r="H2311" s="98"/>
      <c r="I2311" s="98"/>
      <c r="J2311" s="98"/>
      <c r="K2311" s="91"/>
      <c r="L2311" s="91"/>
      <c r="M2311" s="91"/>
      <c r="N2311" s="96" t="b">
        <v>0</v>
      </c>
      <c r="O2311" s="96" t="b">
        <v>0</v>
      </c>
      <c r="P2311" s="92"/>
      <c r="Q2311" s="92"/>
      <c r="R2311" s="92"/>
      <c r="S2311" s="92"/>
      <c r="T2311" s="92"/>
      <c r="U2311" s="92"/>
      <c r="V2311" s="92"/>
      <c r="W2311" s="92"/>
      <c r="X2311" s="92"/>
      <c r="Y2311" s="92"/>
      <c r="Z2311" s="92"/>
      <c r="AA2311" s="92"/>
      <c r="AB2311" s="92"/>
      <c r="AC2311" s="92"/>
      <c r="AD2311" s="92"/>
      <c r="AE2311" s="92"/>
      <c r="AF2311" s="92"/>
      <c r="AG2311" s="92"/>
    </row>
    <row r="2312">
      <c r="A2312" s="262"/>
      <c r="B2312" s="354"/>
      <c r="C2312" s="355"/>
      <c r="D2312" s="97"/>
      <c r="E2312" s="98"/>
      <c r="F2312" s="98"/>
      <c r="G2312" s="41"/>
      <c r="H2312" s="98"/>
      <c r="I2312" s="98"/>
      <c r="J2312" s="98"/>
      <c r="K2312" s="91"/>
      <c r="L2312" s="91"/>
      <c r="M2312" s="91"/>
      <c r="N2312" s="96" t="b">
        <v>0</v>
      </c>
      <c r="O2312" s="96" t="b">
        <v>0</v>
      </c>
      <c r="P2312" s="92"/>
      <c r="Q2312" s="92"/>
      <c r="R2312" s="92"/>
      <c r="S2312" s="92"/>
      <c r="T2312" s="92"/>
      <c r="U2312" s="92"/>
      <c r="V2312" s="92"/>
      <c r="W2312" s="92"/>
      <c r="X2312" s="92"/>
      <c r="Y2312" s="92"/>
      <c r="Z2312" s="92"/>
      <c r="AA2312" s="92"/>
      <c r="AB2312" s="92"/>
      <c r="AC2312" s="92"/>
      <c r="AD2312" s="92"/>
      <c r="AE2312" s="92"/>
      <c r="AF2312" s="92"/>
      <c r="AG2312" s="92"/>
    </row>
    <row r="2313">
      <c r="A2313" s="262"/>
      <c r="B2313" s="354"/>
      <c r="C2313" s="355"/>
      <c r="D2313" s="97"/>
      <c r="E2313" s="98"/>
      <c r="F2313" s="98"/>
      <c r="G2313" s="41"/>
      <c r="H2313" s="98"/>
      <c r="I2313" s="98"/>
      <c r="J2313" s="98"/>
      <c r="K2313" s="91"/>
      <c r="L2313" s="91"/>
      <c r="M2313" s="91"/>
      <c r="N2313" s="96" t="b">
        <v>0</v>
      </c>
      <c r="O2313" s="96" t="b">
        <v>0</v>
      </c>
      <c r="P2313" s="92"/>
      <c r="Q2313" s="92"/>
      <c r="R2313" s="92"/>
      <c r="S2313" s="92"/>
      <c r="T2313" s="92"/>
      <c r="U2313" s="92"/>
      <c r="V2313" s="92"/>
      <c r="W2313" s="92"/>
      <c r="X2313" s="92"/>
      <c r="Y2313" s="92"/>
      <c r="Z2313" s="92"/>
      <c r="AA2313" s="92"/>
      <c r="AB2313" s="92"/>
      <c r="AC2313" s="92"/>
      <c r="AD2313" s="92"/>
      <c r="AE2313" s="92"/>
      <c r="AF2313" s="92"/>
      <c r="AG2313" s="92"/>
    </row>
    <row r="2314">
      <c r="A2314" s="262"/>
      <c r="B2314" s="354"/>
      <c r="C2314" s="355"/>
      <c r="D2314" s="97"/>
      <c r="E2314" s="98"/>
      <c r="F2314" s="98"/>
      <c r="G2314" s="41"/>
      <c r="H2314" s="98"/>
      <c r="I2314" s="98"/>
      <c r="J2314" s="98"/>
      <c r="K2314" s="91"/>
      <c r="L2314" s="91"/>
      <c r="M2314" s="91"/>
      <c r="N2314" s="96" t="b">
        <v>0</v>
      </c>
      <c r="O2314" s="96" t="b">
        <v>0</v>
      </c>
      <c r="P2314" s="92"/>
      <c r="Q2314" s="92"/>
      <c r="R2314" s="92"/>
      <c r="S2314" s="92"/>
      <c r="T2314" s="92"/>
      <c r="U2314" s="92"/>
      <c r="V2314" s="92"/>
      <c r="W2314" s="92"/>
      <c r="X2314" s="92"/>
      <c r="Y2314" s="92"/>
      <c r="Z2314" s="92"/>
      <c r="AA2314" s="92"/>
      <c r="AB2314" s="92"/>
      <c r="AC2314" s="92"/>
      <c r="AD2314" s="92"/>
      <c r="AE2314" s="92"/>
      <c r="AF2314" s="92"/>
      <c r="AG2314" s="92"/>
    </row>
    <row r="2315">
      <c r="A2315" s="262"/>
      <c r="B2315" s="354"/>
      <c r="C2315" s="355"/>
      <c r="D2315" s="97"/>
      <c r="E2315" s="98"/>
      <c r="F2315" s="98"/>
      <c r="G2315" s="41"/>
      <c r="H2315" s="98"/>
      <c r="I2315" s="98"/>
      <c r="J2315" s="98"/>
      <c r="K2315" s="91"/>
      <c r="L2315" s="91"/>
      <c r="M2315" s="91"/>
      <c r="N2315" s="96" t="b">
        <v>0</v>
      </c>
      <c r="O2315" s="96" t="b">
        <v>0</v>
      </c>
      <c r="P2315" s="92"/>
      <c r="Q2315" s="92"/>
      <c r="R2315" s="92"/>
      <c r="S2315" s="92"/>
      <c r="T2315" s="92"/>
      <c r="U2315" s="92"/>
      <c r="V2315" s="92"/>
      <c r="W2315" s="92"/>
      <c r="X2315" s="92"/>
      <c r="Y2315" s="92"/>
      <c r="Z2315" s="92"/>
      <c r="AA2315" s="92"/>
      <c r="AB2315" s="92"/>
      <c r="AC2315" s="92"/>
      <c r="AD2315" s="92"/>
      <c r="AE2315" s="92"/>
      <c r="AF2315" s="92"/>
      <c r="AG2315" s="92"/>
    </row>
    <row r="2316">
      <c r="A2316" s="262"/>
      <c r="B2316" s="354"/>
      <c r="C2316" s="355"/>
      <c r="D2316" s="97"/>
      <c r="E2316" s="98"/>
      <c r="F2316" s="98"/>
      <c r="G2316" s="41"/>
      <c r="H2316" s="98"/>
      <c r="I2316" s="98"/>
      <c r="J2316" s="98"/>
      <c r="K2316" s="91"/>
      <c r="L2316" s="91"/>
      <c r="M2316" s="91"/>
      <c r="N2316" s="96" t="b">
        <v>0</v>
      </c>
      <c r="O2316" s="96" t="b">
        <v>0</v>
      </c>
      <c r="P2316" s="92"/>
      <c r="Q2316" s="92"/>
      <c r="R2316" s="92"/>
      <c r="S2316" s="92"/>
      <c r="T2316" s="92"/>
      <c r="U2316" s="92"/>
      <c r="V2316" s="92"/>
      <c r="W2316" s="92"/>
      <c r="X2316" s="92"/>
      <c r="Y2316" s="92"/>
      <c r="Z2316" s="92"/>
      <c r="AA2316" s="92"/>
      <c r="AB2316" s="92"/>
      <c r="AC2316" s="92"/>
      <c r="AD2316" s="92"/>
      <c r="AE2316" s="92"/>
      <c r="AF2316" s="92"/>
      <c r="AG2316" s="92"/>
    </row>
    <row r="2317">
      <c r="A2317" s="262"/>
      <c r="B2317" s="354"/>
      <c r="C2317" s="355"/>
      <c r="D2317" s="97"/>
      <c r="E2317" s="98"/>
      <c r="F2317" s="98"/>
      <c r="G2317" s="41"/>
      <c r="H2317" s="98"/>
      <c r="I2317" s="98"/>
      <c r="J2317" s="98"/>
      <c r="K2317" s="91"/>
      <c r="L2317" s="91"/>
      <c r="M2317" s="91"/>
      <c r="N2317" s="96" t="b">
        <v>0</v>
      </c>
      <c r="O2317" s="96" t="b">
        <v>0</v>
      </c>
      <c r="P2317" s="92"/>
      <c r="Q2317" s="92"/>
      <c r="R2317" s="92"/>
      <c r="S2317" s="92"/>
      <c r="T2317" s="92"/>
      <c r="U2317" s="92"/>
      <c r="V2317" s="92"/>
      <c r="W2317" s="92"/>
      <c r="X2317" s="92"/>
      <c r="Y2317" s="92"/>
      <c r="Z2317" s="92"/>
      <c r="AA2317" s="92"/>
      <c r="AB2317" s="92"/>
      <c r="AC2317" s="92"/>
      <c r="AD2317" s="92"/>
      <c r="AE2317" s="92"/>
      <c r="AF2317" s="92"/>
      <c r="AG2317" s="92"/>
    </row>
    <row r="2318">
      <c r="A2318" s="262"/>
      <c r="B2318" s="354"/>
      <c r="C2318" s="355"/>
      <c r="D2318" s="97"/>
      <c r="E2318" s="98"/>
      <c r="F2318" s="98"/>
      <c r="G2318" s="41"/>
      <c r="H2318" s="98"/>
      <c r="I2318" s="98"/>
      <c r="J2318" s="98"/>
      <c r="K2318" s="91"/>
      <c r="L2318" s="91"/>
      <c r="M2318" s="91"/>
      <c r="N2318" s="96" t="b">
        <v>0</v>
      </c>
      <c r="O2318" s="96" t="b">
        <v>0</v>
      </c>
      <c r="P2318" s="92"/>
      <c r="Q2318" s="92"/>
      <c r="R2318" s="92"/>
      <c r="S2318" s="92"/>
      <c r="T2318" s="92"/>
      <c r="U2318" s="92"/>
      <c r="V2318" s="92"/>
      <c r="W2318" s="92"/>
      <c r="X2318" s="92"/>
      <c r="Y2318" s="92"/>
      <c r="Z2318" s="92"/>
      <c r="AA2318" s="92"/>
      <c r="AB2318" s="92"/>
      <c r="AC2318" s="92"/>
      <c r="AD2318" s="92"/>
      <c r="AE2318" s="92"/>
      <c r="AF2318" s="92"/>
      <c r="AG2318" s="92"/>
    </row>
    <row r="2319">
      <c r="A2319" s="262"/>
      <c r="B2319" s="354"/>
      <c r="C2319" s="355"/>
      <c r="D2319" s="97"/>
      <c r="E2319" s="98"/>
      <c r="F2319" s="98"/>
      <c r="G2319" s="41"/>
      <c r="H2319" s="98"/>
      <c r="I2319" s="98"/>
      <c r="J2319" s="98"/>
      <c r="K2319" s="91"/>
      <c r="L2319" s="91"/>
      <c r="M2319" s="91"/>
      <c r="N2319" s="96" t="b">
        <v>0</v>
      </c>
      <c r="O2319" s="96" t="b">
        <v>0</v>
      </c>
      <c r="P2319" s="92"/>
      <c r="Q2319" s="92"/>
      <c r="R2319" s="92"/>
      <c r="S2319" s="92"/>
      <c r="T2319" s="92"/>
      <c r="U2319" s="92"/>
      <c r="V2319" s="92"/>
      <c r="W2319" s="92"/>
      <c r="X2319" s="92"/>
      <c r="Y2319" s="92"/>
      <c r="Z2319" s="92"/>
      <c r="AA2319" s="92"/>
      <c r="AB2319" s="92"/>
      <c r="AC2319" s="92"/>
      <c r="AD2319" s="92"/>
      <c r="AE2319" s="92"/>
      <c r="AF2319" s="92"/>
      <c r="AG2319" s="92"/>
    </row>
    <row r="2320">
      <c r="A2320" s="262"/>
      <c r="B2320" s="354"/>
      <c r="C2320" s="355"/>
      <c r="D2320" s="97"/>
      <c r="E2320" s="98"/>
      <c r="F2320" s="98"/>
      <c r="G2320" s="41"/>
      <c r="H2320" s="98"/>
      <c r="I2320" s="98"/>
      <c r="J2320" s="98"/>
      <c r="K2320" s="91"/>
      <c r="L2320" s="91"/>
      <c r="M2320" s="91"/>
      <c r="N2320" s="96" t="b">
        <v>0</v>
      </c>
      <c r="O2320" s="96" t="b">
        <v>0</v>
      </c>
      <c r="P2320" s="92"/>
      <c r="Q2320" s="92"/>
      <c r="R2320" s="92"/>
      <c r="S2320" s="92"/>
      <c r="T2320" s="92"/>
      <c r="U2320" s="92"/>
      <c r="V2320" s="92"/>
      <c r="W2320" s="92"/>
      <c r="X2320" s="92"/>
      <c r="Y2320" s="92"/>
      <c r="Z2320" s="92"/>
      <c r="AA2320" s="92"/>
      <c r="AB2320" s="92"/>
      <c r="AC2320" s="92"/>
      <c r="AD2320" s="92"/>
      <c r="AE2320" s="92"/>
      <c r="AF2320" s="92"/>
      <c r="AG2320" s="92"/>
    </row>
    <row r="2321">
      <c r="A2321" s="262"/>
      <c r="B2321" s="354"/>
      <c r="C2321" s="355"/>
      <c r="D2321" s="97"/>
      <c r="E2321" s="98"/>
      <c r="F2321" s="98"/>
      <c r="G2321" s="41"/>
      <c r="H2321" s="98"/>
      <c r="I2321" s="98"/>
      <c r="J2321" s="98"/>
      <c r="K2321" s="91"/>
      <c r="L2321" s="91"/>
      <c r="M2321" s="91"/>
      <c r="N2321" s="96" t="b">
        <v>0</v>
      </c>
      <c r="O2321" s="96" t="b">
        <v>0</v>
      </c>
      <c r="P2321" s="92"/>
      <c r="Q2321" s="92"/>
      <c r="R2321" s="92"/>
      <c r="S2321" s="92"/>
      <c r="T2321" s="92"/>
      <c r="U2321" s="92"/>
      <c r="V2321" s="92"/>
      <c r="W2321" s="92"/>
      <c r="X2321" s="92"/>
      <c r="Y2321" s="92"/>
      <c r="Z2321" s="92"/>
      <c r="AA2321" s="92"/>
      <c r="AB2321" s="92"/>
      <c r="AC2321" s="92"/>
      <c r="AD2321" s="92"/>
      <c r="AE2321" s="92"/>
      <c r="AF2321" s="92"/>
      <c r="AG2321" s="92"/>
    </row>
    <row r="2322">
      <c r="A2322" s="262"/>
      <c r="B2322" s="354"/>
      <c r="C2322" s="355"/>
      <c r="D2322" s="97"/>
      <c r="E2322" s="98"/>
      <c r="F2322" s="98"/>
      <c r="G2322" s="41"/>
      <c r="H2322" s="98"/>
      <c r="I2322" s="98"/>
      <c r="J2322" s="98"/>
      <c r="K2322" s="91"/>
      <c r="L2322" s="91"/>
      <c r="M2322" s="91"/>
      <c r="N2322" s="96" t="b">
        <v>0</v>
      </c>
      <c r="O2322" s="96" t="b">
        <v>0</v>
      </c>
      <c r="P2322" s="92"/>
      <c r="Q2322" s="92"/>
      <c r="R2322" s="92"/>
      <c r="S2322" s="92"/>
      <c r="T2322" s="92"/>
      <c r="U2322" s="92"/>
      <c r="V2322" s="92"/>
      <c r="W2322" s="92"/>
      <c r="X2322" s="92"/>
      <c r="Y2322" s="92"/>
      <c r="Z2322" s="92"/>
      <c r="AA2322" s="92"/>
      <c r="AB2322" s="92"/>
      <c r="AC2322" s="92"/>
      <c r="AD2322" s="92"/>
      <c r="AE2322" s="92"/>
      <c r="AF2322" s="92"/>
      <c r="AG2322" s="92"/>
    </row>
    <row r="2323">
      <c r="A2323" s="262"/>
      <c r="B2323" s="354"/>
      <c r="C2323" s="355"/>
      <c r="D2323" s="97"/>
      <c r="E2323" s="98"/>
      <c r="F2323" s="98"/>
      <c r="G2323" s="41"/>
      <c r="H2323" s="98"/>
      <c r="I2323" s="98"/>
      <c r="J2323" s="98"/>
      <c r="K2323" s="91"/>
      <c r="L2323" s="91"/>
      <c r="M2323" s="91"/>
      <c r="N2323" s="96" t="b">
        <v>0</v>
      </c>
      <c r="O2323" s="96" t="b">
        <v>0</v>
      </c>
      <c r="P2323" s="92"/>
      <c r="Q2323" s="92"/>
      <c r="R2323" s="92"/>
      <c r="S2323" s="92"/>
      <c r="T2323" s="92"/>
      <c r="U2323" s="92"/>
      <c r="V2323" s="92"/>
      <c r="W2323" s="92"/>
      <c r="X2323" s="92"/>
      <c r="Y2323" s="92"/>
      <c r="Z2323" s="92"/>
      <c r="AA2323" s="92"/>
      <c r="AB2323" s="92"/>
      <c r="AC2323" s="92"/>
      <c r="AD2323" s="92"/>
      <c r="AE2323" s="92"/>
      <c r="AF2323" s="92"/>
      <c r="AG2323" s="92"/>
    </row>
    <row r="2324">
      <c r="A2324" s="262"/>
      <c r="B2324" s="354"/>
      <c r="C2324" s="355"/>
      <c r="D2324" s="97"/>
      <c r="E2324" s="98"/>
      <c r="F2324" s="98"/>
      <c r="G2324" s="41"/>
      <c r="H2324" s="98"/>
      <c r="I2324" s="98"/>
      <c r="J2324" s="98"/>
      <c r="K2324" s="91"/>
      <c r="L2324" s="91"/>
      <c r="M2324" s="91"/>
      <c r="N2324" s="96" t="b">
        <v>0</v>
      </c>
      <c r="O2324" s="96" t="b">
        <v>0</v>
      </c>
      <c r="P2324" s="92"/>
      <c r="Q2324" s="92"/>
      <c r="R2324" s="92"/>
      <c r="S2324" s="92"/>
      <c r="T2324" s="92"/>
      <c r="U2324" s="92"/>
      <c r="V2324" s="92"/>
      <c r="W2324" s="92"/>
      <c r="X2324" s="92"/>
      <c r="Y2324" s="92"/>
      <c r="Z2324" s="92"/>
      <c r="AA2324" s="92"/>
      <c r="AB2324" s="92"/>
      <c r="AC2324" s="92"/>
      <c r="AD2324" s="92"/>
      <c r="AE2324" s="92"/>
      <c r="AF2324" s="92"/>
      <c r="AG2324" s="92"/>
    </row>
    <row r="2325">
      <c r="A2325" s="262"/>
      <c r="B2325" s="354"/>
      <c r="C2325" s="355"/>
      <c r="D2325" s="97"/>
      <c r="E2325" s="98"/>
      <c r="F2325" s="98"/>
      <c r="G2325" s="41"/>
      <c r="H2325" s="98"/>
      <c r="I2325" s="98"/>
      <c r="J2325" s="98"/>
      <c r="K2325" s="91"/>
      <c r="L2325" s="91"/>
      <c r="M2325" s="91"/>
      <c r="N2325" s="96" t="b">
        <v>0</v>
      </c>
      <c r="O2325" s="96" t="b">
        <v>0</v>
      </c>
      <c r="P2325" s="92"/>
      <c r="Q2325" s="92"/>
      <c r="R2325" s="92"/>
      <c r="S2325" s="92"/>
      <c r="T2325" s="92"/>
      <c r="U2325" s="92"/>
      <c r="V2325" s="92"/>
      <c r="W2325" s="92"/>
      <c r="X2325" s="92"/>
      <c r="Y2325" s="92"/>
      <c r="Z2325" s="92"/>
      <c r="AA2325" s="92"/>
      <c r="AB2325" s="92"/>
      <c r="AC2325" s="92"/>
      <c r="AD2325" s="92"/>
      <c r="AE2325" s="92"/>
      <c r="AF2325" s="92"/>
      <c r="AG2325" s="92"/>
    </row>
    <row r="2326">
      <c r="A2326" s="262"/>
      <c r="B2326" s="354"/>
      <c r="C2326" s="355"/>
      <c r="D2326" s="97"/>
      <c r="E2326" s="98"/>
      <c r="F2326" s="98"/>
      <c r="G2326" s="41"/>
      <c r="H2326" s="98"/>
      <c r="I2326" s="98"/>
      <c r="J2326" s="98"/>
      <c r="K2326" s="91"/>
      <c r="L2326" s="91"/>
      <c r="M2326" s="91"/>
      <c r="N2326" s="96" t="b">
        <v>0</v>
      </c>
      <c r="O2326" s="96" t="b">
        <v>0</v>
      </c>
      <c r="P2326" s="92"/>
      <c r="Q2326" s="92"/>
      <c r="R2326" s="92"/>
      <c r="S2326" s="92"/>
      <c r="T2326" s="92"/>
      <c r="U2326" s="92"/>
      <c r="V2326" s="92"/>
      <c r="W2326" s="92"/>
      <c r="X2326" s="92"/>
      <c r="Y2326" s="92"/>
      <c r="Z2326" s="92"/>
      <c r="AA2326" s="92"/>
      <c r="AB2326" s="92"/>
      <c r="AC2326" s="92"/>
      <c r="AD2326" s="92"/>
      <c r="AE2326" s="92"/>
      <c r="AF2326" s="92"/>
      <c r="AG2326" s="92"/>
    </row>
    <row r="2327">
      <c r="A2327" s="262"/>
      <c r="B2327" s="354"/>
      <c r="C2327" s="355"/>
      <c r="D2327" s="97"/>
      <c r="E2327" s="98"/>
      <c r="F2327" s="98"/>
      <c r="G2327" s="41"/>
      <c r="H2327" s="98"/>
      <c r="I2327" s="98"/>
      <c r="J2327" s="98"/>
      <c r="K2327" s="91"/>
      <c r="L2327" s="91"/>
      <c r="M2327" s="91"/>
      <c r="N2327" s="96" t="b">
        <v>0</v>
      </c>
      <c r="O2327" s="96" t="b">
        <v>0</v>
      </c>
      <c r="P2327" s="92"/>
      <c r="Q2327" s="92"/>
      <c r="R2327" s="92"/>
      <c r="S2327" s="92"/>
      <c r="T2327" s="92"/>
      <c r="U2327" s="92"/>
      <c r="V2327" s="92"/>
      <c r="W2327" s="92"/>
      <c r="X2327" s="92"/>
      <c r="Y2327" s="92"/>
      <c r="Z2327" s="92"/>
      <c r="AA2327" s="92"/>
      <c r="AB2327" s="92"/>
      <c r="AC2327" s="92"/>
      <c r="AD2327" s="92"/>
      <c r="AE2327" s="92"/>
      <c r="AF2327" s="92"/>
      <c r="AG2327" s="92"/>
    </row>
    <row r="2328">
      <c r="A2328" s="262"/>
      <c r="B2328" s="354"/>
      <c r="C2328" s="355"/>
      <c r="D2328" s="97"/>
      <c r="E2328" s="98"/>
      <c r="F2328" s="98"/>
      <c r="G2328" s="41"/>
      <c r="H2328" s="98"/>
      <c r="I2328" s="98"/>
      <c r="J2328" s="98"/>
      <c r="K2328" s="91"/>
      <c r="L2328" s="91"/>
      <c r="M2328" s="91"/>
      <c r="N2328" s="96" t="b">
        <v>0</v>
      </c>
      <c r="O2328" s="96" t="b">
        <v>0</v>
      </c>
      <c r="P2328" s="92"/>
      <c r="Q2328" s="92"/>
      <c r="R2328" s="92"/>
      <c r="S2328" s="92"/>
      <c r="T2328" s="92"/>
      <c r="U2328" s="92"/>
      <c r="V2328" s="92"/>
      <c r="W2328" s="92"/>
      <c r="X2328" s="92"/>
      <c r="Y2328" s="92"/>
      <c r="Z2328" s="92"/>
      <c r="AA2328" s="92"/>
      <c r="AB2328" s="92"/>
      <c r="AC2328" s="92"/>
      <c r="AD2328" s="92"/>
      <c r="AE2328" s="92"/>
      <c r="AF2328" s="92"/>
      <c r="AG2328" s="92"/>
    </row>
    <row r="2329">
      <c r="A2329" s="262"/>
      <c r="B2329" s="354"/>
      <c r="C2329" s="355"/>
      <c r="D2329" s="97"/>
      <c r="E2329" s="98"/>
      <c r="F2329" s="98"/>
      <c r="G2329" s="41"/>
      <c r="H2329" s="98"/>
      <c r="I2329" s="98"/>
      <c r="J2329" s="98"/>
      <c r="K2329" s="91"/>
      <c r="L2329" s="91"/>
      <c r="M2329" s="91"/>
      <c r="N2329" s="96" t="b">
        <v>0</v>
      </c>
      <c r="O2329" s="96" t="b">
        <v>0</v>
      </c>
      <c r="P2329" s="92"/>
      <c r="Q2329" s="92"/>
      <c r="R2329" s="92"/>
      <c r="S2329" s="92"/>
      <c r="T2329" s="92"/>
      <c r="U2329" s="92"/>
      <c r="V2329" s="92"/>
      <c r="W2329" s="92"/>
      <c r="X2329" s="92"/>
      <c r="Y2329" s="92"/>
      <c r="Z2329" s="92"/>
      <c r="AA2329" s="92"/>
      <c r="AB2329" s="92"/>
      <c r="AC2329" s="92"/>
      <c r="AD2329" s="92"/>
      <c r="AE2329" s="92"/>
      <c r="AF2329" s="92"/>
      <c r="AG2329" s="92"/>
    </row>
    <row r="2330">
      <c r="A2330" s="262"/>
      <c r="B2330" s="354"/>
      <c r="C2330" s="355"/>
      <c r="D2330" s="97"/>
      <c r="E2330" s="98"/>
      <c r="F2330" s="98"/>
      <c r="G2330" s="41"/>
      <c r="H2330" s="98"/>
      <c r="I2330" s="98"/>
      <c r="J2330" s="98"/>
      <c r="K2330" s="91"/>
      <c r="L2330" s="91"/>
      <c r="M2330" s="91"/>
      <c r="N2330" s="96" t="b">
        <v>0</v>
      </c>
      <c r="O2330" s="96" t="b">
        <v>0</v>
      </c>
      <c r="P2330" s="92"/>
      <c r="Q2330" s="92"/>
      <c r="R2330" s="92"/>
      <c r="S2330" s="92"/>
      <c r="T2330" s="92"/>
      <c r="U2330" s="92"/>
      <c r="V2330" s="92"/>
      <c r="W2330" s="92"/>
      <c r="X2330" s="92"/>
      <c r="Y2330" s="92"/>
      <c r="Z2330" s="92"/>
      <c r="AA2330" s="92"/>
      <c r="AB2330" s="92"/>
      <c r="AC2330" s="92"/>
      <c r="AD2330" s="92"/>
      <c r="AE2330" s="92"/>
      <c r="AF2330" s="92"/>
      <c r="AG2330" s="92"/>
    </row>
    <row r="2331">
      <c r="A2331" s="262"/>
      <c r="B2331" s="354"/>
      <c r="C2331" s="355"/>
      <c r="D2331" s="97"/>
      <c r="E2331" s="98"/>
      <c r="F2331" s="98"/>
      <c r="G2331" s="41"/>
      <c r="H2331" s="98"/>
      <c r="I2331" s="98"/>
      <c r="J2331" s="98"/>
      <c r="K2331" s="91"/>
      <c r="L2331" s="91"/>
      <c r="M2331" s="91"/>
      <c r="N2331" s="96" t="b">
        <v>0</v>
      </c>
      <c r="O2331" s="96" t="b">
        <v>0</v>
      </c>
      <c r="P2331" s="92"/>
      <c r="Q2331" s="92"/>
      <c r="R2331" s="92"/>
      <c r="S2331" s="92"/>
      <c r="T2331" s="92"/>
      <c r="U2331" s="92"/>
      <c r="V2331" s="92"/>
      <c r="W2331" s="92"/>
      <c r="X2331" s="92"/>
      <c r="Y2331" s="92"/>
      <c r="Z2331" s="92"/>
      <c r="AA2331" s="92"/>
      <c r="AB2331" s="92"/>
      <c r="AC2331" s="92"/>
      <c r="AD2331" s="92"/>
      <c r="AE2331" s="92"/>
      <c r="AF2331" s="92"/>
      <c r="AG2331" s="92"/>
    </row>
    <row r="2332">
      <c r="A2332" s="262"/>
      <c r="B2332" s="354"/>
      <c r="C2332" s="355"/>
      <c r="D2332" s="97"/>
      <c r="E2332" s="98"/>
      <c r="F2332" s="98"/>
      <c r="G2332" s="41"/>
      <c r="H2332" s="98"/>
      <c r="I2332" s="98"/>
      <c r="J2332" s="98"/>
      <c r="K2332" s="91"/>
      <c r="L2332" s="91"/>
      <c r="M2332" s="91"/>
      <c r="N2332" s="96" t="b">
        <v>0</v>
      </c>
      <c r="O2332" s="96" t="b">
        <v>0</v>
      </c>
      <c r="P2332" s="92"/>
      <c r="Q2332" s="92"/>
      <c r="R2332" s="92"/>
      <c r="S2332" s="92"/>
      <c r="T2332" s="92"/>
      <c r="U2332" s="92"/>
      <c r="V2332" s="92"/>
      <c r="W2332" s="92"/>
      <c r="X2332" s="92"/>
      <c r="Y2332" s="92"/>
      <c r="Z2332" s="92"/>
      <c r="AA2332" s="92"/>
      <c r="AB2332" s="92"/>
      <c r="AC2332" s="92"/>
      <c r="AD2332" s="92"/>
      <c r="AE2332" s="92"/>
      <c r="AF2332" s="92"/>
      <c r="AG2332" s="92"/>
    </row>
    <row r="2333">
      <c r="A2333" s="262"/>
      <c r="B2333" s="354"/>
      <c r="C2333" s="355"/>
      <c r="D2333" s="97"/>
      <c r="E2333" s="98"/>
      <c r="F2333" s="98"/>
      <c r="G2333" s="41"/>
      <c r="H2333" s="98"/>
      <c r="I2333" s="98"/>
      <c r="J2333" s="98"/>
      <c r="K2333" s="91"/>
      <c r="L2333" s="91"/>
      <c r="M2333" s="91"/>
      <c r="N2333" s="96" t="b">
        <v>0</v>
      </c>
      <c r="O2333" s="96" t="b">
        <v>0</v>
      </c>
      <c r="P2333" s="92"/>
      <c r="Q2333" s="92"/>
      <c r="R2333" s="92"/>
      <c r="S2333" s="92"/>
      <c r="T2333" s="92"/>
      <c r="U2333" s="92"/>
      <c r="V2333" s="92"/>
      <c r="W2333" s="92"/>
      <c r="X2333" s="92"/>
      <c r="Y2333" s="92"/>
      <c r="Z2333" s="92"/>
      <c r="AA2333" s="92"/>
      <c r="AB2333" s="92"/>
      <c r="AC2333" s="92"/>
      <c r="AD2333" s="92"/>
      <c r="AE2333" s="92"/>
      <c r="AF2333" s="92"/>
      <c r="AG2333" s="92"/>
    </row>
    <row r="2334">
      <c r="A2334" s="262"/>
      <c r="B2334" s="354"/>
      <c r="C2334" s="355"/>
      <c r="D2334" s="97"/>
      <c r="E2334" s="98"/>
      <c r="F2334" s="98"/>
      <c r="G2334" s="41"/>
      <c r="H2334" s="98"/>
      <c r="I2334" s="98"/>
      <c r="J2334" s="98"/>
      <c r="K2334" s="91"/>
      <c r="L2334" s="91"/>
      <c r="M2334" s="91"/>
      <c r="N2334" s="96" t="b">
        <v>0</v>
      </c>
      <c r="O2334" s="96" t="b">
        <v>0</v>
      </c>
      <c r="P2334" s="92"/>
      <c r="Q2334" s="92"/>
      <c r="R2334" s="92"/>
      <c r="S2334" s="92"/>
      <c r="T2334" s="92"/>
      <c r="U2334" s="92"/>
      <c r="V2334" s="92"/>
      <c r="W2334" s="92"/>
      <c r="X2334" s="92"/>
      <c r="Y2334" s="92"/>
      <c r="Z2334" s="92"/>
      <c r="AA2334" s="92"/>
      <c r="AB2334" s="92"/>
      <c r="AC2334" s="92"/>
      <c r="AD2334" s="92"/>
      <c r="AE2334" s="92"/>
      <c r="AF2334" s="92"/>
      <c r="AG2334" s="92"/>
    </row>
    <row r="2335">
      <c r="A2335" s="262"/>
      <c r="B2335" s="354"/>
      <c r="C2335" s="355"/>
      <c r="D2335" s="97"/>
      <c r="E2335" s="98"/>
      <c r="F2335" s="98"/>
      <c r="G2335" s="41"/>
      <c r="H2335" s="98"/>
      <c r="I2335" s="98"/>
      <c r="J2335" s="98"/>
      <c r="K2335" s="91"/>
      <c r="L2335" s="91"/>
      <c r="M2335" s="91"/>
      <c r="N2335" s="96" t="b">
        <v>0</v>
      </c>
      <c r="O2335" s="96" t="b">
        <v>0</v>
      </c>
      <c r="P2335" s="92"/>
      <c r="Q2335" s="92"/>
      <c r="R2335" s="92"/>
      <c r="S2335" s="92"/>
      <c r="T2335" s="92"/>
      <c r="U2335" s="92"/>
      <c r="V2335" s="92"/>
      <c r="W2335" s="92"/>
      <c r="X2335" s="92"/>
      <c r="Y2335" s="92"/>
      <c r="Z2335" s="92"/>
      <c r="AA2335" s="92"/>
      <c r="AB2335" s="92"/>
      <c r="AC2335" s="92"/>
      <c r="AD2335" s="92"/>
      <c r="AE2335" s="92"/>
      <c r="AF2335" s="92"/>
      <c r="AG2335" s="92"/>
    </row>
    <row r="2336">
      <c r="A2336" s="262"/>
      <c r="B2336" s="354"/>
      <c r="C2336" s="355"/>
      <c r="D2336" s="97"/>
      <c r="E2336" s="98"/>
      <c r="F2336" s="98"/>
      <c r="G2336" s="41"/>
      <c r="H2336" s="98"/>
      <c r="I2336" s="98"/>
      <c r="J2336" s="98"/>
      <c r="K2336" s="91"/>
      <c r="L2336" s="91"/>
      <c r="M2336" s="91"/>
      <c r="N2336" s="96" t="b">
        <v>0</v>
      </c>
      <c r="O2336" s="96" t="b">
        <v>0</v>
      </c>
      <c r="P2336" s="92"/>
      <c r="Q2336" s="92"/>
      <c r="R2336" s="92"/>
      <c r="S2336" s="92"/>
      <c r="T2336" s="92"/>
      <c r="U2336" s="92"/>
      <c r="V2336" s="92"/>
      <c r="W2336" s="92"/>
      <c r="X2336" s="92"/>
      <c r="Y2336" s="92"/>
      <c r="Z2336" s="92"/>
      <c r="AA2336" s="92"/>
      <c r="AB2336" s="92"/>
      <c r="AC2336" s="92"/>
      <c r="AD2336" s="92"/>
      <c r="AE2336" s="92"/>
      <c r="AF2336" s="92"/>
      <c r="AG2336" s="92"/>
    </row>
    <row r="2337">
      <c r="A2337" s="262"/>
      <c r="B2337" s="354"/>
      <c r="C2337" s="355"/>
      <c r="D2337" s="97"/>
      <c r="E2337" s="98"/>
      <c r="F2337" s="98"/>
      <c r="G2337" s="41"/>
      <c r="H2337" s="98"/>
      <c r="I2337" s="98"/>
      <c r="J2337" s="98"/>
      <c r="K2337" s="91"/>
      <c r="L2337" s="91"/>
      <c r="M2337" s="91"/>
      <c r="N2337" s="96" t="b">
        <v>0</v>
      </c>
      <c r="O2337" s="96" t="b">
        <v>0</v>
      </c>
      <c r="P2337" s="92"/>
      <c r="Q2337" s="92"/>
      <c r="R2337" s="92"/>
      <c r="S2337" s="92"/>
      <c r="T2337" s="92"/>
      <c r="U2337" s="92"/>
      <c r="V2337" s="92"/>
      <c r="W2337" s="92"/>
      <c r="X2337" s="92"/>
      <c r="Y2337" s="92"/>
      <c r="Z2337" s="92"/>
      <c r="AA2337" s="92"/>
      <c r="AB2337" s="92"/>
      <c r="AC2337" s="92"/>
      <c r="AD2337" s="92"/>
      <c r="AE2337" s="92"/>
      <c r="AF2337" s="92"/>
      <c r="AG2337" s="92"/>
    </row>
    <row r="2338">
      <c r="A2338" s="262"/>
      <c r="B2338" s="354"/>
      <c r="C2338" s="355"/>
      <c r="D2338" s="97"/>
      <c r="E2338" s="98"/>
      <c r="F2338" s="98"/>
      <c r="G2338" s="41"/>
      <c r="H2338" s="98"/>
      <c r="I2338" s="98"/>
      <c r="J2338" s="98"/>
      <c r="K2338" s="91"/>
      <c r="L2338" s="91"/>
      <c r="M2338" s="91"/>
      <c r="N2338" s="96" t="b">
        <v>0</v>
      </c>
      <c r="O2338" s="96" t="b">
        <v>0</v>
      </c>
      <c r="P2338" s="92"/>
      <c r="Q2338" s="92"/>
      <c r="R2338" s="92"/>
      <c r="S2338" s="92"/>
      <c r="T2338" s="92"/>
      <c r="U2338" s="92"/>
      <c r="V2338" s="92"/>
      <c r="W2338" s="92"/>
      <c r="X2338" s="92"/>
      <c r="Y2338" s="92"/>
      <c r="Z2338" s="92"/>
      <c r="AA2338" s="92"/>
      <c r="AB2338" s="92"/>
      <c r="AC2338" s="92"/>
      <c r="AD2338" s="92"/>
      <c r="AE2338" s="92"/>
      <c r="AF2338" s="92"/>
      <c r="AG2338" s="92"/>
    </row>
    <row r="2339">
      <c r="A2339" s="262"/>
      <c r="B2339" s="354"/>
      <c r="C2339" s="355"/>
      <c r="D2339" s="97"/>
      <c r="E2339" s="98"/>
      <c r="F2339" s="98"/>
      <c r="G2339" s="41"/>
      <c r="H2339" s="98"/>
      <c r="I2339" s="98"/>
      <c r="J2339" s="98"/>
      <c r="K2339" s="91"/>
      <c r="L2339" s="91"/>
      <c r="M2339" s="91"/>
      <c r="N2339" s="96" t="b">
        <v>0</v>
      </c>
      <c r="O2339" s="96" t="b">
        <v>0</v>
      </c>
      <c r="P2339" s="92"/>
      <c r="Q2339" s="92"/>
      <c r="R2339" s="92"/>
      <c r="S2339" s="92"/>
      <c r="T2339" s="92"/>
      <c r="U2339" s="92"/>
      <c r="V2339" s="92"/>
      <c r="W2339" s="92"/>
      <c r="X2339" s="92"/>
      <c r="Y2339" s="92"/>
      <c r="Z2339" s="92"/>
      <c r="AA2339" s="92"/>
      <c r="AB2339" s="92"/>
      <c r="AC2339" s="92"/>
      <c r="AD2339" s="92"/>
      <c r="AE2339" s="92"/>
      <c r="AF2339" s="92"/>
      <c r="AG2339" s="92"/>
    </row>
    <row r="2340">
      <c r="A2340" s="262"/>
      <c r="B2340" s="354"/>
      <c r="C2340" s="355"/>
      <c r="D2340" s="97"/>
      <c r="E2340" s="98"/>
      <c r="F2340" s="98"/>
      <c r="G2340" s="41"/>
      <c r="H2340" s="98"/>
      <c r="I2340" s="98"/>
      <c r="J2340" s="98"/>
      <c r="K2340" s="91"/>
      <c r="L2340" s="91"/>
      <c r="M2340" s="91"/>
      <c r="N2340" s="96" t="b">
        <v>0</v>
      </c>
      <c r="O2340" s="96" t="b">
        <v>0</v>
      </c>
      <c r="P2340" s="92"/>
      <c r="Q2340" s="92"/>
      <c r="R2340" s="92"/>
      <c r="S2340" s="92"/>
      <c r="T2340" s="92"/>
      <c r="U2340" s="92"/>
      <c r="V2340" s="92"/>
      <c r="W2340" s="92"/>
      <c r="X2340" s="92"/>
      <c r="Y2340" s="92"/>
      <c r="Z2340" s="92"/>
      <c r="AA2340" s="92"/>
      <c r="AB2340" s="92"/>
      <c r="AC2340" s="92"/>
      <c r="AD2340" s="92"/>
      <c r="AE2340" s="92"/>
      <c r="AF2340" s="92"/>
      <c r="AG2340" s="92"/>
    </row>
    <row r="2341">
      <c r="A2341" s="262"/>
      <c r="B2341" s="354"/>
      <c r="C2341" s="355"/>
      <c r="D2341" s="97"/>
      <c r="E2341" s="98"/>
      <c r="F2341" s="98"/>
      <c r="G2341" s="41"/>
      <c r="H2341" s="98"/>
      <c r="I2341" s="98"/>
      <c r="J2341" s="98"/>
      <c r="K2341" s="91"/>
      <c r="L2341" s="91"/>
      <c r="M2341" s="91"/>
      <c r="N2341" s="96" t="b">
        <v>0</v>
      </c>
      <c r="O2341" s="96" t="b">
        <v>0</v>
      </c>
      <c r="P2341" s="92"/>
      <c r="Q2341" s="92"/>
      <c r="R2341" s="92"/>
      <c r="S2341" s="92"/>
      <c r="T2341" s="92"/>
      <c r="U2341" s="92"/>
      <c r="V2341" s="92"/>
      <c r="W2341" s="92"/>
      <c r="X2341" s="92"/>
      <c r="Y2341" s="92"/>
      <c r="Z2341" s="92"/>
      <c r="AA2341" s="92"/>
      <c r="AB2341" s="92"/>
      <c r="AC2341" s="92"/>
      <c r="AD2341" s="92"/>
      <c r="AE2341" s="92"/>
      <c r="AF2341" s="92"/>
      <c r="AG2341" s="92"/>
    </row>
    <row r="2342">
      <c r="A2342" s="262"/>
      <c r="B2342" s="354"/>
      <c r="C2342" s="355"/>
      <c r="D2342" s="97"/>
      <c r="E2342" s="98"/>
      <c r="F2342" s="98"/>
      <c r="G2342" s="41"/>
      <c r="H2342" s="98"/>
      <c r="I2342" s="98"/>
      <c r="J2342" s="98"/>
      <c r="K2342" s="91"/>
      <c r="L2342" s="91"/>
      <c r="M2342" s="91"/>
      <c r="N2342" s="96" t="b">
        <v>0</v>
      </c>
      <c r="O2342" s="96" t="b">
        <v>0</v>
      </c>
      <c r="P2342" s="92"/>
      <c r="Q2342" s="92"/>
      <c r="R2342" s="92"/>
      <c r="S2342" s="92"/>
      <c r="T2342" s="92"/>
      <c r="U2342" s="92"/>
      <c r="V2342" s="92"/>
      <c r="W2342" s="92"/>
      <c r="X2342" s="92"/>
      <c r="Y2342" s="92"/>
      <c r="Z2342" s="92"/>
      <c r="AA2342" s="92"/>
      <c r="AB2342" s="92"/>
      <c r="AC2342" s="92"/>
      <c r="AD2342" s="92"/>
      <c r="AE2342" s="92"/>
      <c r="AF2342" s="92"/>
      <c r="AG2342" s="92"/>
    </row>
    <row r="2343">
      <c r="A2343" s="262"/>
      <c r="B2343" s="354"/>
      <c r="C2343" s="355"/>
      <c r="D2343" s="97"/>
      <c r="E2343" s="98"/>
      <c r="F2343" s="98"/>
      <c r="G2343" s="41"/>
      <c r="H2343" s="98"/>
      <c r="I2343" s="98"/>
      <c r="J2343" s="98"/>
      <c r="K2343" s="91"/>
      <c r="L2343" s="91"/>
      <c r="M2343" s="91"/>
      <c r="N2343" s="96" t="b">
        <v>0</v>
      </c>
      <c r="O2343" s="96" t="b">
        <v>0</v>
      </c>
      <c r="P2343" s="92"/>
      <c r="Q2343" s="92"/>
      <c r="R2343" s="92"/>
      <c r="S2343" s="92"/>
      <c r="T2343" s="92"/>
      <c r="U2343" s="92"/>
      <c r="V2343" s="92"/>
      <c r="W2343" s="92"/>
      <c r="X2343" s="92"/>
      <c r="Y2343" s="92"/>
      <c r="Z2343" s="92"/>
      <c r="AA2343" s="92"/>
      <c r="AB2343" s="92"/>
      <c r="AC2343" s="92"/>
      <c r="AD2343" s="92"/>
      <c r="AE2343" s="92"/>
      <c r="AF2343" s="92"/>
      <c r="AG2343" s="92"/>
    </row>
    <row r="2344">
      <c r="A2344" s="262"/>
      <c r="B2344" s="354"/>
      <c r="C2344" s="355"/>
      <c r="D2344" s="97"/>
      <c r="E2344" s="98"/>
      <c r="F2344" s="98"/>
      <c r="G2344" s="41"/>
      <c r="H2344" s="98"/>
      <c r="I2344" s="98"/>
      <c r="J2344" s="98"/>
      <c r="K2344" s="91"/>
      <c r="L2344" s="91"/>
      <c r="M2344" s="91"/>
      <c r="N2344" s="96" t="b">
        <v>0</v>
      </c>
      <c r="O2344" s="96" t="b">
        <v>0</v>
      </c>
      <c r="P2344" s="92"/>
      <c r="Q2344" s="92"/>
      <c r="R2344" s="92"/>
      <c r="S2344" s="92"/>
      <c r="T2344" s="92"/>
      <c r="U2344" s="92"/>
      <c r="V2344" s="92"/>
      <c r="W2344" s="92"/>
      <c r="X2344" s="92"/>
      <c r="Y2344" s="92"/>
      <c r="Z2344" s="92"/>
      <c r="AA2344" s="92"/>
      <c r="AB2344" s="92"/>
      <c r="AC2344" s="92"/>
      <c r="AD2344" s="92"/>
      <c r="AE2344" s="92"/>
      <c r="AF2344" s="92"/>
      <c r="AG2344" s="92"/>
    </row>
    <row r="2345">
      <c r="A2345" s="262"/>
      <c r="B2345" s="354"/>
      <c r="C2345" s="355"/>
      <c r="D2345" s="97"/>
      <c r="E2345" s="98"/>
      <c r="F2345" s="98"/>
      <c r="G2345" s="41"/>
      <c r="H2345" s="98"/>
      <c r="I2345" s="98"/>
      <c r="J2345" s="98"/>
      <c r="K2345" s="91"/>
      <c r="L2345" s="91"/>
      <c r="M2345" s="91"/>
      <c r="N2345" s="96" t="b">
        <v>0</v>
      </c>
      <c r="O2345" s="96" t="b">
        <v>0</v>
      </c>
      <c r="P2345" s="92"/>
      <c r="Q2345" s="92"/>
      <c r="R2345" s="92"/>
      <c r="S2345" s="92"/>
      <c r="T2345" s="92"/>
      <c r="U2345" s="92"/>
      <c r="V2345" s="92"/>
      <c r="W2345" s="92"/>
      <c r="X2345" s="92"/>
      <c r="Y2345" s="92"/>
      <c r="Z2345" s="92"/>
      <c r="AA2345" s="92"/>
      <c r="AB2345" s="92"/>
      <c r="AC2345" s="92"/>
      <c r="AD2345" s="92"/>
      <c r="AE2345" s="92"/>
      <c r="AF2345" s="92"/>
      <c r="AG2345" s="92"/>
    </row>
    <row r="2346">
      <c r="A2346" s="262"/>
      <c r="B2346" s="354"/>
      <c r="C2346" s="355"/>
      <c r="D2346" s="97"/>
      <c r="E2346" s="98"/>
      <c r="F2346" s="98"/>
      <c r="G2346" s="41"/>
      <c r="H2346" s="98"/>
      <c r="I2346" s="98"/>
      <c r="J2346" s="98"/>
      <c r="K2346" s="91"/>
      <c r="L2346" s="91"/>
      <c r="M2346" s="91"/>
      <c r="N2346" s="96" t="b">
        <v>0</v>
      </c>
      <c r="O2346" s="96" t="b">
        <v>0</v>
      </c>
      <c r="P2346" s="92"/>
      <c r="Q2346" s="92"/>
      <c r="R2346" s="92"/>
      <c r="S2346" s="92"/>
      <c r="T2346" s="92"/>
      <c r="U2346" s="92"/>
      <c r="V2346" s="92"/>
      <c r="W2346" s="92"/>
      <c r="X2346" s="92"/>
      <c r="Y2346" s="92"/>
      <c r="Z2346" s="92"/>
      <c r="AA2346" s="92"/>
      <c r="AB2346" s="92"/>
      <c r="AC2346" s="92"/>
      <c r="AD2346" s="92"/>
      <c r="AE2346" s="92"/>
      <c r="AF2346" s="92"/>
      <c r="AG2346" s="92"/>
    </row>
    <row r="2347">
      <c r="A2347" s="262"/>
      <c r="B2347" s="354"/>
      <c r="C2347" s="355"/>
      <c r="D2347" s="97"/>
      <c r="E2347" s="98"/>
      <c r="F2347" s="98"/>
      <c r="G2347" s="41"/>
      <c r="H2347" s="98"/>
      <c r="I2347" s="98"/>
      <c r="J2347" s="98"/>
      <c r="K2347" s="91"/>
      <c r="L2347" s="91"/>
      <c r="M2347" s="91"/>
      <c r="N2347" s="96" t="b">
        <v>0</v>
      </c>
      <c r="O2347" s="96" t="b">
        <v>0</v>
      </c>
      <c r="P2347" s="92"/>
      <c r="Q2347" s="92"/>
      <c r="R2347" s="92"/>
      <c r="S2347" s="92"/>
      <c r="T2347" s="92"/>
      <c r="U2347" s="92"/>
      <c r="V2347" s="92"/>
      <c r="W2347" s="92"/>
      <c r="X2347" s="92"/>
      <c r="Y2347" s="92"/>
      <c r="Z2347" s="92"/>
      <c r="AA2347" s="92"/>
      <c r="AB2347" s="92"/>
      <c r="AC2347" s="92"/>
      <c r="AD2347" s="92"/>
      <c r="AE2347" s="92"/>
      <c r="AF2347" s="92"/>
      <c r="AG2347" s="92"/>
    </row>
    <row r="2348">
      <c r="A2348" s="262"/>
      <c r="B2348" s="354"/>
      <c r="C2348" s="355"/>
      <c r="D2348" s="97"/>
      <c r="E2348" s="98"/>
      <c r="F2348" s="98"/>
      <c r="G2348" s="41"/>
      <c r="H2348" s="98"/>
      <c r="I2348" s="98"/>
      <c r="J2348" s="98"/>
      <c r="K2348" s="91"/>
      <c r="L2348" s="91"/>
      <c r="M2348" s="91"/>
      <c r="N2348" s="96" t="b">
        <v>0</v>
      </c>
      <c r="O2348" s="96" t="b">
        <v>0</v>
      </c>
      <c r="P2348" s="92"/>
      <c r="Q2348" s="92"/>
      <c r="R2348" s="92"/>
      <c r="S2348" s="92"/>
      <c r="T2348" s="92"/>
      <c r="U2348" s="92"/>
      <c r="V2348" s="92"/>
      <c r="W2348" s="92"/>
      <c r="X2348" s="92"/>
      <c r="Y2348" s="92"/>
      <c r="Z2348" s="92"/>
      <c r="AA2348" s="92"/>
      <c r="AB2348" s="92"/>
      <c r="AC2348" s="92"/>
      <c r="AD2348" s="92"/>
      <c r="AE2348" s="92"/>
      <c r="AF2348" s="92"/>
      <c r="AG2348" s="92"/>
    </row>
  </sheetData>
  <mergeCells count="321">
    <mergeCell ref="B1884:B1895"/>
    <mergeCell ref="B1897:B1908"/>
    <mergeCell ref="F1898:H1903"/>
    <mergeCell ref="B1790:B1802"/>
    <mergeCell ref="B1804:B1815"/>
    <mergeCell ref="B1817:B1830"/>
    <mergeCell ref="B1832:B1845"/>
    <mergeCell ref="B1847:B1856"/>
    <mergeCell ref="B1858:B1868"/>
    <mergeCell ref="B1870:B1882"/>
    <mergeCell ref="B1485:B1491"/>
    <mergeCell ref="B1493:B1499"/>
    <mergeCell ref="B1501:B1507"/>
    <mergeCell ref="B1509:B1515"/>
    <mergeCell ref="B1517:B1523"/>
    <mergeCell ref="B1525:B1531"/>
    <mergeCell ref="B1533:B1538"/>
    <mergeCell ref="B1540:B1546"/>
    <mergeCell ref="B1548:B1554"/>
    <mergeCell ref="B1556:B1562"/>
    <mergeCell ref="B1564:B1570"/>
    <mergeCell ref="B1572:B1578"/>
    <mergeCell ref="B1580:B1586"/>
    <mergeCell ref="B1588:B1595"/>
    <mergeCell ref="B1597:B1602"/>
    <mergeCell ref="B1604:B1609"/>
    <mergeCell ref="B1611:B1616"/>
    <mergeCell ref="B1618:B1623"/>
    <mergeCell ref="B1625:B1630"/>
    <mergeCell ref="B1632:B1637"/>
    <mergeCell ref="B1639:B1644"/>
    <mergeCell ref="B1646:B1652"/>
    <mergeCell ref="B1654:B1659"/>
    <mergeCell ref="B1661:B1666"/>
    <mergeCell ref="B1668:B1673"/>
    <mergeCell ref="B1675:B1680"/>
    <mergeCell ref="B1682:B1687"/>
    <mergeCell ref="E1695:F1695"/>
    <mergeCell ref="E1771:H1771"/>
    <mergeCell ref="E1791:I1791"/>
    <mergeCell ref="B1689:B1694"/>
    <mergeCell ref="B1696:B1701"/>
    <mergeCell ref="B1703:B1708"/>
    <mergeCell ref="B1710:B1715"/>
    <mergeCell ref="B1717:B1725"/>
    <mergeCell ref="F1718:H1718"/>
    <mergeCell ref="E1734:I1734"/>
    <mergeCell ref="B1727:B1733"/>
    <mergeCell ref="B1735:B1742"/>
    <mergeCell ref="B1744:B1751"/>
    <mergeCell ref="B1753:B1760"/>
    <mergeCell ref="B1762:B1769"/>
    <mergeCell ref="B1771:B1779"/>
    <mergeCell ref="B1781:B1788"/>
    <mergeCell ref="E190:L190"/>
    <mergeCell ref="E209:L209"/>
    <mergeCell ref="E222:L222"/>
    <mergeCell ref="E235:L235"/>
    <mergeCell ref="E237:F240"/>
    <mergeCell ref="E243:F247"/>
    <mergeCell ref="E248:L248"/>
    <mergeCell ref="E294:L294"/>
    <mergeCell ref="E307:L307"/>
    <mergeCell ref="E320:L320"/>
    <mergeCell ref="E333:L333"/>
    <mergeCell ref="E452:F456"/>
    <mergeCell ref="E464:F468"/>
    <mergeCell ref="E250:F253"/>
    <mergeCell ref="E261:L261"/>
    <mergeCell ref="E262:F266"/>
    <mergeCell ref="E268:L268"/>
    <mergeCell ref="E269:F273"/>
    <mergeCell ref="E274:L274"/>
    <mergeCell ref="E281:L281"/>
    <mergeCell ref="E2:L2"/>
    <mergeCell ref="B3:B8"/>
    <mergeCell ref="E9:L9"/>
    <mergeCell ref="B10:B15"/>
    <mergeCell ref="E16:L16"/>
    <mergeCell ref="B17:B22"/>
    <mergeCell ref="E23:L23"/>
    <mergeCell ref="E44:L44"/>
    <mergeCell ref="E51:L51"/>
    <mergeCell ref="B24:B29"/>
    <mergeCell ref="E24:F28"/>
    <mergeCell ref="E30:L30"/>
    <mergeCell ref="B31:B36"/>
    <mergeCell ref="E37:L37"/>
    <mergeCell ref="B38:B43"/>
    <mergeCell ref="B45:B50"/>
    <mergeCell ref="E86:L86"/>
    <mergeCell ref="E94:L94"/>
    <mergeCell ref="E101:L101"/>
    <mergeCell ref="E114:L114"/>
    <mergeCell ref="B52:B57"/>
    <mergeCell ref="E58:L58"/>
    <mergeCell ref="B59:B64"/>
    <mergeCell ref="E65:L65"/>
    <mergeCell ref="B66:B71"/>
    <mergeCell ref="E72:L72"/>
    <mergeCell ref="E79:L79"/>
    <mergeCell ref="B121:B126"/>
    <mergeCell ref="B127:B132"/>
    <mergeCell ref="E128:F132"/>
    <mergeCell ref="E133:L133"/>
    <mergeCell ref="B134:B139"/>
    <mergeCell ref="B140:B145"/>
    <mergeCell ref="E146:L146"/>
    <mergeCell ref="E158:L158"/>
    <mergeCell ref="E160:F164"/>
    <mergeCell ref="E166:F170"/>
    <mergeCell ref="E171:L171"/>
    <mergeCell ref="B379:B384"/>
    <mergeCell ref="B385:B390"/>
    <mergeCell ref="B393:B398"/>
    <mergeCell ref="B399:B404"/>
    <mergeCell ref="B406:B411"/>
    <mergeCell ref="B412:B417"/>
    <mergeCell ref="B419:B424"/>
    <mergeCell ref="B425:B430"/>
    <mergeCell ref="B432:B437"/>
    <mergeCell ref="B438:B443"/>
    <mergeCell ref="B445:B450"/>
    <mergeCell ref="B451:B456"/>
    <mergeCell ref="B458:B463"/>
    <mergeCell ref="B464:B469"/>
    <mergeCell ref="B73:B78"/>
    <mergeCell ref="B80:B85"/>
    <mergeCell ref="B87:B93"/>
    <mergeCell ref="B95:B100"/>
    <mergeCell ref="B102:B107"/>
    <mergeCell ref="B108:B113"/>
    <mergeCell ref="B115:B120"/>
    <mergeCell ref="B147:B152"/>
    <mergeCell ref="B153:B157"/>
    <mergeCell ref="B159:B164"/>
    <mergeCell ref="B165:B170"/>
    <mergeCell ref="B172:B177"/>
    <mergeCell ref="B178:B183"/>
    <mergeCell ref="B184:B189"/>
    <mergeCell ref="B191:B196"/>
    <mergeCell ref="B197:B202"/>
    <mergeCell ref="B203:B208"/>
    <mergeCell ref="B210:B215"/>
    <mergeCell ref="B216:B221"/>
    <mergeCell ref="B223:B228"/>
    <mergeCell ref="B229:B234"/>
    <mergeCell ref="B236:B241"/>
    <mergeCell ref="B242:B247"/>
    <mergeCell ref="B249:B254"/>
    <mergeCell ref="B255:B260"/>
    <mergeCell ref="B262:B267"/>
    <mergeCell ref="B269:B273"/>
    <mergeCell ref="B275:B280"/>
    <mergeCell ref="B282:B287"/>
    <mergeCell ref="B288:B293"/>
    <mergeCell ref="B295:B300"/>
    <mergeCell ref="B301:B306"/>
    <mergeCell ref="B308:B313"/>
    <mergeCell ref="B314:B319"/>
    <mergeCell ref="B321:B326"/>
    <mergeCell ref="B327:B332"/>
    <mergeCell ref="B334:B339"/>
    <mergeCell ref="B347:B351"/>
    <mergeCell ref="B353:B358"/>
    <mergeCell ref="B359:B364"/>
    <mergeCell ref="B366:B371"/>
    <mergeCell ref="B372:B377"/>
    <mergeCell ref="B471:B476"/>
    <mergeCell ref="B478:B483"/>
    <mergeCell ref="B485:B490"/>
    <mergeCell ref="B492:B497"/>
    <mergeCell ref="B499:B504"/>
    <mergeCell ref="B506:B511"/>
    <mergeCell ref="B513:B518"/>
    <mergeCell ref="B520:B526"/>
    <mergeCell ref="B528:B533"/>
    <mergeCell ref="B535:B540"/>
    <mergeCell ref="B542:B547"/>
    <mergeCell ref="B549:B554"/>
    <mergeCell ref="B556:B561"/>
    <mergeCell ref="B563:B568"/>
    <mergeCell ref="B570:B575"/>
    <mergeCell ref="B577:B582"/>
    <mergeCell ref="B584:B589"/>
    <mergeCell ref="B590:B595"/>
    <mergeCell ref="B597:B602"/>
    <mergeCell ref="B603:B608"/>
    <mergeCell ref="B610:B615"/>
    <mergeCell ref="B616:B621"/>
    <mergeCell ref="B623:B628"/>
    <mergeCell ref="B629:B634"/>
    <mergeCell ref="B637:B642"/>
    <mergeCell ref="B643:B648"/>
    <mergeCell ref="B650:B655"/>
    <mergeCell ref="B656:B661"/>
    <mergeCell ref="B663:B668"/>
    <mergeCell ref="B669:B674"/>
    <mergeCell ref="B676:B681"/>
    <mergeCell ref="B682:B687"/>
    <mergeCell ref="B689:B694"/>
    <mergeCell ref="B695:B700"/>
    <mergeCell ref="B702:B707"/>
    <mergeCell ref="B708:B713"/>
    <mergeCell ref="B715:B720"/>
    <mergeCell ref="B721:B726"/>
    <mergeCell ref="B728:B733"/>
    <mergeCell ref="B734:B739"/>
    <mergeCell ref="B741:B746"/>
    <mergeCell ref="B747:B752"/>
    <mergeCell ref="B796:B801"/>
    <mergeCell ref="E797:F801"/>
    <mergeCell ref="E803:F807"/>
    <mergeCell ref="E816:F820"/>
    <mergeCell ref="E822:F826"/>
    <mergeCell ref="B754:B759"/>
    <mergeCell ref="B760:B765"/>
    <mergeCell ref="B767:B771"/>
    <mergeCell ref="B772:B777"/>
    <mergeCell ref="B779:B783"/>
    <mergeCell ref="B784:B789"/>
    <mergeCell ref="B791:B795"/>
    <mergeCell ref="B803:B807"/>
    <mergeCell ref="B808:B813"/>
    <mergeCell ref="B815:B819"/>
    <mergeCell ref="B820:B825"/>
    <mergeCell ref="B827:B831"/>
    <mergeCell ref="B832:B837"/>
    <mergeCell ref="B839:B843"/>
    <mergeCell ref="B845:B850"/>
    <mergeCell ref="B852:B856"/>
    <mergeCell ref="B857:B862"/>
    <mergeCell ref="B864:B868"/>
    <mergeCell ref="B869:B874"/>
    <mergeCell ref="B876:B880"/>
    <mergeCell ref="B881:B886"/>
    <mergeCell ref="B888:B892"/>
    <mergeCell ref="B893:B898"/>
    <mergeCell ref="B900:B904"/>
    <mergeCell ref="B905:B910"/>
    <mergeCell ref="B912:B916"/>
    <mergeCell ref="B917:B922"/>
    <mergeCell ref="B924:B928"/>
    <mergeCell ref="B929:B934"/>
    <mergeCell ref="B936:B941"/>
    <mergeCell ref="B947:B952"/>
    <mergeCell ref="B959:B964"/>
    <mergeCell ref="B970:B975"/>
    <mergeCell ref="B982:B987"/>
    <mergeCell ref="B995:B1000"/>
    <mergeCell ref="B1006:B1011"/>
    <mergeCell ref="B1017:B1022"/>
    <mergeCell ref="B1028:B1033"/>
    <mergeCell ref="B1041:B1046"/>
    <mergeCell ref="B1052:B1057"/>
    <mergeCell ref="B1063:B1068"/>
    <mergeCell ref="B1069:B1074"/>
    <mergeCell ref="B1076:B1082"/>
    <mergeCell ref="B1083:B1088"/>
    <mergeCell ref="B1090:B1095"/>
    <mergeCell ref="B1096:B1101"/>
    <mergeCell ref="B1103:B1108"/>
    <mergeCell ref="B1109:B1115"/>
    <mergeCell ref="B1117:B1122"/>
    <mergeCell ref="B1123:B1128"/>
    <mergeCell ref="B1130:B1135"/>
    <mergeCell ref="B1136:B1141"/>
    <mergeCell ref="B1143:B1148"/>
    <mergeCell ref="B1149:B1154"/>
    <mergeCell ref="B1156:B1161"/>
    <mergeCell ref="B1162:B1167"/>
    <mergeCell ref="B1169:B1174"/>
    <mergeCell ref="B1175:B1180"/>
    <mergeCell ref="B1182:B1187"/>
    <mergeCell ref="B1189:B1194"/>
    <mergeCell ref="B1196:B1201"/>
    <mergeCell ref="B1202:B1207"/>
    <mergeCell ref="B1209:B1214"/>
    <mergeCell ref="B1215:B1220"/>
    <mergeCell ref="B1222:B1227"/>
    <mergeCell ref="B1228:B1233"/>
    <mergeCell ref="B1235:B1240"/>
    <mergeCell ref="B1241:B1246"/>
    <mergeCell ref="B1248:B1253"/>
    <mergeCell ref="B1254:B1259"/>
    <mergeCell ref="B1261:B1266"/>
    <mergeCell ref="B1267:B1272"/>
    <mergeCell ref="B1274:B1279"/>
    <mergeCell ref="B1280:B1285"/>
    <mergeCell ref="B1287:B1292"/>
    <mergeCell ref="B1293:B1298"/>
    <mergeCell ref="E1302:F1305"/>
    <mergeCell ref="E1308:F1311"/>
    <mergeCell ref="B1300:B1305"/>
    <mergeCell ref="B1306:B1311"/>
    <mergeCell ref="B1313:B1318"/>
    <mergeCell ref="B1319:B1324"/>
    <mergeCell ref="B1326:B1331"/>
    <mergeCell ref="B1332:B1337"/>
    <mergeCell ref="B1339:B1344"/>
    <mergeCell ref="B1345:B1350"/>
    <mergeCell ref="B1352:B1357"/>
    <mergeCell ref="B1358:B1363"/>
    <mergeCell ref="B1365:B1370"/>
    <mergeCell ref="B1372:B1377"/>
    <mergeCell ref="B1379:B1384"/>
    <mergeCell ref="B1386:B1391"/>
    <mergeCell ref="B1393:B1398"/>
    <mergeCell ref="B1400:B1405"/>
    <mergeCell ref="B1407:B1412"/>
    <mergeCell ref="B1414:B1419"/>
    <mergeCell ref="B1421:B1426"/>
    <mergeCell ref="B1428:B1433"/>
    <mergeCell ref="B1435:B1440"/>
    <mergeCell ref="B1442:B1447"/>
    <mergeCell ref="B1449:B1454"/>
    <mergeCell ref="B1456:B1461"/>
    <mergeCell ref="B1463:B1469"/>
    <mergeCell ref="B1471:B1476"/>
    <mergeCell ref="B1478:B1483"/>
    <mergeCell ref="F1479:F1482"/>
  </mergeCells>
  <dataValidations>
    <dataValidation type="list" allowBlank="1" showErrorMessage="1" sqref="F21">
      <formula1>'Durum Parametreler'!$F$16:$F$65</formula1>
    </dataValidation>
    <dataValidation type="list" allowBlank="1" showErrorMessage="1" sqref="D928 D931:D932 D934 D958:D959 D961:D962 D964:D965 D1315:D1318 D1320:D1323 D1457:D1460 D1465:D1467 D1481 D1511 D1513 D1519:D1522 D1527 D1530 D1551:D1552 D1560 D1582 D1618:D1621 D1627 D1639:D1642 D1683:D1686 D1696 D1698 D1707:D1708 D1711:D1713 D1721:D1724 D1727 D1736:D1740 D1747 D1754 D1772 D1782 D1791 D1793">
      <formula1>'Durum Parametreler'!$F$16:$F$50</formula1>
    </dataValidation>
    <dataValidation type="list" allowBlank="1" showErrorMessage="1" sqref="D2:D53 D55:D128 D132:D161 D163:D165 D170:D185 D189:D223 D225:D229 D231 D234:D242 D247:D255 D257 D260:D275 D277:D287 D289:D317 D319:D371 D373:D394 D396:D399 D401:D407 D409:D420 D422:D433 D435 D437:D449 D452:D591 D593:D605 D607:D622 D624:D639 D644:D652 D657:D667 D669 D671:D675 D677:D679 D680:J680 D681:D698 D700:D701 D703:D778 D780:D789 I808 D791:D809 D811:D831 D834:D839 D841:D853 D855:D875 D880:D927 D929:D930 D933 D935:D946 D948:D956 D963 D967:D973 D975:D987 D994 D996:D1001 D1003:D1038 D1040:D1073 D1077:D1080 D1082:D1089 D1091:D1100 D1102:D1106 D1108:D1114 D1116:D1120 D1122:D1186 D1188:D1196 D1198:D1209 D1212 D1214:D1216 D1219 D1221:D1241 D1244:D1248 D1250:D1262 D1267:D1274 D1277 D1280:D1282 D1285:D1296 D1298:D1314 D1319 D1324:D1332 D1334:D1338 D1340:D1341 D1343:D1346 D1349:D1356 D1359 D1361:D1385 D1388 D1391:D1393 D1398:D1400 D1404:D1407 D1409 D1414:D1415 D1417 D1420:D1422 D1427:D1429 D1434:D1443 D1446:D1450 D1453 D1456 D1461:D1464 D1469:D1480 D1482:D1486 D1493 D1497:D1503 D1507:D1510 D1512 D1515:D1518 D1523:D1526 D1528:D1529 D1531:D1549 D1553:D1556 D1561:D1581 D1586:D1592 D1596:D1617 D1622:D1625 D1630:D1638 D1643:D1682 D1687:D1695 D1700:D1705 D1709:D1710 D1717 D1725:D1726 D1733:D1734 D1741:D1746 D1751:D1753 D1755:D1758 D1760:D1769 D1773:D1779 D1781 D1783:D1788 D1790 D1792 D1794:D1805 D1807:D1818 D1820 D1822:D1824 D1828 D1832:D1833 D1836 D1838 D1842:D1847 D1849 D1851:D1852 D1854:D1859 D1868:D1875 D1882:D1885 D1893:D2348">
      <formula1>'Durum Parametreler'!$H:$H</formula1>
    </dataValidation>
  </dataValidations>
  <hyperlinks>
    <hyperlink r:id="rId1" ref="J128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29.75"/>
    <col customWidth="1" min="5" max="5" width="10.5"/>
    <col customWidth="1" min="6" max="6" width="10.13"/>
    <col customWidth="1" min="8" max="8" width="11.38"/>
    <col customWidth="1" min="9" max="9" width="10.5"/>
    <col customWidth="1" min="10" max="10" width="7.13"/>
    <col customWidth="1" min="11" max="11" width="19.63"/>
    <col customWidth="1" min="15" max="15" width="23.63"/>
    <col customWidth="1" min="16" max="16" width="9.75"/>
    <col customWidth="1" hidden="1" min="17" max="17" width="19.0"/>
  </cols>
  <sheetData>
    <row r="1">
      <c r="A1" s="356" t="s">
        <v>3635</v>
      </c>
      <c r="B1" s="357" t="s">
        <v>3636</v>
      </c>
      <c r="C1" s="357" t="s">
        <v>3637</v>
      </c>
      <c r="D1" s="356" t="s">
        <v>3638</v>
      </c>
      <c r="E1" s="357" t="s">
        <v>3639</v>
      </c>
      <c r="F1" s="357" t="s">
        <v>3640</v>
      </c>
      <c r="G1" s="358" t="s">
        <v>3641</v>
      </c>
      <c r="H1" s="358" t="s">
        <v>3642</v>
      </c>
      <c r="I1" s="358" t="s">
        <v>3643</v>
      </c>
      <c r="J1" s="359" t="s">
        <v>3644</v>
      </c>
      <c r="K1" s="356" t="s">
        <v>3645</v>
      </c>
      <c r="L1" s="356" t="s">
        <v>3646</v>
      </c>
      <c r="M1" s="356" t="s">
        <v>3647</v>
      </c>
      <c r="N1" s="356" t="s">
        <v>3648</v>
      </c>
      <c r="O1" s="356" t="s">
        <v>8</v>
      </c>
      <c r="P1" s="356" t="s">
        <v>3649</v>
      </c>
      <c r="Q1" s="360" t="s">
        <v>3650</v>
      </c>
      <c r="R1" s="361" t="s">
        <v>3651</v>
      </c>
      <c r="S1" s="362" t="s">
        <v>3652</v>
      </c>
      <c r="T1" s="362" t="s">
        <v>3653</v>
      </c>
      <c r="U1" s="361" t="s">
        <v>2</v>
      </c>
      <c r="V1" s="361" t="s">
        <v>3654</v>
      </c>
      <c r="W1" s="361" t="s">
        <v>3655</v>
      </c>
      <c r="X1" s="363" t="s">
        <v>3656</v>
      </c>
      <c r="Y1" s="363" t="s">
        <v>3657</v>
      </c>
      <c r="Z1" s="361" t="s">
        <v>3658</v>
      </c>
      <c r="AA1" s="364" t="s">
        <v>3659</v>
      </c>
      <c r="AB1" s="365" t="s">
        <v>3660</v>
      </c>
      <c r="AC1" s="366" t="s">
        <v>3661</v>
      </c>
      <c r="AD1" s="367" t="s">
        <v>3662</v>
      </c>
      <c r="AE1" s="366" t="s">
        <v>3663</v>
      </c>
      <c r="AF1" s="367" t="s">
        <v>3664</v>
      </c>
      <c r="AG1" s="366" t="s">
        <v>3665</v>
      </c>
      <c r="AH1" s="367" t="s">
        <v>3666</v>
      </c>
      <c r="AI1" s="366" t="s">
        <v>3667</v>
      </c>
      <c r="AJ1" s="367" t="s">
        <v>3668</v>
      </c>
      <c r="AK1" s="367" t="s">
        <v>3669</v>
      </c>
      <c r="AL1" s="368" t="s">
        <v>3670</v>
      </c>
      <c r="AM1" s="368" t="s">
        <v>3671</v>
      </c>
      <c r="AN1" s="368" t="s">
        <v>3672</v>
      </c>
      <c r="AO1" s="368" t="s">
        <v>3673</v>
      </c>
      <c r="AP1" s="368" t="s">
        <v>3674</v>
      </c>
      <c r="AQ1" s="368" t="s">
        <v>3675</v>
      </c>
    </row>
    <row r="2">
      <c r="A2" s="257" t="s">
        <v>2734</v>
      </c>
      <c r="B2" s="257" t="s">
        <v>2735</v>
      </c>
      <c r="C2" s="257" t="str">
        <f>VLOOKUP(A2,import!A:J,3,0)</f>
        <v>DOĞRU</v>
      </c>
      <c r="D2" s="257" t="s">
        <v>3676</v>
      </c>
      <c r="E2" s="257">
        <f>VLOOKUP(A2,import!A:J,5,0)</f>
        <v>557</v>
      </c>
      <c r="F2" s="257">
        <f>VLOOKUP(A2,import!A:J,6,0)</f>
        <v>3</v>
      </c>
      <c r="G2" s="257">
        <f>VLOOKUP(A2,import!A:J,7,0)</f>
        <v>8</v>
      </c>
      <c r="H2" s="257">
        <f>VLOOKUP(A2,import!A:J,8,0)</f>
        <v>0</v>
      </c>
      <c r="I2" s="257">
        <f>VLOOKUP(A2,import!A:J,9,0)</f>
        <v>8</v>
      </c>
      <c r="J2" s="369">
        <f>VLOOKUP(A2,import!A:J,10,0)</f>
        <v>1</v>
      </c>
      <c r="K2" s="257" t="s">
        <v>3677</v>
      </c>
      <c r="L2" s="257">
        <v>5.079724473E9</v>
      </c>
      <c r="M2" s="257" t="s">
        <v>14</v>
      </c>
      <c r="N2" s="257" t="s">
        <v>3678</v>
      </c>
      <c r="O2" s="257" t="s">
        <v>2737</v>
      </c>
      <c r="P2" s="370" t="str">
        <f>VLOOKUP(A2,import!A:P,16,0)</f>
        <v>Geleneksel</v>
      </c>
      <c r="Q2" s="370"/>
      <c r="R2" s="370" t="b">
        <v>1</v>
      </c>
      <c r="S2" s="370" t="b">
        <v>0</v>
      </c>
      <c r="T2" s="301" t="s">
        <v>3679</v>
      </c>
      <c r="U2" s="301" t="s">
        <v>79</v>
      </c>
      <c r="V2" s="301" t="s">
        <v>78</v>
      </c>
      <c r="W2" s="301" t="s">
        <v>3680</v>
      </c>
      <c r="X2" s="371">
        <v>44470.0</v>
      </c>
      <c r="Y2" s="371">
        <v>44473.0</v>
      </c>
      <c r="Z2" s="372"/>
      <c r="AA2" s="373" t="s">
        <v>3448</v>
      </c>
      <c r="AB2" s="374">
        <v>44466.0</v>
      </c>
      <c r="AC2" s="373" t="s">
        <v>3448</v>
      </c>
      <c r="AD2" s="374">
        <v>44467.0</v>
      </c>
      <c r="AE2" s="373" t="s">
        <v>3681</v>
      </c>
      <c r="AF2" s="374">
        <v>44469.0</v>
      </c>
      <c r="AG2" s="373" t="s">
        <v>3682</v>
      </c>
      <c r="AH2" s="374">
        <v>44470.0</v>
      </c>
      <c r="AI2" s="373"/>
      <c r="AJ2" s="375"/>
      <c r="AK2" s="373" t="s">
        <v>2542</v>
      </c>
      <c r="AL2" s="373" t="s">
        <v>2192</v>
      </c>
      <c r="AM2" s="373" t="s">
        <v>2282</v>
      </c>
      <c r="AN2" s="373" t="s">
        <v>79</v>
      </c>
      <c r="AO2" s="375"/>
      <c r="AP2" s="376" t="s">
        <v>3683</v>
      </c>
      <c r="AQ2" s="375"/>
    </row>
    <row r="3">
      <c r="A3" s="257" t="s">
        <v>912</v>
      </c>
      <c r="B3" s="257" t="s">
        <v>913</v>
      </c>
      <c r="C3" s="257" t="str">
        <f>VLOOKUP(A3,import!A:J,3,0)</f>
        <v>DOĞRU</v>
      </c>
      <c r="D3" s="257" t="s">
        <v>3676</v>
      </c>
      <c r="E3" s="257">
        <f>VLOOKUP(A3,import!A:J,5,0)</f>
        <v>4618</v>
      </c>
      <c r="F3" s="257">
        <f>VLOOKUP(A3,import!A:J,6,0)</f>
        <v>21</v>
      </c>
      <c r="G3" s="257">
        <f>VLOOKUP(A3,import!A:J,7,0)</f>
        <v>30</v>
      </c>
      <c r="H3" s="257">
        <f>VLOOKUP(A3,import!A:J,8,0)</f>
        <v>3</v>
      </c>
      <c r="I3" s="257">
        <f>VLOOKUP(A3,import!A:J,9,0)</f>
        <v>33</v>
      </c>
      <c r="J3" s="369">
        <f>VLOOKUP(A3,import!A:J,10,0)</f>
        <v>0.91</v>
      </c>
      <c r="K3" s="257" t="s">
        <v>3684</v>
      </c>
      <c r="L3" s="257">
        <v>5.526590101E9</v>
      </c>
      <c r="M3" s="257" t="s">
        <v>286</v>
      </c>
      <c r="N3" s="257" t="s">
        <v>3685</v>
      </c>
      <c r="O3" s="257" t="s">
        <v>1384</v>
      </c>
      <c r="P3" s="370" t="str">
        <f>VLOOKUP(A3,import!A:P,16,0)</f>
        <v>Geleneksel</v>
      </c>
      <c r="Q3" s="370"/>
      <c r="R3" s="370" t="b">
        <v>1</v>
      </c>
      <c r="S3" s="370" t="b">
        <v>0</v>
      </c>
      <c r="T3" s="301" t="s">
        <v>3679</v>
      </c>
      <c r="U3" s="301" t="s">
        <v>79</v>
      </c>
      <c r="V3" s="301" t="s">
        <v>78</v>
      </c>
      <c r="W3" s="301"/>
      <c r="X3" s="371">
        <v>44386.0</v>
      </c>
      <c r="Y3" s="371">
        <v>44390.0</v>
      </c>
      <c r="Z3" s="377"/>
      <c r="AA3" s="373" t="s">
        <v>3682</v>
      </c>
      <c r="AB3" s="374">
        <v>44349.0</v>
      </c>
      <c r="AC3" s="373" t="s">
        <v>3682</v>
      </c>
      <c r="AD3" s="374">
        <v>44377.0</v>
      </c>
      <c r="AE3" s="373" t="s">
        <v>3682</v>
      </c>
      <c r="AF3" s="374">
        <v>44386.0</v>
      </c>
      <c r="AG3" s="92"/>
      <c r="AH3" s="375"/>
      <c r="AI3" s="375"/>
      <c r="AJ3" s="375"/>
      <c r="AK3" s="373"/>
      <c r="AL3" s="373" t="s">
        <v>79</v>
      </c>
      <c r="AM3" s="373" t="s">
        <v>79</v>
      </c>
      <c r="AN3" s="375"/>
      <c r="AO3" s="375"/>
      <c r="AP3" s="376" t="s">
        <v>3686</v>
      </c>
      <c r="AQ3" s="375"/>
    </row>
    <row r="4">
      <c r="A4" s="257" t="s">
        <v>3096</v>
      </c>
      <c r="B4" s="257" t="s">
        <v>3097</v>
      </c>
      <c r="C4" s="257" t="str">
        <f>VLOOKUP(A4,import!A:J,3,0)</f>
        <v>DOĞRU</v>
      </c>
      <c r="D4" s="257" t="s">
        <v>3676</v>
      </c>
      <c r="E4" s="257">
        <f>VLOOKUP(A4,import!A:J,5,0)</f>
        <v>118</v>
      </c>
      <c r="F4" s="257" t="str">
        <f>VLOOKUP(A4,import!A:J,6,0)</f>
        <v/>
      </c>
      <c r="G4" s="257">
        <f>VLOOKUP(A4,import!A:J,7,0)</f>
        <v>16</v>
      </c>
      <c r="H4" s="257">
        <f>VLOOKUP(A4,import!A:J,8,0)</f>
        <v>13</v>
      </c>
      <c r="I4" s="257">
        <f>VLOOKUP(A4,import!A:J,9,0)</f>
        <v>29</v>
      </c>
      <c r="J4" s="369">
        <f>VLOOKUP(A4,import!A:J,10,0)</f>
        <v>0.55</v>
      </c>
      <c r="K4" s="257" t="s">
        <v>3687</v>
      </c>
      <c r="L4" s="257">
        <v>3.225033803E9</v>
      </c>
      <c r="M4" s="257" t="s">
        <v>286</v>
      </c>
      <c r="N4" s="257" t="s">
        <v>3688</v>
      </c>
      <c r="O4" s="257" t="s">
        <v>3099</v>
      </c>
      <c r="P4" s="370" t="str">
        <f>VLOOKUP(A4,import!A:P,16,0)</f>
        <v>Geleneksel</v>
      </c>
      <c r="Q4" s="370"/>
      <c r="R4" s="370" t="b">
        <v>1</v>
      </c>
      <c r="S4" s="370" t="b">
        <v>0</v>
      </c>
      <c r="T4" s="301" t="s">
        <v>3679</v>
      </c>
      <c r="U4" s="301" t="s">
        <v>2542</v>
      </c>
      <c r="V4" s="301" t="s">
        <v>78</v>
      </c>
      <c r="W4" s="301" t="s">
        <v>3689</v>
      </c>
      <c r="X4" s="371">
        <v>44515.0</v>
      </c>
      <c r="Y4" s="371">
        <v>44517.0</v>
      </c>
      <c r="Z4" s="372"/>
      <c r="AA4" s="373" t="s">
        <v>3682</v>
      </c>
      <c r="AB4" s="374">
        <v>44515.0</v>
      </c>
      <c r="AC4" s="373" t="s">
        <v>3448</v>
      </c>
      <c r="AD4" s="374">
        <v>44574.0</v>
      </c>
      <c r="AE4" s="373"/>
      <c r="AF4" s="374"/>
      <c r="AG4" s="373"/>
      <c r="AH4" s="374"/>
      <c r="AI4" s="375"/>
      <c r="AJ4" s="375"/>
      <c r="AK4" s="373" t="s">
        <v>2542</v>
      </c>
      <c r="AL4" s="373" t="s">
        <v>2706</v>
      </c>
      <c r="AM4" s="375"/>
      <c r="AN4" s="373"/>
      <c r="AO4" s="375"/>
      <c r="AP4" s="376" t="s">
        <v>3686</v>
      </c>
      <c r="AQ4" s="375"/>
    </row>
    <row r="5">
      <c r="A5" s="257" t="s">
        <v>1710</v>
      </c>
      <c r="B5" s="257" t="s">
        <v>1711</v>
      </c>
      <c r="C5" s="257" t="str">
        <f>VLOOKUP(A5,import!A:J,3,0)</f>
        <v>DOĞRU</v>
      </c>
      <c r="D5" s="257" t="s">
        <v>3690</v>
      </c>
      <c r="E5" s="257">
        <f>VLOOKUP(A5,import!A:J,5,0)</f>
        <v>2130</v>
      </c>
      <c r="F5" s="257">
        <f>VLOOKUP(A5,import!A:J,6,0)</f>
        <v>41</v>
      </c>
      <c r="G5" s="257">
        <f>VLOOKUP(A5,import!A:J,7,0)</f>
        <v>10</v>
      </c>
      <c r="H5" s="257">
        <f>VLOOKUP(A5,import!A:J,8,0)</f>
        <v>2</v>
      </c>
      <c r="I5" s="257">
        <f>VLOOKUP(A5,import!A:J,9,0)</f>
        <v>12</v>
      </c>
      <c r="J5" s="369">
        <f>VLOOKUP(A5,import!A:J,10,0)</f>
        <v>0.83</v>
      </c>
      <c r="K5" s="257" t="s">
        <v>3691</v>
      </c>
      <c r="L5" s="257">
        <v>3.223418087E9</v>
      </c>
      <c r="M5" s="257" t="s">
        <v>3692</v>
      </c>
      <c r="N5" s="257" t="s">
        <v>3693</v>
      </c>
      <c r="O5" s="257" t="s">
        <v>1714</v>
      </c>
      <c r="P5" s="370" t="str">
        <f>VLOOKUP(A5,import!A:P,16,0)</f>
        <v>Geleneksel</v>
      </c>
      <c r="Q5" s="370"/>
      <c r="R5" s="370" t="b">
        <v>1</v>
      </c>
      <c r="S5" s="370" t="b">
        <v>0</v>
      </c>
      <c r="T5" s="301" t="s">
        <v>3679</v>
      </c>
      <c r="U5" s="301" t="s">
        <v>2542</v>
      </c>
      <c r="V5" s="301" t="s">
        <v>78</v>
      </c>
      <c r="W5" s="301" t="s">
        <v>3694</v>
      </c>
      <c r="X5" s="371">
        <v>44459.0</v>
      </c>
      <c r="Y5" s="371">
        <v>44460.0</v>
      </c>
      <c r="Z5" s="372"/>
      <c r="AA5" s="373" t="s">
        <v>3448</v>
      </c>
      <c r="AB5" s="374">
        <v>44379.0</v>
      </c>
      <c r="AC5" s="373" t="s">
        <v>3695</v>
      </c>
      <c r="AD5" s="374">
        <v>44379.0</v>
      </c>
      <c r="AE5" s="373" t="s">
        <v>3696</v>
      </c>
      <c r="AF5" s="374">
        <v>44407.0</v>
      </c>
      <c r="AG5" s="373" t="s">
        <v>3682</v>
      </c>
      <c r="AH5" s="374">
        <v>44428.0</v>
      </c>
      <c r="AI5" s="373" t="s">
        <v>3695</v>
      </c>
      <c r="AJ5" s="374">
        <v>44475.0</v>
      </c>
      <c r="AK5" s="373" t="s">
        <v>79</v>
      </c>
      <c r="AL5" s="373" t="s">
        <v>1014</v>
      </c>
      <c r="AM5" s="373" t="s">
        <v>79</v>
      </c>
      <c r="AN5" s="373" t="s">
        <v>1953</v>
      </c>
      <c r="AO5" s="373" t="s">
        <v>2192</v>
      </c>
      <c r="AP5" s="376" t="s">
        <v>3686</v>
      </c>
      <c r="AQ5" s="373"/>
    </row>
    <row r="6">
      <c r="A6" s="376" t="s">
        <v>3697</v>
      </c>
      <c r="B6" s="376" t="s">
        <v>3698</v>
      </c>
      <c r="C6" s="257" t="str">
        <f>VLOOKUP(A6,import!A:J,3,0)</f>
        <v>DOĞRU</v>
      </c>
      <c r="D6" s="376" t="s">
        <v>3699</v>
      </c>
      <c r="E6" s="257">
        <f>VLOOKUP(A6,import!A:J,5,0)</f>
        <v>21</v>
      </c>
      <c r="F6" s="257">
        <f>VLOOKUP(A6,import!A:J,6,0)</f>
        <v>21</v>
      </c>
      <c r="G6" s="257">
        <f>VLOOKUP(A6,import!A:J,7,0)</f>
        <v>0</v>
      </c>
      <c r="H6" s="257">
        <f>VLOOKUP(A6,import!A:J,8,0)</f>
        <v>23</v>
      </c>
      <c r="I6" s="257">
        <f>VLOOKUP(A6,import!A:J,9,0)</f>
        <v>23</v>
      </c>
      <c r="J6" s="369">
        <f>VLOOKUP(A6,import!A:J,10,0)</f>
        <v>0</v>
      </c>
      <c r="K6" s="376" t="s">
        <v>3700</v>
      </c>
      <c r="L6" s="376">
        <v>5.354791758E9</v>
      </c>
      <c r="M6" s="376" t="s">
        <v>3701</v>
      </c>
      <c r="N6" s="376" t="s">
        <v>3702</v>
      </c>
      <c r="O6" s="376" t="s">
        <v>3703</v>
      </c>
      <c r="P6" s="370" t="str">
        <f>VLOOKUP(A6,import!A:P,16,0)</f>
        <v>Geleneksel</v>
      </c>
      <c r="Q6" s="370"/>
      <c r="R6" s="370" t="b">
        <v>0</v>
      </c>
      <c r="S6" s="370" t="b">
        <v>0</v>
      </c>
      <c r="T6" s="301"/>
      <c r="U6" s="301"/>
      <c r="V6" s="301"/>
      <c r="W6" s="301"/>
      <c r="X6" s="371"/>
      <c r="Y6" s="371"/>
      <c r="Z6" s="372"/>
      <c r="AA6" s="373"/>
      <c r="AB6" s="374"/>
      <c r="AC6" s="373"/>
      <c r="AD6" s="374"/>
      <c r="AE6" s="373"/>
      <c r="AF6" s="374"/>
      <c r="AG6" s="373"/>
      <c r="AH6" s="374"/>
      <c r="AI6" s="373"/>
      <c r="AJ6" s="374"/>
      <c r="AK6" s="373"/>
      <c r="AL6" s="373"/>
      <c r="AM6" s="373"/>
      <c r="AN6" s="373"/>
      <c r="AO6" s="373"/>
      <c r="AP6" s="376"/>
      <c r="AQ6" s="373"/>
    </row>
    <row r="7">
      <c r="A7" s="257" t="s">
        <v>3704</v>
      </c>
      <c r="B7" s="257" t="s">
        <v>3705</v>
      </c>
      <c r="C7" s="257" t="str">
        <f>VLOOKUP(A7,import!A:J,3,0)</f>
        <v>DOĞRU</v>
      </c>
      <c r="D7" s="257" t="s">
        <v>3676</v>
      </c>
      <c r="E7" s="257">
        <f>VLOOKUP(A7,import!A:J,5,0)</f>
        <v>411</v>
      </c>
      <c r="F7" s="257">
        <f>VLOOKUP(A7,import!A:J,6,0)</f>
        <v>67</v>
      </c>
      <c r="G7" s="257">
        <f>VLOOKUP(A7,import!A:J,7,0)</f>
        <v>0</v>
      </c>
      <c r="H7" s="257">
        <f>VLOOKUP(A7,import!A:J,8,0)</f>
        <v>20</v>
      </c>
      <c r="I7" s="257">
        <f>VLOOKUP(A7,import!A:J,9,0)</f>
        <v>20</v>
      </c>
      <c r="J7" s="369">
        <f>VLOOKUP(A7,import!A:J,10,0)</f>
        <v>0</v>
      </c>
      <c r="K7" s="257" t="s">
        <v>3706</v>
      </c>
      <c r="L7" s="257">
        <v>3.223281415E9</v>
      </c>
      <c r="M7" s="257" t="s">
        <v>3707</v>
      </c>
      <c r="N7" s="257" t="s">
        <v>3708</v>
      </c>
      <c r="O7" s="257" t="s">
        <v>3709</v>
      </c>
      <c r="P7" s="370" t="str">
        <f>VLOOKUP(A7,import!A:P,16,0)</f>
        <v>Geleneksel</v>
      </c>
      <c r="Q7" s="370"/>
      <c r="R7" s="370" t="b">
        <v>1</v>
      </c>
      <c r="S7" s="370" t="b">
        <v>0</v>
      </c>
      <c r="T7" s="301" t="s">
        <v>3710</v>
      </c>
      <c r="U7" s="301"/>
      <c r="V7" s="378"/>
      <c r="W7" s="301">
        <v>5.416304677E9</v>
      </c>
      <c r="X7" s="371"/>
      <c r="Y7" s="371"/>
      <c r="Z7" s="372"/>
      <c r="AA7" s="373" t="s">
        <v>3682</v>
      </c>
      <c r="AB7" s="371">
        <v>44622.0</v>
      </c>
      <c r="AC7" s="373"/>
      <c r="AD7" s="374"/>
      <c r="AE7" s="373"/>
      <c r="AF7" s="374"/>
      <c r="AG7" s="373"/>
      <c r="AH7" s="374"/>
      <c r="AI7" s="375"/>
      <c r="AJ7" s="375"/>
      <c r="AK7" s="373" t="s">
        <v>2542</v>
      </c>
      <c r="AL7" s="375"/>
      <c r="AM7" s="375"/>
      <c r="AN7" s="373"/>
      <c r="AO7" s="375"/>
      <c r="AP7" s="376"/>
      <c r="AQ7" s="375"/>
    </row>
    <row r="8">
      <c r="A8" s="376" t="s">
        <v>3711</v>
      </c>
      <c r="B8" s="376" t="s">
        <v>3712</v>
      </c>
      <c r="C8" s="257" t="str">
        <f>VLOOKUP(A8,import!A:J,3,0)</f>
        <v>DOĞRU</v>
      </c>
      <c r="D8" s="376" t="s">
        <v>3713</v>
      </c>
      <c r="E8" s="257" t="str">
        <f>VLOOKUP(A8,import!A:J,5,0)</f>
        <v/>
      </c>
      <c r="F8" s="257" t="str">
        <f>VLOOKUP(A8,import!A:J,6,0)</f>
        <v/>
      </c>
      <c r="G8" s="257">
        <f>VLOOKUP(A8,import!A:J,7,0)</f>
        <v>0</v>
      </c>
      <c r="H8" s="257">
        <f>VLOOKUP(A8,import!A:J,8,0)</f>
        <v>8</v>
      </c>
      <c r="I8" s="257">
        <f>VLOOKUP(A8,import!A:J,9,0)</f>
        <v>8</v>
      </c>
      <c r="J8" s="369">
        <f>VLOOKUP(A8,import!A:J,10,0)</f>
        <v>0</v>
      </c>
      <c r="K8" s="376" t="s">
        <v>3714</v>
      </c>
      <c r="L8" s="376">
        <v>5.372339571E9</v>
      </c>
      <c r="M8" s="376" t="s">
        <v>3707</v>
      </c>
      <c r="N8" s="376" t="s">
        <v>3715</v>
      </c>
      <c r="O8" s="376" t="s">
        <v>3716</v>
      </c>
      <c r="P8" s="370" t="str">
        <f>VLOOKUP(A8,import!A:P,16,0)</f>
        <v>Geleneksel</v>
      </c>
      <c r="Q8" s="370"/>
      <c r="R8" s="370" t="b">
        <v>0</v>
      </c>
      <c r="S8" s="370" t="b">
        <v>0</v>
      </c>
      <c r="T8" s="301"/>
      <c r="U8" s="301"/>
      <c r="V8" s="301"/>
      <c r="W8" s="301"/>
      <c r="X8" s="371"/>
      <c r="Y8" s="371"/>
      <c r="Z8" s="372"/>
      <c r="AA8" s="373"/>
      <c r="AB8" s="374"/>
      <c r="AC8" s="373"/>
      <c r="AD8" s="374"/>
      <c r="AE8" s="373"/>
      <c r="AF8" s="374"/>
      <c r="AG8" s="373"/>
      <c r="AH8" s="374"/>
      <c r="AI8" s="373"/>
      <c r="AJ8" s="374"/>
      <c r="AK8" s="373"/>
      <c r="AL8" s="373"/>
      <c r="AM8" s="373"/>
      <c r="AN8" s="373"/>
      <c r="AO8" s="373"/>
      <c r="AP8" s="376"/>
      <c r="AQ8" s="373"/>
    </row>
    <row r="9">
      <c r="A9" s="257" t="s">
        <v>1265</v>
      </c>
      <c r="B9" s="257" t="s">
        <v>1266</v>
      </c>
      <c r="C9" s="257" t="str">
        <f>VLOOKUP(A9,import!A:J,3,0)</f>
        <v>DOĞRU</v>
      </c>
      <c r="D9" s="257" t="s">
        <v>3676</v>
      </c>
      <c r="E9" s="257">
        <f>VLOOKUP(A9,import!A:J,5,0)</f>
        <v>103</v>
      </c>
      <c r="F9" s="257">
        <f>VLOOKUP(A9,import!A:J,6,0)</f>
        <v>3</v>
      </c>
      <c r="G9" s="257">
        <f>VLOOKUP(A9,import!A:J,7,0)</f>
        <v>10</v>
      </c>
      <c r="H9" s="257">
        <f>VLOOKUP(A9,import!A:J,8,0)</f>
        <v>2</v>
      </c>
      <c r="I9" s="257">
        <f>VLOOKUP(A9,import!A:J,9,0)</f>
        <v>12</v>
      </c>
      <c r="J9" s="369">
        <f>VLOOKUP(A9,import!A:J,10,0)</f>
        <v>0.83</v>
      </c>
      <c r="K9" s="257" t="s">
        <v>3717</v>
      </c>
      <c r="L9" s="257">
        <v>3.22232004E9</v>
      </c>
      <c r="M9" s="257" t="s">
        <v>14</v>
      </c>
      <c r="N9" s="257" t="s">
        <v>3718</v>
      </c>
      <c r="O9" s="257" t="s">
        <v>1268</v>
      </c>
      <c r="P9" s="370" t="str">
        <f>VLOOKUP(A9,import!A:P,16,0)</f>
        <v>Geleneksel</v>
      </c>
      <c r="Q9" s="370"/>
      <c r="R9" s="370" t="b">
        <v>1</v>
      </c>
      <c r="S9" s="370" t="b">
        <v>0</v>
      </c>
      <c r="T9" s="301" t="s">
        <v>3679</v>
      </c>
      <c r="U9" s="301" t="s">
        <v>111</v>
      </c>
      <c r="V9" s="301" t="s">
        <v>78</v>
      </c>
      <c r="W9" s="301">
        <v>5.452370127E9</v>
      </c>
      <c r="X9" s="371">
        <v>44382.0</v>
      </c>
      <c r="Y9" s="371">
        <v>44383.0</v>
      </c>
      <c r="Z9" s="372"/>
      <c r="AA9" s="373" t="s">
        <v>3681</v>
      </c>
      <c r="AB9" s="374">
        <v>44382.0</v>
      </c>
      <c r="AC9" s="373" t="s">
        <v>3682</v>
      </c>
      <c r="AD9" s="374">
        <v>44382.0</v>
      </c>
      <c r="AE9" s="92"/>
      <c r="AF9" s="375"/>
      <c r="AG9" s="92"/>
      <c r="AH9" s="375"/>
      <c r="AI9" s="375"/>
      <c r="AJ9" s="375"/>
      <c r="AK9" s="373" t="s">
        <v>3719</v>
      </c>
      <c r="AL9" s="373" t="s">
        <v>111</v>
      </c>
      <c r="AM9" s="375"/>
      <c r="AN9" s="375"/>
      <c r="AO9" s="375"/>
      <c r="AP9" s="376" t="s">
        <v>3683</v>
      </c>
      <c r="AQ9" s="375"/>
    </row>
    <row r="10">
      <c r="A10" s="257" t="s">
        <v>2072</v>
      </c>
      <c r="B10" s="257" t="s">
        <v>2073</v>
      </c>
      <c r="C10" s="257" t="str">
        <f>VLOOKUP(A10,import!A:J,3,0)</f>
        <v>DOĞRU</v>
      </c>
      <c r="D10" s="257" t="s">
        <v>3713</v>
      </c>
      <c r="E10" s="257">
        <f>VLOOKUP(A10,import!A:J,5,0)</f>
        <v>1664</v>
      </c>
      <c r="F10" s="257">
        <f>VLOOKUP(A10,import!A:J,6,0)</f>
        <v>62</v>
      </c>
      <c r="G10" s="257">
        <f>VLOOKUP(A10,import!A:J,7,0)</f>
        <v>10</v>
      </c>
      <c r="H10" s="257">
        <f>VLOOKUP(A10,import!A:J,8,0)</f>
        <v>1</v>
      </c>
      <c r="I10" s="257">
        <f>VLOOKUP(A10,import!A:J,9,0)</f>
        <v>11</v>
      </c>
      <c r="J10" s="369">
        <f>VLOOKUP(A10,import!A:J,10,0)</f>
        <v>0.91</v>
      </c>
      <c r="K10" s="257" t="s">
        <v>3720</v>
      </c>
      <c r="L10" s="257">
        <v>5.454013058E9</v>
      </c>
      <c r="M10" s="257" t="s">
        <v>3692</v>
      </c>
      <c r="N10" s="257" t="s">
        <v>3721</v>
      </c>
      <c r="O10" s="257" t="s">
        <v>2075</v>
      </c>
      <c r="P10" s="370" t="str">
        <f>VLOOKUP(A10,import!A:P,16,0)</f>
        <v>Geleneksel</v>
      </c>
      <c r="Q10" s="370"/>
      <c r="R10" s="370" t="b">
        <v>1</v>
      </c>
      <c r="S10" s="370" t="b">
        <v>0</v>
      </c>
      <c r="T10" s="301" t="s">
        <v>3679</v>
      </c>
      <c r="U10" s="301" t="s">
        <v>1953</v>
      </c>
      <c r="V10" s="301" t="s">
        <v>78</v>
      </c>
      <c r="W10" s="301" t="s">
        <v>3722</v>
      </c>
      <c r="X10" s="371">
        <v>44428.0</v>
      </c>
      <c r="Y10" s="371">
        <v>44434.0</v>
      </c>
      <c r="Z10" s="377"/>
      <c r="AA10" s="373" t="s">
        <v>3448</v>
      </c>
      <c r="AB10" s="374">
        <v>44407.0</v>
      </c>
      <c r="AC10" s="373" t="s">
        <v>3681</v>
      </c>
      <c r="AD10" s="374">
        <v>44424.0</v>
      </c>
      <c r="AE10" s="373" t="s">
        <v>3682</v>
      </c>
      <c r="AF10" s="374">
        <v>44428.0</v>
      </c>
      <c r="AG10" s="92"/>
      <c r="AH10" s="375"/>
      <c r="AI10" s="375"/>
      <c r="AJ10" s="375"/>
      <c r="AK10" s="375"/>
      <c r="AL10" s="373" t="s">
        <v>3723</v>
      </c>
      <c r="AM10" s="373" t="s">
        <v>1953</v>
      </c>
      <c r="AN10" s="375"/>
      <c r="AO10" s="375"/>
      <c r="AP10" s="376" t="s">
        <v>3686</v>
      </c>
      <c r="AQ10" s="375"/>
    </row>
    <row r="11">
      <c r="A11" s="257" t="s">
        <v>3724</v>
      </c>
      <c r="B11" s="257" t="s">
        <v>3725</v>
      </c>
      <c r="C11" s="257" t="str">
        <f>VLOOKUP(A11,import!A:J,3,0)</f>
        <v>DOĞRU</v>
      </c>
      <c r="D11" s="257" t="s">
        <v>3713</v>
      </c>
      <c r="E11" s="257">
        <f>VLOOKUP(A11,import!A:J,5,0)</f>
        <v>137</v>
      </c>
      <c r="F11" s="257" t="str">
        <f>VLOOKUP(A11,import!A:J,6,0)</f>
        <v/>
      </c>
      <c r="G11" s="257">
        <f>VLOOKUP(A11,import!A:J,7,0)</f>
        <v>0</v>
      </c>
      <c r="H11" s="257">
        <f>VLOOKUP(A11,import!A:J,8,0)</f>
        <v>35</v>
      </c>
      <c r="I11" s="257">
        <f>VLOOKUP(A11,import!A:J,9,0)</f>
        <v>35</v>
      </c>
      <c r="J11" s="369">
        <f>VLOOKUP(A11,import!A:J,10,0)</f>
        <v>0</v>
      </c>
      <c r="K11" s="257" t="s">
        <v>3726</v>
      </c>
      <c r="L11" s="257">
        <v>3.224582868E9</v>
      </c>
      <c r="M11" s="257" t="s">
        <v>286</v>
      </c>
      <c r="N11" s="257" t="s">
        <v>3688</v>
      </c>
      <c r="O11" s="257" t="s">
        <v>3727</v>
      </c>
      <c r="P11" s="370" t="str">
        <f>VLOOKUP(A11,import!A:P,16,0)</f>
        <v>Geleneksel</v>
      </c>
      <c r="Q11" s="370"/>
      <c r="R11" s="370" t="b">
        <v>1</v>
      </c>
      <c r="S11" s="370" t="b">
        <v>1</v>
      </c>
      <c r="T11" s="301"/>
      <c r="U11" s="379"/>
      <c r="V11" s="380"/>
      <c r="W11" s="301" t="s">
        <v>3728</v>
      </c>
      <c r="X11" s="381"/>
      <c r="Y11" s="381"/>
      <c r="Z11" s="372"/>
      <c r="AA11" s="373" t="s">
        <v>3682</v>
      </c>
      <c r="AB11" s="374">
        <v>44386.0</v>
      </c>
      <c r="AC11" s="373" t="s">
        <v>3682</v>
      </c>
      <c r="AD11" s="374">
        <v>44414.0</v>
      </c>
      <c r="AE11" s="373" t="s">
        <v>3695</v>
      </c>
      <c r="AF11" s="374">
        <v>44418.0</v>
      </c>
      <c r="AG11" s="373" t="s">
        <v>3448</v>
      </c>
      <c r="AH11" s="374">
        <v>44432.0</v>
      </c>
      <c r="AI11" s="373" t="s">
        <v>3682</v>
      </c>
      <c r="AJ11" s="374">
        <v>44459.0</v>
      </c>
      <c r="AK11" s="373" t="s">
        <v>79</v>
      </c>
      <c r="AL11" s="373" t="s">
        <v>3729</v>
      </c>
      <c r="AM11" s="373" t="s">
        <v>1953</v>
      </c>
      <c r="AN11" s="375"/>
      <c r="AO11" s="373" t="s">
        <v>2542</v>
      </c>
      <c r="AP11" s="376" t="s">
        <v>3686</v>
      </c>
      <c r="AQ11" s="373"/>
    </row>
    <row r="12">
      <c r="A12" s="257" t="s">
        <v>3730</v>
      </c>
      <c r="B12" s="257" t="s">
        <v>3731</v>
      </c>
      <c r="C12" s="257" t="str">
        <f>VLOOKUP(A12,import!A:J,3,0)</f>
        <v>YANLIŞ</v>
      </c>
      <c r="D12" s="257" t="s">
        <v>3713</v>
      </c>
      <c r="E12" s="257">
        <f>VLOOKUP(A12,import!A:J,5,0)</f>
        <v>459</v>
      </c>
      <c r="F12" s="257" t="str">
        <f>VLOOKUP(A12,import!A:J,6,0)</f>
        <v/>
      </c>
      <c r="G12" s="257">
        <f>VLOOKUP(A12,import!A:J,7,0)</f>
        <v>0</v>
      </c>
      <c r="H12" s="257">
        <f>VLOOKUP(A12,import!A:J,8,0)</f>
        <v>49</v>
      </c>
      <c r="I12" s="257">
        <f>VLOOKUP(A12,import!A:J,9,0)</f>
        <v>49</v>
      </c>
      <c r="J12" s="369">
        <f>VLOOKUP(A12,import!A:J,10,0)</f>
        <v>0</v>
      </c>
      <c r="K12" s="257" t="s">
        <v>3732</v>
      </c>
      <c r="L12" s="257">
        <v>5.339298859E9</v>
      </c>
      <c r="M12" s="257" t="s">
        <v>14</v>
      </c>
      <c r="N12" s="257" t="s">
        <v>3733</v>
      </c>
      <c r="O12" s="257" t="s">
        <v>3734</v>
      </c>
      <c r="P12" s="370" t="str">
        <f>VLOOKUP(A12,import!A:P,16,0)</f>
        <v>Geleneksel</v>
      </c>
      <c r="Q12" s="370"/>
      <c r="R12" s="370" t="b">
        <v>1</v>
      </c>
      <c r="S12" s="370" t="b">
        <v>0</v>
      </c>
      <c r="T12" s="301" t="s">
        <v>3735</v>
      </c>
      <c r="U12" s="379"/>
      <c r="V12" s="379"/>
      <c r="W12" s="301" t="s">
        <v>3736</v>
      </c>
      <c r="X12" s="381"/>
      <c r="Y12" s="381"/>
      <c r="Z12" s="372"/>
      <c r="AA12" s="373" t="s">
        <v>3682</v>
      </c>
      <c r="AB12" s="374">
        <v>44349.0</v>
      </c>
      <c r="AC12" s="375"/>
      <c r="AD12" s="375"/>
      <c r="AE12" s="92"/>
      <c r="AF12" s="375"/>
      <c r="AG12" s="92"/>
      <c r="AH12" s="375"/>
      <c r="AI12" s="375"/>
      <c r="AJ12" s="375"/>
      <c r="AK12" s="373" t="s">
        <v>111</v>
      </c>
      <c r="AL12" s="375"/>
      <c r="AM12" s="375"/>
      <c r="AN12" s="375"/>
      <c r="AO12" s="375"/>
      <c r="AP12" s="376" t="s">
        <v>3683</v>
      </c>
      <c r="AQ12" s="375"/>
    </row>
    <row r="13">
      <c r="A13" s="257" t="s">
        <v>1386</v>
      </c>
      <c r="B13" s="257" t="s">
        <v>1387</v>
      </c>
      <c r="C13" s="257" t="str">
        <f>VLOOKUP(A13,import!A:J,3,0)</f>
        <v>DOĞRU</v>
      </c>
      <c r="D13" s="257" t="s">
        <v>3713</v>
      </c>
      <c r="E13" s="257">
        <f>VLOOKUP(A13,import!A:J,5,0)</f>
        <v>4029</v>
      </c>
      <c r="F13" s="257">
        <f>VLOOKUP(A13,import!A:J,6,0)</f>
        <v>35</v>
      </c>
      <c r="G13" s="257">
        <f>VLOOKUP(A13,import!A:J,7,0)</f>
        <v>0</v>
      </c>
      <c r="H13" s="257">
        <f>VLOOKUP(A13,import!A:J,8,0)</f>
        <v>75</v>
      </c>
      <c r="I13" s="257">
        <f>VLOOKUP(A13,import!A:J,9,0)</f>
        <v>75</v>
      </c>
      <c r="J13" s="369">
        <f>VLOOKUP(A13,import!A:J,10,0)</f>
        <v>0</v>
      </c>
      <c r="K13" s="257" t="s">
        <v>3732</v>
      </c>
      <c r="L13" s="257">
        <v>3.224546565E9</v>
      </c>
      <c r="M13" s="257" t="s">
        <v>286</v>
      </c>
      <c r="N13" s="257" t="s">
        <v>3737</v>
      </c>
      <c r="O13" s="257" t="s">
        <v>1391</v>
      </c>
      <c r="P13" s="370" t="str">
        <f>VLOOKUP(A13,import!A:P,16,0)</f>
        <v>Geleneksel</v>
      </c>
      <c r="Q13" s="370"/>
      <c r="R13" s="370" t="b">
        <v>1</v>
      </c>
      <c r="S13" s="370" t="b">
        <v>0</v>
      </c>
      <c r="T13" s="301" t="s">
        <v>3710</v>
      </c>
      <c r="U13" s="301" t="s">
        <v>3213</v>
      </c>
      <c r="V13" s="301" t="s">
        <v>78</v>
      </c>
      <c r="W13" s="301"/>
      <c r="X13" s="371">
        <v>44550.0</v>
      </c>
      <c r="Y13" s="371">
        <v>44560.0</v>
      </c>
      <c r="Z13" s="372"/>
      <c r="AA13" s="373" t="s">
        <v>3682</v>
      </c>
      <c r="AB13" s="374">
        <v>44379.0</v>
      </c>
      <c r="AC13" s="373" t="s">
        <v>3448</v>
      </c>
      <c r="AD13" s="374">
        <v>44385.0</v>
      </c>
      <c r="AE13" s="373" t="s">
        <v>3682</v>
      </c>
      <c r="AF13" s="374">
        <v>44386.0</v>
      </c>
      <c r="AG13" s="373" t="s">
        <v>3682</v>
      </c>
      <c r="AH13" s="374">
        <v>44415.0</v>
      </c>
      <c r="AI13" s="373" t="s">
        <v>3682</v>
      </c>
      <c r="AJ13" s="374">
        <v>44555.0</v>
      </c>
      <c r="AK13" s="317" t="s">
        <v>3271</v>
      </c>
      <c r="AL13" s="373" t="s">
        <v>79</v>
      </c>
      <c r="AM13" s="373" t="s">
        <v>79</v>
      </c>
      <c r="AN13" s="373" t="s">
        <v>1947</v>
      </c>
      <c r="AO13" s="373" t="s">
        <v>3213</v>
      </c>
      <c r="AP13" s="376" t="s">
        <v>3683</v>
      </c>
      <c r="AQ13" s="373"/>
    </row>
    <row r="14">
      <c r="A14" s="257" t="s">
        <v>3738</v>
      </c>
      <c r="B14" s="257" t="s">
        <v>3739</v>
      </c>
      <c r="C14" s="257" t="str">
        <f>VLOOKUP(A14,import!A:J,3,0)</f>
        <v>DOĞRU</v>
      </c>
      <c r="D14" s="257" t="s">
        <v>3713</v>
      </c>
      <c r="E14" s="257">
        <f>VLOOKUP(A14,import!A:J,5,0)</f>
        <v>9</v>
      </c>
      <c r="F14" s="257" t="str">
        <f>VLOOKUP(A14,import!A:J,6,0)</f>
        <v/>
      </c>
      <c r="G14" s="257">
        <f>VLOOKUP(A14,import!A:J,7,0)</f>
        <v>0</v>
      </c>
      <c r="H14" s="257">
        <f>VLOOKUP(A14,import!A:J,8,0)</f>
        <v>35</v>
      </c>
      <c r="I14" s="257">
        <f>VLOOKUP(A14,import!A:J,9,0)</f>
        <v>35</v>
      </c>
      <c r="J14" s="369">
        <f>VLOOKUP(A14,import!A:J,10,0)</f>
        <v>0</v>
      </c>
      <c r="K14" s="257" t="s">
        <v>3740</v>
      </c>
      <c r="L14" s="257">
        <v>5.339298859E9</v>
      </c>
      <c r="M14" s="257" t="s">
        <v>14</v>
      </c>
      <c r="N14" s="257" t="s">
        <v>3733</v>
      </c>
      <c r="O14" s="257" t="s">
        <v>3741</v>
      </c>
      <c r="P14" s="370" t="str">
        <f>VLOOKUP(A14,import!A:P,16,0)</f>
        <v>Geleneksel</v>
      </c>
      <c r="Q14" s="370"/>
      <c r="R14" s="370" t="b">
        <v>1</v>
      </c>
      <c r="S14" s="370" t="b">
        <v>0</v>
      </c>
      <c r="T14" s="301" t="s">
        <v>3735</v>
      </c>
      <c r="U14" s="379"/>
      <c r="V14" s="379"/>
      <c r="W14" s="257" t="s">
        <v>3742</v>
      </c>
      <c r="X14" s="257"/>
      <c r="Y14" s="381"/>
      <c r="Z14" s="372"/>
      <c r="AA14" s="373"/>
      <c r="AB14" s="374"/>
      <c r="AC14" s="373"/>
      <c r="AD14" s="374"/>
      <c r="AE14" s="373"/>
      <c r="AF14" s="374"/>
      <c r="AG14" s="373"/>
      <c r="AH14" s="374"/>
      <c r="AI14" s="375"/>
      <c r="AJ14" s="375"/>
      <c r="AK14" s="373"/>
      <c r="AL14" s="375"/>
      <c r="AM14" s="375"/>
      <c r="AN14" s="373"/>
      <c r="AO14" s="375"/>
      <c r="AP14" s="376"/>
      <c r="AQ14" s="375"/>
    </row>
    <row r="15">
      <c r="A15" s="257" t="s">
        <v>3743</v>
      </c>
      <c r="B15" s="257" t="s">
        <v>3744</v>
      </c>
      <c r="C15" s="257" t="str">
        <f>VLOOKUP(A15,import!A:J,3,0)</f>
        <v>DOĞRU</v>
      </c>
      <c r="D15" s="257" t="s">
        <v>3713</v>
      </c>
      <c r="E15" s="257">
        <f>VLOOKUP(A15,import!A:J,5,0)</f>
        <v>520</v>
      </c>
      <c r="F15" s="257">
        <f>VLOOKUP(A15,import!A:J,6,0)</f>
        <v>7</v>
      </c>
      <c r="G15" s="257">
        <f>VLOOKUP(A15,import!A:J,7,0)</f>
        <v>0</v>
      </c>
      <c r="H15" s="257">
        <f>VLOOKUP(A15,import!A:J,8,0)</f>
        <v>9</v>
      </c>
      <c r="I15" s="257">
        <f>VLOOKUP(A15,import!A:J,9,0)</f>
        <v>9</v>
      </c>
      <c r="J15" s="369">
        <f>VLOOKUP(A15,import!A:J,10,0)</f>
        <v>0</v>
      </c>
      <c r="K15" s="257" t="s">
        <v>3745</v>
      </c>
      <c r="L15" s="257">
        <v>5.370509967E9</v>
      </c>
      <c r="M15" s="257" t="s">
        <v>286</v>
      </c>
      <c r="N15" s="257" t="s">
        <v>3746</v>
      </c>
      <c r="O15" s="257" t="s">
        <v>3747</v>
      </c>
      <c r="P15" s="370" t="str">
        <f>VLOOKUP(A15,import!A:P,16,0)</f>
        <v>Geleneksel</v>
      </c>
      <c r="Q15" s="370"/>
      <c r="R15" s="370" t="b">
        <v>1</v>
      </c>
      <c r="S15" s="370" t="b">
        <v>1</v>
      </c>
      <c r="T15" s="301"/>
      <c r="U15" s="379"/>
      <c r="V15" s="379"/>
      <c r="W15" s="301" t="s">
        <v>3748</v>
      </c>
      <c r="X15" s="381"/>
      <c r="Y15" s="381"/>
      <c r="Z15" s="372"/>
      <c r="AA15" s="373" t="s">
        <v>3695</v>
      </c>
      <c r="AB15" s="374">
        <v>44389.0</v>
      </c>
      <c r="AC15" s="373" t="s">
        <v>3448</v>
      </c>
      <c r="AD15" s="374">
        <v>44390.0</v>
      </c>
      <c r="AE15" s="373" t="s">
        <v>3682</v>
      </c>
      <c r="AF15" s="374">
        <v>44414.0</v>
      </c>
      <c r="AG15" s="373" t="s">
        <v>3682</v>
      </c>
      <c r="AH15" s="374">
        <v>44418.0</v>
      </c>
      <c r="AI15" s="373" t="s">
        <v>3448</v>
      </c>
      <c r="AJ15" s="374">
        <v>44502.0</v>
      </c>
      <c r="AK15" s="375"/>
      <c r="AL15" s="375"/>
      <c r="AM15" s="373" t="s">
        <v>111</v>
      </c>
      <c r="AN15" s="373" t="s">
        <v>1953</v>
      </c>
      <c r="AO15" s="373" t="s">
        <v>2542</v>
      </c>
      <c r="AP15" s="376" t="s">
        <v>3686</v>
      </c>
      <c r="AQ15" s="373"/>
    </row>
    <row r="16">
      <c r="A16" s="257" t="s">
        <v>1245</v>
      </c>
      <c r="B16" s="257" t="s">
        <v>1246</v>
      </c>
      <c r="C16" s="257" t="str">
        <f>VLOOKUP(A16,import!A:J,3,0)</f>
        <v>DOĞRU</v>
      </c>
      <c r="D16" s="257" t="s">
        <v>3749</v>
      </c>
      <c r="E16" s="257">
        <f>VLOOKUP(A16,import!A:J,5,0)</f>
        <v>953</v>
      </c>
      <c r="F16" s="257">
        <f>VLOOKUP(A16,import!A:J,6,0)</f>
        <v>11</v>
      </c>
      <c r="G16" s="257">
        <f>VLOOKUP(A16,import!A:J,7,0)</f>
        <v>10</v>
      </c>
      <c r="H16" s="257">
        <f>VLOOKUP(A16,import!A:J,8,0)</f>
        <v>6</v>
      </c>
      <c r="I16" s="257">
        <f>VLOOKUP(A16,import!A:J,9,0)</f>
        <v>16</v>
      </c>
      <c r="J16" s="369">
        <f>VLOOKUP(A16,import!A:J,10,0)</f>
        <v>0.63</v>
      </c>
      <c r="K16" s="257" t="s">
        <v>3750</v>
      </c>
      <c r="L16" s="257">
        <v>5.539373685E9</v>
      </c>
      <c r="M16" s="257" t="s">
        <v>286</v>
      </c>
      <c r="N16" s="257" t="s">
        <v>3751</v>
      </c>
      <c r="O16" s="257" t="s">
        <v>1249</v>
      </c>
      <c r="P16" s="370" t="str">
        <f>VLOOKUP(A16,import!A:P,16,0)</f>
        <v>Geleneksel</v>
      </c>
      <c r="Q16" s="370"/>
      <c r="R16" s="370" t="b">
        <v>1</v>
      </c>
      <c r="S16" s="370" t="b">
        <v>0</v>
      </c>
      <c r="T16" s="301" t="s">
        <v>3679</v>
      </c>
      <c r="U16" s="301" t="s">
        <v>3752</v>
      </c>
      <c r="V16" s="301" t="s">
        <v>78</v>
      </c>
      <c r="W16" s="379"/>
      <c r="X16" s="371">
        <v>44378.0</v>
      </c>
      <c r="Y16" s="371">
        <v>44383.0</v>
      </c>
      <c r="Z16" s="372"/>
      <c r="AA16" s="373" t="s">
        <v>3448</v>
      </c>
      <c r="AB16" s="374">
        <v>44349.0</v>
      </c>
      <c r="AC16" s="373" t="s">
        <v>3448</v>
      </c>
      <c r="AD16" s="374">
        <v>44372.0</v>
      </c>
      <c r="AE16" s="373" t="s">
        <v>3682</v>
      </c>
      <c r="AF16" s="374">
        <v>44378.0</v>
      </c>
      <c r="AG16" s="373" t="s">
        <v>3448</v>
      </c>
      <c r="AH16" s="374">
        <v>44434.0</v>
      </c>
      <c r="AI16" s="375"/>
      <c r="AJ16" s="375"/>
      <c r="AK16" s="373" t="s">
        <v>111</v>
      </c>
      <c r="AL16" s="373" t="s">
        <v>3719</v>
      </c>
      <c r="AM16" s="373" t="s">
        <v>3752</v>
      </c>
      <c r="AN16" s="373" t="s">
        <v>3723</v>
      </c>
      <c r="AO16" s="375"/>
      <c r="AP16" s="376" t="s">
        <v>3686</v>
      </c>
      <c r="AQ16" s="375"/>
    </row>
    <row r="17">
      <c r="A17" s="266" t="s">
        <v>842</v>
      </c>
      <c r="B17" s="266" t="s">
        <v>843</v>
      </c>
      <c r="C17" s="257" t="str">
        <f>VLOOKUP(A17,import!A:J,3,0)</f>
        <v>DOĞRU</v>
      </c>
      <c r="D17" s="266" t="s">
        <v>3713</v>
      </c>
      <c r="E17" s="257">
        <f>VLOOKUP(A17,import!A:J,5,0)</f>
        <v>1081</v>
      </c>
      <c r="F17" s="257">
        <f>VLOOKUP(A17,import!A:J,6,0)</f>
        <v>38</v>
      </c>
      <c r="G17" s="257">
        <f>VLOOKUP(A17,import!A:J,7,0)</f>
        <v>10</v>
      </c>
      <c r="H17" s="257">
        <f>VLOOKUP(A17,import!A:J,8,0)</f>
        <v>13</v>
      </c>
      <c r="I17" s="257">
        <f>VLOOKUP(A17,import!A:J,9,0)</f>
        <v>23</v>
      </c>
      <c r="J17" s="369">
        <f>VLOOKUP(A17,import!A:J,10,0)</f>
        <v>0.43</v>
      </c>
      <c r="K17" s="266" t="s">
        <v>3753</v>
      </c>
      <c r="L17" s="266">
        <v>5.324989006E9</v>
      </c>
      <c r="M17" s="266" t="s">
        <v>286</v>
      </c>
      <c r="N17" s="266" t="s">
        <v>3754</v>
      </c>
      <c r="O17" s="266" t="s">
        <v>845</v>
      </c>
      <c r="P17" s="370" t="str">
        <f>VLOOKUP(A17,import!A:P,16,0)</f>
        <v>Geleneksel</v>
      </c>
      <c r="Q17" s="370"/>
      <c r="R17" s="370" t="b">
        <v>1</v>
      </c>
      <c r="S17" s="370" t="b">
        <v>0</v>
      </c>
      <c r="T17" s="301" t="s">
        <v>3679</v>
      </c>
      <c r="U17" s="301" t="s">
        <v>1371</v>
      </c>
      <c r="V17" s="301" t="s">
        <v>3755</v>
      </c>
      <c r="W17" s="301" t="s">
        <v>3756</v>
      </c>
      <c r="X17" s="371">
        <v>44469.0</v>
      </c>
      <c r="Y17" s="371">
        <v>44474.0</v>
      </c>
      <c r="Z17" s="377"/>
      <c r="AA17" s="373" t="s">
        <v>3682</v>
      </c>
      <c r="AB17" s="374">
        <v>44379.0</v>
      </c>
      <c r="AC17" s="373" t="s">
        <v>3448</v>
      </c>
      <c r="AD17" s="374">
        <v>44432.0</v>
      </c>
      <c r="AE17" s="373" t="s">
        <v>3682</v>
      </c>
      <c r="AF17" s="374">
        <v>44406.0</v>
      </c>
      <c r="AG17" s="373" t="s">
        <v>3448</v>
      </c>
      <c r="AH17" s="374">
        <v>44407.0</v>
      </c>
      <c r="AI17" s="373" t="s">
        <v>3682</v>
      </c>
      <c r="AJ17" s="374">
        <v>44469.0</v>
      </c>
      <c r="AK17" s="373" t="s">
        <v>79</v>
      </c>
      <c r="AL17" s="375"/>
      <c r="AM17" s="373" t="s">
        <v>79</v>
      </c>
      <c r="AN17" s="373" t="s">
        <v>79</v>
      </c>
      <c r="AO17" s="373" t="s">
        <v>79</v>
      </c>
      <c r="AP17" s="376" t="s">
        <v>3686</v>
      </c>
      <c r="AQ17" s="373"/>
    </row>
    <row r="18">
      <c r="A18" s="257" t="s">
        <v>878</v>
      </c>
      <c r="B18" s="257" t="s">
        <v>879</v>
      </c>
      <c r="C18" s="257" t="str">
        <f>VLOOKUP(A18,import!A:J,3,0)</f>
        <v>DOĞRU</v>
      </c>
      <c r="D18" s="257" t="s">
        <v>3676</v>
      </c>
      <c r="E18" s="257">
        <f>VLOOKUP(A18,import!A:J,5,0)</f>
        <v>2713</v>
      </c>
      <c r="F18" s="257">
        <f>VLOOKUP(A18,import!A:J,6,0)</f>
        <v>131</v>
      </c>
      <c r="G18" s="257">
        <f>VLOOKUP(A18,import!A:J,7,0)</f>
        <v>5</v>
      </c>
      <c r="H18" s="257">
        <f>VLOOKUP(A18,import!A:J,8,0)</f>
        <v>1</v>
      </c>
      <c r="I18" s="257">
        <f>VLOOKUP(A18,import!A:J,9,0)</f>
        <v>6</v>
      </c>
      <c r="J18" s="369">
        <f>VLOOKUP(A18,import!A:J,10,0)</f>
        <v>0.83</v>
      </c>
      <c r="K18" s="257" t="s">
        <v>3757</v>
      </c>
      <c r="L18" s="257">
        <v>3.224362727E9</v>
      </c>
      <c r="M18" s="257" t="s">
        <v>286</v>
      </c>
      <c r="N18" s="257" t="s">
        <v>3758</v>
      </c>
      <c r="O18" s="257" t="s">
        <v>883</v>
      </c>
      <c r="P18" s="370" t="str">
        <f>VLOOKUP(A18,import!A:P,16,0)</f>
        <v>Geleneksel</v>
      </c>
      <c r="Q18" s="370"/>
      <c r="R18" s="370" t="b">
        <v>1</v>
      </c>
      <c r="S18" s="370" t="b">
        <v>1</v>
      </c>
      <c r="T18" s="379"/>
      <c r="U18" s="379"/>
      <c r="V18" s="379"/>
      <c r="W18" s="379"/>
      <c r="X18" s="381"/>
      <c r="Y18" s="381"/>
      <c r="Z18" s="372"/>
      <c r="AA18" s="382"/>
      <c r="AB18" s="382"/>
      <c r="AC18" s="375"/>
      <c r="AD18" s="382"/>
      <c r="AE18" s="92"/>
      <c r="AF18" s="382"/>
      <c r="AG18" s="92"/>
      <c r="AH18" s="382"/>
      <c r="AI18" s="375"/>
      <c r="AJ18" s="382"/>
      <c r="AK18" s="375"/>
      <c r="AL18" s="375"/>
      <c r="AM18" s="375"/>
      <c r="AN18" s="375"/>
      <c r="AO18" s="375"/>
      <c r="AP18" s="376" t="s">
        <v>3686</v>
      </c>
      <c r="AQ18" s="375"/>
    </row>
    <row r="19">
      <c r="A19" s="257" t="s">
        <v>2113</v>
      </c>
      <c r="B19" s="257" t="s">
        <v>2114</v>
      </c>
      <c r="C19" s="257" t="str">
        <f>VLOOKUP(A19,import!A:J,3,0)</f>
        <v>DOĞRU</v>
      </c>
      <c r="D19" s="257" t="s">
        <v>3759</v>
      </c>
      <c r="E19" s="257">
        <f>VLOOKUP(A19,import!A:J,5,0)</f>
        <v>2276</v>
      </c>
      <c r="F19" s="257">
        <f>VLOOKUP(A19,import!A:J,6,0)</f>
        <v>68</v>
      </c>
      <c r="G19" s="257">
        <f>VLOOKUP(A19,import!A:J,7,0)</f>
        <v>3</v>
      </c>
      <c r="H19" s="257">
        <f>VLOOKUP(A19,import!A:J,8,0)</f>
        <v>5</v>
      </c>
      <c r="I19" s="257">
        <f>VLOOKUP(A19,import!A:J,9,0)</f>
        <v>8</v>
      </c>
      <c r="J19" s="369">
        <f>VLOOKUP(A19,import!A:J,10,0)</f>
        <v>0.38</v>
      </c>
      <c r="K19" s="257" t="s">
        <v>3760</v>
      </c>
      <c r="L19" s="257">
        <v>3.223283535E9</v>
      </c>
      <c r="M19" s="257" t="s">
        <v>3707</v>
      </c>
      <c r="N19" s="257" t="s">
        <v>3761</v>
      </c>
      <c r="O19" s="257" t="s">
        <v>2117</v>
      </c>
      <c r="P19" s="370" t="str">
        <f>VLOOKUP(A19,import!A:P,16,0)</f>
        <v>Geleneksel</v>
      </c>
      <c r="Q19" s="370"/>
      <c r="R19" s="370" t="b">
        <v>1</v>
      </c>
      <c r="S19" s="370" t="b">
        <v>0</v>
      </c>
      <c r="T19" s="301" t="s">
        <v>3679</v>
      </c>
      <c r="U19" s="301" t="s">
        <v>3729</v>
      </c>
      <c r="V19" s="301" t="s">
        <v>78</v>
      </c>
      <c r="W19" s="301" t="s">
        <v>3762</v>
      </c>
      <c r="X19" s="371">
        <v>44432.0</v>
      </c>
      <c r="Y19" s="371">
        <v>44435.0</v>
      </c>
      <c r="Z19" s="372"/>
      <c r="AA19" s="242" t="s">
        <v>3695</v>
      </c>
      <c r="AB19" s="383">
        <v>44403.0</v>
      </c>
      <c r="AC19" s="373" t="s">
        <v>3695</v>
      </c>
      <c r="AD19" s="383">
        <v>44432.0</v>
      </c>
      <c r="AE19" s="373" t="s">
        <v>3682</v>
      </c>
      <c r="AF19" s="383">
        <v>44432.0</v>
      </c>
      <c r="AG19" s="373" t="s">
        <v>3682</v>
      </c>
      <c r="AH19" s="383">
        <v>44496.0</v>
      </c>
      <c r="AI19" s="375"/>
      <c r="AJ19" s="382"/>
      <c r="AK19" s="373" t="s">
        <v>3752</v>
      </c>
      <c r="AL19" s="375"/>
      <c r="AM19" s="373" t="s">
        <v>3729</v>
      </c>
      <c r="AN19" s="373" t="s">
        <v>2282</v>
      </c>
      <c r="AO19" s="375"/>
      <c r="AP19" s="376" t="s">
        <v>3686</v>
      </c>
      <c r="AQ19" s="375"/>
    </row>
    <row r="20">
      <c r="A20" s="257" t="s">
        <v>552</v>
      </c>
      <c r="B20" s="257" t="s">
        <v>553</v>
      </c>
      <c r="C20" s="257" t="str">
        <f>VLOOKUP(A20,import!A:J,3,0)</f>
        <v>DOĞRU</v>
      </c>
      <c r="D20" s="257" t="s">
        <v>3676</v>
      </c>
      <c r="E20" s="257">
        <f>VLOOKUP(A20,import!A:J,5,0)</f>
        <v>856</v>
      </c>
      <c r="F20" s="257">
        <f>VLOOKUP(A20,import!A:J,6,0)</f>
        <v>30</v>
      </c>
      <c r="G20" s="257">
        <f>VLOOKUP(A20,import!A:J,7,0)</f>
        <v>2</v>
      </c>
      <c r="H20" s="257">
        <f>VLOOKUP(A20,import!A:J,8,0)</f>
        <v>12</v>
      </c>
      <c r="I20" s="257">
        <f>VLOOKUP(A20,import!A:J,9,0)</f>
        <v>14</v>
      </c>
      <c r="J20" s="369">
        <f>VLOOKUP(A20,import!A:J,10,0)</f>
        <v>0.14</v>
      </c>
      <c r="K20" s="257" t="s">
        <v>3763</v>
      </c>
      <c r="L20" s="257">
        <v>5.368944006E9</v>
      </c>
      <c r="M20" s="257" t="s">
        <v>286</v>
      </c>
      <c r="N20" s="257" t="s">
        <v>3764</v>
      </c>
      <c r="O20" s="257" t="s">
        <v>555</v>
      </c>
      <c r="P20" s="370" t="str">
        <f>VLOOKUP(A20,import!A:P,16,0)</f>
        <v>Geleneksel</v>
      </c>
      <c r="Q20" s="370"/>
      <c r="R20" s="370" t="b">
        <v>1</v>
      </c>
      <c r="S20" s="370" t="b">
        <v>0</v>
      </c>
      <c r="T20" s="301" t="s">
        <v>3679</v>
      </c>
      <c r="U20" s="301" t="s">
        <v>79</v>
      </c>
      <c r="V20" s="301" t="s">
        <v>78</v>
      </c>
      <c r="W20" s="301" t="s">
        <v>3765</v>
      </c>
      <c r="X20" s="371">
        <v>44460.0</v>
      </c>
      <c r="Y20" s="371">
        <v>44462.0</v>
      </c>
      <c r="Z20" s="377"/>
      <c r="AA20" s="373" t="s">
        <v>3448</v>
      </c>
      <c r="AB20" s="374">
        <v>44434.0</v>
      </c>
      <c r="AC20" s="373" t="s">
        <v>3448</v>
      </c>
      <c r="AD20" s="374">
        <v>44450.0</v>
      </c>
      <c r="AE20" s="92"/>
      <c r="AF20" s="375"/>
      <c r="AG20" s="92"/>
      <c r="AH20" s="375"/>
      <c r="AI20" s="375"/>
      <c r="AJ20" s="375"/>
      <c r="AK20" s="373" t="s">
        <v>3723</v>
      </c>
      <c r="AL20" s="373" t="s">
        <v>2418</v>
      </c>
      <c r="AM20" s="375"/>
      <c r="AN20" s="375"/>
      <c r="AO20" s="375"/>
      <c r="AP20" s="376" t="s">
        <v>3686</v>
      </c>
      <c r="AQ20" s="375"/>
    </row>
    <row r="21">
      <c r="A21" s="257" t="s">
        <v>2853</v>
      </c>
      <c r="B21" s="257" t="s">
        <v>2854</v>
      </c>
      <c r="C21" s="257" t="str">
        <f>VLOOKUP(A21,import!A:J,3,0)</f>
        <v>DOĞRU</v>
      </c>
      <c r="D21" s="257" t="s">
        <v>3713</v>
      </c>
      <c r="E21" s="257">
        <f>VLOOKUP(A21,import!A:J,5,0)</f>
        <v>3613</v>
      </c>
      <c r="F21" s="257">
        <f>VLOOKUP(A21,import!A:J,6,0)</f>
        <v>169</v>
      </c>
      <c r="G21" s="257">
        <f>VLOOKUP(A21,import!A:J,7,0)</f>
        <v>12</v>
      </c>
      <c r="H21" s="257">
        <f>VLOOKUP(A21,import!A:J,8,0)</f>
        <v>27</v>
      </c>
      <c r="I21" s="257">
        <f>VLOOKUP(A21,import!A:J,9,0)</f>
        <v>39</v>
      </c>
      <c r="J21" s="369">
        <f>VLOOKUP(A21,import!A:J,10,0)</f>
        <v>0.31</v>
      </c>
      <c r="K21" s="257" t="s">
        <v>3766</v>
      </c>
      <c r="L21" s="257">
        <v>5.064670177E9</v>
      </c>
      <c r="M21" s="257" t="s">
        <v>14</v>
      </c>
      <c r="N21" s="257" t="s">
        <v>3767</v>
      </c>
      <c r="O21" s="257" t="s">
        <v>160</v>
      </c>
      <c r="P21" s="370" t="str">
        <f>VLOOKUP(A21,import!A:P,16,0)</f>
        <v>Geleneksel</v>
      </c>
      <c r="Q21" s="370"/>
      <c r="R21" s="370" t="b">
        <v>1</v>
      </c>
      <c r="S21" s="370" t="b">
        <v>0</v>
      </c>
      <c r="T21" s="301" t="s">
        <v>3679</v>
      </c>
      <c r="U21" s="301" t="s">
        <v>2542</v>
      </c>
      <c r="V21" s="301" t="s">
        <v>78</v>
      </c>
      <c r="W21" s="301"/>
      <c r="X21" s="371">
        <v>44483.0</v>
      </c>
      <c r="Y21" s="371">
        <v>44484.0</v>
      </c>
      <c r="Z21" s="372"/>
      <c r="AA21" s="373" t="s">
        <v>3682</v>
      </c>
      <c r="AB21" s="374">
        <v>44483.0</v>
      </c>
      <c r="AC21" s="373"/>
      <c r="AD21" s="374"/>
      <c r="AE21" s="373"/>
      <c r="AF21" s="374"/>
      <c r="AG21" s="373"/>
      <c r="AH21" s="374"/>
      <c r="AI21" s="375"/>
      <c r="AJ21" s="375"/>
      <c r="AK21" s="373" t="s">
        <v>2542</v>
      </c>
      <c r="AL21" s="375"/>
      <c r="AM21" s="375"/>
      <c r="AN21" s="373"/>
      <c r="AO21" s="375"/>
      <c r="AP21" s="376" t="s">
        <v>3683</v>
      </c>
      <c r="AQ21" s="375"/>
    </row>
    <row r="22">
      <c r="A22" s="257" t="s">
        <v>2419</v>
      </c>
      <c r="B22" s="257" t="s">
        <v>2420</v>
      </c>
      <c r="C22" s="257" t="str">
        <f>VLOOKUP(A22,import!A:J,3,0)</f>
        <v>DOĞRU</v>
      </c>
      <c r="D22" s="257" t="s">
        <v>3676</v>
      </c>
      <c r="E22" s="257">
        <f>VLOOKUP(A22,import!A:J,5,0)</f>
        <v>1125</v>
      </c>
      <c r="F22" s="257">
        <f>VLOOKUP(A22,import!A:J,6,0)</f>
        <v>63</v>
      </c>
      <c r="G22" s="257">
        <f>VLOOKUP(A22,import!A:J,7,0)</f>
        <v>0</v>
      </c>
      <c r="H22" s="257">
        <f>VLOOKUP(A22,import!A:J,8,0)</f>
        <v>20</v>
      </c>
      <c r="I22" s="257">
        <f>VLOOKUP(A22,import!A:J,9,0)</f>
        <v>20</v>
      </c>
      <c r="J22" s="369">
        <f>VLOOKUP(A22,import!A:J,10,0)</f>
        <v>0</v>
      </c>
      <c r="K22" s="257" t="s">
        <v>3768</v>
      </c>
      <c r="L22" s="257">
        <v>3.22262043E9</v>
      </c>
      <c r="M22" s="257" t="s">
        <v>286</v>
      </c>
      <c r="N22" s="257" t="s">
        <v>3769</v>
      </c>
      <c r="O22" s="257" t="s">
        <v>2423</v>
      </c>
      <c r="P22" s="370" t="str">
        <f>VLOOKUP(A22,import!A:P,16,0)</f>
        <v>Geleneksel</v>
      </c>
      <c r="Q22" s="370"/>
      <c r="R22" s="370" t="b">
        <v>1</v>
      </c>
      <c r="S22" s="370" t="b">
        <v>0</v>
      </c>
      <c r="T22" s="301" t="s">
        <v>3770</v>
      </c>
      <c r="U22" s="301" t="s">
        <v>2418</v>
      </c>
      <c r="V22" s="301" t="s">
        <v>78</v>
      </c>
      <c r="W22" s="301" t="s">
        <v>3771</v>
      </c>
      <c r="X22" s="371">
        <v>44450.0</v>
      </c>
      <c r="Y22" s="371">
        <v>44452.0</v>
      </c>
      <c r="Z22" s="372"/>
      <c r="AA22" s="373" t="s">
        <v>3695</v>
      </c>
      <c r="AB22" s="374">
        <v>44377.0</v>
      </c>
      <c r="AC22" s="373" t="s">
        <v>3682</v>
      </c>
      <c r="AD22" s="374">
        <v>44378.0</v>
      </c>
      <c r="AE22" s="373" t="s">
        <v>3682</v>
      </c>
      <c r="AF22" s="374">
        <v>44386.0</v>
      </c>
      <c r="AG22" s="373" t="s">
        <v>3695</v>
      </c>
      <c r="AH22" s="374">
        <v>44414.0</v>
      </c>
      <c r="AI22" s="373" t="s">
        <v>3448</v>
      </c>
      <c r="AJ22" s="374">
        <v>44490.0</v>
      </c>
      <c r="AK22" s="373" t="s">
        <v>399</v>
      </c>
      <c r="AL22" s="373" t="s">
        <v>3752</v>
      </c>
      <c r="AM22" s="373" t="s">
        <v>79</v>
      </c>
      <c r="AN22" s="373" t="s">
        <v>3729</v>
      </c>
      <c r="AO22" s="373" t="s">
        <v>2542</v>
      </c>
      <c r="AP22" s="376" t="s">
        <v>3686</v>
      </c>
      <c r="AQ22" s="373"/>
    </row>
    <row r="23">
      <c r="A23" s="257" t="s">
        <v>3772</v>
      </c>
      <c r="B23" s="257" t="s">
        <v>3773</v>
      </c>
      <c r="C23" s="257" t="str">
        <f>VLOOKUP(A23,import!A:J,3,0)</f>
        <v>DOĞRU</v>
      </c>
      <c r="D23" s="257" t="s">
        <v>3690</v>
      </c>
      <c r="E23" s="257">
        <f>VLOOKUP(A23,import!A:J,5,0)</f>
        <v>198</v>
      </c>
      <c r="F23" s="257">
        <f>VLOOKUP(A23,import!A:J,6,0)</f>
        <v>9</v>
      </c>
      <c r="G23" s="257">
        <f>VLOOKUP(A23,import!A:J,7,0)</f>
        <v>0</v>
      </c>
      <c r="H23" s="257">
        <f>VLOOKUP(A23,import!A:J,8,0)</f>
        <v>15</v>
      </c>
      <c r="I23" s="257">
        <f>VLOOKUP(A23,import!A:J,9,0)</f>
        <v>15</v>
      </c>
      <c r="J23" s="369">
        <f>VLOOKUP(A23,import!A:J,10,0)</f>
        <v>0</v>
      </c>
      <c r="K23" s="257" t="s">
        <v>3774</v>
      </c>
      <c r="L23" s="257">
        <v>5.433741115E9</v>
      </c>
      <c r="M23" s="257" t="s">
        <v>3692</v>
      </c>
      <c r="N23" s="257" t="s">
        <v>3775</v>
      </c>
      <c r="O23" s="257" t="s">
        <v>3776</v>
      </c>
      <c r="P23" s="370" t="str">
        <f>VLOOKUP(A23,import!A:P,16,0)</f>
        <v>Geleneksel</v>
      </c>
      <c r="Q23" s="370"/>
      <c r="R23" s="370" t="b">
        <v>0</v>
      </c>
      <c r="S23" s="370" t="b">
        <v>0</v>
      </c>
      <c r="T23" s="301"/>
      <c r="U23" s="379"/>
      <c r="V23" s="379"/>
      <c r="W23" s="301"/>
      <c r="X23" s="381"/>
      <c r="Y23" s="381"/>
      <c r="Z23" s="372"/>
      <c r="AA23" s="373"/>
      <c r="AB23" s="374"/>
      <c r="AC23" s="373"/>
      <c r="AD23" s="374"/>
      <c r="AE23" s="373"/>
      <c r="AF23" s="374"/>
      <c r="AG23" s="373"/>
      <c r="AH23" s="374"/>
      <c r="AI23" s="375"/>
      <c r="AJ23" s="375"/>
      <c r="AK23" s="373"/>
      <c r="AL23" s="375"/>
      <c r="AM23" s="375"/>
      <c r="AN23" s="373"/>
      <c r="AO23" s="375"/>
      <c r="AP23" s="376"/>
      <c r="AQ23" s="375"/>
    </row>
    <row r="24">
      <c r="A24" s="376" t="s">
        <v>3777</v>
      </c>
      <c r="B24" s="376" t="s">
        <v>3778</v>
      </c>
      <c r="C24" s="257" t="str">
        <f>VLOOKUP(A24,import!A:J,3,0)</f>
        <v>DOĞRU</v>
      </c>
      <c r="D24" s="376" t="s">
        <v>3749</v>
      </c>
      <c r="E24" s="257">
        <f>VLOOKUP(A24,import!A:J,5,0)</f>
        <v>12</v>
      </c>
      <c r="F24" s="257">
        <f>VLOOKUP(A24,import!A:J,6,0)</f>
        <v>12</v>
      </c>
      <c r="G24" s="257">
        <f>VLOOKUP(A24,import!A:J,7,0)</f>
        <v>0</v>
      </c>
      <c r="H24" s="257">
        <f>VLOOKUP(A24,import!A:J,8,0)</f>
        <v>14</v>
      </c>
      <c r="I24" s="257">
        <f>VLOOKUP(A24,import!A:J,9,0)</f>
        <v>14</v>
      </c>
      <c r="J24" s="369">
        <f>VLOOKUP(A24,import!A:J,10,0)</f>
        <v>0</v>
      </c>
      <c r="K24" s="376" t="s">
        <v>3779</v>
      </c>
      <c r="L24" s="376">
        <v>5.444024221E9</v>
      </c>
      <c r="M24" s="376" t="s">
        <v>14</v>
      </c>
      <c r="N24" s="376" t="s">
        <v>3733</v>
      </c>
      <c r="O24" s="376" t="s">
        <v>3780</v>
      </c>
      <c r="P24" s="370" t="str">
        <f>VLOOKUP(A24,import!A:P,16,0)</f>
        <v>Geleneksel</v>
      </c>
      <c r="Q24" s="370"/>
      <c r="R24" s="370" t="b">
        <v>0</v>
      </c>
      <c r="S24" s="370" t="b">
        <v>0</v>
      </c>
      <c r="T24" s="301"/>
      <c r="U24" s="301"/>
      <c r="V24" s="301"/>
      <c r="W24" s="301"/>
      <c r="X24" s="371"/>
      <c r="Y24" s="371"/>
      <c r="Z24" s="372"/>
      <c r="AA24" s="373"/>
      <c r="AB24" s="374"/>
      <c r="AC24" s="373"/>
      <c r="AD24" s="374"/>
      <c r="AE24" s="373"/>
      <c r="AF24" s="374"/>
      <c r="AG24" s="373"/>
      <c r="AH24" s="374"/>
      <c r="AI24" s="373"/>
      <c r="AJ24" s="374"/>
      <c r="AK24" s="373"/>
      <c r="AL24" s="373"/>
      <c r="AM24" s="373"/>
      <c r="AN24" s="373"/>
      <c r="AO24" s="373"/>
      <c r="AP24" s="376"/>
      <c r="AQ24" s="373"/>
    </row>
    <row r="25">
      <c r="A25" s="257" t="s">
        <v>2128</v>
      </c>
      <c r="B25" s="257" t="s">
        <v>2129</v>
      </c>
      <c r="C25" s="257" t="str">
        <f>VLOOKUP(A25,import!A:J,3,0)</f>
        <v>DOĞRU</v>
      </c>
      <c r="D25" s="257" t="s">
        <v>3713</v>
      </c>
      <c r="E25" s="257">
        <f>VLOOKUP(A25,import!A:J,5,0)</f>
        <v>199</v>
      </c>
      <c r="F25" s="257">
        <f>VLOOKUP(A25,import!A:J,6,0)</f>
        <v>8</v>
      </c>
      <c r="G25" s="257">
        <f>VLOOKUP(A25,import!A:J,7,0)</f>
        <v>14</v>
      </c>
      <c r="H25" s="257">
        <f>VLOOKUP(A25,import!A:J,8,0)</f>
        <v>6</v>
      </c>
      <c r="I25" s="257">
        <f>VLOOKUP(A25,import!A:J,9,0)</f>
        <v>20</v>
      </c>
      <c r="J25" s="369">
        <f>VLOOKUP(A25,import!A:J,10,0)</f>
        <v>0.7</v>
      </c>
      <c r="K25" s="257" t="s">
        <v>3781</v>
      </c>
      <c r="L25" s="257">
        <v>3.222257171E9</v>
      </c>
      <c r="M25" s="257" t="s">
        <v>286</v>
      </c>
      <c r="N25" s="257" t="s">
        <v>3782</v>
      </c>
      <c r="O25" s="257" t="s">
        <v>2132</v>
      </c>
      <c r="P25" s="370" t="str">
        <f>VLOOKUP(A25,import!A:P,16,0)</f>
        <v>Geleneksel</v>
      </c>
      <c r="Q25" s="370"/>
      <c r="R25" s="370" t="b">
        <v>1</v>
      </c>
      <c r="S25" s="370" t="b">
        <v>0</v>
      </c>
      <c r="T25" s="301" t="s">
        <v>3679</v>
      </c>
      <c r="U25" s="301" t="s">
        <v>3723</v>
      </c>
      <c r="V25" s="301" t="s">
        <v>78</v>
      </c>
      <c r="W25" s="301" t="s">
        <v>3783</v>
      </c>
      <c r="X25" s="371">
        <v>44432.0</v>
      </c>
      <c r="Y25" s="371">
        <v>44435.0</v>
      </c>
      <c r="Z25" s="372"/>
      <c r="AA25" s="373" t="s">
        <v>3681</v>
      </c>
      <c r="AB25" s="374">
        <v>44424.0</v>
      </c>
      <c r="AC25" s="373" t="s">
        <v>3682</v>
      </c>
      <c r="AD25" s="374">
        <v>44432.0</v>
      </c>
      <c r="AE25" s="373"/>
      <c r="AF25" s="374"/>
      <c r="AG25" s="92"/>
      <c r="AH25" s="375"/>
      <c r="AI25" s="375"/>
      <c r="AJ25" s="375"/>
      <c r="AK25" s="373" t="s">
        <v>3723</v>
      </c>
      <c r="AL25" s="373" t="s">
        <v>3723</v>
      </c>
      <c r="AM25" s="375"/>
      <c r="AN25" s="375"/>
      <c r="AO25" s="375"/>
      <c r="AP25" s="376" t="s">
        <v>3686</v>
      </c>
      <c r="AQ25" s="375"/>
    </row>
    <row r="26">
      <c r="A26" s="266" t="s">
        <v>579</v>
      </c>
      <c r="B26" s="266" t="s">
        <v>580</v>
      </c>
      <c r="C26" s="257" t="str">
        <f>VLOOKUP(A26,import!A:J,3,0)</f>
        <v>DOĞRU</v>
      </c>
      <c r="D26" s="266" t="s">
        <v>3713</v>
      </c>
      <c r="E26" s="257">
        <f>VLOOKUP(A26,import!A:J,5,0)</f>
        <v>1088</v>
      </c>
      <c r="F26" s="257">
        <f>VLOOKUP(A26,import!A:J,6,0)</f>
        <v>69</v>
      </c>
      <c r="G26" s="257">
        <f>VLOOKUP(A26,import!A:J,7,0)</f>
        <v>18</v>
      </c>
      <c r="H26" s="257">
        <f>VLOOKUP(A26,import!A:J,8,0)</f>
        <v>26</v>
      </c>
      <c r="I26" s="257">
        <f>VLOOKUP(A26,import!A:J,9,0)</f>
        <v>44</v>
      </c>
      <c r="J26" s="369">
        <f>VLOOKUP(A26,import!A:J,10,0)</f>
        <v>0.41</v>
      </c>
      <c r="K26" s="266" t="s">
        <v>3784</v>
      </c>
      <c r="L26" s="266">
        <v>3.22227E9</v>
      </c>
      <c r="M26" s="266" t="s">
        <v>14</v>
      </c>
      <c r="N26" s="266" t="s">
        <v>3767</v>
      </c>
      <c r="O26" s="266" t="s">
        <v>582</v>
      </c>
      <c r="P26" s="370" t="str">
        <f>VLOOKUP(A26,import!A:P,16,0)</f>
        <v>Geleneksel</v>
      </c>
      <c r="Q26" s="370"/>
      <c r="R26" s="370" t="b">
        <v>1</v>
      </c>
      <c r="S26" s="370" t="b">
        <v>0</v>
      </c>
      <c r="T26" s="301" t="s">
        <v>3679</v>
      </c>
      <c r="U26" s="301" t="s">
        <v>399</v>
      </c>
      <c r="V26" s="301" t="s">
        <v>78</v>
      </c>
      <c r="W26" s="301" t="s">
        <v>3785</v>
      </c>
      <c r="X26" s="371">
        <v>44355.0</v>
      </c>
      <c r="Y26" s="371">
        <v>44357.0</v>
      </c>
      <c r="Z26" s="377"/>
      <c r="AA26" s="373" t="s">
        <v>3682</v>
      </c>
      <c r="AB26" s="374">
        <v>44355.0</v>
      </c>
      <c r="AC26" s="373" t="s">
        <v>3681</v>
      </c>
      <c r="AD26" s="374">
        <v>44415.0</v>
      </c>
      <c r="AE26" s="373" t="s">
        <v>3682</v>
      </c>
      <c r="AF26" s="374">
        <v>44425.0</v>
      </c>
      <c r="AG26" s="92"/>
      <c r="AH26" s="375"/>
      <c r="AI26" s="375"/>
      <c r="AJ26" s="375"/>
      <c r="AK26" s="375"/>
      <c r="AL26" s="373" t="s">
        <v>1947</v>
      </c>
      <c r="AM26" s="373" t="s">
        <v>1953</v>
      </c>
      <c r="AN26" s="375"/>
      <c r="AO26" s="375"/>
      <c r="AP26" s="376" t="s">
        <v>3683</v>
      </c>
      <c r="AQ26" s="375"/>
    </row>
    <row r="27">
      <c r="A27" s="257" t="s">
        <v>2965</v>
      </c>
      <c r="B27" s="257" t="s">
        <v>2966</v>
      </c>
      <c r="C27" s="257" t="str">
        <f>VLOOKUP(A27,import!A:J,3,0)</f>
        <v>YANLIŞ</v>
      </c>
      <c r="D27" s="257" t="s">
        <v>3690</v>
      </c>
      <c r="E27" s="257">
        <f>VLOOKUP(A27,import!A:J,5,0)</f>
        <v>88</v>
      </c>
      <c r="F27" s="257" t="str">
        <f>VLOOKUP(A27,import!A:J,6,0)</f>
        <v/>
      </c>
      <c r="G27" s="257">
        <f>VLOOKUP(A27,import!A:J,7,0)</f>
        <v>0</v>
      </c>
      <c r="H27" s="257">
        <f>VLOOKUP(A27,import!A:J,8,0)</f>
        <v>10</v>
      </c>
      <c r="I27" s="257">
        <f>VLOOKUP(A27,import!A:J,9,0)</f>
        <v>10</v>
      </c>
      <c r="J27" s="369">
        <f>VLOOKUP(A27,import!A:J,10,0)</f>
        <v>0</v>
      </c>
      <c r="K27" s="257" t="s">
        <v>3786</v>
      </c>
      <c r="L27" s="257">
        <v>5.322814079E9</v>
      </c>
      <c r="M27" s="257" t="s">
        <v>286</v>
      </c>
      <c r="N27" s="257" t="s">
        <v>3737</v>
      </c>
      <c r="O27" s="257" t="s">
        <v>2968</v>
      </c>
      <c r="P27" s="370" t="str">
        <f>VLOOKUP(A27,import!A:P,16,0)</f>
        <v>Geleneksel</v>
      </c>
      <c r="Q27" s="370"/>
      <c r="R27" s="370" t="b">
        <v>1</v>
      </c>
      <c r="S27" s="370" t="b">
        <v>0</v>
      </c>
      <c r="T27" s="301" t="s">
        <v>3787</v>
      </c>
      <c r="U27" s="301" t="s">
        <v>2542</v>
      </c>
      <c r="V27" s="301" t="s">
        <v>78</v>
      </c>
      <c r="W27" s="301" t="s">
        <v>3788</v>
      </c>
      <c r="X27" s="371">
        <v>44498.0</v>
      </c>
      <c r="Y27" s="371">
        <v>44501.0</v>
      </c>
      <c r="Z27" s="372"/>
      <c r="AA27" s="373" t="s">
        <v>3682</v>
      </c>
      <c r="AB27" s="374">
        <v>44349.0</v>
      </c>
      <c r="AC27" s="373" t="s">
        <v>3448</v>
      </c>
      <c r="AD27" s="374">
        <v>44414.0</v>
      </c>
      <c r="AE27" s="373" t="s">
        <v>3448</v>
      </c>
      <c r="AF27" s="374">
        <v>44418.0</v>
      </c>
      <c r="AG27" s="373" t="s">
        <v>3448</v>
      </c>
      <c r="AH27" s="374">
        <v>44432.0</v>
      </c>
      <c r="AI27" s="373" t="s">
        <v>3682</v>
      </c>
      <c r="AJ27" s="374">
        <v>44498.0</v>
      </c>
      <c r="AK27" s="373" t="s">
        <v>3789</v>
      </c>
      <c r="AL27" s="373" t="s">
        <v>3729</v>
      </c>
      <c r="AM27" s="373" t="s">
        <v>1953</v>
      </c>
      <c r="AN27" s="373" t="s">
        <v>3723</v>
      </c>
      <c r="AO27" s="373" t="s">
        <v>2542</v>
      </c>
      <c r="AP27" s="376" t="s">
        <v>3683</v>
      </c>
      <c r="AQ27" s="373"/>
    </row>
    <row r="28">
      <c r="A28" s="257" t="s">
        <v>3790</v>
      </c>
      <c r="B28" s="257" t="s">
        <v>3791</v>
      </c>
      <c r="C28" s="257" t="str">
        <f>VLOOKUP(A28,import!A:J,3,0)</f>
        <v>DOĞRU</v>
      </c>
      <c r="D28" s="257" t="s">
        <v>3713</v>
      </c>
      <c r="E28" s="257">
        <f>VLOOKUP(A28,import!A:J,5,0)</f>
        <v>220</v>
      </c>
      <c r="F28" s="257">
        <f>VLOOKUP(A28,import!A:J,6,0)</f>
        <v>49</v>
      </c>
      <c r="G28" s="257">
        <f>VLOOKUP(A28,import!A:J,7,0)</f>
        <v>0</v>
      </c>
      <c r="H28" s="257">
        <f>VLOOKUP(A28,import!A:J,8,0)</f>
        <v>32</v>
      </c>
      <c r="I28" s="257">
        <f>VLOOKUP(A28,import!A:J,9,0)</f>
        <v>32</v>
      </c>
      <c r="J28" s="369">
        <f>VLOOKUP(A28,import!A:J,10,0)</f>
        <v>0</v>
      </c>
      <c r="K28" s="257" t="s">
        <v>3792</v>
      </c>
      <c r="L28" s="257">
        <v>5.41820921E8</v>
      </c>
      <c r="M28" s="257" t="s">
        <v>3701</v>
      </c>
      <c r="N28" s="257" t="s">
        <v>3702</v>
      </c>
      <c r="O28" s="257" t="s">
        <v>3793</v>
      </c>
      <c r="P28" s="370" t="str">
        <f>VLOOKUP(A28,import!A:P,16,0)</f>
        <v>Geleneksel</v>
      </c>
      <c r="Q28" s="370"/>
      <c r="R28" s="370" t="b">
        <v>0</v>
      </c>
      <c r="S28" s="370" t="b">
        <v>0</v>
      </c>
      <c r="T28" s="301"/>
      <c r="U28" s="301"/>
      <c r="V28" s="301"/>
      <c r="W28" s="301"/>
      <c r="X28" s="371"/>
      <c r="Y28" s="371"/>
      <c r="Z28" s="372"/>
      <c r="AA28" s="373"/>
      <c r="AB28" s="374"/>
      <c r="AC28" s="373"/>
      <c r="AD28" s="374"/>
      <c r="AE28" s="373"/>
      <c r="AF28" s="374"/>
      <c r="AG28" s="373"/>
      <c r="AH28" s="374"/>
      <c r="AI28" s="373"/>
      <c r="AJ28" s="374"/>
      <c r="AK28" s="373"/>
      <c r="AL28" s="373"/>
      <c r="AM28" s="373"/>
      <c r="AN28" s="373"/>
      <c r="AO28" s="373"/>
      <c r="AP28" s="376"/>
      <c r="AQ28" s="373"/>
    </row>
    <row r="29">
      <c r="A29" s="257" t="s">
        <v>1834</v>
      </c>
      <c r="B29" s="257" t="s">
        <v>1835</v>
      </c>
      <c r="C29" s="257" t="str">
        <f>VLOOKUP(A29,import!A:J,3,0)</f>
        <v>DOĞRU</v>
      </c>
      <c r="D29" s="257" t="s">
        <v>3676</v>
      </c>
      <c r="E29" s="257">
        <f>VLOOKUP(A29,import!A:J,5,0)</f>
        <v>3846</v>
      </c>
      <c r="F29" s="257">
        <f>VLOOKUP(A29,import!A:J,6,0)</f>
        <v>188</v>
      </c>
      <c r="G29" s="257">
        <f>VLOOKUP(A29,import!A:J,7,0)</f>
        <v>19</v>
      </c>
      <c r="H29" s="257">
        <f>VLOOKUP(A29,import!A:J,8,0)</f>
        <v>0</v>
      </c>
      <c r="I29" s="257">
        <f>VLOOKUP(A29,import!A:J,9,0)</f>
        <v>19</v>
      </c>
      <c r="J29" s="369">
        <f>VLOOKUP(A29,import!A:J,10,0)</f>
        <v>1</v>
      </c>
      <c r="K29" s="257" t="s">
        <v>3794</v>
      </c>
      <c r="L29" s="257">
        <v>5.382822213E9</v>
      </c>
      <c r="M29" s="257" t="s">
        <v>286</v>
      </c>
      <c r="N29" s="257" t="s">
        <v>3795</v>
      </c>
      <c r="O29" s="257" t="s">
        <v>1838</v>
      </c>
      <c r="P29" s="370" t="str">
        <f>VLOOKUP(A29,import!A:P,16,0)</f>
        <v>Geleneksel</v>
      </c>
      <c r="Q29" s="370"/>
      <c r="R29" s="370" t="b">
        <v>1</v>
      </c>
      <c r="S29" s="370" t="b">
        <v>0</v>
      </c>
      <c r="T29" s="301" t="s">
        <v>3679</v>
      </c>
      <c r="U29" s="301" t="s">
        <v>3723</v>
      </c>
      <c r="V29" s="301" t="s">
        <v>78</v>
      </c>
      <c r="W29" s="301"/>
      <c r="X29" s="371">
        <v>44414.0</v>
      </c>
      <c r="Y29" s="371">
        <v>44420.0</v>
      </c>
      <c r="Z29" s="377"/>
      <c r="AA29" s="373" t="s">
        <v>3682</v>
      </c>
      <c r="AB29" s="374">
        <v>44379.0</v>
      </c>
      <c r="AC29" s="373" t="s">
        <v>3448</v>
      </c>
      <c r="AD29" s="374">
        <v>44406.0</v>
      </c>
      <c r="AE29" s="373" t="s">
        <v>3448</v>
      </c>
      <c r="AF29" s="374">
        <v>44407.0</v>
      </c>
      <c r="AG29" s="373" t="s">
        <v>3682</v>
      </c>
      <c r="AH29" s="374">
        <v>44414.0</v>
      </c>
      <c r="AI29" s="375"/>
      <c r="AJ29" s="375"/>
      <c r="AK29" s="373" t="s">
        <v>79</v>
      </c>
      <c r="AL29" s="373" t="s">
        <v>79</v>
      </c>
      <c r="AM29" s="373" t="s">
        <v>3723</v>
      </c>
      <c r="AN29" s="375"/>
      <c r="AO29" s="375"/>
      <c r="AP29" s="376" t="s">
        <v>3686</v>
      </c>
      <c r="AQ29" s="375"/>
    </row>
    <row r="30">
      <c r="A30" s="257" t="s">
        <v>237</v>
      </c>
      <c r="B30" s="257" t="s">
        <v>238</v>
      </c>
      <c r="C30" s="257" t="str">
        <f>VLOOKUP(A30,import!A:J,3,0)</f>
        <v>DOĞRU</v>
      </c>
      <c r="D30" s="257" t="s">
        <v>3699</v>
      </c>
      <c r="E30" s="257">
        <f>VLOOKUP(A30,import!A:J,5,0)</f>
        <v>2344</v>
      </c>
      <c r="F30" s="257">
        <f>VLOOKUP(A30,import!A:J,6,0)</f>
        <v>84</v>
      </c>
      <c r="G30" s="257">
        <f>VLOOKUP(A30,import!A:J,7,0)</f>
        <v>17</v>
      </c>
      <c r="H30" s="257">
        <f>VLOOKUP(A30,import!A:J,8,0)</f>
        <v>3</v>
      </c>
      <c r="I30" s="257">
        <f>VLOOKUP(A30,import!A:J,9,0)</f>
        <v>20</v>
      </c>
      <c r="J30" s="369">
        <f>VLOOKUP(A30,import!A:J,10,0)</f>
        <v>0.85</v>
      </c>
      <c r="K30" s="257" t="s">
        <v>3796</v>
      </c>
      <c r="L30" s="257">
        <v>5.457477171E9</v>
      </c>
      <c r="M30" s="257" t="s">
        <v>14</v>
      </c>
      <c r="N30" s="257" t="s">
        <v>3797</v>
      </c>
      <c r="O30" s="257" t="s">
        <v>240</v>
      </c>
      <c r="P30" s="370" t="str">
        <f>VLOOKUP(A30,import!A:P,16,0)</f>
        <v>Geleneksel</v>
      </c>
      <c r="Q30" s="370"/>
      <c r="R30" s="370" t="b">
        <v>1</v>
      </c>
      <c r="S30" s="370" t="b">
        <v>0</v>
      </c>
      <c r="T30" s="301" t="s">
        <v>3679</v>
      </c>
      <c r="U30" s="301" t="s">
        <v>1947</v>
      </c>
      <c r="V30" s="301" t="s">
        <v>78</v>
      </c>
      <c r="W30" s="301" t="s">
        <v>3798</v>
      </c>
      <c r="X30" s="371">
        <v>44412.0</v>
      </c>
      <c r="Y30" s="371">
        <v>44413.0</v>
      </c>
      <c r="Z30" s="377"/>
      <c r="AA30" s="373" t="s">
        <v>3682</v>
      </c>
      <c r="AB30" s="374">
        <v>44412.0</v>
      </c>
      <c r="AC30" s="375"/>
      <c r="AD30" s="375"/>
      <c r="AE30" s="92"/>
      <c r="AF30" s="375"/>
      <c r="AG30" s="92"/>
      <c r="AH30" s="375"/>
      <c r="AI30" s="375"/>
      <c r="AJ30" s="375"/>
      <c r="AK30" s="373" t="s">
        <v>1947</v>
      </c>
      <c r="AL30" s="375"/>
      <c r="AM30" s="375"/>
      <c r="AN30" s="375"/>
      <c r="AO30" s="375"/>
      <c r="AP30" s="376" t="s">
        <v>3683</v>
      </c>
      <c r="AQ30" s="375"/>
    </row>
    <row r="31">
      <c r="A31" s="257" t="s">
        <v>3799</v>
      </c>
      <c r="B31" s="257" t="s">
        <v>3800</v>
      </c>
      <c r="C31" s="257" t="str">
        <f>VLOOKUP(A31,import!A:J,3,0)</f>
        <v>DOĞRU</v>
      </c>
      <c r="D31" s="257" t="s">
        <v>3801</v>
      </c>
      <c r="E31" s="257">
        <f>VLOOKUP(A31,import!A:J,5,0)</f>
        <v>52</v>
      </c>
      <c r="F31" s="257">
        <f>VLOOKUP(A31,import!A:J,6,0)</f>
        <v>5</v>
      </c>
      <c r="G31" s="257">
        <f>VLOOKUP(A31,import!A:J,7,0)</f>
        <v>0</v>
      </c>
      <c r="H31" s="257">
        <f>VLOOKUP(A31,import!A:J,8,0)</f>
        <v>14</v>
      </c>
      <c r="I31" s="257">
        <f>VLOOKUP(A31,import!A:J,9,0)</f>
        <v>14</v>
      </c>
      <c r="J31" s="369">
        <f>VLOOKUP(A31,import!A:J,10,0)</f>
        <v>0</v>
      </c>
      <c r="K31" s="257" t="s">
        <v>3802</v>
      </c>
      <c r="L31" s="257">
        <v>5.01358837E9</v>
      </c>
      <c r="M31" s="257" t="s">
        <v>3701</v>
      </c>
      <c r="N31" s="257" t="s">
        <v>3803</v>
      </c>
      <c r="O31" s="257" t="s">
        <v>3804</v>
      </c>
      <c r="P31" s="370" t="str">
        <f>VLOOKUP(A31,import!A:P,16,0)</f>
        <v>Geleneksel</v>
      </c>
      <c r="Q31" s="370"/>
      <c r="R31" s="370" t="b">
        <v>0</v>
      </c>
      <c r="S31" s="370" t="b">
        <v>0</v>
      </c>
      <c r="T31" s="301"/>
      <c r="U31" s="301"/>
      <c r="V31" s="301"/>
      <c r="W31" s="301"/>
      <c r="X31" s="371"/>
      <c r="Y31" s="371"/>
      <c r="Z31" s="372"/>
      <c r="AA31" s="373"/>
      <c r="AB31" s="374"/>
      <c r="AC31" s="373"/>
      <c r="AD31" s="374"/>
      <c r="AE31" s="373"/>
      <c r="AF31" s="374"/>
      <c r="AG31" s="373"/>
      <c r="AH31" s="374"/>
      <c r="AI31" s="373"/>
      <c r="AJ31" s="374"/>
      <c r="AK31" s="373"/>
      <c r="AL31" s="373"/>
      <c r="AM31" s="373"/>
      <c r="AN31" s="373"/>
      <c r="AO31" s="373"/>
      <c r="AP31" s="376"/>
      <c r="AQ31" s="373"/>
    </row>
    <row r="32">
      <c r="A32" s="257" t="s">
        <v>2176</v>
      </c>
      <c r="B32" s="257" t="s">
        <v>2177</v>
      </c>
      <c r="C32" s="257" t="str">
        <f>VLOOKUP(A32,import!A:J,3,0)</f>
        <v>DOĞRU</v>
      </c>
      <c r="D32" s="257" t="s">
        <v>3801</v>
      </c>
      <c r="E32" s="257">
        <f>VLOOKUP(A32,import!A:J,5,0)</f>
        <v>2223</v>
      </c>
      <c r="F32" s="257">
        <f>VLOOKUP(A32,import!A:J,6,0)</f>
        <v>15</v>
      </c>
      <c r="G32" s="257">
        <f>VLOOKUP(A32,import!A:J,7,0)</f>
        <v>9</v>
      </c>
      <c r="H32" s="257">
        <f>VLOOKUP(A32,import!A:J,8,0)</f>
        <v>2</v>
      </c>
      <c r="I32" s="257">
        <f>VLOOKUP(A32,import!A:J,9,0)</f>
        <v>11</v>
      </c>
      <c r="J32" s="369">
        <f>VLOOKUP(A32,import!A:J,10,0)</f>
        <v>0.82</v>
      </c>
      <c r="K32" s="257" t="s">
        <v>3805</v>
      </c>
      <c r="L32" s="257">
        <v>5.49512194E9</v>
      </c>
      <c r="M32" s="257" t="s">
        <v>286</v>
      </c>
      <c r="N32" s="257" t="s">
        <v>3806</v>
      </c>
      <c r="O32" s="257" t="s">
        <v>2180</v>
      </c>
      <c r="P32" s="370" t="str">
        <f>VLOOKUP(A32,import!A:P,16,0)</f>
        <v>Geleneksel</v>
      </c>
      <c r="Q32" s="370"/>
      <c r="R32" s="370" t="b">
        <v>1</v>
      </c>
      <c r="S32" s="370" t="b">
        <v>1</v>
      </c>
      <c r="T32" s="301"/>
      <c r="U32" s="301" t="s">
        <v>3723</v>
      </c>
      <c r="V32" s="301" t="s">
        <v>78</v>
      </c>
      <c r="W32" s="301" t="s">
        <v>3807</v>
      </c>
      <c r="X32" s="371">
        <v>44434.0</v>
      </c>
      <c r="Y32" s="371">
        <v>44439.0</v>
      </c>
      <c r="Z32" s="301" t="s">
        <v>3808</v>
      </c>
      <c r="AA32" s="373" t="s">
        <v>3448</v>
      </c>
      <c r="AB32" s="374">
        <v>44379.0</v>
      </c>
      <c r="AC32" s="373" t="s">
        <v>3682</v>
      </c>
      <c r="AD32" s="374">
        <v>44384.0</v>
      </c>
      <c r="AE32" s="373" t="s">
        <v>3696</v>
      </c>
      <c r="AF32" s="374">
        <v>44414.0</v>
      </c>
      <c r="AG32" s="373" t="s">
        <v>3448</v>
      </c>
      <c r="AH32" s="374">
        <v>44418.0</v>
      </c>
      <c r="AI32" s="373" t="s">
        <v>3682</v>
      </c>
      <c r="AJ32" s="374">
        <v>44434.0</v>
      </c>
      <c r="AK32" s="373" t="s">
        <v>1014</v>
      </c>
      <c r="AL32" s="373" t="s">
        <v>1014</v>
      </c>
      <c r="AM32" s="373" t="s">
        <v>3729</v>
      </c>
      <c r="AN32" s="373" t="s">
        <v>1953</v>
      </c>
      <c r="AO32" s="373" t="s">
        <v>3723</v>
      </c>
      <c r="AP32" s="376" t="s">
        <v>3686</v>
      </c>
      <c r="AQ32" s="373"/>
    </row>
    <row r="33">
      <c r="A33" s="257" t="s">
        <v>1217</v>
      </c>
      <c r="B33" s="257" t="s">
        <v>1218</v>
      </c>
      <c r="C33" s="257" t="str">
        <f>VLOOKUP(A33,import!A:J,3,0)</f>
        <v>YANLIŞ</v>
      </c>
      <c r="D33" s="257" t="s">
        <v>3801</v>
      </c>
      <c r="E33" s="257">
        <f>VLOOKUP(A33,import!A:J,5,0)</f>
        <v>16</v>
      </c>
      <c r="F33" s="257" t="str">
        <f>VLOOKUP(A33,import!A:J,6,0)</f>
        <v/>
      </c>
      <c r="G33" s="257">
        <f>VLOOKUP(A33,import!A:J,7,0)</f>
        <v>6</v>
      </c>
      <c r="H33" s="257">
        <f>VLOOKUP(A33,import!A:J,8,0)</f>
        <v>2</v>
      </c>
      <c r="I33" s="257">
        <f>VLOOKUP(A33,import!A:J,9,0)</f>
        <v>8</v>
      </c>
      <c r="J33" s="369">
        <f>VLOOKUP(A33,import!A:J,10,0)</f>
        <v>0.75</v>
      </c>
      <c r="K33" s="257" t="s">
        <v>3809</v>
      </c>
      <c r="L33" s="257">
        <v>5.425942705E9</v>
      </c>
      <c r="M33" s="257" t="s">
        <v>286</v>
      </c>
      <c r="N33" s="257" t="s">
        <v>3746</v>
      </c>
      <c r="O33" s="257" t="s">
        <v>1220</v>
      </c>
      <c r="P33" s="370" t="str">
        <f>VLOOKUP(A33,import!A:P,16,0)</f>
        <v>Geleneksel</v>
      </c>
      <c r="Q33" s="370"/>
      <c r="R33" s="370" t="b">
        <v>1</v>
      </c>
      <c r="S33" s="370" t="b">
        <v>0</v>
      </c>
      <c r="T33" s="301" t="s">
        <v>3679</v>
      </c>
      <c r="U33" s="301" t="s">
        <v>2418</v>
      </c>
      <c r="V33" s="301" t="s">
        <v>78</v>
      </c>
      <c r="W33" s="301" t="s">
        <v>3810</v>
      </c>
      <c r="X33" s="371">
        <v>44476.0</v>
      </c>
      <c r="Y33" s="371">
        <v>44480.0</v>
      </c>
      <c r="Z33" s="372"/>
      <c r="AA33" s="373" t="s">
        <v>3682</v>
      </c>
      <c r="AB33" s="374">
        <v>44377.0</v>
      </c>
      <c r="AC33" s="373" t="s">
        <v>3448</v>
      </c>
      <c r="AD33" s="374">
        <v>44393.0</v>
      </c>
      <c r="AE33" s="373" t="s">
        <v>3448</v>
      </c>
      <c r="AF33" s="374">
        <v>44414.0</v>
      </c>
      <c r="AG33" s="373" t="s">
        <v>3448</v>
      </c>
      <c r="AH33" s="374">
        <v>44435.0</v>
      </c>
      <c r="AI33" s="373" t="s">
        <v>3682</v>
      </c>
      <c r="AJ33" s="374">
        <v>44476.0</v>
      </c>
      <c r="AK33" s="373" t="s">
        <v>399</v>
      </c>
      <c r="AL33" s="373" t="s">
        <v>3752</v>
      </c>
      <c r="AM33" s="373" t="s">
        <v>3723</v>
      </c>
      <c r="AN33" s="373" t="s">
        <v>3723</v>
      </c>
      <c r="AO33" s="373" t="s">
        <v>2418</v>
      </c>
      <c r="AP33" s="376" t="s">
        <v>3686</v>
      </c>
      <c r="AQ33" s="373"/>
    </row>
    <row r="34">
      <c r="A34" s="257" t="s">
        <v>3811</v>
      </c>
      <c r="B34" s="257" t="s">
        <v>3812</v>
      </c>
      <c r="C34" s="257" t="str">
        <f>VLOOKUP(A34,import!A:J,3,0)</f>
        <v>DOĞRU</v>
      </c>
      <c r="D34" s="257" t="s">
        <v>3801</v>
      </c>
      <c r="E34" s="257">
        <f>VLOOKUP(A34,import!A:J,5,0)</f>
        <v>1637</v>
      </c>
      <c r="F34" s="257">
        <f>VLOOKUP(A34,import!A:J,6,0)</f>
        <v>59</v>
      </c>
      <c r="G34" s="257">
        <f>VLOOKUP(A34,import!A:J,7,0)</f>
        <v>8</v>
      </c>
      <c r="H34" s="257">
        <f>VLOOKUP(A34,import!A:J,8,0)</f>
        <v>1</v>
      </c>
      <c r="I34" s="257">
        <f>VLOOKUP(A34,import!A:J,9,0)</f>
        <v>9</v>
      </c>
      <c r="J34" s="369">
        <f>VLOOKUP(A34,import!A:J,10,0)</f>
        <v>0.89</v>
      </c>
      <c r="K34" s="257" t="s">
        <v>3813</v>
      </c>
      <c r="L34" s="257">
        <v>5.377484554E9</v>
      </c>
      <c r="M34" s="257" t="s">
        <v>3814</v>
      </c>
      <c r="N34" s="257" t="s">
        <v>3815</v>
      </c>
      <c r="O34" s="257" t="s">
        <v>3816</v>
      </c>
      <c r="P34" s="370" t="str">
        <f>VLOOKUP(A34,import!A:P,16,0)</f>
        <v>Geleneksel</v>
      </c>
      <c r="Q34" s="370"/>
      <c r="R34" s="370" t="b">
        <v>0</v>
      </c>
      <c r="S34" s="370" t="b">
        <v>0</v>
      </c>
      <c r="T34" s="301" t="s">
        <v>3817</v>
      </c>
      <c r="U34" s="379"/>
      <c r="V34" s="379"/>
      <c r="W34" s="379"/>
      <c r="X34" s="381"/>
      <c r="Y34" s="381"/>
      <c r="Z34" s="372"/>
      <c r="AA34" s="375"/>
      <c r="AB34" s="375"/>
      <c r="AC34" s="375"/>
      <c r="AD34" s="375"/>
      <c r="AE34" s="92"/>
      <c r="AF34" s="375"/>
      <c r="AG34" s="92"/>
      <c r="AH34" s="375"/>
      <c r="AI34" s="375"/>
      <c r="AJ34" s="375"/>
      <c r="AK34" s="375"/>
      <c r="AL34" s="375"/>
      <c r="AM34" s="375"/>
      <c r="AN34" s="375"/>
      <c r="AO34" s="375"/>
      <c r="AP34" s="376" t="s">
        <v>3686</v>
      </c>
      <c r="AQ34" s="375"/>
    </row>
    <row r="35">
      <c r="A35" s="257" t="s">
        <v>3818</v>
      </c>
      <c r="B35" s="257" t="s">
        <v>3819</v>
      </c>
      <c r="C35" s="257" t="str">
        <f>VLOOKUP(A35,import!A:J,3,0)</f>
        <v>DOĞRU</v>
      </c>
      <c r="D35" s="257" t="s">
        <v>3801</v>
      </c>
      <c r="E35" s="257">
        <f>VLOOKUP(A35,import!A:J,5,0)</f>
        <v>241</v>
      </c>
      <c r="F35" s="257">
        <f>VLOOKUP(A35,import!A:J,6,0)</f>
        <v>9</v>
      </c>
      <c r="G35" s="257">
        <f>VLOOKUP(A35,import!A:J,7,0)</f>
        <v>6</v>
      </c>
      <c r="H35" s="257">
        <f>VLOOKUP(A35,import!A:J,8,0)</f>
        <v>5</v>
      </c>
      <c r="I35" s="257">
        <f>VLOOKUP(A35,import!A:J,9,0)</f>
        <v>11</v>
      </c>
      <c r="J35" s="369">
        <f>VLOOKUP(A35,import!A:J,10,0)</f>
        <v>0.55</v>
      </c>
      <c r="K35" s="257" t="s">
        <v>3820</v>
      </c>
      <c r="L35" s="257">
        <v>5.421550201E9</v>
      </c>
      <c r="M35" s="257" t="s">
        <v>286</v>
      </c>
      <c r="N35" s="257" t="s">
        <v>3764</v>
      </c>
      <c r="O35" s="257" t="s">
        <v>3821</v>
      </c>
      <c r="P35" s="370" t="str">
        <f>VLOOKUP(A35,import!A:P,16,0)</f>
        <v>Geleneksel</v>
      </c>
      <c r="Q35" s="370"/>
      <c r="R35" s="370" t="b">
        <v>1</v>
      </c>
      <c r="S35" s="370" t="b">
        <v>0</v>
      </c>
      <c r="T35" s="301" t="s">
        <v>3817</v>
      </c>
      <c r="U35" s="379"/>
      <c r="V35" s="379"/>
      <c r="W35" s="301"/>
      <c r="X35" s="381"/>
      <c r="Y35" s="381"/>
      <c r="Z35" s="372"/>
      <c r="AA35" s="373"/>
      <c r="AB35" s="374"/>
      <c r="AC35" s="373"/>
      <c r="AD35" s="374"/>
      <c r="AE35" s="373"/>
      <c r="AF35" s="374"/>
      <c r="AG35" s="373"/>
      <c r="AH35" s="374"/>
      <c r="AI35" s="375"/>
      <c r="AJ35" s="375"/>
      <c r="AK35" s="373"/>
      <c r="AL35" s="375"/>
      <c r="AM35" s="375"/>
      <c r="AN35" s="373"/>
      <c r="AO35" s="375"/>
      <c r="AP35" s="376" t="s">
        <v>3686</v>
      </c>
      <c r="AQ35" s="375"/>
    </row>
    <row r="36">
      <c r="A36" s="257" t="s">
        <v>685</v>
      </c>
      <c r="B36" s="257" t="s">
        <v>686</v>
      </c>
      <c r="C36" s="257" t="str">
        <f>VLOOKUP(A36,import!A:J,3,0)</f>
        <v>DOĞRU</v>
      </c>
      <c r="D36" s="257" t="s">
        <v>3822</v>
      </c>
      <c r="E36" s="257">
        <f>VLOOKUP(A36,import!A:J,5,0)</f>
        <v>379</v>
      </c>
      <c r="F36" s="257">
        <f>VLOOKUP(A36,import!A:J,6,0)</f>
        <v>30</v>
      </c>
      <c r="G36" s="257">
        <f>VLOOKUP(A36,import!A:J,7,0)</f>
        <v>21</v>
      </c>
      <c r="H36" s="257">
        <f>VLOOKUP(A36,import!A:J,8,0)</f>
        <v>13</v>
      </c>
      <c r="I36" s="257">
        <f>VLOOKUP(A36,import!A:J,9,0)</f>
        <v>34</v>
      </c>
      <c r="J36" s="369">
        <f>VLOOKUP(A36,import!A:J,10,0)</f>
        <v>0.62</v>
      </c>
      <c r="K36" s="257" t="s">
        <v>3823</v>
      </c>
      <c r="L36" s="257">
        <v>5.449234554E9</v>
      </c>
      <c r="M36" s="257" t="s">
        <v>14</v>
      </c>
      <c r="N36" s="257" t="s">
        <v>3733</v>
      </c>
      <c r="O36" s="257" t="s">
        <v>688</v>
      </c>
      <c r="P36" s="370" t="str">
        <f>VLOOKUP(A36,import!A:P,16,0)</f>
        <v>Geleneksel</v>
      </c>
      <c r="Q36" s="370"/>
      <c r="R36" s="370" t="b">
        <v>1</v>
      </c>
      <c r="S36" s="370" t="b">
        <v>0</v>
      </c>
      <c r="T36" s="301" t="s">
        <v>3679</v>
      </c>
      <c r="U36" s="301" t="s">
        <v>79</v>
      </c>
      <c r="V36" s="301" t="s">
        <v>78</v>
      </c>
      <c r="W36" s="301" t="s">
        <v>3824</v>
      </c>
      <c r="X36" s="371">
        <v>44459.0</v>
      </c>
      <c r="Y36" s="371">
        <v>44460.0</v>
      </c>
      <c r="Z36" s="377"/>
      <c r="AA36" s="373" t="s">
        <v>3681</v>
      </c>
      <c r="AB36" s="374">
        <v>44362.0</v>
      </c>
      <c r="AC36" s="373" t="s">
        <v>3681</v>
      </c>
      <c r="AD36" s="374">
        <v>44371.0</v>
      </c>
      <c r="AE36" s="373" t="s">
        <v>3681</v>
      </c>
      <c r="AF36" s="374">
        <v>44349.0</v>
      </c>
      <c r="AG36" s="373" t="s">
        <v>3682</v>
      </c>
      <c r="AH36" s="374">
        <v>44382.0</v>
      </c>
      <c r="AI36" s="373" t="s">
        <v>3682</v>
      </c>
      <c r="AJ36" s="374">
        <v>44447.0</v>
      </c>
      <c r="AK36" s="373" t="s">
        <v>2706</v>
      </c>
      <c r="AL36" s="373" t="s">
        <v>1014</v>
      </c>
      <c r="AM36" s="373" t="s">
        <v>79</v>
      </c>
      <c r="AN36" s="373" t="s">
        <v>79</v>
      </c>
      <c r="AO36" s="373" t="s">
        <v>2542</v>
      </c>
      <c r="AP36" s="376" t="s">
        <v>3683</v>
      </c>
      <c r="AQ36" s="373"/>
    </row>
    <row r="37">
      <c r="A37" s="257" t="s">
        <v>2820</v>
      </c>
      <c r="B37" s="257" t="s">
        <v>2821</v>
      </c>
      <c r="C37" s="257" t="str">
        <f>VLOOKUP(A37,import!A:J,3,0)</f>
        <v>DOĞRU</v>
      </c>
      <c r="D37" s="257" t="s">
        <v>3713</v>
      </c>
      <c r="E37" s="257">
        <f>VLOOKUP(A37,import!A:J,5,0)</f>
        <v>2174</v>
      </c>
      <c r="F37" s="257">
        <f>VLOOKUP(A37,import!A:J,6,0)</f>
        <v>66</v>
      </c>
      <c r="G37" s="257">
        <f>VLOOKUP(A37,import!A:J,7,0)</f>
        <v>0</v>
      </c>
      <c r="H37" s="257">
        <f>VLOOKUP(A37,import!A:J,8,0)</f>
        <v>29</v>
      </c>
      <c r="I37" s="257">
        <f>VLOOKUP(A37,import!A:J,9,0)</f>
        <v>29</v>
      </c>
      <c r="J37" s="369">
        <f>VLOOKUP(A37,import!A:J,10,0)</f>
        <v>0</v>
      </c>
      <c r="K37" s="257" t="s">
        <v>3825</v>
      </c>
      <c r="L37" s="257">
        <v>3.228020818E9</v>
      </c>
      <c r="M37" s="257" t="s">
        <v>14</v>
      </c>
      <c r="N37" s="257" t="s">
        <v>3826</v>
      </c>
      <c r="O37" s="257" t="s">
        <v>2823</v>
      </c>
      <c r="P37" s="370" t="str">
        <f>VLOOKUP(A37,import!A:P,16,0)</f>
        <v>Geleneksel</v>
      </c>
      <c r="Q37" s="370"/>
      <c r="R37" s="370" t="b">
        <v>1</v>
      </c>
      <c r="S37" s="370" t="b">
        <v>1</v>
      </c>
      <c r="T37" s="301"/>
      <c r="U37" s="301" t="s">
        <v>2542</v>
      </c>
      <c r="V37" s="301" t="s">
        <v>78</v>
      </c>
      <c r="W37" s="301" t="s">
        <v>3827</v>
      </c>
      <c r="X37" s="371">
        <v>44480.0</v>
      </c>
      <c r="Y37" s="371">
        <v>44481.0</v>
      </c>
      <c r="Z37" s="377"/>
      <c r="AA37" s="373" t="s">
        <v>3682</v>
      </c>
      <c r="AB37" s="374">
        <v>44414.0</v>
      </c>
      <c r="AC37" s="373" t="s">
        <v>3682</v>
      </c>
      <c r="AD37" s="374">
        <v>44418.0</v>
      </c>
      <c r="AE37" s="373" t="s">
        <v>3682</v>
      </c>
      <c r="AF37" s="374">
        <v>44440.0</v>
      </c>
      <c r="AG37" s="373" t="s">
        <v>3682</v>
      </c>
      <c r="AH37" s="374">
        <v>44480.0</v>
      </c>
      <c r="AI37" s="373" t="s">
        <v>3682</v>
      </c>
      <c r="AJ37" s="374">
        <v>44635.0</v>
      </c>
      <c r="AK37" s="373" t="s">
        <v>3729</v>
      </c>
      <c r="AL37" s="373" t="s">
        <v>1953</v>
      </c>
      <c r="AM37" s="373" t="s">
        <v>2542</v>
      </c>
      <c r="AN37" s="373" t="s">
        <v>2542</v>
      </c>
      <c r="AO37" s="373" t="s">
        <v>2192</v>
      </c>
      <c r="AP37" s="376" t="s">
        <v>3683</v>
      </c>
      <c r="AQ37" s="373"/>
    </row>
    <row r="38">
      <c r="A38" s="376" t="s">
        <v>3828</v>
      </c>
      <c r="B38" s="376" t="s">
        <v>3829</v>
      </c>
      <c r="C38" s="257" t="str">
        <f>VLOOKUP(A38,import!A:J,3,0)</f>
        <v>DOĞRU</v>
      </c>
      <c r="D38" s="376" t="s">
        <v>3713</v>
      </c>
      <c r="E38" s="257" t="str">
        <f>VLOOKUP(A38,import!A:J,5,0)</f>
        <v/>
      </c>
      <c r="F38" s="257" t="str">
        <f>VLOOKUP(A38,import!A:J,6,0)</f>
        <v/>
      </c>
      <c r="G38" s="257">
        <f>VLOOKUP(A38,import!A:J,7,0)</f>
        <v>0</v>
      </c>
      <c r="H38" s="257">
        <f>VLOOKUP(A38,import!A:J,8,0)</f>
        <v>24</v>
      </c>
      <c r="I38" s="257">
        <f>VLOOKUP(A38,import!A:J,9,0)</f>
        <v>24</v>
      </c>
      <c r="J38" s="369">
        <f>VLOOKUP(A38,import!A:J,10,0)</f>
        <v>0</v>
      </c>
      <c r="K38" s="376" t="s">
        <v>3830</v>
      </c>
      <c r="L38" s="376">
        <v>3.225039888E9</v>
      </c>
      <c r="M38" s="376" t="s">
        <v>286</v>
      </c>
      <c r="N38" s="376" t="s">
        <v>3688</v>
      </c>
      <c r="O38" s="376" t="s">
        <v>3831</v>
      </c>
      <c r="P38" s="370" t="str">
        <f>VLOOKUP(A38,import!A:P,16,0)</f>
        <v>Geleneksel</v>
      </c>
      <c r="Q38" s="370"/>
      <c r="R38" s="370" t="b">
        <v>0</v>
      </c>
      <c r="S38" s="370" t="b">
        <v>0</v>
      </c>
      <c r="T38" s="301"/>
      <c r="U38" s="301"/>
      <c r="V38" s="301"/>
      <c r="W38" s="301"/>
      <c r="X38" s="371"/>
      <c r="Y38" s="371"/>
      <c r="Z38" s="372"/>
      <c r="AA38" s="373"/>
      <c r="AB38" s="374"/>
      <c r="AC38" s="373"/>
      <c r="AD38" s="374"/>
      <c r="AE38" s="373"/>
      <c r="AF38" s="374"/>
      <c r="AG38" s="373"/>
      <c r="AH38" s="374"/>
      <c r="AI38" s="373"/>
      <c r="AJ38" s="374"/>
      <c r="AK38" s="373"/>
      <c r="AL38" s="373"/>
      <c r="AM38" s="373"/>
      <c r="AN38" s="373"/>
      <c r="AO38" s="373"/>
      <c r="AP38" s="376"/>
      <c r="AQ38" s="373"/>
    </row>
    <row r="39">
      <c r="A39" s="266" t="s">
        <v>1357</v>
      </c>
      <c r="B39" s="266" t="s">
        <v>1358</v>
      </c>
      <c r="C39" s="257" t="str">
        <f>VLOOKUP(A39,import!A:J,3,0)</f>
        <v>DOĞRU</v>
      </c>
      <c r="D39" s="266" t="s">
        <v>3676</v>
      </c>
      <c r="E39" s="257">
        <f>VLOOKUP(A39,import!A:J,5,0)</f>
        <v>2420</v>
      </c>
      <c r="F39" s="257">
        <f>VLOOKUP(A39,import!A:J,6,0)</f>
        <v>131</v>
      </c>
      <c r="G39" s="257">
        <f>VLOOKUP(A39,import!A:J,7,0)</f>
        <v>6</v>
      </c>
      <c r="H39" s="257">
        <f>VLOOKUP(A39,import!A:J,8,0)</f>
        <v>4</v>
      </c>
      <c r="I39" s="257">
        <f>VLOOKUP(A39,import!A:J,9,0)</f>
        <v>10</v>
      </c>
      <c r="J39" s="369">
        <f>VLOOKUP(A39,import!A:J,10,0)</f>
        <v>0.6</v>
      </c>
      <c r="K39" s="266" t="s">
        <v>3832</v>
      </c>
      <c r="L39" s="266">
        <v>3.222268444E9</v>
      </c>
      <c r="M39" s="266" t="s">
        <v>286</v>
      </c>
      <c r="N39" s="266" t="s">
        <v>3782</v>
      </c>
      <c r="O39" s="266" t="s">
        <v>1360</v>
      </c>
      <c r="P39" s="370" t="str">
        <f>VLOOKUP(A39,import!A:P,16,0)</f>
        <v>Geleneksel</v>
      </c>
      <c r="Q39" s="370"/>
      <c r="R39" s="370" t="b">
        <v>1</v>
      </c>
      <c r="S39" s="370" t="b">
        <v>0</v>
      </c>
      <c r="T39" s="301" t="s">
        <v>3679</v>
      </c>
      <c r="U39" s="301" t="s">
        <v>3752</v>
      </c>
      <c r="V39" s="301" t="s">
        <v>78</v>
      </c>
      <c r="W39" s="301">
        <v>5.444760172E9</v>
      </c>
      <c r="X39" s="371">
        <v>44384.0</v>
      </c>
      <c r="Y39" s="371">
        <v>44386.0</v>
      </c>
      <c r="Z39" s="377"/>
      <c r="AA39" s="373" t="s">
        <v>3682</v>
      </c>
      <c r="AB39" s="374">
        <v>44384.0</v>
      </c>
      <c r="AC39" s="375"/>
      <c r="AD39" s="375"/>
      <c r="AE39" s="92"/>
      <c r="AF39" s="375"/>
      <c r="AG39" s="92"/>
      <c r="AH39" s="375"/>
      <c r="AI39" s="375"/>
      <c r="AJ39" s="375"/>
      <c r="AK39" s="373" t="s">
        <v>3752</v>
      </c>
      <c r="AL39" s="375"/>
      <c r="AM39" s="375"/>
      <c r="AN39" s="375"/>
      <c r="AO39" s="375"/>
      <c r="AP39" s="376" t="s">
        <v>3686</v>
      </c>
      <c r="AQ39" s="375"/>
    </row>
    <row r="40">
      <c r="A40" s="257" t="s">
        <v>3833</v>
      </c>
      <c r="B40" s="257" t="s">
        <v>3834</v>
      </c>
      <c r="C40" s="257" t="str">
        <f>VLOOKUP(A40,import!A:J,3,0)</f>
        <v>DOĞRU</v>
      </c>
      <c r="D40" s="257" t="s">
        <v>3676</v>
      </c>
      <c r="E40" s="257">
        <f>VLOOKUP(A40,import!A:J,5,0)</f>
        <v>629</v>
      </c>
      <c r="F40" s="257">
        <f>VLOOKUP(A40,import!A:J,6,0)</f>
        <v>8</v>
      </c>
      <c r="G40" s="257">
        <f>VLOOKUP(A40,import!A:J,7,0)</f>
        <v>0</v>
      </c>
      <c r="H40" s="257">
        <f>VLOOKUP(A40,import!A:J,8,0)</f>
        <v>6</v>
      </c>
      <c r="I40" s="257">
        <f>VLOOKUP(A40,import!A:J,9,0)</f>
        <v>6</v>
      </c>
      <c r="J40" s="369">
        <f>VLOOKUP(A40,import!A:J,10,0)</f>
        <v>0</v>
      </c>
      <c r="K40" s="257" t="s">
        <v>3835</v>
      </c>
      <c r="L40" s="257">
        <v>3.222261998E9</v>
      </c>
      <c r="M40" s="257" t="s">
        <v>286</v>
      </c>
      <c r="N40" s="257" t="s">
        <v>3754</v>
      </c>
      <c r="O40" s="257" t="s">
        <v>3836</v>
      </c>
      <c r="P40" s="370" t="str">
        <f>VLOOKUP(A40,import!A:P,16,0)</f>
        <v>Geleneksel</v>
      </c>
      <c r="Q40" s="370"/>
      <c r="R40" s="370" t="b">
        <v>1</v>
      </c>
      <c r="S40" s="370" t="b">
        <v>0</v>
      </c>
      <c r="T40" s="301"/>
      <c r="U40" s="379"/>
      <c r="V40" s="379"/>
      <c r="W40" s="301" t="s">
        <v>3837</v>
      </c>
      <c r="X40" s="381"/>
      <c r="Y40" s="381"/>
      <c r="Z40" s="372"/>
      <c r="AA40" s="373"/>
      <c r="AB40" s="374"/>
      <c r="AC40" s="373"/>
      <c r="AD40" s="374"/>
      <c r="AE40" s="373"/>
      <c r="AF40" s="374"/>
      <c r="AG40" s="373"/>
      <c r="AH40" s="374"/>
      <c r="AI40" s="375"/>
      <c r="AJ40" s="375"/>
      <c r="AK40" s="373"/>
      <c r="AL40" s="375"/>
      <c r="AM40" s="375"/>
      <c r="AN40" s="373"/>
      <c r="AO40" s="375"/>
      <c r="AP40" s="376" t="s">
        <v>3686</v>
      </c>
      <c r="AQ40" s="375"/>
    </row>
    <row r="41">
      <c r="A41" s="257" t="s">
        <v>556</v>
      </c>
      <c r="B41" s="257" t="s">
        <v>557</v>
      </c>
      <c r="C41" s="257" t="str">
        <f>VLOOKUP(A41,import!A:J,3,0)</f>
        <v>DOĞRU</v>
      </c>
      <c r="D41" s="257" t="s">
        <v>3699</v>
      </c>
      <c r="E41" s="257">
        <f>VLOOKUP(A41,import!A:J,5,0)</f>
        <v>2445</v>
      </c>
      <c r="F41" s="257">
        <f>VLOOKUP(A41,import!A:J,6,0)</f>
        <v>84</v>
      </c>
      <c r="G41" s="257">
        <f>VLOOKUP(A41,import!A:J,7,0)</f>
        <v>27</v>
      </c>
      <c r="H41" s="257">
        <f>VLOOKUP(A41,import!A:J,8,0)</f>
        <v>18</v>
      </c>
      <c r="I41" s="257">
        <f>VLOOKUP(A41,import!A:J,9,0)</f>
        <v>45</v>
      </c>
      <c r="J41" s="369">
        <f>VLOOKUP(A41,import!A:J,10,0)</f>
        <v>0.6</v>
      </c>
      <c r="K41" s="257" t="s">
        <v>3838</v>
      </c>
      <c r="L41" s="257">
        <v>3.222255139E9</v>
      </c>
      <c r="M41" s="257" t="s">
        <v>286</v>
      </c>
      <c r="N41" s="257" t="s">
        <v>3746</v>
      </c>
      <c r="O41" s="257" t="s">
        <v>559</v>
      </c>
      <c r="P41" s="370" t="str">
        <f>VLOOKUP(A41,import!A:P,16,0)</f>
        <v>Geleneksel</v>
      </c>
      <c r="Q41" s="370"/>
      <c r="R41" s="370" t="b">
        <v>1</v>
      </c>
      <c r="S41" s="370" t="b">
        <v>0</v>
      </c>
      <c r="T41" s="301" t="s">
        <v>3679</v>
      </c>
      <c r="U41" s="301" t="s">
        <v>399</v>
      </c>
      <c r="V41" s="92" t="s">
        <v>342</v>
      </c>
      <c r="W41" s="301" t="s">
        <v>3839</v>
      </c>
      <c r="X41" s="371">
        <v>44309.0</v>
      </c>
      <c r="Y41" s="371">
        <v>44314.0</v>
      </c>
      <c r="Z41" s="377"/>
      <c r="AA41" s="375"/>
      <c r="AB41" s="375"/>
      <c r="AC41" s="375"/>
      <c r="AD41" s="375"/>
      <c r="AE41" s="92"/>
      <c r="AF41" s="375"/>
      <c r="AG41" s="92"/>
      <c r="AH41" s="375"/>
      <c r="AI41" s="375"/>
      <c r="AJ41" s="375"/>
      <c r="AK41" s="375"/>
      <c r="AL41" s="375"/>
      <c r="AM41" s="375"/>
      <c r="AN41" s="375"/>
      <c r="AO41" s="375"/>
      <c r="AP41" s="376" t="s">
        <v>3686</v>
      </c>
      <c r="AQ41" s="375"/>
    </row>
    <row r="42">
      <c r="A42" s="257" t="s">
        <v>3840</v>
      </c>
      <c r="B42" s="257" t="s">
        <v>3841</v>
      </c>
      <c r="C42" s="257" t="str">
        <f>VLOOKUP(A42,import!A:J,3,0)</f>
        <v>DOĞRU</v>
      </c>
      <c r="D42" s="257" t="s">
        <v>3842</v>
      </c>
      <c r="E42" s="257">
        <f>VLOOKUP(A42,import!A:J,5,0)</f>
        <v>1799</v>
      </c>
      <c r="F42" s="257">
        <f>VLOOKUP(A42,import!A:J,6,0)</f>
        <v>83</v>
      </c>
      <c r="G42" s="257">
        <f>VLOOKUP(A42,import!A:J,7,0)</f>
        <v>0</v>
      </c>
      <c r="H42" s="257">
        <f>VLOOKUP(A42,import!A:J,8,0)</f>
        <v>21</v>
      </c>
      <c r="I42" s="257">
        <f>VLOOKUP(A42,import!A:J,9,0)</f>
        <v>21</v>
      </c>
      <c r="J42" s="369">
        <f>VLOOKUP(A42,import!A:J,10,0)</f>
        <v>0</v>
      </c>
      <c r="K42" s="257" t="s">
        <v>3843</v>
      </c>
      <c r="L42" s="257">
        <v>5.41445694E9</v>
      </c>
      <c r="M42" s="257" t="s">
        <v>14</v>
      </c>
      <c r="N42" s="257" t="s">
        <v>3718</v>
      </c>
      <c r="O42" s="257" t="s">
        <v>3844</v>
      </c>
      <c r="P42" s="370" t="str">
        <f>VLOOKUP(A42,import!A:P,16,0)</f>
        <v>Geleneksel</v>
      </c>
      <c r="Q42" s="370"/>
      <c r="R42" s="370" t="b">
        <v>1</v>
      </c>
      <c r="S42" s="370" t="b">
        <v>1</v>
      </c>
      <c r="T42" s="301"/>
      <c r="U42" s="379"/>
      <c r="V42" s="384"/>
      <c r="W42" s="301" t="s">
        <v>3845</v>
      </c>
      <c r="X42" s="381"/>
      <c r="Y42" s="381"/>
      <c r="Z42" s="372"/>
      <c r="AA42" s="373" t="s">
        <v>3682</v>
      </c>
      <c r="AB42" s="374">
        <v>44382.0</v>
      </c>
      <c r="AC42" s="373" t="s">
        <v>3682</v>
      </c>
      <c r="AD42" s="374">
        <v>44414.0</v>
      </c>
      <c r="AE42" s="373" t="s">
        <v>3696</v>
      </c>
      <c r="AF42" s="374">
        <v>44435.0</v>
      </c>
      <c r="AG42" s="373" t="s">
        <v>3696</v>
      </c>
      <c r="AH42" s="374">
        <v>44457.0</v>
      </c>
      <c r="AI42" s="373" t="s">
        <v>3682</v>
      </c>
      <c r="AJ42" s="374">
        <v>44470.0</v>
      </c>
      <c r="AK42" s="373" t="s">
        <v>3719</v>
      </c>
      <c r="AL42" s="373" t="s">
        <v>3723</v>
      </c>
      <c r="AM42" s="373" t="s">
        <v>3723</v>
      </c>
      <c r="AN42" s="373" t="s">
        <v>79</v>
      </c>
      <c r="AO42" s="373" t="s">
        <v>79</v>
      </c>
      <c r="AP42" s="376" t="s">
        <v>3683</v>
      </c>
      <c r="AQ42" s="373"/>
    </row>
    <row r="43">
      <c r="A43" s="257" t="s">
        <v>3846</v>
      </c>
      <c r="B43" s="257" t="s">
        <v>3847</v>
      </c>
      <c r="C43" s="257" t="str">
        <f>VLOOKUP(A43,import!A:J,3,0)</f>
        <v>DOĞRU</v>
      </c>
      <c r="D43" s="257" t="s">
        <v>3713</v>
      </c>
      <c r="E43" s="257">
        <f>VLOOKUP(A43,import!A:J,5,0)</f>
        <v>108</v>
      </c>
      <c r="F43" s="257" t="str">
        <f>VLOOKUP(A43,import!A:J,6,0)</f>
        <v/>
      </c>
      <c r="G43" s="257">
        <f>VLOOKUP(A43,import!A:J,7,0)</f>
        <v>0</v>
      </c>
      <c r="H43" s="257">
        <f>VLOOKUP(A43,import!A:J,8,0)</f>
        <v>15</v>
      </c>
      <c r="I43" s="257">
        <f>VLOOKUP(A43,import!A:J,9,0)</f>
        <v>15</v>
      </c>
      <c r="J43" s="369">
        <f>VLOOKUP(A43,import!A:J,10,0)</f>
        <v>0</v>
      </c>
      <c r="K43" s="257" t="s">
        <v>3848</v>
      </c>
      <c r="L43" s="257">
        <v>3.224280708E9</v>
      </c>
      <c r="M43" s="257" t="s">
        <v>14</v>
      </c>
      <c r="N43" s="257" t="s">
        <v>3678</v>
      </c>
      <c r="O43" s="257" t="s">
        <v>3849</v>
      </c>
      <c r="P43" s="370" t="str">
        <f>VLOOKUP(A43,import!A:P,16,0)</f>
        <v>Geleneksel</v>
      </c>
      <c r="Q43" s="370"/>
      <c r="R43" s="370" t="b">
        <v>1</v>
      </c>
      <c r="S43" s="370" t="b">
        <v>0</v>
      </c>
      <c r="T43" s="301" t="s">
        <v>3770</v>
      </c>
      <c r="U43" s="379"/>
      <c r="V43" s="379"/>
      <c r="W43" s="301" t="s">
        <v>3850</v>
      </c>
      <c r="X43" s="381"/>
      <c r="Y43" s="381"/>
      <c r="Z43" s="372"/>
      <c r="AA43" s="373" t="s">
        <v>3448</v>
      </c>
      <c r="AB43" s="374">
        <v>44424.0</v>
      </c>
      <c r="AC43" s="373" t="s">
        <v>3682</v>
      </c>
      <c r="AD43" s="374">
        <v>44424.0</v>
      </c>
      <c r="AE43" s="373" t="s">
        <v>3682</v>
      </c>
      <c r="AF43" s="374">
        <v>44427.0</v>
      </c>
      <c r="AG43" s="373" t="s">
        <v>3681</v>
      </c>
      <c r="AH43" s="374">
        <v>44435.0</v>
      </c>
      <c r="AI43" s="373" t="s">
        <v>3682</v>
      </c>
      <c r="AJ43" s="374">
        <v>44494.0</v>
      </c>
      <c r="AK43" s="373" t="s">
        <v>3723</v>
      </c>
      <c r="AL43" s="375"/>
      <c r="AM43" s="373" t="s">
        <v>3723</v>
      </c>
      <c r="AN43" s="373" t="s">
        <v>3723</v>
      </c>
      <c r="AO43" s="373" t="s">
        <v>2941</v>
      </c>
      <c r="AP43" s="376" t="s">
        <v>3683</v>
      </c>
      <c r="AQ43" s="373"/>
    </row>
    <row r="44">
      <c r="A44" s="257" t="s">
        <v>3233</v>
      </c>
      <c r="B44" s="257" t="s">
        <v>3234</v>
      </c>
      <c r="C44" s="257" t="str">
        <f>VLOOKUP(A44,import!A:J,3,0)</f>
        <v>DOĞRU</v>
      </c>
      <c r="D44" s="257" t="s">
        <v>3699</v>
      </c>
      <c r="E44" s="257">
        <f>VLOOKUP(A44,import!A:J,5,0)</f>
        <v>1490</v>
      </c>
      <c r="F44" s="257">
        <f>VLOOKUP(A44,import!A:J,6,0)</f>
        <v>143</v>
      </c>
      <c r="G44" s="257">
        <f>VLOOKUP(A44,import!A:J,7,0)</f>
        <v>0</v>
      </c>
      <c r="H44" s="257">
        <f>VLOOKUP(A44,import!A:J,8,0)</f>
        <v>110</v>
      </c>
      <c r="I44" s="257">
        <f>VLOOKUP(A44,import!A:J,9,0)</f>
        <v>110</v>
      </c>
      <c r="J44" s="369">
        <f>VLOOKUP(A44,import!A:J,10,0)</f>
        <v>0</v>
      </c>
      <c r="K44" s="257" t="s">
        <v>3851</v>
      </c>
      <c r="L44" s="257">
        <v>3.222331717E9</v>
      </c>
      <c r="M44" s="257" t="s">
        <v>14</v>
      </c>
      <c r="N44" s="257" t="s">
        <v>3797</v>
      </c>
      <c r="O44" s="257" t="s">
        <v>3236</v>
      </c>
      <c r="P44" s="370" t="str">
        <f>VLOOKUP(A44,import!A:P,16,0)</f>
        <v>Geleneksel</v>
      </c>
      <c r="Q44" s="370"/>
      <c r="R44" s="370" t="b">
        <v>1</v>
      </c>
      <c r="S44" s="370" t="b">
        <v>1</v>
      </c>
      <c r="T44" s="301" t="s">
        <v>3787</v>
      </c>
      <c r="U44" s="301" t="s">
        <v>2542</v>
      </c>
      <c r="V44" s="301" t="s">
        <v>78</v>
      </c>
      <c r="W44" s="301" t="s">
        <v>3852</v>
      </c>
      <c r="X44" s="371">
        <v>44547.0</v>
      </c>
      <c r="Y44" s="371">
        <v>44552.0</v>
      </c>
      <c r="Z44" s="372"/>
      <c r="AA44" s="373" t="s">
        <v>3695</v>
      </c>
      <c r="AB44" s="374">
        <v>44536.0</v>
      </c>
      <c r="AC44" s="373" t="s">
        <v>3682</v>
      </c>
      <c r="AD44" s="374">
        <v>44543.0</v>
      </c>
      <c r="AE44" s="373" t="s">
        <v>3682</v>
      </c>
      <c r="AF44" s="374">
        <v>44547.0</v>
      </c>
      <c r="AG44" s="373"/>
      <c r="AH44" s="374"/>
      <c r="AI44" s="375"/>
      <c r="AJ44" s="375"/>
      <c r="AK44" s="373" t="s">
        <v>2192</v>
      </c>
      <c r="AL44" s="373" t="s">
        <v>2542</v>
      </c>
      <c r="AM44" s="373" t="s">
        <v>2542</v>
      </c>
      <c r="AN44" s="373"/>
      <c r="AO44" s="375"/>
      <c r="AP44" s="376" t="s">
        <v>3683</v>
      </c>
      <c r="AQ44" s="375"/>
    </row>
    <row r="45">
      <c r="A45" s="257" t="s">
        <v>3853</v>
      </c>
      <c r="B45" s="257" t="s">
        <v>3854</v>
      </c>
      <c r="C45" s="257" t="str">
        <f>VLOOKUP(A45,import!A:J,3,0)</f>
        <v>DOĞRU</v>
      </c>
      <c r="D45" s="257" t="s">
        <v>3699</v>
      </c>
      <c r="E45" s="257">
        <f>VLOOKUP(A45,import!A:J,5,0)</f>
        <v>1719</v>
      </c>
      <c r="F45" s="257">
        <f>VLOOKUP(A45,import!A:J,6,0)</f>
        <v>194</v>
      </c>
      <c r="G45" s="257">
        <f>VLOOKUP(A45,import!A:J,7,0)</f>
        <v>0</v>
      </c>
      <c r="H45" s="257">
        <f>VLOOKUP(A45,import!A:J,8,0)</f>
        <v>98</v>
      </c>
      <c r="I45" s="257">
        <f>VLOOKUP(A45,import!A:J,9,0)</f>
        <v>98</v>
      </c>
      <c r="J45" s="369">
        <f>VLOOKUP(A45,import!A:J,10,0)</f>
        <v>0</v>
      </c>
      <c r="K45" s="257" t="s">
        <v>3851</v>
      </c>
      <c r="L45" s="257">
        <v>3.226060099E9</v>
      </c>
      <c r="M45" s="257" t="s">
        <v>286</v>
      </c>
      <c r="N45" s="257" t="s">
        <v>3855</v>
      </c>
      <c r="O45" s="257" t="s">
        <v>3856</v>
      </c>
      <c r="P45" s="370" t="str">
        <f>VLOOKUP(A45,import!A:P,16,0)</f>
        <v>Geleneksel</v>
      </c>
      <c r="Q45" s="370"/>
      <c r="R45" s="370" t="b">
        <v>1</v>
      </c>
      <c r="S45" s="370" t="b">
        <v>0</v>
      </c>
      <c r="T45" s="301"/>
      <c r="U45" s="379"/>
      <c r="V45" s="379"/>
      <c r="W45" s="301" t="s">
        <v>3857</v>
      </c>
      <c r="X45" s="381"/>
      <c r="Y45" s="381"/>
      <c r="Z45" s="372"/>
      <c r="AA45" s="373"/>
      <c r="AB45" s="374"/>
      <c r="AC45" s="373"/>
      <c r="AD45" s="374"/>
      <c r="AE45" s="373"/>
      <c r="AF45" s="374"/>
      <c r="AG45" s="373"/>
      <c r="AH45" s="374"/>
      <c r="AI45" s="375"/>
      <c r="AJ45" s="375"/>
      <c r="AK45" s="373"/>
      <c r="AL45" s="375"/>
      <c r="AM45" s="375"/>
      <c r="AN45" s="373"/>
      <c r="AO45" s="375"/>
      <c r="AP45" s="376"/>
      <c r="AQ45" s="375"/>
    </row>
    <row r="46">
      <c r="A46" s="257" t="s">
        <v>3858</v>
      </c>
      <c r="B46" s="257" t="s">
        <v>3859</v>
      </c>
      <c r="C46" s="257" t="str">
        <f>VLOOKUP(A46,import!A:J,3,0)</f>
        <v>DOĞRU</v>
      </c>
      <c r="D46" s="257" t="s">
        <v>3801</v>
      </c>
      <c r="E46" s="257">
        <f>VLOOKUP(A46,import!A:J,5,0)</f>
        <v>438</v>
      </c>
      <c r="F46" s="257">
        <f>VLOOKUP(A46,import!A:J,6,0)</f>
        <v>13</v>
      </c>
      <c r="G46" s="257">
        <f>VLOOKUP(A46,import!A:J,7,0)</f>
        <v>0</v>
      </c>
      <c r="H46" s="257">
        <f>VLOOKUP(A46,import!A:J,8,0)</f>
        <v>7</v>
      </c>
      <c r="I46" s="257">
        <f>VLOOKUP(A46,import!A:J,9,0)</f>
        <v>7</v>
      </c>
      <c r="J46" s="369">
        <f>VLOOKUP(A46,import!A:J,10,0)</f>
        <v>0</v>
      </c>
      <c r="K46" s="257" t="s">
        <v>3860</v>
      </c>
      <c r="L46" s="257">
        <v>5.30044405E9</v>
      </c>
      <c r="M46" s="257" t="s">
        <v>3814</v>
      </c>
      <c r="N46" s="257" t="s">
        <v>3815</v>
      </c>
      <c r="O46" s="257" t="s">
        <v>3861</v>
      </c>
      <c r="P46" s="370" t="str">
        <f>VLOOKUP(A46,import!A:P,16,0)</f>
        <v>Geleneksel</v>
      </c>
      <c r="Q46" s="370"/>
      <c r="R46" s="370" t="b">
        <v>0</v>
      </c>
      <c r="S46" s="370" t="b">
        <v>0</v>
      </c>
      <c r="T46" s="301" t="s">
        <v>3862</v>
      </c>
      <c r="U46" s="379"/>
      <c r="V46" s="384"/>
      <c r="W46" s="301"/>
      <c r="X46" s="381"/>
      <c r="Y46" s="381"/>
      <c r="Z46" s="372"/>
      <c r="AA46" s="373"/>
      <c r="AB46" s="374"/>
      <c r="AC46" s="373"/>
      <c r="AD46" s="374"/>
      <c r="AE46" s="373"/>
      <c r="AF46" s="374"/>
      <c r="AG46" s="373"/>
      <c r="AH46" s="374"/>
      <c r="AI46" s="375"/>
      <c r="AJ46" s="375"/>
      <c r="AK46" s="373"/>
      <c r="AL46" s="375"/>
      <c r="AM46" s="375"/>
      <c r="AN46" s="373"/>
      <c r="AO46" s="375"/>
      <c r="AP46" s="376" t="s">
        <v>3686</v>
      </c>
      <c r="AQ46" s="375"/>
    </row>
    <row r="47">
      <c r="A47" s="257" t="s">
        <v>3863</v>
      </c>
      <c r="B47" s="257" t="s">
        <v>3864</v>
      </c>
      <c r="C47" s="257" t="str">
        <f>VLOOKUP(A47,import!A:J,3,0)</f>
        <v>DOĞRU</v>
      </c>
      <c r="D47" s="257" t="s">
        <v>3759</v>
      </c>
      <c r="E47" s="257">
        <f>VLOOKUP(A47,import!A:J,5,0)</f>
        <v>2762</v>
      </c>
      <c r="F47" s="257">
        <f>VLOOKUP(A47,import!A:J,6,0)</f>
        <v>221</v>
      </c>
      <c r="G47" s="257">
        <f>VLOOKUP(A47,import!A:J,7,0)</f>
        <v>0</v>
      </c>
      <c r="H47" s="257">
        <f>VLOOKUP(A47,import!A:J,8,0)</f>
        <v>14</v>
      </c>
      <c r="I47" s="257">
        <f>VLOOKUP(A47,import!A:J,9,0)</f>
        <v>14</v>
      </c>
      <c r="J47" s="369">
        <f>VLOOKUP(A47,import!A:J,10,0)</f>
        <v>0</v>
      </c>
      <c r="K47" s="257" t="s">
        <v>3865</v>
      </c>
      <c r="L47" s="257">
        <v>5.42820487E9</v>
      </c>
      <c r="M47" s="257" t="s">
        <v>14</v>
      </c>
      <c r="N47" s="257" t="s">
        <v>3733</v>
      </c>
      <c r="O47" s="257" t="s">
        <v>651</v>
      </c>
      <c r="P47" s="370" t="str">
        <f>VLOOKUP(A47,import!A:P,16,0)</f>
        <v>Geleneksel</v>
      </c>
      <c r="Q47" s="370"/>
      <c r="R47" s="370" t="b">
        <v>1</v>
      </c>
      <c r="S47" s="370" t="b">
        <v>0</v>
      </c>
      <c r="T47" s="301" t="s">
        <v>3866</v>
      </c>
      <c r="U47" s="301"/>
      <c r="V47" s="301"/>
      <c r="W47" s="301" t="s">
        <v>3867</v>
      </c>
      <c r="X47" s="371"/>
      <c r="Y47" s="371"/>
      <c r="Z47" s="377"/>
      <c r="AA47" s="373" t="s">
        <v>3682</v>
      </c>
      <c r="AB47" s="374">
        <v>44349.0</v>
      </c>
      <c r="AC47" s="373" t="s">
        <v>3696</v>
      </c>
      <c r="AD47" s="374">
        <v>44355.0</v>
      </c>
      <c r="AE47" s="373" t="s">
        <v>3682</v>
      </c>
      <c r="AF47" s="374">
        <v>44363.0</v>
      </c>
      <c r="AG47" s="373" t="s">
        <v>3696</v>
      </c>
      <c r="AH47" s="374">
        <v>44371.0</v>
      </c>
      <c r="AI47" s="373" t="s">
        <v>3682</v>
      </c>
      <c r="AJ47" s="374">
        <v>44544.0</v>
      </c>
      <c r="AK47" s="373" t="s">
        <v>111</v>
      </c>
      <c r="AL47" s="373" t="s">
        <v>399</v>
      </c>
      <c r="AM47" s="373" t="s">
        <v>399</v>
      </c>
      <c r="AN47" s="373" t="s">
        <v>1014</v>
      </c>
      <c r="AO47" s="373" t="s">
        <v>3073</v>
      </c>
      <c r="AP47" s="376" t="s">
        <v>3683</v>
      </c>
      <c r="AQ47" s="373"/>
    </row>
    <row r="48">
      <c r="A48" s="257" t="s">
        <v>1690</v>
      </c>
      <c r="B48" s="257" t="s">
        <v>1691</v>
      </c>
      <c r="C48" s="257" t="str">
        <f>VLOOKUP(A48,import!A:J,3,0)</f>
        <v>YANLIŞ</v>
      </c>
      <c r="D48" s="257" t="s">
        <v>3676</v>
      </c>
      <c r="E48" s="257">
        <f>VLOOKUP(A48,import!A:J,5,0)</f>
        <v>140</v>
      </c>
      <c r="F48" s="257" t="str">
        <f>VLOOKUP(A48,import!A:J,6,0)</f>
        <v/>
      </c>
      <c r="G48" s="257">
        <f>VLOOKUP(A48,import!A:J,7,0)</f>
        <v>9</v>
      </c>
      <c r="H48" s="257">
        <f>VLOOKUP(A48,import!A:J,8,0)</f>
        <v>1</v>
      </c>
      <c r="I48" s="257">
        <f>VLOOKUP(A48,import!A:J,9,0)</f>
        <v>10</v>
      </c>
      <c r="J48" s="369">
        <f>VLOOKUP(A48,import!A:J,10,0)</f>
        <v>0.9</v>
      </c>
      <c r="K48" s="257" t="s">
        <v>3868</v>
      </c>
      <c r="L48" s="257">
        <v>5.388725516E9</v>
      </c>
      <c r="M48" s="257" t="s">
        <v>3692</v>
      </c>
      <c r="N48" s="257" t="s">
        <v>3869</v>
      </c>
      <c r="O48" s="257" t="s">
        <v>1694</v>
      </c>
      <c r="P48" s="370" t="str">
        <f>VLOOKUP(A48,import!A:P,16,0)</f>
        <v>Geleneksel</v>
      </c>
      <c r="Q48" s="370"/>
      <c r="R48" s="370" t="b">
        <v>1</v>
      </c>
      <c r="S48" s="370" t="b">
        <v>0</v>
      </c>
      <c r="T48" s="301" t="s">
        <v>3679</v>
      </c>
      <c r="U48" s="301" t="s">
        <v>1953</v>
      </c>
      <c r="V48" s="301" t="s">
        <v>78</v>
      </c>
      <c r="W48" s="301" t="s">
        <v>3870</v>
      </c>
      <c r="X48" s="371">
        <v>44428.0</v>
      </c>
      <c r="Y48" s="371">
        <v>44433.0</v>
      </c>
      <c r="Z48" s="372"/>
      <c r="AA48" s="373" t="s">
        <v>3682</v>
      </c>
      <c r="AB48" s="374">
        <v>44407.0</v>
      </c>
      <c r="AC48" s="373" t="s">
        <v>3448</v>
      </c>
      <c r="AD48" s="374">
        <v>44428.0</v>
      </c>
      <c r="AE48" s="373" t="s">
        <v>3682</v>
      </c>
      <c r="AF48" s="374">
        <v>44428.0</v>
      </c>
      <c r="AG48" s="373" t="s">
        <v>3682</v>
      </c>
      <c r="AH48" s="374">
        <v>44496.0</v>
      </c>
      <c r="AI48" s="375"/>
      <c r="AJ48" s="375"/>
      <c r="AK48" s="373" t="s">
        <v>3752</v>
      </c>
      <c r="AL48" s="373" t="s">
        <v>1953</v>
      </c>
      <c r="AM48" s="373" t="s">
        <v>1953</v>
      </c>
      <c r="AN48" s="373" t="s">
        <v>2282</v>
      </c>
      <c r="AO48" s="375"/>
      <c r="AP48" s="376" t="s">
        <v>3686</v>
      </c>
      <c r="AQ48" s="375"/>
    </row>
    <row r="49">
      <c r="A49" s="257" t="s">
        <v>968</v>
      </c>
      <c r="B49" s="257" t="s">
        <v>969</v>
      </c>
      <c r="C49" s="257" t="str">
        <f>VLOOKUP(A49,import!A:J,3,0)</f>
        <v>DOĞRU</v>
      </c>
      <c r="D49" s="257" t="s">
        <v>3822</v>
      </c>
      <c r="E49" s="257">
        <f>VLOOKUP(A49,import!A:J,5,0)</f>
        <v>982</v>
      </c>
      <c r="F49" s="257">
        <f>VLOOKUP(A49,import!A:J,6,0)</f>
        <v>35</v>
      </c>
      <c r="G49" s="257">
        <f>VLOOKUP(A49,import!A:J,7,0)</f>
        <v>46</v>
      </c>
      <c r="H49" s="257">
        <f>VLOOKUP(A49,import!A:J,8,0)</f>
        <v>15</v>
      </c>
      <c r="I49" s="257">
        <f>VLOOKUP(A49,import!A:J,9,0)</f>
        <v>61</v>
      </c>
      <c r="J49" s="369">
        <f>VLOOKUP(A49,import!A:J,10,0)</f>
        <v>0.75</v>
      </c>
      <c r="K49" s="257" t="s">
        <v>3871</v>
      </c>
      <c r="L49" s="257">
        <v>3.224540407E9</v>
      </c>
      <c r="M49" s="257" t="s">
        <v>14</v>
      </c>
      <c r="N49" s="257" t="s">
        <v>3797</v>
      </c>
      <c r="O49" s="257" t="s">
        <v>971</v>
      </c>
      <c r="P49" s="370" t="str">
        <f>VLOOKUP(A49,import!A:P,16,0)</f>
        <v>Geleneksel</v>
      </c>
      <c r="Q49" s="370"/>
      <c r="R49" s="370" t="b">
        <v>1</v>
      </c>
      <c r="S49" s="370" t="b">
        <v>0</v>
      </c>
      <c r="T49" s="301" t="s">
        <v>3679</v>
      </c>
      <c r="U49" s="301" t="s">
        <v>79</v>
      </c>
      <c r="V49" s="301" t="s">
        <v>78</v>
      </c>
      <c r="W49" s="301" t="s">
        <v>3872</v>
      </c>
      <c r="X49" s="371">
        <v>44415.0</v>
      </c>
      <c r="Y49" s="371">
        <v>44421.0</v>
      </c>
      <c r="Z49" s="377"/>
      <c r="AA49" s="373" t="s">
        <v>3682</v>
      </c>
      <c r="AB49" s="374">
        <v>44349.0</v>
      </c>
      <c r="AC49" s="373" t="s">
        <v>3682</v>
      </c>
      <c r="AD49" s="374">
        <v>44351.0</v>
      </c>
      <c r="AE49" s="373" t="s">
        <v>3682</v>
      </c>
      <c r="AF49" s="374">
        <v>44363.0</v>
      </c>
      <c r="AG49" s="373" t="s">
        <v>3682</v>
      </c>
      <c r="AH49" s="374">
        <v>44383.0</v>
      </c>
      <c r="AI49" s="373" t="s">
        <v>3681</v>
      </c>
      <c r="AJ49" s="374">
        <v>44445.0</v>
      </c>
      <c r="AK49" s="373" t="s">
        <v>111</v>
      </c>
      <c r="AL49" s="373" t="s">
        <v>3789</v>
      </c>
      <c r="AM49" s="373" t="s">
        <v>399</v>
      </c>
      <c r="AN49" s="373" t="s">
        <v>79</v>
      </c>
      <c r="AO49" s="373" t="s">
        <v>79</v>
      </c>
      <c r="AP49" s="376" t="s">
        <v>3683</v>
      </c>
      <c r="AQ49" s="373"/>
    </row>
    <row r="50">
      <c r="A50" s="257" t="s">
        <v>3873</v>
      </c>
      <c r="B50" s="257" t="s">
        <v>3874</v>
      </c>
      <c r="C50" s="257" t="str">
        <f>VLOOKUP(A50,import!A:J,3,0)</f>
        <v>DOĞRU</v>
      </c>
      <c r="D50" s="257" t="s">
        <v>3713</v>
      </c>
      <c r="E50" s="257">
        <f>VLOOKUP(A50,import!A:J,5,0)</f>
        <v>1077</v>
      </c>
      <c r="F50" s="257">
        <f>VLOOKUP(A50,import!A:J,6,0)</f>
        <v>10</v>
      </c>
      <c r="G50" s="257">
        <f>VLOOKUP(A50,import!A:J,7,0)</f>
        <v>0</v>
      </c>
      <c r="H50" s="257">
        <f>VLOOKUP(A50,import!A:J,8,0)</f>
        <v>32</v>
      </c>
      <c r="I50" s="257">
        <f>VLOOKUP(A50,import!A:J,9,0)</f>
        <v>32</v>
      </c>
      <c r="J50" s="369">
        <f>VLOOKUP(A50,import!A:J,10,0)</f>
        <v>0</v>
      </c>
      <c r="K50" s="257" t="s">
        <v>3875</v>
      </c>
      <c r="L50" s="257">
        <v>3.222613589E9</v>
      </c>
      <c r="M50" s="257" t="s">
        <v>286</v>
      </c>
      <c r="N50" s="257" t="s">
        <v>3746</v>
      </c>
      <c r="O50" s="257" t="s">
        <v>3876</v>
      </c>
      <c r="P50" s="370" t="str">
        <f>VLOOKUP(A50,import!A:P,16,0)</f>
        <v>Geleneksel</v>
      </c>
      <c r="Q50" s="370"/>
      <c r="R50" s="370" t="b">
        <v>1</v>
      </c>
      <c r="S50" s="370" t="b">
        <v>1</v>
      </c>
      <c r="T50" s="301"/>
      <c r="U50" s="379"/>
      <c r="V50" s="379"/>
      <c r="W50" s="301" t="s">
        <v>3877</v>
      </c>
      <c r="X50" s="381"/>
      <c r="Y50" s="381"/>
      <c r="Z50" s="372"/>
      <c r="AA50" s="373" t="s">
        <v>3448</v>
      </c>
      <c r="AB50" s="374">
        <v>44389.0</v>
      </c>
      <c r="AC50" s="373" t="s">
        <v>3695</v>
      </c>
      <c r="AD50" s="374">
        <v>44355.0</v>
      </c>
      <c r="AE50" s="373" t="s">
        <v>3682</v>
      </c>
      <c r="AF50" s="374">
        <v>44418.0</v>
      </c>
      <c r="AG50" s="373" t="s">
        <v>3682</v>
      </c>
      <c r="AH50" s="374">
        <v>44432.0</v>
      </c>
      <c r="AI50" s="375"/>
      <c r="AJ50" s="375"/>
      <c r="AK50" s="373" t="s">
        <v>3729</v>
      </c>
      <c r="AL50" s="373" t="s">
        <v>1953</v>
      </c>
      <c r="AM50" s="375"/>
      <c r="AN50" s="373" t="s">
        <v>3723</v>
      </c>
      <c r="AO50" s="375"/>
      <c r="AP50" s="376" t="s">
        <v>3686</v>
      </c>
      <c r="AQ50" s="375"/>
    </row>
    <row r="51">
      <c r="A51" s="266" t="s">
        <v>293</v>
      </c>
      <c r="B51" s="266" t="s">
        <v>294</v>
      </c>
      <c r="C51" s="257" t="str">
        <f>VLOOKUP(A51,import!A:J,3,0)</f>
        <v>DOĞRU</v>
      </c>
      <c r="D51" s="266" t="s">
        <v>3878</v>
      </c>
      <c r="E51" s="257">
        <f>VLOOKUP(A51,import!A:J,5,0)</f>
        <v>1511</v>
      </c>
      <c r="F51" s="257">
        <f>VLOOKUP(A51,import!A:J,6,0)</f>
        <v>91</v>
      </c>
      <c r="G51" s="257">
        <f>VLOOKUP(A51,import!A:J,7,0)</f>
        <v>23</v>
      </c>
      <c r="H51" s="257">
        <f>VLOOKUP(A51,import!A:J,8,0)</f>
        <v>38</v>
      </c>
      <c r="I51" s="257">
        <f>VLOOKUP(A51,import!A:J,9,0)</f>
        <v>61</v>
      </c>
      <c r="J51" s="369">
        <f>VLOOKUP(A51,import!A:J,10,0)</f>
        <v>0.38</v>
      </c>
      <c r="K51" s="266" t="s">
        <v>3879</v>
      </c>
      <c r="L51" s="266">
        <v>5.314843223E9</v>
      </c>
      <c r="M51" s="266" t="s">
        <v>286</v>
      </c>
      <c r="N51" s="266" t="s">
        <v>3737</v>
      </c>
      <c r="O51" s="266" t="s">
        <v>297</v>
      </c>
      <c r="P51" s="370" t="str">
        <f>VLOOKUP(A51,import!A:P,16,0)</f>
        <v>Geleneksel</v>
      </c>
      <c r="Q51" s="370"/>
      <c r="R51" s="370" t="b">
        <v>1</v>
      </c>
      <c r="S51" s="370" t="b">
        <v>0</v>
      </c>
      <c r="T51" s="301" t="s">
        <v>3679</v>
      </c>
      <c r="U51" s="301" t="s">
        <v>3723</v>
      </c>
      <c r="V51" s="301" t="s">
        <v>78</v>
      </c>
      <c r="W51" s="301" t="s">
        <v>3880</v>
      </c>
      <c r="X51" s="371">
        <v>44434.0</v>
      </c>
      <c r="Y51" s="371">
        <v>44439.0</v>
      </c>
      <c r="Z51" s="377"/>
      <c r="AA51" s="373" t="s">
        <v>3682</v>
      </c>
      <c r="AB51" s="374">
        <v>44376.0</v>
      </c>
      <c r="AC51" s="373" t="s">
        <v>3448</v>
      </c>
      <c r="AD51" s="374">
        <v>44386.0</v>
      </c>
      <c r="AE51" s="373" t="s">
        <v>3448</v>
      </c>
      <c r="AF51" s="374">
        <v>44389.0</v>
      </c>
      <c r="AG51" s="373" t="s">
        <v>3682</v>
      </c>
      <c r="AH51" s="374">
        <v>44421.0</v>
      </c>
      <c r="AI51" s="373" t="s">
        <v>3448</v>
      </c>
      <c r="AJ51" s="374">
        <v>44510.0</v>
      </c>
      <c r="AK51" s="373" t="s">
        <v>1014</v>
      </c>
      <c r="AL51" s="373" t="s">
        <v>111</v>
      </c>
      <c r="AM51" s="375"/>
      <c r="AN51" s="373" t="s">
        <v>1947</v>
      </c>
      <c r="AO51" s="373" t="s">
        <v>3073</v>
      </c>
      <c r="AP51" s="376" t="s">
        <v>3683</v>
      </c>
      <c r="AQ51" s="373"/>
    </row>
    <row r="52">
      <c r="A52" s="257" t="s">
        <v>3881</v>
      </c>
      <c r="B52" s="257" t="s">
        <v>3882</v>
      </c>
      <c r="C52" s="257" t="str">
        <f>VLOOKUP(A52,import!A:J,3,0)</f>
        <v>YANLIŞ</v>
      </c>
      <c r="D52" s="257" t="s">
        <v>3883</v>
      </c>
      <c r="E52" s="257">
        <f>VLOOKUP(A52,import!A:J,5,0)</f>
        <v>84</v>
      </c>
      <c r="F52" s="257" t="str">
        <f>VLOOKUP(A52,import!A:J,6,0)</f>
        <v/>
      </c>
      <c r="G52" s="257">
        <f>VLOOKUP(A52,import!A:J,7,0)</f>
        <v>47</v>
      </c>
      <c r="H52" s="257">
        <f>VLOOKUP(A52,import!A:J,8,0)</f>
        <v>18</v>
      </c>
      <c r="I52" s="257">
        <f>VLOOKUP(A52,import!A:J,9,0)</f>
        <v>65</v>
      </c>
      <c r="J52" s="369">
        <f>VLOOKUP(A52,import!A:J,10,0)</f>
        <v>0.72</v>
      </c>
      <c r="K52" s="257" t="s">
        <v>3884</v>
      </c>
      <c r="L52" s="257">
        <v>5.447420101E9</v>
      </c>
      <c r="M52" s="257" t="s">
        <v>14</v>
      </c>
      <c r="N52" s="257" t="s">
        <v>3718</v>
      </c>
      <c r="O52" s="257" t="s">
        <v>3885</v>
      </c>
      <c r="P52" s="370" t="str">
        <f>VLOOKUP(A52,import!A:P,16,0)</f>
        <v>Geleneksel</v>
      </c>
      <c r="Q52" s="370"/>
      <c r="R52" s="370" t="b">
        <v>1</v>
      </c>
      <c r="S52" s="370" t="b">
        <v>0</v>
      </c>
      <c r="T52" s="301" t="s">
        <v>3448</v>
      </c>
      <c r="U52" s="379"/>
      <c r="V52" s="379"/>
      <c r="W52" s="301" t="s">
        <v>3886</v>
      </c>
      <c r="X52" s="381"/>
      <c r="Y52" s="381"/>
      <c r="Z52" s="372"/>
      <c r="AA52" s="373" t="s">
        <v>3448</v>
      </c>
      <c r="AB52" s="374">
        <v>44384.0</v>
      </c>
      <c r="AC52" s="373" t="s">
        <v>3448</v>
      </c>
      <c r="AD52" s="374">
        <v>44406.0</v>
      </c>
      <c r="AE52" s="373" t="s">
        <v>3448</v>
      </c>
      <c r="AF52" s="374">
        <v>44221.0</v>
      </c>
      <c r="AG52" s="373" t="s">
        <v>3448</v>
      </c>
      <c r="AH52" s="374">
        <v>44435.0</v>
      </c>
      <c r="AI52" s="375"/>
      <c r="AJ52" s="375"/>
      <c r="AK52" s="373" t="s">
        <v>1014</v>
      </c>
      <c r="AL52" s="373" t="s">
        <v>3719</v>
      </c>
      <c r="AM52" s="373"/>
      <c r="AN52" s="373" t="s">
        <v>3723</v>
      </c>
      <c r="AO52" s="375"/>
      <c r="AP52" s="376" t="s">
        <v>3683</v>
      </c>
      <c r="AQ52" s="375"/>
    </row>
    <row r="53">
      <c r="A53" s="376" t="s">
        <v>3887</v>
      </c>
      <c r="B53" s="376" t="s">
        <v>3888</v>
      </c>
      <c r="C53" s="257" t="str">
        <f>VLOOKUP(A53,import!A:J,3,0)</f>
        <v>DOĞRU</v>
      </c>
      <c r="D53" s="376" t="s">
        <v>3699</v>
      </c>
      <c r="E53" s="257" t="str">
        <f>VLOOKUP(A53,import!A:J,5,0)</f>
        <v/>
      </c>
      <c r="F53" s="257" t="str">
        <f>VLOOKUP(A53,import!A:J,6,0)</f>
        <v/>
      </c>
      <c r="G53" s="257">
        <f>VLOOKUP(A53,import!A:J,7,0)</f>
        <v>0</v>
      </c>
      <c r="H53" s="257">
        <f>VLOOKUP(A53,import!A:J,8,0)</f>
        <v>63</v>
      </c>
      <c r="I53" s="257">
        <f>VLOOKUP(A53,import!A:J,9,0)</f>
        <v>63</v>
      </c>
      <c r="J53" s="369">
        <f>VLOOKUP(A53,import!A:J,10,0)</f>
        <v>0</v>
      </c>
      <c r="K53" s="376" t="s">
        <v>3889</v>
      </c>
      <c r="L53" s="376">
        <v>3.223412928E9</v>
      </c>
      <c r="M53" s="376" t="s">
        <v>3692</v>
      </c>
      <c r="N53" s="376" t="s">
        <v>3693</v>
      </c>
      <c r="O53" s="376" t="s">
        <v>3890</v>
      </c>
      <c r="P53" s="370" t="str">
        <f>VLOOKUP(A53,import!A:P,16,0)</f>
        <v>Geleneksel</v>
      </c>
      <c r="Q53" s="370"/>
      <c r="R53" s="370" t="b">
        <v>0</v>
      </c>
      <c r="S53" s="370" t="b">
        <v>0</v>
      </c>
      <c r="T53" s="301"/>
      <c r="U53" s="301"/>
      <c r="V53" s="301"/>
      <c r="W53" s="301"/>
      <c r="X53" s="371"/>
      <c r="Y53" s="371"/>
      <c r="Z53" s="372"/>
      <c r="AA53" s="373"/>
      <c r="AB53" s="374"/>
      <c r="AC53" s="373"/>
      <c r="AD53" s="374"/>
      <c r="AE53" s="373"/>
      <c r="AF53" s="374"/>
      <c r="AG53" s="373"/>
      <c r="AH53" s="374"/>
      <c r="AI53" s="373"/>
      <c r="AJ53" s="374"/>
      <c r="AK53" s="373"/>
      <c r="AL53" s="373"/>
      <c r="AM53" s="373"/>
      <c r="AN53" s="373"/>
      <c r="AO53" s="373"/>
      <c r="AP53" s="376"/>
      <c r="AQ53" s="373"/>
    </row>
    <row r="54">
      <c r="A54" s="257" t="s">
        <v>3116</v>
      </c>
      <c r="B54" s="257" t="s">
        <v>3117</v>
      </c>
      <c r="C54" s="257" t="str">
        <f>VLOOKUP(A54,import!A:J,3,0)</f>
        <v>DOĞRU</v>
      </c>
      <c r="D54" s="257" t="s">
        <v>3699</v>
      </c>
      <c r="E54" s="257">
        <f>VLOOKUP(A54,import!A:J,5,0)</f>
        <v>138</v>
      </c>
      <c r="F54" s="257">
        <f>VLOOKUP(A54,import!A:J,6,0)</f>
        <v>4</v>
      </c>
      <c r="G54" s="257">
        <f>VLOOKUP(A54,import!A:J,7,0)</f>
        <v>13</v>
      </c>
      <c r="H54" s="257">
        <f>VLOOKUP(A54,import!A:J,8,0)</f>
        <v>46</v>
      </c>
      <c r="I54" s="257">
        <f>VLOOKUP(A54,import!A:J,9,0)</f>
        <v>59</v>
      </c>
      <c r="J54" s="369">
        <f>VLOOKUP(A54,import!A:J,10,0)</f>
        <v>0.22</v>
      </c>
      <c r="K54" s="257" t="s">
        <v>3891</v>
      </c>
      <c r="L54" s="257">
        <v>5.306552464E9</v>
      </c>
      <c r="M54" s="257" t="s">
        <v>14</v>
      </c>
      <c r="N54" s="257" t="s">
        <v>3797</v>
      </c>
      <c r="O54" s="257" t="s">
        <v>3119</v>
      </c>
      <c r="P54" s="370" t="str">
        <f>VLOOKUP(A54,import!A:P,16,0)</f>
        <v>Geleneksel</v>
      </c>
      <c r="Q54" s="370"/>
      <c r="R54" s="370" t="b">
        <v>1</v>
      </c>
      <c r="S54" s="370" t="b">
        <v>0</v>
      </c>
      <c r="T54" s="301" t="s">
        <v>3679</v>
      </c>
      <c r="U54" s="301" t="s">
        <v>2542</v>
      </c>
      <c r="V54" s="301" t="s">
        <v>78</v>
      </c>
      <c r="W54" s="301" t="s">
        <v>3892</v>
      </c>
      <c r="X54" s="371">
        <v>44515.0</v>
      </c>
      <c r="Y54" s="371">
        <v>44518.0</v>
      </c>
      <c r="Z54" s="372"/>
      <c r="AA54" s="373" t="s">
        <v>3682</v>
      </c>
      <c r="AB54" s="374">
        <v>44515.0</v>
      </c>
      <c r="AC54" s="373"/>
      <c r="AD54" s="374"/>
      <c r="AE54" s="373"/>
      <c r="AF54" s="374"/>
      <c r="AG54" s="373"/>
      <c r="AH54" s="374"/>
      <c r="AI54" s="375"/>
      <c r="AJ54" s="375"/>
      <c r="AK54" s="373" t="s">
        <v>2542</v>
      </c>
      <c r="AL54" s="375"/>
      <c r="AM54" s="375"/>
      <c r="AN54" s="373"/>
      <c r="AO54" s="375"/>
      <c r="AP54" s="376" t="s">
        <v>3683</v>
      </c>
      <c r="AQ54" s="375"/>
    </row>
    <row r="55">
      <c r="A55" s="257" t="s">
        <v>146</v>
      </c>
      <c r="B55" s="257" t="s">
        <v>147</v>
      </c>
      <c r="C55" s="257" t="str">
        <f>VLOOKUP(A55,import!A:J,3,0)</f>
        <v>DOĞRU</v>
      </c>
      <c r="D55" s="257" t="s">
        <v>3676</v>
      </c>
      <c r="E55" s="257">
        <f>VLOOKUP(A55,import!A:J,5,0)</f>
        <v>2272</v>
      </c>
      <c r="F55" s="257">
        <f>VLOOKUP(A55,import!A:J,6,0)</f>
        <v>29</v>
      </c>
      <c r="G55" s="257">
        <f>VLOOKUP(A55,import!A:J,7,0)</f>
        <v>10</v>
      </c>
      <c r="H55" s="257">
        <f>VLOOKUP(A55,import!A:J,8,0)</f>
        <v>8</v>
      </c>
      <c r="I55" s="257">
        <f>VLOOKUP(A55,import!A:J,9,0)</f>
        <v>18</v>
      </c>
      <c r="J55" s="369">
        <f>VLOOKUP(A55,import!A:J,10,0)</f>
        <v>0.56</v>
      </c>
      <c r="K55" s="257" t="s">
        <v>3893</v>
      </c>
      <c r="L55" s="257">
        <v>5.345180408E9</v>
      </c>
      <c r="M55" s="257" t="s">
        <v>14</v>
      </c>
      <c r="N55" s="257" t="s">
        <v>3767</v>
      </c>
      <c r="O55" s="257" t="s">
        <v>3894</v>
      </c>
      <c r="P55" s="370" t="str">
        <f>VLOOKUP(A55,import!A:P,16,0)</f>
        <v>Geleneksel</v>
      </c>
      <c r="Q55" s="370"/>
      <c r="R55" s="370" t="b">
        <v>1</v>
      </c>
      <c r="S55" s="370" t="b">
        <v>0</v>
      </c>
      <c r="T55" s="301" t="s">
        <v>3679</v>
      </c>
      <c r="U55" s="301" t="s">
        <v>1014</v>
      </c>
      <c r="V55" s="301" t="s">
        <v>78</v>
      </c>
      <c r="W55" s="301" t="s">
        <v>3895</v>
      </c>
      <c r="X55" s="371">
        <v>44382.0</v>
      </c>
      <c r="Y55" s="371">
        <v>44384.0</v>
      </c>
      <c r="Z55" s="377"/>
      <c r="AA55" s="373" t="s">
        <v>3448</v>
      </c>
      <c r="AB55" s="374">
        <v>44349.0</v>
      </c>
      <c r="AC55" s="373" t="s">
        <v>3682</v>
      </c>
      <c r="AD55" s="374">
        <v>44355.0</v>
      </c>
      <c r="AE55" s="373" t="s">
        <v>3448</v>
      </c>
      <c r="AF55" s="374">
        <v>44365.0</v>
      </c>
      <c r="AG55" s="373" t="s">
        <v>3448</v>
      </c>
      <c r="AH55" s="374">
        <v>44365.0</v>
      </c>
      <c r="AI55" s="373" t="s">
        <v>3448</v>
      </c>
      <c r="AJ55" s="374">
        <v>44435.0</v>
      </c>
      <c r="AK55" s="373" t="s">
        <v>111</v>
      </c>
      <c r="AL55" s="373" t="s">
        <v>399</v>
      </c>
      <c r="AM55" s="373" t="s">
        <v>79</v>
      </c>
      <c r="AN55" s="373" t="s">
        <v>79</v>
      </c>
      <c r="AO55" s="373" t="s">
        <v>1014</v>
      </c>
      <c r="AP55" s="376" t="s">
        <v>3683</v>
      </c>
      <c r="AQ55" s="373"/>
    </row>
    <row r="56">
      <c r="A56" s="257" t="s">
        <v>1642</v>
      </c>
      <c r="B56" s="257" t="s">
        <v>1643</v>
      </c>
      <c r="C56" s="257" t="str">
        <f>VLOOKUP(A56,import!A:J,3,0)</f>
        <v>DOĞRU</v>
      </c>
      <c r="D56" s="257" t="s">
        <v>3842</v>
      </c>
      <c r="E56" s="257">
        <f>VLOOKUP(A56,import!A:J,5,0)</f>
        <v>688</v>
      </c>
      <c r="F56" s="257">
        <f>VLOOKUP(A56,import!A:J,6,0)</f>
        <v>26</v>
      </c>
      <c r="G56" s="257">
        <f>VLOOKUP(A56,import!A:J,7,0)</f>
        <v>0</v>
      </c>
      <c r="H56" s="257">
        <f>VLOOKUP(A56,import!A:J,8,0)</f>
        <v>17</v>
      </c>
      <c r="I56" s="257">
        <f>VLOOKUP(A56,import!A:J,9,0)</f>
        <v>17</v>
      </c>
      <c r="J56" s="369">
        <f>VLOOKUP(A56,import!A:J,10,0)</f>
        <v>0</v>
      </c>
      <c r="K56" s="257" t="s">
        <v>3896</v>
      </c>
      <c r="L56" s="257">
        <v>5.360669364E9</v>
      </c>
      <c r="M56" s="257" t="s">
        <v>3692</v>
      </c>
      <c r="N56" s="257" t="s">
        <v>3721</v>
      </c>
      <c r="O56" s="257" t="s">
        <v>1645</v>
      </c>
      <c r="P56" s="370" t="str">
        <f>VLOOKUP(A56,import!A:P,16,0)</f>
        <v>Geleneksel</v>
      </c>
      <c r="Q56" s="370"/>
      <c r="R56" s="370" t="b">
        <v>1</v>
      </c>
      <c r="S56" s="370" t="b">
        <v>1</v>
      </c>
      <c r="T56" s="301" t="s">
        <v>3770</v>
      </c>
      <c r="U56" s="301" t="s">
        <v>79</v>
      </c>
      <c r="V56" s="301" t="s">
        <v>78</v>
      </c>
      <c r="W56" s="301" t="s">
        <v>3897</v>
      </c>
      <c r="X56" s="371">
        <v>44407.0</v>
      </c>
      <c r="Y56" s="371">
        <v>44411.0</v>
      </c>
      <c r="Z56" s="372"/>
      <c r="AA56" s="373" t="s">
        <v>3682</v>
      </c>
      <c r="AB56" s="374">
        <v>44407.0</v>
      </c>
      <c r="AC56" s="373" t="s">
        <v>3682</v>
      </c>
      <c r="AD56" s="374">
        <v>44407.0</v>
      </c>
      <c r="AE56" s="373" t="s">
        <v>3682</v>
      </c>
      <c r="AF56" s="374">
        <v>44428.0</v>
      </c>
      <c r="AG56" s="373" t="s">
        <v>3695</v>
      </c>
      <c r="AH56" s="374">
        <v>44446.0</v>
      </c>
      <c r="AI56" s="373" t="s">
        <v>3682</v>
      </c>
      <c r="AJ56" s="374">
        <v>44459.0</v>
      </c>
      <c r="AK56" s="373" t="s">
        <v>3752</v>
      </c>
      <c r="AL56" s="373" t="s">
        <v>79</v>
      </c>
      <c r="AM56" s="373" t="s">
        <v>1953</v>
      </c>
      <c r="AN56" s="373" t="s">
        <v>79</v>
      </c>
      <c r="AO56" s="373" t="s">
        <v>2542</v>
      </c>
      <c r="AP56" s="376" t="s">
        <v>3686</v>
      </c>
      <c r="AQ56" s="373"/>
    </row>
    <row r="57">
      <c r="A57" s="257" t="s">
        <v>3898</v>
      </c>
      <c r="B57" s="257" t="s">
        <v>3899</v>
      </c>
      <c r="C57" s="257" t="str">
        <f>VLOOKUP(A57,import!A:J,3,0)</f>
        <v>DOĞRU</v>
      </c>
      <c r="D57" s="257" t="s">
        <v>3749</v>
      </c>
      <c r="E57" s="257">
        <f>VLOOKUP(A57,import!A:J,5,0)</f>
        <v>549</v>
      </c>
      <c r="F57" s="257">
        <f>VLOOKUP(A57,import!A:J,6,0)</f>
        <v>80</v>
      </c>
      <c r="G57" s="257">
        <f>VLOOKUP(A57,import!A:J,7,0)</f>
        <v>0</v>
      </c>
      <c r="H57" s="257">
        <f>VLOOKUP(A57,import!A:J,8,0)</f>
        <v>45</v>
      </c>
      <c r="I57" s="257">
        <f>VLOOKUP(A57,import!A:J,9,0)</f>
        <v>45</v>
      </c>
      <c r="J57" s="369">
        <f>VLOOKUP(A57,import!A:J,10,0)</f>
        <v>0</v>
      </c>
      <c r="K57" s="257" t="s">
        <v>3900</v>
      </c>
      <c r="L57" s="257">
        <v>5.423228201E9</v>
      </c>
      <c r="M57" s="257" t="s">
        <v>3692</v>
      </c>
      <c r="N57" s="257" t="s">
        <v>3901</v>
      </c>
      <c r="O57" s="257" t="s">
        <v>3902</v>
      </c>
      <c r="P57" s="370" t="str">
        <f>VLOOKUP(A57,import!A:P,16,0)</f>
        <v>Geleneksel</v>
      </c>
      <c r="Q57" s="370"/>
      <c r="R57" s="370" t="b">
        <v>0</v>
      </c>
      <c r="S57" s="370" t="b">
        <v>0</v>
      </c>
      <c r="T57" s="301"/>
      <c r="U57" s="379"/>
      <c r="V57" s="384"/>
      <c r="W57" s="301"/>
      <c r="X57" s="381"/>
      <c r="Y57" s="381"/>
      <c r="Z57" s="372"/>
      <c r="AA57" s="373"/>
      <c r="AB57" s="374"/>
      <c r="AC57" s="373"/>
      <c r="AD57" s="374"/>
      <c r="AE57" s="373"/>
      <c r="AF57" s="374"/>
      <c r="AG57" s="373"/>
      <c r="AH57" s="374"/>
      <c r="AI57" s="375"/>
      <c r="AJ57" s="375"/>
      <c r="AK57" s="373"/>
      <c r="AL57" s="375"/>
      <c r="AM57" s="375"/>
      <c r="AN57" s="373"/>
      <c r="AO57" s="375"/>
      <c r="AP57" s="376"/>
      <c r="AQ57" s="375"/>
    </row>
    <row r="58">
      <c r="A58" s="257" t="s">
        <v>2001</v>
      </c>
      <c r="B58" s="257" t="s">
        <v>2002</v>
      </c>
      <c r="C58" s="257" t="str">
        <f>VLOOKUP(A58,import!A:J,3,0)</f>
        <v>DOĞRU</v>
      </c>
      <c r="D58" s="257" t="s">
        <v>3842</v>
      </c>
      <c r="E58" s="257">
        <f>VLOOKUP(A58,import!A:J,5,0)</f>
        <v>954</v>
      </c>
      <c r="F58" s="257">
        <f>VLOOKUP(A58,import!A:J,6,0)</f>
        <v>46</v>
      </c>
      <c r="G58" s="257">
        <f>VLOOKUP(A58,import!A:J,7,0)</f>
        <v>0</v>
      </c>
      <c r="H58" s="257">
        <f>VLOOKUP(A58,import!A:J,8,0)</f>
        <v>7</v>
      </c>
      <c r="I58" s="257">
        <f>VLOOKUP(A58,import!A:J,9,0)</f>
        <v>7</v>
      </c>
      <c r="J58" s="369">
        <f>VLOOKUP(A58,import!A:J,10,0)</f>
        <v>0</v>
      </c>
      <c r="K58" s="257" t="s">
        <v>3903</v>
      </c>
      <c r="L58" s="257">
        <v>5.457719101E9</v>
      </c>
      <c r="M58" s="257" t="s">
        <v>14</v>
      </c>
      <c r="N58" s="257" t="s">
        <v>3733</v>
      </c>
      <c r="O58" s="257" t="s">
        <v>679</v>
      </c>
      <c r="P58" s="370" t="str">
        <f>VLOOKUP(A58,import!A:P,16,0)</f>
        <v>Geleneksel</v>
      </c>
      <c r="Q58" s="370"/>
      <c r="R58" s="370" t="b">
        <v>1</v>
      </c>
      <c r="S58" s="370" t="b">
        <v>0</v>
      </c>
      <c r="T58" s="301" t="s">
        <v>3710</v>
      </c>
      <c r="U58" s="301" t="s">
        <v>3723</v>
      </c>
      <c r="V58" s="385" t="s">
        <v>78</v>
      </c>
      <c r="W58" s="301" t="s">
        <v>3904</v>
      </c>
      <c r="X58" s="371">
        <v>44427.0</v>
      </c>
      <c r="Y58" s="371">
        <v>44431.0</v>
      </c>
      <c r="Z58" s="372"/>
      <c r="AA58" s="373" t="s">
        <v>3682</v>
      </c>
      <c r="AB58" s="374"/>
      <c r="AC58" s="373" t="s">
        <v>3682</v>
      </c>
      <c r="AD58" s="374">
        <v>44407.0</v>
      </c>
      <c r="AE58" s="373" t="s">
        <v>3448</v>
      </c>
      <c r="AF58" s="374">
        <v>44424.0</v>
      </c>
      <c r="AG58" s="373" t="s">
        <v>3682</v>
      </c>
      <c r="AH58" s="374">
        <v>44427.0</v>
      </c>
      <c r="AI58" s="373" t="s">
        <v>3682</v>
      </c>
      <c r="AJ58" s="374">
        <v>44494.0</v>
      </c>
      <c r="AK58" s="373"/>
      <c r="AL58" s="375"/>
      <c r="AM58" s="373" t="s">
        <v>3723</v>
      </c>
      <c r="AN58" s="373" t="s">
        <v>3723</v>
      </c>
      <c r="AO58" s="373" t="s">
        <v>2941</v>
      </c>
      <c r="AP58" s="376" t="s">
        <v>3683</v>
      </c>
      <c r="AQ58" s="373"/>
    </row>
    <row r="59">
      <c r="A59" s="257" t="s">
        <v>3905</v>
      </c>
      <c r="B59" s="257" t="s">
        <v>3906</v>
      </c>
      <c r="C59" s="257" t="str">
        <f>VLOOKUP(A59,import!A:J,3,0)</f>
        <v>DOĞRU</v>
      </c>
      <c r="D59" s="257" t="s">
        <v>3907</v>
      </c>
      <c r="E59" s="257">
        <f>VLOOKUP(A59,import!A:J,5,0)</f>
        <v>49</v>
      </c>
      <c r="F59" s="257">
        <f>VLOOKUP(A59,import!A:J,6,0)</f>
        <v>23</v>
      </c>
      <c r="G59" s="257">
        <f>VLOOKUP(A59,import!A:J,7,0)</f>
        <v>0</v>
      </c>
      <c r="H59" s="257">
        <f>VLOOKUP(A59,import!A:J,8,0)</f>
        <v>23</v>
      </c>
      <c r="I59" s="257">
        <f>VLOOKUP(A59,import!A:J,9,0)</f>
        <v>23</v>
      </c>
      <c r="J59" s="369">
        <f>VLOOKUP(A59,import!A:J,10,0)</f>
        <v>0</v>
      </c>
      <c r="K59" s="257" t="s">
        <v>3908</v>
      </c>
      <c r="L59" s="257">
        <v>3.225040424E9</v>
      </c>
      <c r="M59" s="257" t="s">
        <v>286</v>
      </c>
      <c r="N59" s="257" t="s">
        <v>3855</v>
      </c>
      <c r="O59" s="257" t="s">
        <v>3909</v>
      </c>
      <c r="P59" s="370" t="str">
        <f>VLOOKUP(A59,import!A:P,16,0)</f>
        <v>Geleneksel</v>
      </c>
      <c r="Q59" s="370"/>
      <c r="R59" s="370" t="b">
        <v>0</v>
      </c>
      <c r="S59" s="370" t="b">
        <v>0</v>
      </c>
      <c r="T59" s="301"/>
      <c r="U59" s="301"/>
      <c r="V59" s="301"/>
      <c r="W59" s="301"/>
      <c r="X59" s="371"/>
      <c r="Y59" s="371"/>
      <c r="Z59" s="372"/>
      <c r="AA59" s="373"/>
      <c r="AB59" s="374"/>
      <c r="AC59" s="373"/>
      <c r="AD59" s="374"/>
      <c r="AE59" s="373"/>
      <c r="AF59" s="374"/>
      <c r="AG59" s="373"/>
      <c r="AH59" s="374"/>
      <c r="AI59" s="373"/>
      <c r="AJ59" s="374"/>
      <c r="AK59" s="373"/>
      <c r="AL59" s="373"/>
      <c r="AM59" s="373"/>
      <c r="AN59" s="373"/>
      <c r="AO59" s="373"/>
      <c r="AP59" s="376"/>
      <c r="AQ59" s="373"/>
    </row>
    <row r="60">
      <c r="A60" s="257" t="s">
        <v>703</v>
      </c>
      <c r="B60" s="257" t="s">
        <v>704</v>
      </c>
      <c r="C60" s="257" t="str">
        <f>VLOOKUP(A60,import!A:J,3,0)</f>
        <v>DOĞRU</v>
      </c>
      <c r="D60" s="257" t="s">
        <v>3676</v>
      </c>
      <c r="E60" s="257">
        <f>VLOOKUP(A60,import!A:J,5,0)</f>
        <v>543</v>
      </c>
      <c r="F60" s="257">
        <f>VLOOKUP(A60,import!A:J,6,0)</f>
        <v>6</v>
      </c>
      <c r="G60" s="257">
        <f>VLOOKUP(A60,import!A:J,7,0)</f>
        <v>10</v>
      </c>
      <c r="H60" s="257">
        <f>VLOOKUP(A60,import!A:J,8,0)</f>
        <v>8</v>
      </c>
      <c r="I60" s="257">
        <f>VLOOKUP(A60,import!A:J,9,0)</f>
        <v>18</v>
      </c>
      <c r="J60" s="369">
        <f>VLOOKUP(A60,import!A:J,10,0)</f>
        <v>0.56</v>
      </c>
      <c r="K60" s="257" t="s">
        <v>3910</v>
      </c>
      <c r="L60" s="257">
        <v>3.224599062E9</v>
      </c>
      <c r="M60" s="257" t="s">
        <v>286</v>
      </c>
      <c r="N60" s="257" t="s">
        <v>3737</v>
      </c>
      <c r="O60" s="257" t="s">
        <v>706</v>
      </c>
      <c r="P60" s="370" t="str">
        <f>VLOOKUP(A60,import!A:P,16,0)</f>
        <v>Geleneksel</v>
      </c>
      <c r="Q60" s="370"/>
      <c r="R60" s="370" t="b">
        <v>1</v>
      </c>
      <c r="S60" s="370" t="b">
        <v>0</v>
      </c>
      <c r="T60" s="301" t="s">
        <v>3679</v>
      </c>
      <c r="U60" s="301" t="s">
        <v>3752</v>
      </c>
      <c r="V60" s="301" t="s">
        <v>78</v>
      </c>
      <c r="W60" s="301" t="s">
        <v>3911</v>
      </c>
      <c r="X60" s="371">
        <v>44393.0</v>
      </c>
      <c r="Y60" s="371">
        <v>44404.0</v>
      </c>
      <c r="Z60" s="377"/>
      <c r="AA60" s="373" t="s">
        <v>3682</v>
      </c>
      <c r="AB60" s="374">
        <v>44377.0</v>
      </c>
      <c r="AC60" s="373" t="s">
        <v>3695</v>
      </c>
      <c r="AD60" s="374">
        <v>44379.0</v>
      </c>
      <c r="AE60" s="373" t="s">
        <v>3682</v>
      </c>
      <c r="AF60" s="374">
        <v>44384.0</v>
      </c>
      <c r="AG60" s="373" t="s">
        <v>3695</v>
      </c>
      <c r="AH60" s="374">
        <v>44386.0</v>
      </c>
      <c r="AI60" s="373" t="s">
        <v>3682</v>
      </c>
      <c r="AJ60" s="374">
        <v>44393.0</v>
      </c>
      <c r="AK60" s="373" t="s">
        <v>79</v>
      </c>
      <c r="AL60" s="373" t="s">
        <v>79</v>
      </c>
      <c r="AM60" s="373" t="s">
        <v>3719</v>
      </c>
      <c r="AN60" s="373" t="s">
        <v>79</v>
      </c>
      <c r="AO60" s="373" t="s">
        <v>3752</v>
      </c>
      <c r="AP60" s="376" t="s">
        <v>3683</v>
      </c>
      <c r="AQ60" s="373"/>
    </row>
    <row r="61">
      <c r="A61" s="257" t="s">
        <v>1112</v>
      </c>
      <c r="B61" s="257" t="s">
        <v>1113</v>
      </c>
      <c r="C61" s="257" t="str">
        <f>VLOOKUP(A61,import!A:J,3,0)</f>
        <v>DOĞRU</v>
      </c>
      <c r="D61" s="257" t="s">
        <v>3912</v>
      </c>
      <c r="E61" s="257">
        <f>VLOOKUP(A61,import!A:J,5,0)</f>
        <v>1958</v>
      </c>
      <c r="F61" s="257">
        <f>VLOOKUP(A61,import!A:J,6,0)</f>
        <v>161</v>
      </c>
      <c r="G61" s="257">
        <f>VLOOKUP(A61,import!A:J,7,0)</f>
        <v>17</v>
      </c>
      <c r="H61" s="257">
        <f>VLOOKUP(A61,import!A:J,8,0)</f>
        <v>13</v>
      </c>
      <c r="I61" s="257">
        <f>VLOOKUP(A61,import!A:J,9,0)</f>
        <v>30</v>
      </c>
      <c r="J61" s="369">
        <f>VLOOKUP(A61,import!A:J,10,0)</f>
        <v>0.57</v>
      </c>
      <c r="K61" s="257" t="s">
        <v>3913</v>
      </c>
      <c r="L61" s="257">
        <v>5.399142636E9</v>
      </c>
      <c r="M61" s="257" t="s">
        <v>14</v>
      </c>
      <c r="N61" s="257" t="s">
        <v>3914</v>
      </c>
      <c r="O61" s="257" t="s">
        <v>1115</v>
      </c>
      <c r="P61" s="370" t="str">
        <f>VLOOKUP(A61,import!A:P,16,0)</f>
        <v>Geleneksel</v>
      </c>
      <c r="Q61" s="370"/>
      <c r="R61" s="370" t="b">
        <v>1</v>
      </c>
      <c r="S61" s="370" t="b">
        <v>0</v>
      </c>
      <c r="T61" s="301" t="s">
        <v>3679</v>
      </c>
      <c r="U61" s="301" t="s">
        <v>79</v>
      </c>
      <c r="V61" s="301" t="s">
        <v>78</v>
      </c>
      <c r="W61" s="301" t="s">
        <v>3915</v>
      </c>
      <c r="X61" s="371">
        <v>44436.0</v>
      </c>
      <c r="Y61" s="371">
        <v>44440.0</v>
      </c>
      <c r="Z61" s="372"/>
      <c r="AA61" s="373" t="s">
        <v>3695</v>
      </c>
      <c r="AB61" s="374">
        <v>44356.0</v>
      </c>
      <c r="AC61" s="373" t="s">
        <v>3681</v>
      </c>
      <c r="AD61" s="374">
        <v>44368.0</v>
      </c>
      <c r="AE61" s="373" t="s">
        <v>3682</v>
      </c>
      <c r="AF61" s="374">
        <v>44370.0</v>
      </c>
      <c r="AG61" s="373" t="s">
        <v>3682</v>
      </c>
      <c r="AH61" s="374">
        <v>44403.0</v>
      </c>
      <c r="AI61" s="373" t="s">
        <v>3682</v>
      </c>
      <c r="AJ61" s="374">
        <v>44436.0</v>
      </c>
      <c r="AK61" s="373" t="s">
        <v>2706</v>
      </c>
      <c r="AL61" s="373" t="s">
        <v>1014</v>
      </c>
      <c r="AM61" s="373" t="s">
        <v>3916</v>
      </c>
      <c r="AN61" s="373" t="s">
        <v>3752</v>
      </c>
      <c r="AO61" s="373" t="s">
        <v>3729</v>
      </c>
      <c r="AP61" s="376" t="s">
        <v>3683</v>
      </c>
      <c r="AQ61" s="373"/>
    </row>
    <row r="62">
      <c r="A62" s="257" t="s">
        <v>3917</v>
      </c>
      <c r="B62" s="257" t="s">
        <v>3918</v>
      </c>
      <c r="C62" s="257" t="str">
        <f>VLOOKUP(A62,import!A:J,3,0)</f>
        <v>YANLIŞ</v>
      </c>
      <c r="D62" s="257" t="s">
        <v>3842</v>
      </c>
      <c r="E62" s="257">
        <f>VLOOKUP(A62,import!A:J,5,0)</f>
        <v>471</v>
      </c>
      <c r="F62" s="257" t="str">
        <f>VLOOKUP(A62,import!A:J,6,0)</f>
        <v/>
      </c>
      <c r="G62" s="257">
        <f>VLOOKUP(A62,import!A:J,7,0)</f>
        <v>2</v>
      </c>
      <c r="H62" s="257">
        <f>VLOOKUP(A62,import!A:J,8,0)</f>
        <v>8</v>
      </c>
      <c r="I62" s="257">
        <f>VLOOKUP(A62,import!A:J,9,0)</f>
        <v>10</v>
      </c>
      <c r="J62" s="369">
        <f>VLOOKUP(A62,import!A:J,10,0)</f>
        <v>0.2</v>
      </c>
      <c r="K62" s="257" t="s">
        <v>3919</v>
      </c>
      <c r="L62" s="257">
        <v>5.413808788E9</v>
      </c>
      <c r="M62" s="257" t="s">
        <v>286</v>
      </c>
      <c r="N62" s="257" t="s">
        <v>3737</v>
      </c>
      <c r="O62" s="257" t="s">
        <v>3920</v>
      </c>
      <c r="P62" s="370" t="str">
        <f>VLOOKUP(A62,import!A:P,16,0)</f>
        <v>Geleneksel</v>
      </c>
      <c r="Q62" s="370"/>
      <c r="R62" s="370" t="b">
        <v>1</v>
      </c>
      <c r="S62" s="370" t="b">
        <v>0</v>
      </c>
      <c r="T62" s="301" t="s">
        <v>3448</v>
      </c>
      <c r="U62" s="379"/>
      <c r="V62" s="379"/>
      <c r="W62" s="257" t="s">
        <v>3921</v>
      </c>
      <c r="X62" s="381"/>
      <c r="Y62" s="381"/>
      <c r="Z62" s="372"/>
      <c r="AA62" s="373" t="s">
        <v>3448</v>
      </c>
      <c r="AB62" s="374">
        <v>44376.0</v>
      </c>
      <c r="AC62" s="373" t="s">
        <v>3448</v>
      </c>
      <c r="AD62" s="374">
        <v>44378.0</v>
      </c>
      <c r="AE62" s="373" t="s">
        <v>3448</v>
      </c>
      <c r="AF62" s="374">
        <v>44379.0</v>
      </c>
      <c r="AG62" s="373" t="s">
        <v>3681</v>
      </c>
      <c r="AH62" s="374">
        <v>44384.0</v>
      </c>
      <c r="AI62" s="373" t="s">
        <v>3448</v>
      </c>
      <c r="AJ62" s="374">
        <v>44508.0</v>
      </c>
      <c r="AK62" s="373" t="s">
        <v>1014</v>
      </c>
      <c r="AL62" s="373" t="s">
        <v>3752</v>
      </c>
      <c r="AM62" s="373" t="s">
        <v>1014</v>
      </c>
      <c r="AN62" s="373" t="s">
        <v>1014</v>
      </c>
      <c r="AO62" s="373" t="s">
        <v>2282</v>
      </c>
      <c r="AP62" s="376" t="s">
        <v>3683</v>
      </c>
      <c r="AQ62" s="373"/>
    </row>
    <row r="63">
      <c r="A63" s="257" t="s">
        <v>3922</v>
      </c>
      <c r="B63" s="257" t="s">
        <v>3923</v>
      </c>
      <c r="C63" s="257" t="str">
        <f>VLOOKUP(A63,import!A:J,3,0)</f>
        <v>DOĞRU</v>
      </c>
      <c r="D63" s="257" t="s">
        <v>3676</v>
      </c>
      <c r="E63" s="257">
        <f>VLOOKUP(A63,import!A:J,5,0)</f>
        <v>3192</v>
      </c>
      <c r="F63" s="257">
        <f>VLOOKUP(A63,import!A:J,6,0)</f>
        <v>304</v>
      </c>
      <c r="G63" s="257">
        <f>VLOOKUP(A63,import!A:J,7,0)</f>
        <v>11</v>
      </c>
      <c r="H63" s="257">
        <f>VLOOKUP(A63,import!A:J,8,0)</f>
        <v>1</v>
      </c>
      <c r="I63" s="257">
        <f>VLOOKUP(A63,import!A:J,9,0)</f>
        <v>12</v>
      </c>
      <c r="J63" s="369">
        <f>VLOOKUP(A63,import!A:J,10,0)</f>
        <v>0.92</v>
      </c>
      <c r="K63" s="257" t="s">
        <v>3924</v>
      </c>
      <c r="L63" s="257">
        <v>5.321132332E9</v>
      </c>
      <c r="M63" s="257" t="s">
        <v>286</v>
      </c>
      <c r="N63" s="257" t="s">
        <v>3737</v>
      </c>
      <c r="O63" s="257" t="s">
        <v>3925</v>
      </c>
      <c r="P63" s="370" t="str">
        <f>VLOOKUP(A63,import!A:P,16,0)</f>
        <v>Geleneksel</v>
      </c>
      <c r="Q63" s="370"/>
      <c r="R63" s="370" t="b">
        <v>1</v>
      </c>
      <c r="S63" s="370" t="b">
        <v>0</v>
      </c>
      <c r="T63" s="301" t="s">
        <v>3679</v>
      </c>
      <c r="U63" s="379"/>
      <c r="V63" s="379"/>
      <c r="W63" s="301" t="s">
        <v>3926</v>
      </c>
      <c r="X63" s="381"/>
      <c r="Y63" s="381"/>
      <c r="Z63" s="372"/>
      <c r="AA63" s="373" t="s">
        <v>3682</v>
      </c>
      <c r="AB63" s="374">
        <v>44474.0</v>
      </c>
      <c r="AC63" s="373"/>
      <c r="AD63" s="374"/>
      <c r="AE63" s="373"/>
      <c r="AF63" s="374"/>
      <c r="AG63" s="373"/>
      <c r="AH63" s="374"/>
      <c r="AI63" s="375"/>
      <c r="AJ63" s="375"/>
      <c r="AK63" s="373" t="s">
        <v>79</v>
      </c>
      <c r="AL63" s="375"/>
      <c r="AM63" s="375"/>
      <c r="AN63" s="373"/>
      <c r="AO63" s="375"/>
      <c r="AP63" s="376" t="s">
        <v>3683</v>
      </c>
      <c r="AQ63" s="375"/>
    </row>
    <row r="64">
      <c r="A64" s="257" t="s">
        <v>2825</v>
      </c>
      <c r="B64" s="257" t="s">
        <v>2826</v>
      </c>
      <c r="C64" s="257" t="str">
        <f>VLOOKUP(A64,import!A:J,3,0)</f>
        <v>YANLIŞ</v>
      </c>
      <c r="D64" s="257" t="s">
        <v>3801</v>
      </c>
      <c r="E64" s="257">
        <f>VLOOKUP(A64,import!A:J,5,0)</f>
        <v>54</v>
      </c>
      <c r="F64" s="257" t="str">
        <f>VLOOKUP(A64,import!A:J,6,0)</f>
        <v/>
      </c>
      <c r="G64" s="257">
        <f>VLOOKUP(A64,import!A:J,7,0)</f>
        <v>8</v>
      </c>
      <c r="H64" s="257">
        <f>VLOOKUP(A64,import!A:J,8,0)</f>
        <v>0</v>
      </c>
      <c r="I64" s="257">
        <f>VLOOKUP(A64,import!A:J,9,0)</f>
        <v>8</v>
      </c>
      <c r="J64" s="369">
        <f>VLOOKUP(A64,import!A:J,10,0)</f>
        <v>1</v>
      </c>
      <c r="K64" s="257" t="s">
        <v>3927</v>
      </c>
      <c r="L64" s="257">
        <v>5.447203988E9</v>
      </c>
      <c r="M64" s="257" t="s">
        <v>286</v>
      </c>
      <c r="N64" s="257" t="s">
        <v>3758</v>
      </c>
      <c r="O64" s="257" t="s">
        <v>2828</v>
      </c>
      <c r="P64" s="370" t="str">
        <f>VLOOKUP(A64,import!A:P,16,0)</f>
        <v>Geleneksel</v>
      </c>
      <c r="Q64" s="370"/>
      <c r="R64" s="370" t="b">
        <v>1</v>
      </c>
      <c r="S64" s="370" t="b">
        <v>0</v>
      </c>
      <c r="T64" s="301" t="s">
        <v>3679</v>
      </c>
      <c r="U64" s="301" t="s">
        <v>2542</v>
      </c>
      <c r="V64" s="301" t="s">
        <v>78</v>
      </c>
      <c r="W64" s="301"/>
      <c r="X64" s="371">
        <v>44481.0</v>
      </c>
      <c r="Y64" s="371">
        <v>44482.0</v>
      </c>
      <c r="Z64" s="372"/>
      <c r="AA64" s="373" t="s">
        <v>3682</v>
      </c>
      <c r="AB64" s="374">
        <v>44481.0</v>
      </c>
      <c r="AC64" s="373"/>
      <c r="AD64" s="374"/>
      <c r="AE64" s="373"/>
      <c r="AF64" s="374"/>
      <c r="AG64" s="373"/>
      <c r="AH64" s="374"/>
      <c r="AI64" s="375"/>
      <c r="AJ64" s="375"/>
      <c r="AK64" s="373" t="s">
        <v>2542</v>
      </c>
      <c r="AL64" s="375"/>
      <c r="AM64" s="375"/>
      <c r="AN64" s="373"/>
      <c r="AO64" s="375"/>
      <c r="AP64" s="376" t="s">
        <v>3686</v>
      </c>
      <c r="AQ64" s="375"/>
    </row>
    <row r="65">
      <c r="A65" s="257" t="s">
        <v>3928</v>
      </c>
      <c r="B65" s="257" t="s">
        <v>3929</v>
      </c>
      <c r="C65" s="257" t="str">
        <f>VLOOKUP(A65,import!A:J,3,0)</f>
        <v>DOĞRU</v>
      </c>
      <c r="D65" s="257" t="s">
        <v>3801</v>
      </c>
      <c r="E65" s="257">
        <f>VLOOKUP(A65,import!A:J,5,0)</f>
        <v>35</v>
      </c>
      <c r="F65" s="257" t="str">
        <f>VLOOKUP(A65,import!A:J,6,0)</f>
        <v/>
      </c>
      <c r="G65" s="257">
        <f>VLOOKUP(A65,import!A:J,7,0)</f>
        <v>0</v>
      </c>
      <c r="H65" s="257">
        <f>VLOOKUP(A65,import!A:J,8,0)</f>
        <v>16</v>
      </c>
      <c r="I65" s="257">
        <f>VLOOKUP(A65,import!A:J,9,0)</f>
        <v>16</v>
      </c>
      <c r="J65" s="369">
        <f>VLOOKUP(A65,import!A:J,10,0)</f>
        <v>0</v>
      </c>
      <c r="K65" s="257" t="s">
        <v>3930</v>
      </c>
      <c r="L65" s="257">
        <v>5.426514067E9</v>
      </c>
      <c r="M65" s="257" t="s">
        <v>3707</v>
      </c>
      <c r="N65" s="257" t="s">
        <v>3931</v>
      </c>
      <c r="O65" s="257" t="s">
        <v>3932</v>
      </c>
      <c r="P65" s="370" t="str">
        <f>VLOOKUP(A65,import!A:P,16,0)</f>
        <v>Geleneksel</v>
      </c>
      <c r="Q65" s="370"/>
      <c r="R65" s="370" t="b">
        <v>1</v>
      </c>
      <c r="S65" s="370" t="b">
        <v>1</v>
      </c>
      <c r="T65" s="301"/>
      <c r="U65" s="379"/>
      <c r="V65" s="379"/>
      <c r="W65" s="301" t="s">
        <v>3933</v>
      </c>
      <c r="X65" s="381"/>
      <c r="Y65" s="381"/>
      <c r="Z65" s="372"/>
      <c r="AA65" s="373" t="s">
        <v>3682</v>
      </c>
      <c r="AB65" s="374">
        <v>44617.0</v>
      </c>
      <c r="AC65" s="373"/>
      <c r="AD65" s="374"/>
      <c r="AE65" s="373"/>
      <c r="AF65" s="374"/>
      <c r="AG65" s="373"/>
      <c r="AH65" s="374"/>
      <c r="AI65" s="375"/>
      <c r="AJ65" s="375"/>
      <c r="AK65" s="373" t="s">
        <v>2576</v>
      </c>
      <c r="AL65" s="375"/>
      <c r="AM65" s="375"/>
      <c r="AN65" s="373"/>
      <c r="AO65" s="375"/>
      <c r="AP65" s="376" t="s">
        <v>3686</v>
      </c>
      <c r="AQ65" s="375"/>
    </row>
    <row r="66">
      <c r="A66" s="257" t="s">
        <v>34</v>
      </c>
      <c r="B66" s="257" t="s">
        <v>35</v>
      </c>
      <c r="C66" s="257" t="str">
        <f>VLOOKUP(A66,import!A:J,3,0)</f>
        <v>DOĞRU</v>
      </c>
      <c r="D66" s="257" t="s">
        <v>3676</v>
      </c>
      <c r="E66" s="257">
        <f>VLOOKUP(A66,import!A:J,5,0)</f>
        <v>3668</v>
      </c>
      <c r="F66" s="257">
        <f>VLOOKUP(A66,import!A:J,6,0)</f>
        <v>92</v>
      </c>
      <c r="G66" s="257">
        <f>VLOOKUP(A66,import!A:J,7,0)</f>
        <v>19</v>
      </c>
      <c r="H66" s="257">
        <f>VLOOKUP(A66,import!A:J,8,0)</f>
        <v>19</v>
      </c>
      <c r="I66" s="257">
        <f>VLOOKUP(A66,import!A:J,9,0)</f>
        <v>38</v>
      </c>
      <c r="J66" s="369">
        <f>VLOOKUP(A66,import!A:J,10,0)</f>
        <v>0.5</v>
      </c>
      <c r="K66" s="257" t="s">
        <v>3934</v>
      </c>
      <c r="L66" s="257">
        <v>5.316968522E9</v>
      </c>
      <c r="M66" s="257" t="s">
        <v>14</v>
      </c>
      <c r="N66" s="257" t="s">
        <v>3935</v>
      </c>
      <c r="O66" s="257" t="s">
        <v>39</v>
      </c>
      <c r="P66" s="370" t="str">
        <f>VLOOKUP(A66,import!A:P,16,0)</f>
        <v>Geleneksel</v>
      </c>
      <c r="Q66" s="370"/>
      <c r="R66" s="370" t="b">
        <v>1</v>
      </c>
      <c r="S66" s="370" t="b">
        <v>0</v>
      </c>
      <c r="T66" s="301" t="s">
        <v>3679</v>
      </c>
      <c r="U66" s="301" t="s">
        <v>3752</v>
      </c>
      <c r="V66" s="301" t="s">
        <v>78</v>
      </c>
      <c r="W66" s="301" t="s">
        <v>3936</v>
      </c>
      <c r="X66" s="371">
        <v>44404.0</v>
      </c>
      <c r="Y66" s="371">
        <v>44406.0</v>
      </c>
      <c r="Z66" s="377"/>
      <c r="AA66" s="373" t="s">
        <v>3682</v>
      </c>
      <c r="AB66" s="374">
        <v>44371.0</v>
      </c>
      <c r="AC66" s="373" t="s">
        <v>3682</v>
      </c>
      <c r="AD66" s="374">
        <v>44404.0</v>
      </c>
      <c r="AE66" s="373" t="s">
        <v>3448</v>
      </c>
      <c r="AF66" s="374">
        <v>44435.0</v>
      </c>
      <c r="AG66" s="92"/>
      <c r="AH66" s="375"/>
      <c r="AI66" s="375"/>
      <c r="AJ66" s="375"/>
      <c r="AK66" s="373" t="s">
        <v>111</v>
      </c>
      <c r="AL66" s="373" t="s">
        <v>3752</v>
      </c>
      <c r="AM66" s="373" t="s">
        <v>3723</v>
      </c>
      <c r="AN66" s="375"/>
      <c r="AO66" s="375"/>
      <c r="AP66" s="376" t="s">
        <v>3683</v>
      </c>
      <c r="AQ66" s="375"/>
    </row>
    <row r="67">
      <c r="A67" s="257" t="s">
        <v>3937</v>
      </c>
      <c r="B67" s="257" t="s">
        <v>3938</v>
      </c>
      <c r="C67" s="257" t="str">
        <f>VLOOKUP(A67,import!A:J,3,0)</f>
        <v>DOĞRU</v>
      </c>
      <c r="D67" s="257" t="s">
        <v>3676</v>
      </c>
      <c r="E67" s="257">
        <f>VLOOKUP(A67,import!A:J,5,0)</f>
        <v>4320</v>
      </c>
      <c r="F67" s="257">
        <f>VLOOKUP(A67,import!A:J,6,0)</f>
        <v>256</v>
      </c>
      <c r="G67" s="257">
        <f>VLOOKUP(A67,import!A:J,7,0)</f>
        <v>9</v>
      </c>
      <c r="H67" s="257">
        <f>VLOOKUP(A67,import!A:J,8,0)</f>
        <v>25</v>
      </c>
      <c r="I67" s="257">
        <f>VLOOKUP(A67,import!A:J,9,0)</f>
        <v>34</v>
      </c>
      <c r="J67" s="369">
        <f>VLOOKUP(A67,import!A:J,10,0)</f>
        <v>0.26</v>
      </c>
      <c r="K67" s="257" t="s">
        <v>3939</v>
      </c>
      <c r="L67" s="257">
        <v>3.222563333E9</v>
      </c>
      <c r="M67" s="257" t="s">
        <v>14</v>
      </c>
      <c r="N67" s="257" t="s">
        <v>3678</v>
      </c>
      <c r="O67" s="257" t="s">
        <v>3940</v>
      </c>
      <c r="P67" s="370" t="s">
        <v>3941</v>
      </c>
      <c r="Q67" s="370"/>
      <c r="R67" s="370" t="b">
        <v>1</v>
      </c>
      <c r="S67" s="370" t="b">
        <v>0</v>
      </c>
      <c r="T67" s="300" t="s">
        <v>3735</v>
      </c>
      <c r="U67" s="379"/>
      <c r="V67" s="379"/>
      <c r="W67" s="301" t="s">
        <v>3942</v>
      </c>
      <c r="X67" s="381"/>
      <c r="Y67" s="381"/>
      <c r="Z67" s="372"/>
      <c r="AA67" s="373" t="s">
        <v>3682</v>
      </c>
      <c r="AB67" s="374">
        <v>44501.0</v>
      </c>
      <c r="AC67" s="373" t="s">
        <v>3682</v>
      </c>
      <c r="AD67" s="374">
        <v>44509.0</v>
      </c>
      <c r="AE67" s="373"/>
      <c r="AF67" s="374"/>
      <c r="AG67" s="373"/>
      <c r="AH67" s="374"/>
      <c r="AI67" s="375"/>
      <c r="AJ67" s="375"/>
      <c r="AK67" s="373" t="s">
        <v>2542</v>
      </c>
      <c r="AL67" s="373" t="s">
        <v>2282</v>
      </c>
      <c r="AM67" s="375"/>
      <c r="AN67" s="373"/>
      <c r="AO67" s="375"/>
      <c r="AP67" s="376" t="s">
        <v>3683</v>
      </c>
      <c r="AQ67" s="375"/>
    </row>
    <row r="68">
      <c r="A68" s="257" t="s">
        <v>1221</v>
      </c>
      <c r="B68" s="257" t="s">
        <v>1222</v>
      </c>
      <c r="C68" s="257" t="str">
        <f>VLOOKUP(A68,import!A:J,3,0)</f>
        <v>DOĞRU</v>
      </c>
      <c r="D68" s="257" t="s">
        <v>3676</v>
      </c>
      <c r="E68" s="257">
        <f>VLOOKUP(A68,import!A:J,5,0)</f>
        <v>9167</v>
      </c>
      <c r="F68" s="257">
        <f>VLOOKUP(A68,import!A:J,6,0)</f>
        <v>409</v>
      </c>
      <c r="G68" s="257">
        <f>VLOOKUP(A68,import!A:J,7,0)</f>
        <v>12</v>
      </c>
      <c r="H68" s="257">
        <f>VLOOKUP(A68,import!A:J,8,0)</f>
        <v>55</v>
      </c>
      <c r="I68" s="257">
        <f>VLOOKUP(A68,import!A:J,9,0)</f>
        <v>67</v>
      </c>
      <c r="J68" s="369">
        <f>VLOOKUP(A68,import!A:J,10,0)</f>
        <v>0.18</v>
      </c>
      <c r="K68" s="257" t="s">
        <v>3943</v>
      </c>
      <c r="L68" s="257">
        <v>3.22233005E9</v>
      </c>
      <c r="M68" s="257" t="s">
        <v>286</v>
      </c>
      <c r="N68" s="257" t="s">
        <v>3746</v>
      </c>
      <c r="O68" s="257" t="s">
        <v>1224</v>
      </c>
      <c r="P68" s="370" t="str">
        <f>VLOOKUP(A68,import!A:P,16,0)</f>
        <v>Geleneksel</v>
      </c>
      <c r="Q68" s="370"/>
      <c r="R68" s="370" t="b">
        <v>1</v>
      </c>
      <c r="S68" s="370" t="b">
        <v>0</v>
      </c>
      <c r="T68" s="301" t="s">
        <v>3679</v>
      </c>
      <c r="U68" s="301" t="s">
        <v>2542</v>
      </c>
      <c r="V68" s="301" t="s">
        <v>78</v>
      </c>
      <c r="W68" s="301" t="s">
        <v>3944</v>
      </c>
      <c r="X68" s="371">
        <v>44474.0</v>
      </c>
      <c r="Y68" s="371">
        <v>44475.0</v>
      </c>
      <c r="Z68" s="372"/>
      <c r="AA68" s="373" t="s">
        <v>3682</v>
      </c>
      <c r="AB68" s="374">
        <v>44377.0</v>
      </c>
      <c r="AC68" s="373" t="s">
        <v>3448</v>
      </c>
      <c r="AD68" s="374">
        <v>44428.0</v>
      </c>
      <c r="AE68" s="373" t="s">
        <v>3448</v>
      </c>
      <c r="AF68" s="374">
        <v>44431.0</v>
      </c>
      <c r="AG68" s="373" t="s">
        <v>3448</v>
      </c>
      <c r="AH68" s="374">
        <v>44432.0</v>
      </c>
      <c r="AI68" s="373" t="s">
        <v>3682</v>
      </c>
      <c r="AJ68" s="374">
        <v>44474.0</v>
      </c>
      <c r="AK68" s="373" t="s">
        <v>399</v>
      </c>
      <c r="AL68" s="373" t="s">
        <v>1953</v>
      </c>
      <c r="AM68" s="373" t="s">
        <v>3729</v>
      </c>
      <c r="AN68" s="373" t="s">
        <v>3723</v>
      </c>
      <c r="AO68" s="373" t="s">
        <v>2542</v>
      </c>
      <c r="AP68" s="376" t="s">
        <v>3686</v>
      </c>
      <c r="AQ68" s="373"/>
    </row>
    <row r="69">
      <c r="A69" s="257" t="s">
        <v>51</v>
      </c>
      <c r="B69" s="257" t="s">
        <v>52</v>
      </c>
      <c r="C69" s="257" t="str">
        <f>VLOOKUP(A69,import!A:J,3,0)</f>
        <v>DOĞRU</v>
      </c>
      <c r="D69" s="257" t="s">
        <v>3676</v>
      </c>
      <c r="E69" s="257">
        <f>VLOOKUP(A69,import!A:J,5,0)</f>
        <v>39663</v>
      </c>
      <c r="F69" s="257">
        <f>VLOOKUP(A69,import!A:J,6,0)</f>
        <v>1490</v>
      </c>
      <c r="G69" s="257">
        <f>VLOOKUP(A69,import!A:J,7,0)</f>
        <v>7</v>
      </c>
      <c r="H69" s="257">
        <f>VLOOKUP(A69,import!A:J,8,0)</f>
        <v>26</v>
      </c>
      <c r="I69" s="257">
        <f>VLOOKUP(A69,import!A:J,9,0)</f>
        <v>33</v>
      </c>
      <c r="J69" s="369">
        <f>VLOOKUP(A69,import!A:J,10,0)</f>
        <v>0.21</v>
      </c>
      <c r="K69" s="257" t="s">
        <v>3945</v>
      </c>
      <c r="L69" s="257">
        <v>3.227770303E9</v>
      </c>
      <c r="M69" s="257" t="s">
        <v>14</v>
      </c>
      <c r="N69" s="257" t="s">
        <v>3797</v>
      </c>
      <c r="O69" s="257" t="s">
        <v>53</v>
      </c>
      <c r="P69" s="370" t="str">
        <f>VLOOKUP(A69,import!A:P,16,0)</f>
        <v>Geleneksel</v>
      </c>
      <c r="Q69" s="370"/>
      <c r="R69" s="370" t="b">
        <v>1</v>
      </c>
      <c r="S69" s="370" t="b">
        <v>0</v>
      </c>
      <c r="T69" s="301" t="s">
        <v>3679</v>
      </c>
      <c r="U69" s="301" t="s">
        <v>1947</v>
      </c>
      <c r="V69" s="301" t="s">
        <v>78</v>
      </c>
      <c r="W69" s="301" t="s">
        <v>3946</v>
      </c>
      <c r="X69" s="371">
        <v>44421.0</v>
      </c>
      <c r="Y69" s="371">
        <v>44427.0</v>
      </c>
      <c r="Z69" s="377"/>
      <c r="AA69" s="373" t="s">
        <v>3696</v>
      </c>
      <c r="AB69" s="374">
        <v>44363.0</v>
      </c>
      <c r="AC69" s="373" t="s">
        <v>3682</v>
      </c>
      <c r="AD69" s="374">
        <v>44375.0</v>
      </c>
      <c r="AE69" s="373" t="s">
        <v>3682</v>
      </c>
      <c r="AF69" s="374">
        <v>44421.0</v>
      </c>
      <c r="AG69" s="92"/>
      <c r="AH69" s="375"/>
      <c r="AI69" s="375"/>
      <c r="AJ69" s="375"/>
      <c r="AK69" s="373" t="s">
        <v>399</v>
      </c>
      <c r="AL69" s="373" t="s">
        <v>399</v>
      </c>
      <c r="AM69" s="373" t="s">
        <v>1947</v>
      </c>
      <c r="AN69" s="375"/>
      <c r="AO69" s="375"/>
      <c r="AP69" s="376" t="s">
        <v>3683</v>
      </c>
      <c r="AQ69" s="375"/>
    </row>
    <row r="70">
      <c r="A70" s="257" t="s">
        <v>3947</v>
      </c>
      <c r="B70" s="257" t="s">
        <v>3948</v>
      </c>
      <c r="C70" s="257" t="str">
        <f>VLOOKUP(A70,import!A:J,3,0)</f>
        <v>DOĞRU</v>
      </c>
      <c r="D70" s="257" t="s">
        <v>3676</v>
      </c>
      <c r="E70" s="257">
        <f>VLOOKUP(A70,import!A:J,5,0)</f>
        <v>728</v>
      </c>
      <c r="F70" s="257">
        <f>VLOOKUP(A70,import!A:J,6,0)</f>
        <v>109</v>
      </c>
      <c r="G70" s="257">
        <f>VLOOKUP(A70,import!A:J,7,0)</f>
        <v>0</v>
      </c>
      <c r="H70" s="257">
        <f>VLOOKUP(A70,import!A:J,8,0)</f>
        <v>28</v>
      </c>
      <c r="I70" s="257">
        <f>VLOOKUP(A70,import!A:J,9,0)</f>
        <v>28</v>
      </c>
      <c r="J70" s="369">
        <f>VLOOKUP(A70,import!A:J,10,0)</f>
        <v>0</v>
      </c>
      <c r="K70" s="257" t="s">
        <v>3949</v>
      </c>
      <c r="L70" s="257">
        <v>3.223417385E9</v>
      </c>
      <c r="M70" s="257" t="s">
        <v>3692</v>
      </c>
      <c r="N70" s="257" t="s">
        <v>3721</v>
      </c>
      <c r="O70" s="257" t="s">
        <v>3950</v>
      </c>
      <c r="P70" s="370" t="str">
        <f>VLOOKUP(A70,import!A:P,16,0)</f>
        <v>Geleneksel</v>
      </c>
      <c r="Q70" s="370"/>
      <c r="R70" s="370" t="b">
        <v>0</v>
      </c>
      <c r="S70" s="370" t="b">
        <v>0</v>
      </c>
      <c r="T70" s="301"/>
      <c r="U70" s="379"/>
      <c r="V70" s="379"/>
      <c r="W70" s="301"/>
      <c r="X70" s="381"/>
      <c r="Y70" s="381"/>
      <c r="Z70" s="372"/>
      <c r="AA70" s="373"/>
      <c r="AB70" s="374"/>
      <c r="AC70" s="373"/>
      <c r="AD70" s="374"/>
      <c r="AE70" s="373"/>
      <c r="AF70" s="374"/>
      <c r="AG70" s="373"/>
      <c r="AH70" s="374"/>
      <c r="AI70" s="375"/>
      <c r="AJ70" s="375"/>
      <c r="AK70" s="373"/>
      <c r="AL70" s="375"/>
      <c r="AM70" s="375"/>
      <c r="AN70" s="373"/>
      <c r="AO70" s="375"/>
      <c r="AP70" s="376"/>
      <c r="AQ70" s="375"/>
    </row>
    <row r="71">
      <c r="A71" s="257" t="s">
        <v>3951</v>
      </c>
      <c r="B71" s="257" t="s">
        <v>3952</v>
      </c>
      <c r="C71" s="257" t="str">
        <f>VLOOKUP(A71,import!A:J,3,0)</f>
        <v>DOĞRU</v>
      </c>
      <c r="D71" s="257" t="s">
        <v>3676</v>
      </c>
      <c r="E71" s="257">
        <f>VLOOKUP(A71,import!A:J,5,0)</f>
        <v>9992</v>
      </c>
      <c r="F71" s="257">
        <f>VLOOKUP(A71,import!A:J,6,0)</f>
        <v>552</v>
      </c>
      <c r="G71" s="257">
        <f>VLOOKUP(A71,import!A:J,7,0)</f>
        <v>16</v>
      </c>
      <c r="H71" s="257">
        <f>VLOOKUP(A71,import!A:J,8,0)</f>
        <v>5</v>
      </c>
      <c r="I71" s="257">
        <f>VLOOKUP(A71,import!A:J,9,0)</f>
        <v>21</v>
      </c>
      <c r="J71" s="369">
        <f>VLOOKUP(A71,import!A:J,10,0)</f>
        <v>0.76</v>
      </c>
      <c r="K71" s="257" t="s">
        <v>3953</v>
      </c>
      <c r="L71" s="257">
        <v>3.222123101E9</v>
      </c>
      <c r="M71" s="257" t="s">
        <v>14</v>
      </c>
      <c r="N71" s="257" t="s">
        <v>3797</v>
      </c>
      <c r="O71" s="257" t="s">
        <v>182</v>
      </c>
      <c r="P71" s="370" t="str">
        <f>VLOOKUP(A71,import!A:P,16,0)</f>
        <v>Geleneksel</v>
      </c>
      <c r="Q71" s="370"/>
      <c r="R71" s="370" t="b">
        <v>1</v>
      </c>
      <c r="S71" s="370" t="b">
        <v>1</v>
      </c>
      <c r="T71" s="301"/>
      <c r="U71" s="379"/>
      <c r="V71" s="379"/>
      <c r="W71" s="301" t="s">
        <v>3954</v>
      </c>
      <c r="X71" s="381"/>
      <c r="Y71" s="381"/>
      <c r="Z71" s="372"/>
      <c r="AA71" s="373" t="s">
        <v>3448</v>
      </c>
      <c r="AB71" s="374">
        <v>44412.0</v>
      </c>
      <c r="AC71" s="373" t="s">
        <v>3695</v>
      </c>
      <c r="AD71" s="374">
        <v>44415.0</v>
      </c>
      <c r="AE71" s="92"/>
      <c r="AF71" s="375"/>
      <c r="AG71" s="92"/>
      <c r="AH71" s="375"/>
      <c r="AI71" s="375"/>
      <c r="AJ71" s="375"/>
      <c r="AK71" s="373" t="s">
        <v>3723</v>
      </c>
      <c r="AL71" s="373" t="s">
        <v>1953</v>
      </c>
      <c r="AM71" s="375"/>
      <c r="AN71" s="375"/>
      <c r="AO71" s="375"/>
      <c r="AP71" s="376" t="s">
        <v>3683</v>
      </c>
      <c r="AQ71" s="375"/>
    </row>
    <row r="72">
      <c r="A72" s="257" t="s">
        <v>1236</v>
      </c>
      <c r="B72" s="257" t="s">
        <v>1237</v>
      </c>
      <c r="C72" s="257" t="str">
        <f>VLOOKUP(A72,import!A:J,3,0)</f>
        <v>DOĞRU</v>
      </c>
      <c r="D72" s="257" t="s">
        <v>3676</v>
      </c>
      <c r="E72" s="257">
        <f>VLOOKUP(A72,import!A:J,5,0)</f>
        <v>19750</v>
      </c>
      <c r="F72" s="257">
        <f>VLOOKUP(A72,import!A:J,6,0)</f>
        <v>409</v>
      </c>
      <c r="G72" s="257">
        <f>VLOOKUP(A72,import!A:J,7,0)</f>
        <v>21</v>
      </c>
      <c r="H72" s="257">
        <f>VLOOKUP(A72,import!A:J,8,0)</f>
        <v>4</v>
      </c>
      <c r="I72" s="257">
        <f>VLOOKUP(A72,import!A:J,9,0)</f>
        <v>25</v>
      </c>
      <c r="J72" s="369">
        <f>VLOOKUP(A72,import!A:J,10,0)</f>
        <v>0.84</v>
      </c>
      <c r="K72" s="257" t="s">
        <v>3955</v>
      </c>
      <c r="L72" s="257">
        <v>3.222614242E9</v>
      </c>
      <c r="M72" s="257" t="s">
        <v>286</v>
      </c>
      <c r="N72" s="257" t="s">
        <v>3855</v>
      </c>
      <c r="O72" s="257" t="s">
        <v>1239</v>
      </c>
      <c r="P72" s="370" t="str">
        <f>VLOOKUP(A72,import!A:P,16,0)</f>
        <v>Geleneksel</v>
      </c>
      <c r="Q72" s="370"/>
      <c r="R72" s="370" t="b">
        <v>1</v>
      </c>
      <c r="S72" s="370" t="b">
        <v>0</v>
      </c>
      <c r="T72" s="301" t="s">
        <v>3679</v>
      </c>
      <c r="U72" s="301" t="s">
        <v>79</v>
      </c>
      <c r="V72" s="301" t="s">
        <v>78</v>
      </c>
      <c r="W72" s="301" t="s">
        <v>3956</v>
      </c>
      <c r="X72" s="371">
        <v>44379.0</v>
      </c>
      <c r="Y72" s="371">
        <v>44383.0</v>
      </c>
      <c r="Z72" s="301" t="s">
        <v>3957</v>
      </c>
      <c r="AA72" s="373" t="s">
        <v>3682</v>
      </c>
      <c r="AB72" s="374">
        <v>44379.0</v>
      </c>
      <c r="AC72" s="373" t="s">
        <v>3448</v>
      </c>
      <c r="AD72" s="374">
        <v>44384.0</v>
      </c>
      <c r="AE72" s="92"/>
      <c r="AF72" s="375"/>
      <c r="AG72" s="92"/>
      <c r="AH72" s="375"/>
      <c r="AI72" s="375"/>
      <c r="AJ72" s="375"/>
      <c r="AK72" s="373" t="s">
        <v>79</v>
      </c>
      <c r="AL72" s="373" t="s">
        <v>1014</v>
      </c>
      <c r="AM72" s="375"/>
      <c r="AN72" s="375"/>
      <c r="AO72" s="375"/>
      <c r="AP72" s="376" t="s">
        <v>3686</v>
      </c>
      <c r="AQ72" s="375"/>
    </row>
    <row r="73">
      <c r="A73" s="257" t="s">
        <v>3958</v>
      </c>
      <c r="B73" s="257" t="s">
        <v>3959</v>
      </c>
      <c r="C73" s="257" t="str">
        <f>VLOOKUP(A73,import!A:J,3,0)</f>
        <v>DOĞRU</v>
      </c>
      <c r="D73" s="257" t="s">
        <v>3676</v>
      </c>
      <c r="E73" s="257">
        <f>VLOOKUP(A73,import!A:J,5,0)</f>
        <v>20614</v>
      </c>
      <c r="F73" s="257">
        <f>VLOOKUP(A73,import!A:J,6,0)</f>
        <v>1110</v>
      </c>
      <c r="G73" s="257">
        <f>VLOOKUP(A73,import!A:J,7,0)</f>
        <v>0</v>
      </c>
      <c r="H73" s="257">
        <f>VLOOKUP(A73,import!A:J,8,0)</f>
        <v>25</v>
      </c>
      <c r="I73" s="257">
        <f>VLOOKUP(A73,import!A:J,9,0)</f>
        <v>25</v>
      </c>
      <c r="J73" s="369">
        <f>VLOOKUP(A73,import!A:J,10,0)</f>
        <v>0</v>
      </c>
      <c r="K73" s="257" t="s">
        <v>3960</v>
      </c>
      <c r="L73" s="257">
        <v>3.222283535E9</v>
      </c>
      <c r="M73" s="257" t="s">
        <v>286</v>
      </c>
      <c r="N73" s="257" t="s">
        <v>3961</v>
      </c>
      <c r="O73" s="257" t="s">
        <v>3962</v>
      </c>
      <c r="P73" s="370" t="str">
        <f>VLOOKUP(A73,import!A:P,16,0)</f>
        <v>Geleneksel</v>
      </c>
      <c r="Q73" s="370"/>
      <c r="R73" s="370" t="b">
        <v>1</v>
      </c>
      <c r="S73" s="370" t="b">
        <v>1</v>
      </c>
      <c r="T73" s="301"/>
      <c r="U73" s="301"/>
      <c r="V73" s="301"/>
      <c r="W73" s="301" t="s">
        <v>3963</v>
      </c>
      <c r="X73" s="371"/>
      <c r="Y73" s="371"/>
      <c r="Z73" s="377"/>
      <c r="AA73" s="373" t="s">
        <v>3682</v>
      </c>
      <c r="AB73" s="374">
        <v>44379.0</v>
      </c>
      <c r="AC73" s="373" t="s">
        <v>3695</v>
      </c>
      <c r="AD73" s="374">
        <v>44355.0</v>
      </c>
      <c r="AE73" s="373" t="s">
        <v>3682</v>
      </c>
      <c r="AF73" s="374">
        <v>44418.0</v>
      </c>
      <c r="AG73" s="373" t="s">
        <v>3681</v>
      </c>
      <c r="AH73" s="374">
        <v>44432.0</v>
      </c>
      <c r="AI73" s="373" t="s">
        <v>3448</v>
      </c>
      <c r="AJ73" s="374">
        <v>44502.0</v>
      </c>
      <c r="AK73" s="373" t="s">
        <v>79</v>
      </c>
      <c r="AL73" s="373" t="s">
        <v>3729</v>
      </c>
      <c r="AM73" s="373" t="s">
        <v>1953</v>
      </c>
      <c r="AN73" s="373" t="s">
        <v>3723</v>
      </c>
      <c r="AO73" s="373" t="s">
        <v>2542</v>
      </c>
      <c r="AP73" s="376" t="s">
        <v>3686</v>
      </c>
      <c r="AQ73" s="373"/>
    </row>
    <row r="74">
      <c r="A74" s="257" t="s">
        <v>3964</v>
      </c>
      <c r="B74" s="257" t="s">
        <v>3965</v>
      </c>
      <c r="C74" s="257" t="str">
        <f>VLOOKUP(A74,import!A:J,3,0)</f>
        <v>DOĞRU</v>
      </c>
      <c r="D74" s="257" t="s">
        <v>3676</v>
      </c>
      <c r="E74" s="257">
        <f>VLOOKUP(A74,import!A:J,5,0)</f>
        <v>61</v>
      </c>
      <c r="F74" s="257" t="str">
        <f>VLOOKUP(A74,import!A:J,6,0)</f>
        <v/>
      </c>
      <c r="G74" s="257">
        <f>VLOOKUP(A74,import!A:J,7,0)</f>
        <v>0</v>
      </c>
      <c r="H74" s="257">
        <f>VLOOKUP(A74,import!A:J,8,0)</f>
        <v>30</v>
      </c>
      <c r="I74" s="257">
        <f>VLOOKUP(A74,import!A:J,9,0)</f>
        <v>30</v>
      </c>
      <c r="J74" s="369">
        <f>VLOOKUP(A74,import!A:J,10,0)</f>
        <v>0</v>
      </c>
      <c r="K74" s="257" t="s">
        <v>3966</v>
      </c>
      <c r="L74" s="257">
        <v>5.425622401E9</v>
      </c>
      <c r="M74" s="257" t="s">
        <v>14</v>
      </c>
      <c r="N74" s="257" t="s">
        <v>3733</v>
      </c>
      <c r="O74" s="257" t="s">
        <v>3967</v>
      </c>
      <c r="P74" s="386" t="str">
        <f>VLOOKUP(A74,import!A:P,16,0)</f>
        <v>Geleneksel</v>
      </c>
      <c r="Q74" s="370"/>
      <c r="R74" s="370" t="b">
        <v>1</v>
      </c>
      <c r="S74" s="370" t="b">
        <v>0</v>
      </c>
      <c r="T74" s="301"/>
      <c r="U74" s="379"/>
      <c r="V74" s="379"/>
      <c r="W74" s="301" t="s">
        <v>3968</v>
      </c>
      <c r="X74" s="381"/>
      <c r="Y74" s="381"/>
      <c r="Z74" s="372"/>
      <c r="AA74" s="373" t="s">
        <v>3448</v>
      </c>
      <c r="AB74" s="374">
        <v>44634.0</v>
      </c>
      <c r="AC74" s="373"/>
      <c r="AD74" s="374"/>
      <c r="AE74" s="373"/>
      <c r="AF74" s="374"/>
      <c r="AG74" s="373"/>
      <c r="AH74" s="374"/>
      <c r="AI74" s="375"/>
      <c r="AJ74" s="375"/>
      <c r="AK74" s="373" t="s">
        <v>2542</v>
      </c>
      <c r="AL74" s="375"/>
      <c r="AM74" s="375"/>
      <c r="AN74" s="373"/>
      <c r="AO74" s="375"/>
      <c r="AP74" s="376"/>
      <c r="AQ74" s="375"/>
    </row>
    <row r="75">
      <c r="A75" s="257" t="s">
        <v>3969</v>
      </c>
      <c r="B75" s="257" t="s">
        <v>3970</v>
      </c>
      <c r="C75" s="257" t="str">
        <f>VLOOKUP(A75,import!A:J,3,0)</f>
        <v>DOĞRU</v>
      </c>
      <c r="D75" s="257" t="s">
        <v>3713</v>
      </c>
      <c r="E75" s="257">
        <f>VLOOKUP(A75,import!A:J,5,0)</f>
        <v>243</v>
      </c>
      <c r="F75" s="257">
        <f>VLOOKUP(A75,import!A:J,6,0)</f>
        <v>15</v>
      </c>
      <c r="G75" s="257">
        <f>VLOOKUP(A75,import!A:J,7,0)</f>
        <v>0</v>
      </c>
      <c r="H75" s="257">
        <f>VLOOKUP(A75,import!A:J,8,0)</f>
        <v>30</v>
      </c>
      <c r="I75" s="257">
        <f>VLOOKUP(A75,import!A:J,9,0)</f>
        <v>30</v>
      </c>
      <c r="J75" s="369">
        <f>VLOOKUP(A75,import!A:J,10,0)</f>
        <v>0</v>
      </c>
      <c r="K75" s="257" t="s">
        <v>3971</v>
      </c>
      <c r="L75" s="257">
        <v>5.06170727E9</v>
      </c>
      <c r="M75" s="257" t="s">
        <v>14</v>
      </c>
      <c r="N75" s="257" t="s">
        <v>3733</v>
      </c>
      <c r="O75" s="257" t="s">
        <v>3972</v>
      </c>
      <c r="P75" s="370" t="str">
        <f>VLOOKUP(A75,import!A:P,16,0)</f>
        <v>Geleneksel</v>
      </c>
      <c r="Q75" s="370"/>
      <c r="R75" s="370" t="b">
        <v>1</v>
      </c>
      <c r="S75" s="370" t="b">
        <v>1</v>
      </c>
      <c r="T75" s="301"/>
      <c r="U75" s="379"/>
      <c r="V75" s="379"/>
      <c r="W75" s="301" t="s">
        <v>3973</v>
      </c>
      <c r="X75" s="381"/>
      <c r="Y75" s="381"/>
      <c r="Z75" s="372"/>
      <c r="AA75" s="373" t="s">
        <v>3695</v>
      </c>
      <c r="AB75" s="374">
        <v>44383.0</v>
      </c>
      <c r="AC75" s="373" t="s">
        <v>3695</v>
      </c>
      <c r="AD75" s="374">
        <v>44384.0</v>
      </c>
      <c r="AE75" s="373" t="s">
        <v>3682</v>
      </c>
      <c r="AF75" s="374">
        <v>44412.0</v>
      </c>
      <c r="AG75" s="373" t="s">
        <v>3448</v>
      </c>
      <c r="AH75" s="374">
        <v>44418.0</v>
      </c>
      <c r="AI75" s="373" t="s">
        <v>3695</v>
      </c>
      <c r="AJ75" s="374">
        <v>44473.0</v>
      </c>
      <c r="AK75" s="373" t="s">
        <v>3974</v>
      </c>
      <c r="AL75" s="373" t="s">
        <v>1014</v>
      </c>
      <c r="AM75" s="373" t="s">
        <v>3723</v>
      </c>
      <c r="AN75" s="373" t="s">
        <v>1953</v>
      </c>
      <c r="AO75" s="373" t="s">
        <v>2542</v>
      </c>
      <c r="AP75" s="376" t="s">
        <v>3683</v>
      </c>
      <c r="AQ75" s="373"/>
    </row>
    <row r="76">
      <c r="A76" s="257" t="s">
        <v>3057</v>
      </c>
      <c r="B76" s="257" t="s">
        <v>3058</v>
      </c>
      <c r="C76" s="257" t="str">
        <f>VLOOKUP(A76,import!A:J,3,0)</f>
        <v>DOĞRU</v>
      </c>
      <c r="D76" s="257" t="s">
        <v>3713</v>
      </c>
      <c r="E76" s="257">
        <f>VLOOKUP(A76,import!A:J,5,0)</f>
        <v>299</v>
      </c>
      <c r="F76" s="257">
        <f>VLOOKUP(A76,import!A:J,6,0)</f>
        <v>2</v>
      </c>
      <c r="G76" s="257">
        <f>VLOOKUP(A76,import!A:J,7,0)</f>
        <v>12</v>
      </c>
      <c r="H76" s="257">
        <f>VLOOKUP(A76,import!A:J,8,0)</f>
        <v>35</v>
      </c>
      <c r="I76" s="257">
        <f>VLOOKUP(A76,import!A:J,9,0)</f>
        <v>47</v>
      </c>
      <c r="J76" s="369">
        <f>VLOOKUP(A76,import!A:J,10,0)</f>
        <v>0.26</v>
      </c>
      <c r="K76" s="257" t="s">
        <v>3975</v>
      </c>
      <c r="L76" s="257">
        <v>3.224588606E9</v>
      </c>
      <c r="M76" s="257" t="s">
        <v>286</v>
      </c>
      <c r="N76" s="257" t="s">
        <v>3737</v>
      </c>
      <c r="O76" s="257" t="s">
        <v>3060</v>
      </c>
      <c r="P76" s="370" t="str">
        <f>VLOOKUP(A76,import!A:P,16,0)</f>
        <v>Geleneksel</v>
      </c>
      <c r="Q76" s="370"/>
      <c r="R76" s="370" t="b">
        <v>1</v>
      </c>
      <c r="S76" s="370" t="b">
        <v>0</v>
      </c>
      <c r="T76" s="301" t="s">
        <v>3679</v>
      </c>
      <c r="U76" s="301" t="s">
        <v>2192</v>
      </c>
      <c r="V76" s="387" t="s">
        <v>3331</v>
      </c>
      <c r="W76" s="301"/>
      <c r="X76" s="371">
        <v>44628.0</v>
      </c>
      <c r="Y76" s="371">
        <v>44629.0</v>
      </c>
      <c r="Z76" s="372"/>
      <c r="AA76" s="373" t="s">
        <v>3682</v>
      </c>
      <c r="AB76" s="374">
        <v>44508.0</v>
      </c>
      <c r="AC76" s="373" t="s">
        <v>3682</v>
      </c>
      <c r="AD76" s="374">
        <v>44628.0</v>
      </c>
      <c r="AE76" s="373"/>
      <c r="AF76" s="374"/>
      <c r="AG76" s="373"/>
      <c r="AH76" s="374"/>
      <c r="AI76" s="375"/>
      <c r="AJ76" s="375"/>
      <c r="AK76" s="373" t="s">
        <v>2542</v>
      </c>
      <c r="AL76" s="373" t="s">
        <v>2192</v>
      </c>
      <c r="AM76" s="375"/>
      <c r="AN76" s="373"/>
      <c r="AO76" s="375"/>
      <c r="AP76" s="376" t="s">
        <v>3683</v>
      </c>
      <c r="AQ76" s="375"/>
    </row>
    <row r="77">
      <c r="A77" s="257" t="s">
        <v>1269</v>
      </c>
      <c r="B77" s="257" t="s">
        <v>1270</v>
      </c>
      <c r="C77" s="257" t="str">
        <f>VLOOKUP(A77,import!A:J,3,0)</f>
        <v>DOĞRU</v>
      </c>
      <c r="D77" s="257" t="s">
        <v>3676</v>
      </c>
      <c r="E77" s="257">
        <f>VLOOKUP(A77,import!A:J,5,0)</f>
        <v>4464</v>
      </c>
      <c r="F77" s="257">
        <f>VLOOKUP(A77,import!A:J,6,0)</f>
        <v>136</v>
      </c>
      <c r="G77" s="257">
        <f>VLOOKUP(A77,import!A:J,7,0)</f>
        <v>12</v>
      </c>
      <c r="H77" s="257">
        <f>VLOOKUP(A77,import!A:J,8,0)</f>
        <v>5</v>
      </c>
      <c r="I77" s="257">
        <f>VLOOKUP(A77,import!A:J,9,0)</f>
        <v>17</v>
      </c>
      <c r="J77" s="369">
        <f>VLOOKUP(A77,import!A:J,10,0)</f>
        <v>0.71</v>
      </c>
      <c r="K77" s="257" t="s">
        <v>3976</v>
      </c>
      <c r="L77" s="257">
        <v>3.228024172E9</v>
      </c>
      <c r="M77" s="257" t="s">
        <v>286</v>
      </c>
      <c r="N77" s="257" t="s">
        <v>3754</v>
      </c>
      <c r="O77" s="257" t="s">
        <v>1272</v>
      </c>
      <c r="P77" s="370" t="str">
        <f>VLOOKUP(A77,import!A:P,16,0)</f>
        <v>Geleneksel</v>
      </c>
      <c r="Q77" s="370"/>
      <c r="R77" s="370" t="b">
        <v>1</v>
      </c>
      <c r="S77" s="370" t="b">
        <v>0</v>
      </c>
      <c r="T77" s="301" t="s">
        <v>3679</v>
      </c>
      <c r="U77" s="301" t="s">
        <v>79</v>
      </c>
      <c r="V77" s="301" t="s">
        <v>78</v>
      </c>
      <c r="W77" s="301" t="s">
        <v>3956</v>
      </c>
      <c r="X77" s="371">
        <v>44379.0</v>
      </c>
      <c r="Y77" s="371">
        <v>44384.0</v>
      </c>
      <c r="Z77" s="372"/>
      <c r="AA77" s="373" t="s">
        <v>3682</v>
      </c>
      <c r="AB77" s="374">
        <v>44379.0</v>
      </c>
      <c r="AC77" s="375"/>
      <c r="AD77" s="375"/>
      <c r="AE77" s="92"/>
      <c r="AF77" s="375"/>
      <c r="AG77" s="92"/>
      <c r="AH77" s="375"/>
      <c r="AI77" s="375"/>
      <c r="AJ77" s="375"/>
      <c r="AK77" s="373" t="s">
        <v>79</v>
      </c>
      <c r="AL77" s="375"/>
      <c r="AM77" s="375"/>
      <c r="AN77" s="375"/>
      <c r="AO77" s="375"/>
      <c r="AP77" s="376" t="s">
        <v>3686</v>
      </c>
      <c r="AQ77" s="375"/>
    </row>
    <row r="78">
      <c r="A78" s="257" t="s">
        <v>3977</v>
      </c>
      <c r="B78" s="257" t="s">
        <v>3978</v>
      </c>
      <c r="C78" s="257" t="str">
        <f>VLOOKUP(A78,import!A:J,3,0)</f>
        <v>DOĞRU</v>
      </c>
      <c r="D78" s="257" t="s">
        <v>3676</v>
      </c>
      <c r="E78" s="257">
        <f>VLOOKUP(A78,import!A:J,5,0)</f>
        <v>95</v>
      </c>
      <c r="F78" s="257">
        <f>VLOOKUP(A78,import!A:J,6,0)</f>
        <v>21</v>
      </c>
      <c r="G78" s="257">
        <f>VLOOKUP(A78,import!A:J,7,0)</f>
        <v>0</v>
      </c>
      <c r="H78" s="257">
        <f>VLOOKUP(A78,import!A:J,8,0)</f>
        <v>9</v>
      </c>
      <c r="I78" s="257">
        <f>VLOOKUP(A78,import!A:J,9,0)</f>
        <v>9</v>
      </c>
      <c r="J78" s="369">
        <f>VLOOKUP(A78,import!A:J,10,0)</f>
        <v>0</v>
      </c>
      <c r="K78" s="257" t="s">
        <v>3979</v>
      </c>
      <c r="L78" s="257">
        <v>5.334010274E9</v>
      </c>
      <c r="M78" s="257" t="s">
        <v>286</v>
      </c>
      <c r="N78" s="257" t="s">
        <v>3980</v>
      </c>
      <c r="O78" s="257" t="s">
        <v>3981</v>
      </c>
      <c r="P78" s="370" t="str">
        <f>VLOOKUP(A78,import!A:P,16,0)</f>
        <v>Geleneksel</v>
      </c>
      <c r="Q78" s="370"/>
      <c r="R78" s="370" t="b">
        <v>0</v>
      </c>
      <c r="S78" s="370" t="b">
        <v>0</v>
      </c>
      <c r="T78" s="301"/>
      <c r="U78" s="379"/>
      <c r="V78" s="379"/>
      <c r="W78" s="301" t="s">
        <v>2969</v>
      </c>
      <c r="X78" s="381"/>
      <c r="Y78" s="381"/>
      <c r="Z78" s="372"/>
      <c r="AA78" s="373"/>
      <c r="AB78" s="374"/>
      <c r="AC78" s="373"/>
      <c r="AD78" s="374"/>
      <c r="AE78" s="373"/>
      <c r="AF78" s="374"/>
      <c r="AG78" s="373"/>
      <c r="AH78" s="374"/>
      <c r="AI78" s="375"/>
      <c r="AJ78" s="375"/>
      <c r="AK78" s="373"/>
      <c r="AL78" s="375"/>
      <c r="AM78" s="375"/>
      <c r="AN78" s="373"/>
      <c r="AO78" s="375"/>
      <c r="AP78" s="376"/>
      <c r="AQ78" s="375"/>
    </row>
    <row r="79">
      <c r="A79" s="257" t="s">
        <v>2724</v>
      </c>
      <c r="B79" s="257" t="s">
        <v>2725</v>
      </c>
      <c r="C79" s="257" t="str">
        <f>VLOOKUP(A79,import!A:J,3,0)</f>
        <v>DOĞRU</v>
      </c>
      <c r="D79" s="257" t="s">
        <v>3713</v>
      </c>
      <c r="E79" s="257">
        <f>VLOOKUP(A79,import!A:J,5,0)</f>
        <v>38</v>
      </c>
      <c r="F79" s="257" t="str">
        <f>VLOOKUP(A79,import!A:J,6,0)</f>
        <v/>
      </c>
      <c r="G79" s="257">
        <f>VLOOKUP(A79,import!A:J,7,0)</f>
        <v>0</v>
      </c>
      <c r="H79" s="257">
        <f>VLOOKUP(A79,import!A:J,8,0)</f>
        <v>12</v>
      </c>
      <c r="I79" s="257">
        <f>VLOOKUP(A79,import!A:J,9,0)</f>
        <v>12</v>
      </c>
      <c r="J79" s="369">
        <f>VLOOKUP(A79,import!A:J,10,0)</f>
        <v>0</v>
      </c>
      <c r="K79" s="257" t="s">
        <v>3982</v>
      </c>
      <c r="L79" s="257">
        <v>5.365538673E9</v>
      </c>
      <c r="M79" s="257" t="s">
        <v>3692</v>
      </c>
      <c r="N79" s="257" t="s">
        <v>3983</v>
      </c>
      <c r="O79" s="257" t="s">
        <v>2728</v>
      </c>
      <c r="P79" s="370" t="str">
        <f>VLOOKUP(A79,import!A:P,16,0)</f>
        <v>Geleneksel</v>
      </c>
      <c r="Q79" s="370"/>
      <c r="R79" s="370" t="b">
        <v>1</v>
      </c>
      <c r="S79" s="370" t="b">
        <v>0</v>
      </c>
      <c r="T79" s="301" t="s">
        <v>3787</v>
      </c>
      <c r="U79" s="301" t="s">
        <v>79</v>
      </c>
      <c r="V79" s="301" t="s">
        <v>78</v>
      </c>
      <c r="W79" s="301" t="s">
        <v>3984</v>
      </c>
      <c r="X79" s="371">
        <v>44470.0</v>
      </c>
      <c r="Y79" s="371">
        <v>44473.0</v>
      </c>
      <c r="Z79" s="372"/>
      <c r="AA79" s="373" t="s">
        <v>3448</v>
      </c>
      <c r="AB79" s="374">
        <v>44424.0</v>
      </c>
      <c r="AC79" s="373" t="s">
        <v>3681</v>
      </c>
      <c r="AD79" s="374">
        <v>44432.0</v>
      </c>
      <c r="AE79" s="373" t="s">
        <v>3682</v>
      </c>
      <c r="AF79" s="374">
        <v>44470.0</v>
      </c>
      <c r="AG79" s="373" t="s">
        <v>3448</v>
      </c>
      <c r="AH79" s="374">
        <v>44475.0</v>
      </c>
      <c r="AI79" s="373" t="s">
        <v>3448</v>
      </c>
      <c r="AJ79" s="374">
        <v>44509.0</v>
      </c>
      <c r="AK79" s="373" t="s">
        <v>3723</v>
      </c>
      <c r="AL79" s="375"/>
      <c r="AM79" s="373" t="s">
        <v>79</v>
      </c>
      <c r="AN79" s="373" t="s">
        <v>2192</v>
      </c>
      <c r="AO79" s="373" t="s">
        <v>2192</v>
      </c>
      <c r="AP79" s="376" t="s">
        <v>3686</v>
      </c>
      <c r="AQ79" s="373"/>
    </row>
    <row r="80">
      <c r="A80" s="257" t="s">
        <v>3985</v>
      </c>
      <c r="B80" s="257" t="s">
        <v>3986</v>
      </c>
      <c r="C80" s="257" t="str">
        <f>VLOOKUP(A80,import!A:J,3,0)</f>
        <v>DOĞRU</v>
      </c>
      <c r="D80" s="257" t="s">
        <v>3801</v>
      </c>
      <c r="E80" s="257">
        <f>VLOOKUP(A80,import!A:J,5,0)</f>
        <v>2</v>
      </c>
      <c r="F80" s="257" t="str">
        <f>VLOOKUP(A80,import!A:J,6,0)</f>
        <v/>
      </c>
      <c r="G80" s="257">
        <f>VLOOKUP(A80,import!A:J,7,0)</f>
        <v>0</v>
      </c>
      <c r="H80" s="257">
        <f>VLOOKUP(A80,import!A:J,8,0)</f>
        <v>6</v>
      </c>
      <c r="I80" s="257">
        <f>VLOOKUP(A80,import!A:J,9,0)</f>
        <v>6</v>
      </c>
      <c r="J80" s="369">
        <f>VLOOKUP(A80,import!A:J,10,0)</f>
        <v>0</v>
      </c>
      <c r="K80" s="257" t="s">
        <v>3987</v>
      </c>
      <c r="L80" s="257">
        <v>5.456378305E9</v>
      </c>
      <c r="M80" s="257" t="s">
        <v>14</v>
      </c>
      <c r="N80" s="257" t="s">
        <v>3914</v>
      </c>
      <c r="O80" s="257" t="s">
        <v>3988</v>
      </c>
      <c r="P80" s="370" t="str">
        <f>VLOOKUP(A80,import!A:P,16,0)</f>
        <v>Geleneksel</v>
      </c>
      <c r="Q80" s="370"/>
      <c r="R80" s="370" t="b">
        <v>0</v>
      </c>
      <c r="S80" s="370" t="b">
        <v>0</v>
      </c>
      <c r="T80" s="301"/>
      <c r="U80" s="301"/>
      <c r="V80" s="301"/>
      <c r="W80" s="301"/>
      <c r="X80" s="371"/>
      <c r="Y80" s="371"/>
      <c r="Z80" s="372"/>
      <c r="AA80" s="373"/>
      <c r="AB80" s="374"/>
      <c r="AC80" s="373"/>
      <c r="AD80" s="374"/>
      <c r="AE80" s="373"/>
      <c r="AF80" s="374"/>
      <c r="AG80" s="373"/>
      <c r="AH80" s="374"/>
      <c r="AI80" s="373"/>
      <c r="AJ80" s="374"/>
      <c r="AK80" s="373"/>
      <c r="AL80" s="373"/>
      <c r="AM80" s="373"/>
      <c r="AN80" s="373"/>
      <c r="AO80" s="373"/>
      <c r="AP80" s="376"/>
      <c r="AQ80" s="373"/>
    </row>
    <row r="81">
      <c r="A81" s="257" t="s">
        <v>2118</v>
      </c>
      <c r="B81" s="257" t="s">
        <v>2119</v>
      </c>
      <c r="C81" s="257" t="str">
        <f>VLOOKUP(A81,import!A:J,3,0)</f>
        <v>DOĞRU</v>
      </c>
      <c r="D81" s="257" t="s">
        <v>3676</v>
      </c>
      <c r="E81" s="257">
        <f>VLOOKUP(A81,import!A:J,5,0)</f>
        <v>615</v>
      </c>
      <c r="F81" s="257">
        <f>VLOOKUP(A81,import!A:J,6,0)</f>
        <v>11</v>
      </c>
      <c r="G81" s="257">
        <f>VLOOKUP(A81,import!A:J,7,0)</f>
        <v>10</v>
      </c>
      <c r="H81" s="257">
        <f>VLOOKUP(A81,import!A:J,8,0)</f>
        <v>54</v>
      </c>
      <c r="I81" s="257">
        <f>VLOOKUP(A81,import!A:J,9,0)</f>
        <v>64</v>
      </c>
      <c r="J81" s="369">
        <f>VLOOKUP(A81,import!A:J,10,0)</f>
        <v>0.16</v>
      </c>
      <c r="K81" s="257" t="s">
        <v>3989</v>
      </c>
      <c r="L81" s="257">
        <v>3.22458606E9</v>
      </c>
      <c r="M81" s="257" t="s">
        <v>286</v>
      </c>
      <c r="N81" s="257" t="s">
        <v>3806</v>
      </c>
      <c r="O81" s="257" t="s">
        <v>3990</v>
      </c>
      <c r="P81" s="370" t="str">
        <f>VLOOKUP(A81,import!A:P,16,0)</f>
        <v>Geleneksel</v>
      </c>
      <c r="Q81" s="370"/>
      <c r="R81" s="370" t="b">
        <v>1</v>
      </c>
      <c r="S81" s="370" t="b">
        <v>0</v>
      </c>
      <c r="T81" s="301" t="s">
        <v>3679</v>
      </c>
      <c r="U81" s="301" t="s">
        <v>3723</v>
      </c>
      <c r="V81" s="36" t="s">
        <v>78</v>
      </c>
      <c r="W81" s="301" t="s">
        <v>3991</v>
      </c>
      <c r="X81" s="371">
        <v>44432.0</v>
      </c>
      <c r="Y81" s="371">
        <v>44435.0</v>
      </c>
      <c r="Z81" s="372"/>
      <c r="AA81" s="373" t="s">
        <v>3682</v>
      </c>
      <c r="AB81" s="374">
        <v>44379.0</v>
      </c>
      <c r="AC81" s="373" t="s">
        <v>3681</v>
      </c>
      <c r="AD81" s="374">
        <v>44393.0</v>
      </c>
      <c r="AE81" s="373" t="s">
        <v>3682</v>
      </c>
      <c r="AF81" s="374">
        <v>44406.0</v>
      </c>
      <c r="AG81" s="373" t="s">
        <v>3682</v>
      </c>
      <c r="AH81" s="374">
        <v>44414.0</v>
      </c>
      <c r="AI81" s="373" t="s">
        <v>3682</v>
      </c>
      <c r="AJ81" s="374">
        <v>44432.0</v>
      </c>
      <c r="AK81" s="373" t="s">
        <v>79</v>
      </c>
      <c r="AL81" s="373" t="s">
        <v>3752</v>
      </c>
      <c r="AM81" s="373" t="s">
        <v>79</v>
      </c>
      <c r="AN81" s="373" t="s">
        <v>3723</v>
      </c>
      <c r="AO81" s="373" t="s">
        <v>3723</v>
      </c>
      <c r="AP81" s="376" t="s">
        <v>3686</v>
      </c>
      <c r="AQ81" s="373"/>
    </row>
    <row r="82">
      <c r="A82" s="257" t="s">
        <v>3992</v>
      </c>
      <c r="B82" s="257" t="s">
        <v>3993</v>
      </c>
      <c r="C82" s="257" t="str">
        <f>VLOOKUP(A82,import!A:J,3,0)</f>
        <v>DOĞRU</v>
      </c>
      <c r="D82" s="257" t="s">
        <v>3994</v>
      </c>
      <c r="E82" s="257">
        <f>VLOOKUP(A82,import!A:J,5,0)</f>
        <v>220</v>
      </c>
      <c r="F82" s="257">
        <f>VLOOKUP(A82,import!A:J,6,0)</f>
        <v>13</v>
      </c>
      <c r="G82" s="257">
        <f>VLOOKUP(A82,import!A:J,7,0)</f>
        <v>0</v>
      </c>
      <c r="H82" s="257">
        <f>VLOOKUP(A82,import!A:J,8,0)</f>
        <v>17</v>
      </c>
      <c r="I82" s="257">
        <f>VLOOKUP(A82,import!A:J,9,0)</f>
        <v>17</v>
      </c>
      <c r="J82" s="369">
        <f>VLOOKUP(A82,import!A:J,10,0)</f>
        <v>0</v>
      </c>
      <c r="K82" s="257" t="s">
        <v>3995</v>
      </c>
      <c r="L82" s="257">
        <v>5.399631427E9</v>
      </c>
      <c r="M82" s="257" t="s">
        <v>286</v>
      </c>
      <c r="N82" s="257" t="s">
        <v>3806</v>
      </c>
      <c r="O82" s="257" t="s">
        <v>3996</v>
      </c>
      <c r="P82" s="370" t="str">
        <f>VLOOKUP(A82,import!A:P,16,0)</f>
        <v>Geleneksel</v>
      </c>
      <c r="Q82" s="370"/>
      <c r="R82" s="370" t="b">
        <v>1</v>
      </c>
      <c r="S82" s="370" t="b">
        <v>0</v>
      </c>
      <c r="T82" s="301" t="s">
        <v>3866</v>
      </c>
      <c r="U82" s="379"/>
      <c r="V82" s="379"/>
      <c r="W82" s="301" t="s">
        <v>3997</v>
      </c>
      <c r="X82" s="381"/>
      <c r="Y82" s="381"/>
      <c r="Z82" s="372"/>
      <c r="AA82" s="373" t="s">
        <v>3682</v>
      </c>
      <c r="AB82" s="374">
        <v>44571.0</v>
      </c>
      <c r="AC82" s="373"/>
      <c r="AD82" s="374"/>
      <c r="AE82" s="373"/>
      <c r="AF82" s="374"/>
      <c r="AG82" s="373"/>
      <c r="AH82" s="374"/>
      <c r="AI82" s="375"/>
      <c r="AJ82" s="375"/>
      <c r="AK82" s="373" t="s">
        <v>2542</v>
      </c>
      <c r="AL82" s="375"/>
      <c r="AM82" s="375"/>
      <c r="AN82" s="373"/>
      <c r="AO82" s="375"/>
      <c r="AP82" s="376"/>
      <c r="AQ82" s="375"/>
    </row>
    <row r="83">
      <c r="A83" s="257" t="s">
        <v>3998</v>
      </c>
      <c r="B83" s="257" t="s">
        <v>3999</v>
      </c>
      <c r="C83" s="257" t="str">
        <f>VLOOKUP(A83,import!A:J,3,0)</f>
        <v>DOĞRU</v>
      </c>
      <c r="D83" s="257" t="s">
        <v>4000</v>
      </c>
      <c r="E83" s="257">
        <f>VLOOKUP(A83,import!A:J,5,0)</f>
        <v>311</v>
      </c>
      <c r="F83" s="257">
        <f>VLOOKUP(A83,import!A:J,6,0)</f>
        <v>14</v>
      </c>
      <c r="G83" s="257">
        <f>VLOOKUP(A83,import!A:J,7,0)</f>
        <v>0</v>
      </c>
      <c r="H83" s="257">
        <f>VLOOKUP(A83,import!A:J,8,0)</f>
        <v>19</v>
      </c>
      <c r="I83" s="257">
        <f>VLOOKUP(A83,import!A:J,9,0)</f>
        <v>19</v>
      </c>
      <c r="J83" s="369">
        <f>VLOOKUP(A83,import!A:J,10,0)</f>
        <v>0</v>
      </c>
      <c r="K83" s="257" t="s">
        <v>4001</v>
      </c>
      <c r="L83" s="257">
        <v>3.229995768E9</v>
      </c>
      <c r="M83" s="257" t="s">
        <v>286</v>
      </c>
      <c r="N83" s="257" t="s">
        <v>3855</v>
      </c>
      <c r="O83" s="257" t="s">
        <v>4002</v>
      </c>
      <c r="P83" s="370" t="str">
        <f>VLOOKUP(A83,import!A:P,16,0)</f>
        <v>Geleneksel</v>
      </c>
      <c r="Q83" s="370"/>
      <c r="R83" s="370" t="b">
        <v>1</v>
      </c>
      <c r="S83" s="370" t="b">
        <v>0</v>
      </c>
      <c r="T83" s="301"/>
      <c r="U83" s="379"/>
      <c r="V83" s="379"/>
      <c r="W83" s="301" t="s">
        <v>4003</v>
      </c>
      <c r="X83" s="381"/>
      <c r="Y83" s="381"/>
      <c r="Z83" s="372"/>
      <c r="AA83" s="373" t="s">
        <v>3681</v>
      </c>
      <c r="AB83" s="374">
        <v>44566.0</v>
      </c>
      <c r="AC83" s="373"/>
      <c r="AD83" s="374"/>
      <c r="AE83" s="373"/>
      <c r="AF83" s="374"/>
      <c r="AG83" s="373"/>
      <c r="AH83" s="374"/>
      <c r="AI83" s="375"/>
      <c r="AJ83" s="375"/>
      <c r="AK83" s="373" t="s">
        <v>2192</v>
      </c>
      <c r="AL83" s="375"/>
      <c r="AM83" s="375"/>
      <c r="AN83" s="373"/>
      <c r="AO83" s="375"/>
      <c r="AP83" s="376"/>
      <c r="AQ83" s="375"/>
    </row>
    <row r="84">
      <c r="A84" s="376" t="s">
        <v>4004</v>
      </c>
      <c r="B84" s="376" t="s">
        <v>4005</v>
      </c>
      <c r="C84" s="257" t="str">
        <f>VLOOKUP(A84,import!A:J,3,0)</f>
        <v>DOĞRU</v>
      </c>
      <c r="D84" s="376" t="s">
        <v>3713</v>
      </c>
      <c r="E84" s="257">
        <f>VLOOKUP(A84,import!A:J,5,0)</f>
        <v>5</v>
      </c>
      <c r="F84" s="257" t="str">
        <f>VLOOKUP(A84,import!A:J,6,0)</f>
        <v/>
      </c>
      <c r="G84" s="257">
        <f>VLOOKUP(A84,import!A:J,7,0)</f>
        <v>0</v>
      </c>
      <c r="H84" s="257">
        <f>VLOOKUP(A84,import!A:J,8,0)</f>
        <v>10</v>
      </c>
      <c r="I84" s="257">
        <f>VLOOKUP(A84,import!A:J,9,0)</f>
        <v>10</v>
      </c>
      <c r="J84" s="369">
        <f>VLOOKUP(A84,import!A:J,10,0)</f>
        <v>0</v>
      </c>
      <c r="K84" s="376" t="s">
        <v>4006</v>
      </c>
      <c r="L84" s="376">
        <v>5.467875797E9</v>
      </c>
      <c r="M84" s="376" t="s">
        <v>3814</v>
      </c>
      <c r="N84" s="376" t="s">
        <v>3815</v>
      </c>
      <c r="O84" s="376" t="s">
        <v>4007</v>
      </c>
      <c r="P84" s="370" t="str">
        <f>VLOOKUP(A84,import!A:P,16,0)</f>
        <v>Geleneksel</v>
      </c>
      <c r="Q84" s="370"/>
      <c r="R84" s="370" t="b">
        <v>0</v>
      </c>
      <c r="S84" s="370" t="b">
        <v>0</v>
      </c>
      <c r="T84" s="301"/>
      <c r="U84" s="301"/>
      <c r="V84" s="301"/>
      <c r="W84" s="301"/>
      <c r="X84" s="371"/>
      <c r="Y84" s="371"/>
      <c r="Z84" s="372"/>
      <c r="AA84" s="373"/>
      <c r="AB84" s="374"/>
      <c r="AC84" s="373"/>
      <c r="AD84" s="374"/>
      <c r="AE84" s="373"/>
      <c r="AF84" s="374"/>
      <c r="AG84" s="373"/>
      <c r="AH84" s="374"/>
      <c r="AI84" s="373"/>
      <c r="AJ84" s="374"/>
      <c r="AK84" s="373"/>
      <c r="AL84" s="373"/>
      <c r="AM84" s="373"/>
      <c r="AN84" s="373"/>
      <c r="AO84" s="373"/>
      <c r="AP84" s="376"/>
      <c r="AQ84" s="373"/>
    </row>
    <row r="85">
      <c r="A85" s="257" t="s">
        <v>4008</v>
      </c>
      <c r="B85" s="257" t="s">
        <v>4009</v>
      </c>
      <c r="C85" s="257" t="str">
        <f>VLOOKUP(A85,import!A:J,3,0)</f>
        <v>DOĞRU</v>
      </c>
      <c r="D85" s="257" t="s">
        <v>3699</v>
      </c>
      <c r="E85" s="257">
        <f>VLOOKUP(A85,import!A:J,5,0)</f>
        <v>32</v>
      </c>
      <c r="F85" s="257">
        <f>VLOOKUP(A85,import!A:J,6,0)</f>
        <v>31</v>
      </c>
      <c r="G85" s="257">
        <f>VLOOKUP(A85,import!A:J,7,0)</f>
        <v>0</v>
      </c>
      <c r="H85" s="257">
        <f>VLOOKUP(A85,import!A:J,8,0)</f>
        <v>24</v>
      </c>
      <c r="I85" s="257">
        <f>VLOOKUP(A85,import!A:J,9,0)</f>
        <v>24</v>
      </c>
      <c r="J85" s="369">
        <f>VLOOKUP(A85,import!A:J,10,0)</f>
        <v>0</v>
      </c>
      <c r="K85" s="257" t="s">
        <v>4010</v>
      </c>
      <c r="L85" s="257">
        <v>5.529319485E9</v>
      </c>
      <c r="M85" s="257" t="s">
        <v>3692</v>
      </c>
      <c r="N85" s="257" t="s">
        <v>3721</v>
      </c>
      <c r="O85" s="257" t="s">
        <v>4011</v>
      </c>
      <c r="P85" s="370" t="str">
        <f>VLOOKUP(A85,import!A:P,16,0)</f>
        <v>Geleneksel</v>
      </c>
      <c r="Q85" s="370"/>
      <c r="R85" s="370" t="b">
        <v>0</v>
      </c>
      <c r="S85" s="370" t="b">
        <v>0</v>
      </c>
      <c r="T85" s="301"/>
      <c r="U85" s="301"/>
      <c r="V85" s="301"/>
      <c r="W85" s="301"/>
      <c r="X85" s="371"/>
      <c r="Y85" s="371"/>
      <c r="Z85" s="372"/>
      <c r="AA85" s="373"/>
      <c r="AB85" s="374"/>
      <c r="AC85" s="373"/>
      <c r="AD85" s="374"/>
      <c r="AE85" s="373"/>
      <c r="AF85" s="374"/>
      <c r="AG85" s="373"/>
      <c r="AH85" s="374"/>
      <c r="AI85" s="373"/>
      <c r="AJ85" s="374"/>
      <c r="AK85" s="373"/>
      <c r="AL85" s="373"/>
      <c r="AM85" s="373"/>
      <c r="AN85" s="373"/>
      <c r="AO85" s="373"/>
      <c r="AP85" s="376"/>
      <c r="AQ85" s="373"/>
    </row>
    <row r="86">
      <c r="A86" s="257" t="s">
        <v>4012</v>
      </c>
      <c r="B86" s="257" t="s">
        <v>4013</v>
      </c>
      <c r="C86" s="257" t="str">
        <f>VLOOKUP(A86,import!A:J,3,0)</f>
        <v>DOĞRU</v>
      </c>
      <c r="D86" s="257" t="s">
        <v>3759</v>
      </c>
      <c r="E86" s="257">
        <f>VLOOKUP(A86,import!A:J,5,0)</f>
        <v>201</v>
      </c>
      <c r="F86" s="257">
        <f>VLOOKUP(A86,import!A:J,6,0)</f>
        <v>71</v>
      </c>
      <c r="G86" s="257">
        <f>VLOOKUP(A86,import!A:J,7,0)</f>
        <v>0</v>
      </c>
      <c r="H86" s="257">
        <f>VLOOKUP(A86,import!A:J,8,0)</f>
        <v>12</v>
      </c>
      <c r="I86" s="257">
        <f>VLOOKUP(A86,import!A:J,9,0)</f>
        <v>12</v>
      </c>
      <c r="J86" s="369">
        <f>VLOOKUP(A86,import!A:J,10,0)</f>
        <v>0</v>
      </c>
      <c r="K86" s="257" t="s">
        <v>4014</v>
      </c>
      <c r="L86" s="257">
        <v>5.335595801E9</v>
      </c>
      <c r="M86" s="257" t="s">
        <v>14</v>
      </c>
      <c r="N86" s="257" t="s">
        <v>3678</v>
      </c>
      <c r="O86" s="257" t="s">
        <v>4015</v>
      </c>
      <c r="P86" s="370" t="str">
        <f>VLOOKUP(A86,import!A:P,16,0)</f>
        <v>Geleneksel</v>
      </c>
      <c r="Q86" s="370"/>
      <c r="R86" s="370" t="b">
        <v>0</v>
      </c>
      <c r="S86" s="370" t="b">
        <v>0</v>
      </c>
      <c r="T86" s="301" t="s">
        <v>3770</v>
      </c>
      <c r="U86" s="379"/>
      <c r="V86" s="379"/>
      <c r="W86" s="301" t="s">
        <v>4016</v>
      </c>
      <c r="X86" s="381"/>
      <c r="Y86" s="381"/>
      <c r="Z86" s="372"/>
      <c r="AA86" s="373"/>
      <c r="AB86" s="374"/>
      <c r="AC86" s="373"/>
      <c r="AD86" s="374"/>
      <c r="AE86" s="373"/>
      <c r="AF86" s="374"/>
      <c r="AG86" s="373"/>
      <c r="AH86" s="374"/>
      <c r="AI86" s="375"/>
      <c r="AJ86" s="375"/>
      <c r="AK86" s="373"/>
      <c r="AL86" s="375"/>
      <c r="AM86" s="375"/>
      <c r="AN86" s="373"/>
      <c r="AO86" s="375"/>
      <c r="AP86" s="376"/>
      <c r="AQ86" s="375"/>
    </row>
    <row r="87">
      <c r="A87" s="257" t="s">
        <v>2283</v>
      </c>
      <c r="B87" s="257" t="s">
        <v>2284</v>
      </c>
      <c r="C87" s="257" t="str">
        <f>VLOOKUP(A87,import!A:J,3,0)</f>
        <v>DOĞRU</v>
      </c>
      <c r="D87" s="257" t="s">
        <v>3699</v>
      </c>
      <c r="E87" s="257">
        <f>VLOOKUP(A87,import!A:J,5,0)</f>
        <v>761</v>
      </c>
      <c r="F87" s="257">
        <f>VLOOKUP(A87,import!A:J,6,0)</f>
        <v>39</v>
      </c>
      <c r="G87" s="257">
        <f>VLOOKUP(A87,import!A:J,7,0)</f>
        <v>22</v>
      </c>
      <c r="H87" s="257">
        <f>VLOOKUP(A87,import!A:J,8,0)</f>
        <v>34</v>
      </c>
      <c r="I87" s="257">
        <f>VLOOKUP(A87,import!A:J,9,0)</f>
        <v>56</v>
      </c>
      <c r="J87" s="369">
        <f>VLOOKUP(A87,import!A:J,10,0)</f>
        <v>0.39</v>
      </c>
      <c r="K87" s="257" t="s">
        <v>4017</v>
      </c>
      <c r="L87" s="257">
        <v>5.525728209E9</v>
      </c>
      <c r="M87" s="257" t="s">
        <v>286</v>
      </c>
      <c r="N87" s="257" t="s">
        <v>3782</v>
      </c>
      <c r="O87" s="257" t="s">
        <v>2286</v>
      </c>
      <c r="P87" s="370" t="str">
        <f>VLOOKUP(A87,import!A:P,16,0)</f>
        <v>Geleneksel</v>
      </c>
      <c r="Q87" s="370"/>
      <c r="R87" s="370" t="b">
        <v>1</v>
      </c>
      <c r="S87" s="370" t="b">
        <v>0</v>
      </c>
      <c r="T87" s="301" t="s">
        <v>3679</v>
      </c>
      <c r="U87" s="301" t="s">
        <v>2282</v>
      </c>
      <c r="V87" s="301" t="s">
        <v>78</v>
      </c>
      <c r="W87" s="301" t="s">
        <v>4018</v>
      </c>
      <c r="X87" s="371">
        <v>44440.0</v>
      </c>
      <c r="Y87" s="371">
        <v>44445.0</v>
      </c>
      <c r="Z87" s="301" t="s">
        <v>3957</v>
      </c>
      <c r="AA87" s="373" t="s">
        <v>3681</v>
      </c>
      <c r="AB87" s="374">
        <v>44440.0</v>
      </c>
      <c r="AC87" s="373"/>
      <c r="AD87" s="374"/>
      <c r="AE87" s="373"/>
      <c r="AF87" s="374"/>
      <c r="AG87" s="92"/>
      <c r="AH87" s="375"/>
      <c r="AI87" s="375"/>
      <c r="AJ87" s="375"/>
      <c r="AK87" s="373" t="s">
        <v>2576</v>
      </c>
      <c r="AL87" s="375"/>
      <c r="AM87" s="375"/>
      <c r="AN87" s="375"/>
      <c r="AO87" s="375"/>
      <c r="AP87" s="376" t="s">
        <v>3686</v>
      </c>
      <c r="AQ87" s="375"/>
    </row>
    <row r="88">
      <c r="A88" s="376" t="s">
        <v>4019</v>
      </c>
      <c r="B88" s="376" t="s">
        <v>4020</v>
      </c>
      <c r="C88" s="257" t="str">
        <f>VLOOKUP(A88,import!A:J,3,0)</f>
        <v>DOĞRU</v>
      </c>
      <c r="D88" s="376" t="s">
        <v>3749</v>
      </c>
      <c r="E88" s="257" t="str">
        <f>VLOOKUP(A88,import!A:J,5,0)</f>
        <v/>
      </c>
      <c r="F88" s="257" t="str">
        <f>VLOOKUP(A88,import!A:J,6,0)</f>
        <v/>
      </c>
      <c r="G88" s="257">
        <f>VLOOKUP(A88,import!A:J,7,0)</f>
        <v>0</v>
      </c>
      <c r="H88" s="257">
        <f>VLOOKUP(A88,import!A:J,8,0)</f>
        <v>26</v>
      </c>
      <c r="I88" s="257">
        <f>VLOOKUP(A88,import!A:J,9,0)</f>
        <v>26</v>
      </c>
      <c r="J88" s="369">
        <f>VLOOKUP(A88,import!A:J,10,0)</f>
        <v>0</v>
      </c>
      <c r="K88" s="376" t="s">
        <v>4021</v>
      </c>
      <c r="L88" s="376">
        <v>5.464623593E9</v>
      </c>
      <c r="M88" s="376" t="s">
        <v>286</v>
      </c>
      <c r="N88" s="376" t="s">
        <v>3782</v>
      </c>
      <c r="O88" s="376" t="s">
        <v>4022</v>
      </c>
      <c r="P88" s="370" t="str">
        <f>VLOOKUP(A88,import!A:P,16,0)</f>
        <v>Geleneksel</v>
      </c>
      <c r="Q88" s="370"/>
      <c r="R88" s="370" t="b">
        <v>0</v>
      </c>
      <c r="S88" s="370" t="b">
        <v>0</v>
      </c>
      <c r="T88" s="301"/>
      <c r="U88" s="301"/>
      <c r="V88" s="301"/>
      <c r="W88" s="301"/>
      <c r="X88" s="371"/>
      <c r="Y88" s="371"/>
      <c r="Z88" s="372"/>
      <c r="AA88" s="373"/>
      <c r="AB88" s="374"/>
      <c r="AC88" s="373"/>
      <c r="AD88" s="374"/>
      <c r="AE88" s="373"/>
      <c r="AF88" s="374"/>
      <c r="AG88" s="373"/>
      <c r="AH88" s="374"/>
      <c r="AI88" s="373"/>
      <c r="AJ88" s="374"/>
      <c r="AK88" s="373"/>
      <c r="AL88" s="373"/>
      <c r="AM88" s="373"/>
      <c r="AN88" s="373"/>
      <c r="AO88" s="373"/>
      <c r="AP88" s="376"/>
      <c r="AQ88" s="373"/>
    </row>
    <row r="89">
      <c r="A89" s="257" t="s">
        <v>4023</v>
      </c>
      <c r="B89" s="257" t="s">
        <v>4024</v>
      </c>
      <c r="C89" s="257" t="str">
        <f>VLOOKUP(A89,import!A:J,3,0)</f>
        <v>DOĞRU</v>
      </c>
      <c r="D89" s="257" t="s">
        <v>3713</v>
      </c>
      <c r="E89" s="257">
        <f>VLOOKUP(A89,import!A:J,5,0)</f>
        <v>2941</v>
      </c>
      <c r="F89" s="257">
        <f>VLOOKUP(A89,import!A:J,6,0)</f>
        <v>109</v>
      </c>
      <c r="G89" s="257">
        <f>VLOOKUP(A89,import!A:J,7,0)</f>
        <v>0</v>
      </c>
      <c r="H89" s="257">
        <f>VLOOKUP(A89,import!A:J,8,0)</f>
        <v>31</v>
      </c>
      <c r="I89" s="257">
        <f>VLOOKUP(A89,import!A:J,9,0)</f>
        <v>31</v>
      </c>
      <c r="J89" s="369">
        <f>VLOOKUP(A89,import!A:J,10,0)</f>
        <v>0</v>
      </c>
      <c r="K89" s="257" t="s">
        <v>4025</v>
      </c>
      <c r="L89" s="257">
        <v>3.22261122E9</v>
      </c>
      <c r="M89" s="257" t="s">
        <v>286</v>
      </c>
      <c r="N89" s="257" t="s">
        <v>3855</v>
      </c>
      <c r="O89" s="257" t="s">
        <v>4026</v>
      </c>
      <c r="P89" s="370" t="str">
        <f>VLOOKUP(A89,import!A:P,16,0)</f>
        <v>Geleneksel</v>
      </c>
      <c r="Q89" s="370"/>
      <c r="R89" s="370" t="b">
        <v>1</v>
      </c>
      <c r="S89" s="370" t="b">
        <v>1</v>
      </c>
      <c r="T89" s="379"/>
      <c r="U89" s="379"/>
      <c r="V89" s="379"/>
      <c r="W89" s="388" t="s">
        <v>4027</v>
      </c>
      <c r="X89" s="381"/>
      <c r="Y89" s="381"/>
      <c r="Z89" s="372"/>
      <c r="AA89" s="373" t="s">
        <v>3682</v>
      </c>
      <c r="AB89" s="374">
        <v>44377.0</v>
      </c>
      <c r="AC89" s="373" t="s">
        <v>3682</v>
      </c>
      <c r="AD89" s="374">
        <v>44386.0</v>
      </c>
      <c r="AE89" s="373" t="s">
        <v>3682</v>
      </c>
      <c r="AF89" s="374">
        <v>44414.0</v>
      </c>
      <c r="AG89" s="373" t="s">
        <v>3682</v>
      </c>
      <c r="AH89" s="374">
        <v>44418.0</v>
      </c>
      <c r="AI89" s="373" t="s">
        <v>3695</v>
      </c>
      <c r="AJ89" s="374">
        <v>44502.0</v>
      </c>
      <c r="AK89" s="373" t="s">
        <v>79</v>
      </c>
      <c r="AL89" s="373" t="s">
        <v>79</v>
      </c>
      <c r="AM89" s="373" t="s">
        <v>3729</v>
      </c>
      <c r="AN89" s="373" t="s">
        <v>1953</v>
      </c>
      <c r="AO89" s="373" t="s">
        <v>2542</v>
      </c>
      <c r="AP89" s="376" t="s">
        <v>3686</v>
      </c>
      <c r="AQ89" s="373"/>
    </row>
    <row r="90">
      <c r="A90" s="257" t="s">
        <v>1171</v>
      </c>
      <c r="B90" s="257" t="s">
        <v>1172</v>
      </c>
      <c r="C90" s="257" t="str">
        <f>VLOOKUP(A90,import!A:J,3,0)</f>
        <v>DOĞRU</v>
      </c>
      <c r="D90" s="257" t="s">
        <v>3676</v>
      </c>
      <c r="E90" s="257">
        <f>VLOOKUP(A90,import!A:J,5,0)</f>
        <v>12117</v>
      </c>
      <c r="F90" s="257">
        <f>VLOOKUP(A90,import!A:J,6,0)</f>
        <v>883</v>
      </c>
      <c r="G90" s="257">
        <f>VLOOKUP(A90,import!A:J,7,0)</f>
        <v>18</v>
      </c>
      <c r="H90" s="257">
        <f>VLOOKUP(A90,import!A:J,8,0)</f>
        <v>1</v>
      </c>
      <c r="I90" s="257">
        <f>VLOOKUP(A90,import!A:J,9,0)</f>
        <v>19</v>
      </c>
      <c r="J90" s="369">
        <f>VLOOKUP(A90,import!A:J,10,0)</f>
        <v>0.95</v>
      </c>
      <c r="K90" s="257" t="s">
        <v>4028</v>
      </c>
      <c r="L90" s="257">
        <v>3.225050501E9</v>
      </c>
      <c r="M90" s="257" t="s">
        <v>286</v>
      </c>
      <c r="N90" s="257" t="s">
        <v>3751</v>
      </c>
      <c r="O90" s="257" t="s">
        <v>1175</v>
      </c>
      <c r="P90" s="370" t="str">
        <f>VLOOKUP(A90,import!A:P,16,0)</f>
        <v>Geleneksel</v>
      </c>
      <c r="Q90" s="370"/>
      <c r="R90" s="370" t="b">
        <v>1</v>
      </c>
      <c r="S90" s="370" t="b">
        <v>0</v>
      </c>
      <c r="T90" s="301" t="s">
        <v>3679</v>
      </c>
      <c r="U90" s="379"/>
      <c r="V90" s="379"/>
      <c r="W90" s="301"/>
      <c r="X90" s="371">
        <v>44372.0</v>
      </c>
      <c r="Y90" s="371">
        <v>44376.0</v>
      </c>
      <c r="Z90" s="372"/>
      <c r="AA90" s="373" t="s">
        <v>3682</v>
      </c>
      <c r="AB90" s="374">
        <v>44372.0</v>
      </c>
      <c r="AC90" s="375"/>
      <c r="AD90" s="375"/>
      <c r="AE90" s="92"/>
      <c r="AF90" s="375"/>
      <c r="AG90" s="92"/>
      <c r="AH90" s="375"/>
      <c r="AI90" s="375"/>
      <c r="AJ90" s="375"/>
      <c r="AK90" s="373" t="s">
        <v>3719</v>
      </c>
      <c r="AL90" s="375"/>
      <c r="AM90" s="375"/>
      <c r="AN90" s="375"/>
      <c r="AO90" s="375"/>
      <c r="AP90" s="376" t="s">
        <v>3686</v>
      </c>
      <c r="AQ90" s="375"/>
    </row>
    <row r="91">
      <c r="A91" s="257" t="s">
        <v>64</v>
      </c>
      <c r="B91" s="257" t="s">
        <v>65</v>
      </c>
      <c r="C91" s="257" t="str">
        <f>VLOOKUP(A91,import!A:J,3,0)</f>
        <v>DOĞRU</v>
      </c>
      <c r="D91" s="257" t="s">
        <v>3676</v>
      </c>
      <c r="E91" s="257">
        <f>VLOOKUP(A91,import!A:J,5,0)</f>
        <v>7595</v>
      </c>
      <c r="F91" s="257">
        <f>VLOOKUP(A91,import!A:J,6,0)</f>
        <v>205</v>
      </c>
      <c r="G91" s="257">
        <f>VLOOKUP(A91,import!A:J,7,0)</f>
        <v>14</v>
      </c>
      <c r="H91" s="257">
        <f>VLOOKUP(A91,import!A:J,8,0)</f>
        <v>4</v>
      </c>
      <c r="I91" s="257">
        <f>VLOOKUP(A91,import!A:J,9,0)</f>
        <v>18</v>
      </c>
      <c r="J91" s="369">
        <f>VLOOKUP(A91,import!A:J,10,0)</f>
        <v>0.78</v>
      </c>
      <c r="K91" s="257" t="s">
        <v>4029</v>
      </c>
      <c r="L91" s="257">
        <v>3.222483353E9</v>
      </c>
      <c r="M91" s="257" t="s">
        <v>14</v>
      </c>
      <c r="N91" s="257" t="s">
        <v>3935</v>
      </c>
      <c r="O91" s="257" t="s">
        <v>67</v>
      </c>
      <c r="P91" s="370" t="str">
        <f>VLOOKUP(A91,import!A:P,16,0)</f>
        <v>Geleneksel</v>
      </c>
      <c r="Q91" s="370"/>
      <c r="R91" s="370" t="b">
        <v>1</v>
      </c>
      <c r="S91" s="370" t="b">
        <v>0</v>
      </c>
      <c r="T91" s="389" t="s">
        <v>3679</v>
      </c>
      <c r="U91" s="389" t="s">
        <v>16</v>
      </c>
      <c r="V91" s="389" t="s">
        <v>15</v>
      </c>
      <c r="W91" s="389"/>
      <c r="X91" s="390">
        <v>44286.0</v>
      </c>
      <c r="Y91" s="390">
        <v>44287.0</v>
      </c>
      <c r="Z91" s="391"/>
      <c r="AA91" s="375"/>
      <c r="AB91" s="375"/>
      <c r="AC91" s="375"/>
      <c r="AD91" s="375"/>
      <c r="AE91" s="92"/>
      <c r="AF91" s="375"/>
      <c r="AG91" s="92"/>
      <c r="AH91" s="375"/>
      <c r="AI91" s="375"/>
      <c r="AJ91" s="375"/>
      <c r="AK91" s="375"/>
      <c r="AL91" s="375"/>
      <c r="AM91" s="375"/>
      <c r="AN91" s="375"/>
      <c r="AO91" s="375"/>
      <c r="AP91" s="376" t="s">
        <v>3683</v>
      </c>
      <c r="AQ91" s="375"/>
    </row>
    <row r="92">
      <c r="A92" s="257" t="s">
        <v>2942</v>
      </c>
      <c r="B92" s="257" t="s">
        <v>2943</v>
      </c>
      <c r="C92" s="257" t="str">
        <f>VLOOKUP(A92,import!A:J,3,0)</f>
        <v>DOĞRU</v>
      </c>
      <c r="D92" s="257" t="s">
        <v>3690</v>
      </c>
      <c r="E92" s="257">
        <f>VLOOKUP(A92,import!A:J,5,0)</f>
        <v>735</v>
      </c>
      <c r="F92" s="257">
        <f>VLOOKUP(A92,import!A:J,6,0)</f>
        <v>18</v>
      </c>
      <c r="G92" s="257">
        <f>VLOOKUP(A92,import!A:J,7,0)</f>
        <v>1</v>
      </c>
      <c r="H92" s="257">
        <f>VLOOKUP(A92,import!A:J,8,0)</f>
        <v>9</v>
      </c>
      <c r="I92" s="257">
        <f>VLOOKUP(A92,import!A:J,9,0)</f>
        <v>10</v>
      </c>
      <c r="J92" s="369">
        <f>VLOOKUP(A92,import!A:J,10,0)</f>
        <v>0.1</v>
      </c>
      <c r="K92" s="257" t="s">
        <v>4030</v>
      </c>
      <c r="L92" s="257">
        <v>3.222340706E9</v>
      </c>
      <c r="M92" s="257" t="s">
        <v>14</v>
      </c>
      <c r="N92" s="257" t="s">
        <v>3797</v>
      </c>
      <c r="O92" s="257" t="s">
        <v>2946</v>
      </c>
      <c r="P92" s="370" t="str">
        <f>VLOOKUP(A92,import!A:P,16,0)</f>
        <v>Geleneksel</v>
      </c>
      <c r="Q92" s="370"/>
      <c r="R92" s="370" t="b">
        <v>1</v>
      </c>
      <c r="S92" s="370" t="b">
        <v>0</v>
      </c>
      <c r="T92" s="301" t="s">
        <v>3679</v>
      </c>
      <c r="U92" s="301" t="s">
        <v>2542</v>
      </c>
      <c r="V92" s="301" t="s">
        <v>78</v>
      </c>
      <c r="W92" s="301" t="s">
        <v>4031</v>
      </c>
      <c r="X92" s="371">
        <v>44496.0</v>
      </c>
      <c r="Y92" s="371">
        <v>44504.0</v>
      </c>
      <c r="Z92" s="372"/>
      <c r="AA92" s="373" t="s">
        <v>3682</v>
      </c>
      <c r="AB92" s="374">
        <v>44375.0</v>
      </c>
      <c r="AC92" s="373" t="s">
        <v>3682</v>
      </c>
      <c r="AD92" s="374">
        <v>44414.0</v>
      </c>
      <c r="AE92" s="373" t="s">
        <v>3448</v>
      </c>
      <c r="AF92" s="374">
        <v>44418.0</v>
      </c>
      <c r="AG92" s="373" t="s">
        <v>3695</v>
      </c>
      <c r="AH92" s="374">
        <v>44432.0</v>
      </c>
      <c r="AI92" s="373" t="s">
        <v>3682</v>
      </c>
      <c r="AJ92" s="374">
        <v>44519.0</v>
      </c>
      <c r="AK92" s="373" t="s">
        <v>399</v>
      </c>
      <c r="AL92" s="373" t="s">
        <v>3729</v>
      </c>
      <c r="AM92" s="373" t="s">
        <v>1953</v>
      </c>
      <c r="AN92" s="375"/>
      <c r="AO92" s="373" t="s">
        <v>3073</v>
      </c>
      <c r="AP92" s="376" t="s">
        <v>3683</v>
      </c>
      <c r="AQ92" s="373"/>
    </row>
    <row r="93">
      <c r="A93" s="257" t="s">
        <v>352</v>
      </c>
      <c r="B93" s="257" t="s">
        <v>353</v>
      </c>
      <c r="C93" s="257" t="str">
        <f>VLOOKUP(A93,import!A:J,3,0)</f>
        <v>DOĞRU</v>
      </c>
      <c r="D93" s="257" t="s">
        <v>3676</v>
      </c>
      <c r="E93" s="257">
        <f>VLOOKUP(A93,import!A:J,5,0)</f>
        <v>848</v>
      </c>
      <c r="F93" s="257">
        <f>VLOOKUP(A93,import!A:J,6,0)</f>
        <v>99</v>
      </c>
      <c r="G93" s="257">
        <f>VLOOKUP(A93,import!A:J,7,0)</f>
        <v>10</v>
      </c>
      <c r="H93" s="257">
        <f>VLOOKUP(A93,import!A:J,8,0)</f>
        <v>3</v>
      </c>
      <c r="I93" s="257">
        <f>VLOOKUP(A93,import!A:J,9,0)</f>
        <v>13</v>
      </c>
      <c r="J93" s="369">
        <f>VLOOKUP(A93,import!A:J,10,0)</f>
        <v>0.77</v>
      </c>
      <c r="K93" s="257" t="s">
        <v>4032</v>
      </c>
      <c r="L93" s="257">
        <v>5.32737764E9</v>
      </c>
      <c r="M93" s="257" t="s">
        <v>14</v>
      </c>
      <c r="N93" s="257" t="s">
        <v>3797</v>
      </c>
      <c r="O93" s="257" t="s">
        <v>355</v>
      </c>
      <c r="P93" s="370" t="str">
        <f>VLOOKUP(A93,import!A:P,16,0)</f>
        <v>Geleneksel</v>
      </c>
      <c r="Q93" s="370"/>
      <c r="R93" s="370" t="b">
        <v>1</v>
      </c>
      <c r="S93" s="370" t="b">
        <v>0</v>
      </c>
      <c r="T93" s="301" t="s">
        <v>3679</v>
      </c>
      <c r="U93" s="301" t="s">
        <v>79</v>
      </c>
      <c r="V93" s="301" t="s">
        <v>78</v>
      </c>
      <c r="W93" s="301" t="s">
        <v>4033</v>
      </c>
      <c r="X93" s="371">
        <v>44306.0</v>
      </c>
      <c r="Y93" s="371">
        <v>44307.0</v>
      </c>
      <c r="Z93" s="377"/>
      <c r="AA93" s="375"/>
      <c r="AB93" s="375"/>
      <c r="AC93" s="375"/>
      <c r="AD93" s="375"/>
      <c r="AE93" s="92"/>
      <c r="AF93" s="375"/>
      <c r="AG93" s="92"/>
      <c r="AH93" s="375"/>
      <c r="AI93" s="375"/>
      <c r="AJ93" s="375"/>
      <c r="AK93" s="375"/>
      <c r="AL93" s="375"/>
      <c r="AM93" s="375"/>
      <c r="AN93" s="375"/>
      <c r="AO93" s="375"/>
      <c r="AP93" s="376" t="s">
        <v>3683</v>
      </c>
      <c r="AQ93" s="375"/>
    </row>
    <row r="94">
      <c r="A94" s="257" t="s">
        <v>4034</v>
      </c>
      <c r="B94" s="257" t="s">
        <v>4035</v>
      </c>
      <c r="C94" s="257" t="str">
        <f>VLOOKUP(A94,import!A:J,3,0)</f>
        <v>DOĞRU</v>
      </c>
      <c r="D94" s="257" t="s">
        <v>3713</v>
      </c>
      <c r="E94" s="257">
        <f>VLOOKUP(A94,import!A:J,5,0)</f>
        <v>450</v>
      </c>
      <c r="F94" s="257">
        <f>VLOOKUP(A94,import!A:J,6,0)</f>
        <v>197</v>
      </c>
      <c r="G94" s="257">
        <f>VLOOKUP(A94,import!A:J,7,0)</f>
        <v>0</v>
      </c>
      <c r="H94" s="257">
        <f>VLOOKUP(A94,import!A:J,8,0)</f>
        <v>16</v>
      </c>
      <c r="I94" s="257">
        <f>VLOOKUP(A94,import!A:J,9,0)</f>
        <v>16</v>
      </c>
      <c r="J94" s="369">
        <f>VLOOKUP(A94,import!A:J,10,0)</f>
        <v>0</v>
      </c>
      <c r="K94" s="257" t="s">
        <v>4036</v>
      </c>
      <c r="L94" s="257">
        <v>3.223270403E9</v>
      </c>
      <c r="M94" s="257" t="s">
        <v>3707</v>
      </c>
      <c r="N94" s="257" t="s">
        <v>3708</v>
      </c>
      <c r="O94" s="257" t="s">
        <v>4037</v>
      </c>
      <c r="P94" s="370" t="str">
        <f>VLOOKUP(A94,import!A:P,16,0)</f>
        <v>Geleneksel</v>
      </c>
      <c r="Q94" s="370"/>
      <c r="R94" s="370" t="b">
        <v>0</v>
      </c>
      <c r="S94" s="370" t="b">
        <v>0</v>
      </c>
      <c r="T94" s="301"/>
      <c r="U94" s="301"/>
      <c r="V94" s="301"/>
      <c r="W94" s="301"/>
      <c r="X94" s="371"/>
      <c r="Y94" s="371"/>
      <c r="Z94" s="372"/>
      <c r="AA94" s="373"/>
      <c r="AB94" s="374"/>
      <c r="AC94" s="373"/>
      <c r="AD94" s="374"/>
      <c r="AE94" s="373"/>
      <c r="AF94" s="374"/>
      <c r="AG94" s="373"/>
      <c r="AH94" s="374"/>
      <c r="AI94" s="373"/>
      <c r="AJ94" s="374"/>
      <c r="AK94" s="373"/>
      <c r="AL94" s="373"/>
      <c r="AM94" s="373"/>
      <c r="AN94" s="373"/>
      <c r="AO94" s="373"/>
      <c r="AP94" s="376"/>
      <c r="AQ94" s="373"/>
    </row>
    <row r="95">
      <c r="A95" s="257" t="s">
        <v>4038</v>
      </c>
      <c r="B95" s="257" t="s">
        <v>1779</v>
      </c>
      <c r="C95" s="257" t="str">
        <f>VLOOKUP(A95,import!A:J,3,0)</f>
        <v>DOĞRU</v>
      </c>
      <c r="D95" s="257" t="s">
        <v>4039</v>
      </c>
      <c r="E95" s="257">
        <f>VLOOKUP(A95,import!A:J,5,0)</f>
        <v>2042</v>
      </c>
      <c r="F95" s="257">
        <f>VLOOKUP(A95,import!A:J,6,0)</f>
        <v>74</v>
      </c>
      <c r="G95" s="257">
        <f>VLOOKUP(A95,import!A:J,7,0)</f>
        <v>8</v>
      </c>
      <c r="H95" s="257">
        <f>VLOOKUP(A95,import!A:J,8,0)</f>
        <v>2</v>
      </c>
      <c r="I95" s="257">
        <f>VLOOKUP(A95,import!A:J,9,0)</f>
        <v>10</v>
      </c>
      <c r="J95" s="369">
        <f>VLOOKUP(A95,import!A:J,10,0)</f>
        <v>0.8</v>
      </c>
      <c r="K95" s="257" t="s">
        <v>4040</v>
      </c>
      <c r="L95" s="257">
        <v>5.309024909E9</v>
      </c>
      <c r="M95" s="257" t="s">
        <v>286</v>
      </c>
      <c r="N95" s="257" t="s">
        <v>3688</v>
      </c>
      <c r="O95" s="257" t="s">
        <v>1781</v>
      </c>
      <c r="P95" s="370" t="str">
        <f>VLOOKUP(A95,import!A:P,16,0)</f>
        <v>Geleneksel</v>
      </c>
      <c r="Q95" s="370"/>
      <c r="R95" s="370" t="b">
        <v>1</v>
      </c>
      <c r="S95" s="370" t="b">
        <v>0</v>
      </c>
      <c r="T95" s="389" t="s">
        <v>3679</v>
      </c>
      <c r="U95" s="389" t="s">
        <v>1953</v>
      </c>
      <c r="V95" s="389" t="s">
        <v>78</v>
      </c>
      <c r="W95" s="392" t="s">
        <v>4041</v>
      </c>
      <c r="X95" s="390">
        <v>44413.0</v>
      </c>
      <c r="Y95" s="390">
        <v>44418.0</v>
      </c>
      <c r="Z95" s="391"/>
      <c r="AA95" s="373" t="s">
        <v>3681</v>
      </c>
      <c r="AB95" s="374">
        <v>44384.0</v>
      </c>
      <c r="AC95" s="373" t="s">
        <v>3695</v>
      </c>
      <c r="AD95" s="374">
        <v>44407.0</v>
      </c>
      <c r="AE95" s="373" t="s">
        <v>3448</v>
      </c>
      <c r="AF95" s="374">
        <v>44433.0</v>
      </c>
      <c r="AG95" s="92"/>
      <c r="AH95" s="375"/>
      <c r="AI95" s="375"/>
      <c r="AJ95" s="375"/>
      <c r="AK95" s="373" t="s">
        <v>3752</v>
      </c>
      <c r="AL95" s="373" t="s">
        <v>79</v>
      </c>
      <c r="AM95" s="373" t="s">
        <v>3723</v>
      </c>
      <c r="AN95" s="375"/>
      <c r="AO95" s="375"/>
      <c r="AP95" s="376" t="s">
        <v>3686</v>
      </c>
      <c r="AQ95" s="375"/>
    </row>
    <row r="96">
      <c r="A96" s="257" t="s">
        <v>4042</v>
      </c>
      <c r="B96" s="257" t="s">
        <v>4043</v>
      </c>
      <c r="C96" s="257" t="str">
        <f>VLOOKUP(A96,import!A:J,3,0)</f>
        <v>DOĞRU</v>
      </c>
      <c r="D96" s="257" t="s">
        <v>3690</v>
      </c>
      <c r="E96" s="257">
        <f>VLOOKUP(A96,import!A:J,5,0)</f>
        <v>376</v>
      </c>
      <c r="F96" s="257">
        <f>VLOOKUP(A96,import!A:J,6,0)</f>
        <v>11</v>
      </c>
      <c r="G96" s="257">
        <f>VLOOKUP(A96,import!A:J,7,0)</f>
        <v>0</v>
      </c>
      <c r="H96" s="257">
        <f>VLOOKUP(A96,import!A:J,8,0)</f>
        <v>21</v>
      </c>
      <c r="I96" s="257">
        <f>VLOOKUP(A96,import!A:J,9,0)</f>
        <v>21</v>
      </c>
      <c r="J96" s="369">
        <f>VLOOKUP(A96,import!A:J,10,0)</f>
        <v>0</v>
      </c>
      <c r="K96" s="257" t="s">
        <v>4044</v>
      </c>
      <c r="L96" s="257">
        <v>5.357739631E9</v>
      </c>
      <c r="M96" s="257" t="s">
        <v>286</v>
      </c>
      <c r="N96" s="257" t="s">
        <v>3961</v>
      </c>
      <c r="O96" s="257" t="s">
        <v>4045</v>
      </c>
      <c r="P96" s="370" t="str">
        <f>VLOOKUP(A96,import!A:P,16,0)</f>
        <v>Geleneksel</v>
      </c>
      <c r="Q96" s="370"/>
      <c r="R96" s="370" t="b">
        <v>1</v>
      </c>
      <c r="S96" s="370" t="b">
        <v>0</v>
      </c>
      <c r="T96" s="389" t="s">
        <v>3770</v>
      </c>
      <c r="U96" s="389"/>
      <c r="V96" s="389"/>
      <c r="W96" s="389" t="s">
        <v>4046</v>
      </c>
      <c r="X96" s="390"/>
      <c r="Y96" s="390"/>
      <c r="Z96" s="393"/>
      <c r="AA96" s="373" t="s">
        <v>3696</v>
      </c>
      <c r="AB96" s="374">
        <v>44379.0</v>
      </c>
      <c r="AC96" s="373" t="s">
        <v>3448</v>
      </c>
      <c r="AD96" s="374">
        <v>44390.0</v>
      </c>
      <c r="AE96" s="373" t="s">
        <v>3448</v>
      </c>
      <c r="AF96" s="374">
        <v>44406.0</v>
      </c>
      <c r="AG96" s="373" t="s">
        <v>3682</v>
      </c>
      <c r="AH96" s="374">
        <v>44412.0</v>
      </c>
      <c r="AI96" s="373" t="s">
        <v>3682</v>
      </c>
      <c r="AJ96" s="374">
        <v>44481.0</v>
      </c>
      <c r="AK96" s="373" t="s">
        <v>1014</v>
      </c>
      <c r="AL96" s="373" t="s">
        <v>3719</v>
      </c>
      <c r="AM96" s="373" t="s">
        <v>79</v>
      </c>
      <c r="AN96" s="373" t="s">
        <v>1953</v>
      </c>
      <c r="AO96" s="373" t="s">
        <v>2542</v>
      </c>
      <c r="AP96" s="376" t="s">
        <v>3686</v>
      </c>
      <c r="AQ96" s="373"/>
    </row>
    <row r="97">
      <c r="A97" s="257" t="s">
        <v>1032</v>
      </c>
      <c r="B97" s="257" t="s">
        <v>1033</v>
      </c>
      <c r="C97" s="257" t="str">
        <f>VLOOKUP(A97,import!A:J,3,0)</f>
        <v>DOĞRU</v>
      </c>
      <c r="D97" s="257" t="s">
        <v>3749</v>
      </c>
      <c r="E97" s="257">
        <f>VLOOKUP(A97,import!A:J,5,0)</f>
        <v>4060</v>
      </c>
      <c r="F97" s="257">
        <f>VLOOKUP(A97,import!A:J,6,0)</f>
        <v>143</v>
      </c>
      <c r="G97" s="257">
        <f>VLOOKUP(A97,import!A:J,7,0)</f>
        <v>37</v>
      </c>
      <c r="H97" s="257">
        <f>VLOOKUP(A97,import!A:J,8,0)</f>
        <v>3</v>
      </c>
      <c r="I97" s="257">
        <f>VLOOKUP(A97,import!A:J,9,0)</f>
        <v>40</v>
      </c>
      <c r="J97" s="369">
        <f>VLOOKUP(A97,import!A:J,10,0)</f>
        <v>0.93</v>
      </c>
      <c r="K97" s="257" t="s">
        <v>4047</v>
      </c>
      <c r="L97" s="257">
        <v>3.222480025E9</v>
      </c>
      <c r="M97" s="257" t="s">
        <v>14</v>
      </c>
      <c r="N97" s="257" t="s">
        <v>3826</v>
      </c>
      <c r="O97" s="257" t="s">
        <v>1035</v>
      </c>
      <c r="P97" s="370" t="str">
        <f>VLOOKUP(A97,import!A:P,16,0)</f>
        <v>Geleneksel</v>
      </c>
      <c r="Q97" s="370"/>
      <c r="R97" s="370" t="b">
        <v>1</v>
      </c>
      <c r="S97" s="370" t="b">
        <v>0</v>
      </c>
      <c r="T97" s="301" t="s">
        <v>3679</v>
      </c>
      <c r="U97" s="301" t="s">
        <v>2706</v>
      </c>
      <c r="V97" s="301" t="s">
        <v>78</v>
      </c>
      <c r="W97" s="301" t="s">
        <v>2936</v>
      </c>
      <c r="X97" s="371">
        <v>44495.0</v>
      </c>
      <c r="Y97" s="371">
        <v>44496.0</v>
      </c>
      <c r="Z97" s="377"/>
      <c r="AA97" s="373" t="s">
        <v>3682</v>
      </c>
      <c r="AB97" s="374">
        <v>44357.0</v>
      </c>
      <c r="AC97" s="373" t="s">
        <v>3682</v>
      </c>
      <c r="AD97" s="374">
        <v>44495.0</v>
      </c>
      <c r="AE97" s="92"/>
      <c r="AF97" s="375"/>
      <c r="AG97" s="92"/>
      <c r="AH97" s="375"/>
      <c r="AI97" s="375"/>
      <c r="AJ97" s="375"/>
      <c r="AK97" s="373" t="s">
        <v>3789</v>
      </c>
      <c r="AL97" s="373" t="s">
        <v>2706</v>
      </c>
      <c r="AM97" s="375"/>
      <c r="AN97" s="375"/>
      <c r="AO97" s="375"/>
      <c r="AP97" s="376" t="s">
        <v>3683</v>
      </c>
      <c r="AQ97" s="375"/>
    </row>
    <row r="98">
      <c r="A98" s="376" t="s">
        <v>4048</v>
      </c>
      <c r="B98" s="376" t="s">
        <v>4049</v>
      </c>
      <c r="C98" s="257" t="str">
        <f>VLOOKUP(A98,import!A:J,3,0)</f>
        <v>DOĞRU</v>
      </c>
      <c r="D98" s="376" t="s">
        <v>3713</v>
      </c>
      <c r="E98" s="257" t="str">
        <f>VLOOKUP(A98,import!A:J,5,0)</f>
        <v/>
      </c>
      <c r="F98" s="257" t="str">
        <f>VLOOKUP(A98,import!A:J,6,0)</f>
        <v/>
      </c>
      <c r="G98" s="257">
        <f>VLOOKUP(A98,import!A:J,7,0)</f>
        <v>0</v>
      </c>
      <c r="H98" s="257">
        <f>VLOOKUP(A98,import!A:J,8,0)</f>
        <v>17</v>
      </c>
      <c r="I98" s="257">
        <f>VLOOKUP(A98,import!A:J,9,0)</f>
        <v>17</v>
      </c>
      <c r="J98" s="369">
        <f>VLOOKUP(A98,import!A:J,10,0)</f>
        <v>0</v>
      </c>
      <c r="K98" s="376" t="s">
        <v>4050</v>
      </c>
      <c r="L98" s="376">
        <v>5.314642805E9</v>
      </c>
      <c r="M98" s="376" t="s">
        <v>14</v>
      </c>
      <c r="N98" s="376" t="s">
        <v>3718</v>
      </c>
      <c r="O98" s="376" t="s">
        <v>4051</v>
      </c>
      <c r="P98" s="370" t="str">
        <f>VLOOKUP(A98,import!A:P,16,0)</f>
        <v>Geleneksel</v>
      </c>
      <c r="Q98" s="370"/>
      <c r="R98" s="370" t="b">
        <v>0</v>
      </c>
      <c r="S98" s="370" t="b">
        <v>0</v>
      </c>
      <c r="T98" s="301"/>
      <c r="U98" s="301"/>
      <c r="V98" s="301"/>
      <c r="W98" s="301"/>
      <c r="X98" s="371"/>
      <c r="Y98" s="371"/>
      <c r="Z98" s="372"/>
      <c r="AA98" s="373"/>
      <c r="AB98" s="374"/>
      <c r="AC98" s="373"/>
      <c r="AD98" s="374"/>
      <c r="AE98" s="373"/>
      <c r="AF98" s="374"/>
      <c r="AG98" s="373"/>
      <c r="AH98" s="374"/>
      <c r="AI98" s="373"/>
      <c r="AJ98" s="374"/>
      <c r="AK98" s="373"/>
      <c r="AL98" s="373"/>
      <c r="AM98" s="373"/>
      <c r="AN98" s="373"/>
      <c r="AO98" s="373"/>
      <c r="AP98" s="376"/>
      <c r="AQ98" s="373"/>
    </row>
    <row r="99">
      <c r="A99" s="257" t="s">
        <v>2056</v>
      </c>
      <c r="B99" s="257" t="s">
        <v>2057</v>
      </c>
      <c r="C99" s="257" t="str">
        <f>VLOOKUP(A99,import!A:J,3,0)</f>
        <v>DOĞRU</v>
      </c>
      <c r="D99" s="257" t="s">
        <v>3759</v>
      </c>
      <c r="E99" s="257">
        <f>VLOOKUP(A99,import!A:J,5,0)</f>
        <v>350</v>
      </c>
      <c r="F99" s="257">
        <f>VLOOKUP(A99,import!A:J,6,0)</f>
        <v>13</v>
      </c>
      <c r="G99" s="257">
        <f>VLOOKUP(A99,import!A:J,7,0)</f>
        <v>2</v>
      </c>
      <c r="H99" s="257">
        <f>VLOOKUP(A99,import!A:J,8,0)</f>
        <v>1</v>
      </c>
      <c r="I99" s="257">
        <f>VLOOKUP(A99,import!A:J,9,0)</f>
        <v>3</v>
      </c>
      <c r="J99" s="369">
        <f>VLOOKUP(A99,import!A:J,10,0)</f>
        <v>0.67</v>
      </c>
      <c r="K99" s="257" t="s">
        <v>4052</v>
      </c>
      <c r="L99" s="257">
        <v>5.52808363E9</v>
      </c>
      <c r="M99" s="257" t="s">
        <v>3692</v>
      </c>
      <c r="N99" s="257" t="s">
        <v>3721</v>
      </c>
      <c r="O99" s="257" t="s">
        <v>2059</v>
      </c>
      <c r="P99" s="370" t="str">
        <f>VLOOKUP(A99,import!A:P,16,0)</f>
        <v>Geleneksel</v>
      </c>
      <c r="Q99" s="370"/>
      <c r="R99" s="370" t="b">
        <v>1</v>
      </c>
      <c r="S99" s="370" t="b">
        <v>0</v>
      </c>
      <c r="T99" s="301" t="s">
        <v>3679</v>
      </c>
      <c r="U99" s="301" t="s">
        <v>79</v>
      </c>
      <c r="V99" s="301" t="s">
        <v>78</v>
      </c>
      <c r="W99" s="301">
        <v>5.332839783E9</v>
      </c>
      <c r="X99" s="371">
        <v>44446.0</v>
      </c>
      <c r="Y99" s="371">
        <v>44447.0</v>
      </c>
      <c r="Z99" s="372"/>
      <c r="AA99" s="373" t="s">
        <v>3682</v>
      </c>
      <c r="AB99" s="374">
        <v>44428.0</v>
      </c>
      <c r="AC99" s="373"/>
      <c r="AD99" s="374"/>
      <c r="AE99" s="373"/>
      <c r="AF99" s="374"/>
      <c r="AG99" s="92"/>
      <c r="AH99" s="375"/>
      <c r="AI99" s="375"/>
      <c r="AJ99" s="375"/>
      <c r="AK99" s="373" t="s">
        <v>1953</v>
      </c>
      <c r="AL99" s="375"/>
      <c r="AM99" s="375"/>
      <c r="AN99" s="375"/>
      <c r="AO99" s="375"/>
      <c r="AP99" s="376" t="s">
        <v>3686</v>
      </c>
      <c r="AQ99" s="375"/>
    </row>
    <row r="100">
      <c r="A100" s="266" t="s">
        <v>624</v>
      </c>
      <c r="B100" s="266" t="s">
        <v>625</v>
      </c>
      <c r="C100" s="257" t="str">
        <f>VLOOKUP(A100,import!A:J,3,0)</f>
        <v>DOĞRU</v>
      </c>
      <c r="D100" s="266" t="s">
        <v>3676</v>
      </c>
      <c r="E100" s="257">
        <f>VLOOKUP(A100,import!A:J,5,0)</f>
        <v>1229</v>
      </c>
      <c r="F100" s="257">
        <f>VLOOKUP(A100,import!A:J,6,0)</f>
        <v>70</v>
      </c>
      <c r="G100" s="257">
        <f>VLOOKUP(A100,import!A:J,7,0)</f>
        <v>2</v>
      </c>
      <c r="H100" s="257">
        <f>VLOOKUP(A100,import!A:J,8,0)</f>
        <v>13</v>
      </c>
      <c r="I100" s="257">
        <f>VLOOKUP(A100,import!A:J,9,0)</f>
        <v>15</v>
      </c>
      <c r="J100" s="369">
        <f>VLOOKUP(A100,import!A:J,10,0)</f>
        <v>0.13</v>
      </c>
      <c r="K100" s="266" t="s">
        <v>4053</v>
      </c>
      <c r="L100" s="266">
        <v>3.222279292E9</v>
      </c>
      <c r="M100" s="266" t="s">
        <v>286</v>
      </c>
      <c r="N100" s="266" t="s">
        <v>3782</v>
      </c>
      <c r="O100" s="266" t="s">
        <v>627</v>
      </c>
      <c r="P100" s="370" t="str">
        <f>VLOOKUP(A100,import!A:P,16,0)</f>
        <v>Geleneksel</v>
      </c>
      <c r="Q100" s="370"/>
      <c r="R100" s="370" t="b">
        <v>1</v>
      </c>
      <c r="S100" s="370" t="b">
        <v>0</v>
      </c>
      <c r="T100" s="301" t="s">
        <v>3679</v>
      </c>
      <c r="U100" s="301" t="s">
        <v>79</v>
      </c>
      <c r="V100" s="301" t="s">
        <v>4054</v>
      </c>
      <c r="W100" s="301" t="s">
        <v>4055</v>
      </c>
      <c r="X100" s="371">
        <v>44335.0</v>
      </c>
      <c r="Y100" s="371">
        <v>44340.0</v>
      </c>
      <c r="Z100" s="377"/>
      <c r="AA100" s="373" t="s">
        <v>3448</v>
      </c>
      <c r="AB100" s="374">
        <v>44441.0</v>
      </c>
      <c r="AC100" s="373" t="s">
        <v>3682</v>
      </c>
      <c r="AD100" s="374">
        <v>44450.0</v>
      </c>
      <c r="AE100" s="373" t="s">
        <v>3682</v>
      </c>
      <c r="AF100" s="374">
        <v>44450.0</v>
      </c>
      <c r="AG100" s="92"/>
      <c r="AH100" s="375"/>
      <c r="AI100" s="375"/>
      <c r="AJ100" s="375"/>
      <c r="AK100" s="373" t="s">
        <v>2542</v>
      </c>
      <c r="AL100" s="373" t="s">
        <v>2418</v>
      </c>
      <c r="AM100" s="373" t="s">
        <v>2418</v>
      </c>
      <c r="AN100" s="375"/>
      <c r="AO100" s="375"/>
      <c r="AP100" s="376" t="s">
        <v>3686</v>
      </c>
      <c r="AQ100" s="375"/>
    </row>
    <row r="101">
      <c r="A101" s="257" t="s">
        <v>1335</v>
      </c>
      <c r="B101" s="257" t="s">
        <v>1336</v>
      </c>
      <c r="C101" s="257" t="str">
        <f>VLOOKUP(A101,import!A:J,3,0)</f>
        <v>DOĞRU</v>
      </c>
      <c r="D101" s="257" t="s">
        <v>3676</v>
      </c>
      <c r="E101" s="257">
        <f>VLOOKUP(A101,import!A:J,5,0)</f>
        <v>879</v>
      </c>
      <c r="F101" s="257">
        <f>VLOOKUP(A101,import!A:J,6,0)</f>
        <v>44</v>
      </c>
      <c r="G101" s="257">
        <f>VLOOKUP(A101,import!A:J,7,0)</f>
        <v>0</v>
      </c>
      <c r="H101" s="257">
        <f>VLOOKUP(A101,import!A:J,8,0)</f>
        <v>26</v>
      </c>
      <c r="I101" s="257">
        <f>VLOOKUP(A101,import!A:J,9,0)</f>
        <v>26</v>
      </c>
      <c r="J101" s="369">
        <f>VLOOKUP(A101,import!A:J,10,0)</f>
        <v>0</v>
      </c>
      <c r="K101" s="257" t="s">
        <v>4056</v>
      </c>
      <c r="L101" s="257">
        <v>3.224452554E9</v>
      </c>
      <c r="M101" s="257" t="s">
        <v>286</v>
      </c>
      <c r="N101" s="257" t="s">
        <v>4057</v>
      </c>
      <c r="O101" s="257" t="s">
        <v>2197</v>
      </c>
      <c r="P101" s="370" t="str">
        <f>VLOOKUP(A101,import!A:P,16,0)</f>
        <v>Geleneksel</v>
      </c>
      <c r="Q101" s="370"/>
      <c r="R101" s="370" t="b">
        <v>1</v>
      </c>
      <c r="S101" s="370" t="b">
        <v>0</v>
      </c>
      <c r="T101" s="301" t="s">
        <v>3787</v>
      </c>
      <c r="U101" s="301" t="s">
        <v>2542</v>
      </c>
      <c r="V101" s="301" t="s">
        <v>78</v>
      </c>
      <c r="W101" s="301" t="s">
        <v>4058</v>
      </c>
      <c r="X101" s="371">
        <v>44481.0</v>
      </c>
      <c r="Y101" s="371">
        <v>44482.0</v>
      </c>
      <c r="Z101" s="372"/>
      <c r="AA101" s="373" t="s">
        <v>3682</v>
      </c>
      <c r="AB101" s="374">
        <v>44384.0</v>
      </c>
      <c r="AC101" s="373" t="s">
        <v>3682</v>
      </c>
      <c r="AD101" s="374">
        <v>44450.0</v>
      </c>
      <c r="AE101" s="373" t="s">
        <v>3448</v>
      </c>
      <c r="AF101" s="374">
        <v>44474.0</v>
      </c>
      <c r="AG101" s="373" t="s">
        <v>3682</v>
      </c>
      <c r="AH101" s="374">
        <v>44481.0</v>
      </c>
      <c r="AI101" s="375"/>
      <c r="AJ101" s="375"/>
      <c r="AK101" s="373" t="s">
        <v>3752</v>
      </c>
      <c r="AL101" s="373" t="s">
        <v>2418</v>
      </c>
      <c r="AM101" s="373" t="s">
        <v>2542</v>
      </c>
      <c r="AN101" s="373" t="s">
        <v>2542</v>
      </c>
      <c r="AO101" s="375"/>
      <c r="AP101" s="376" t="s">
        <v>3686</v>
      </c>
      <c r="AQ101" s="375"/>
    </row>
    <row r="102">
      <c r="A102" s="266" t="s">
        <v>1340</v>
      </c>
      <c r="B102" s="266" t="s">
        <v>1341</v>
      </c>
      <c r="C102" s="257" t="str">
        <f>VLOOKUP(A102,import!A:J,3,0)</f>
        <v>DOĞRU</v>
      </c>
      <c r="D102" s="266" t="s">
        <v>3994</v>
      </c>
      <c r="E102" s="257">
        <f>VLOOKUP(A102,import!A:J,5,0)</f>
        <v>2695</v>
      </c>
      <c r="F102" s="257">
        <f>VLOOKUP(A102,import!A:J,6,0)</f>
        <v>84</v>
      </c>
      <c r="G102" s="257">
        <f>VLOOKUP(A102,import!A:J,7,0)</f>
        <v>8</v>
      </c>
      <c r="H102" s="257">
        <f>VLOOKUP(A102,import!A:J,8,0)</f>
        <v>1</v>
      </c>
      <c r="I102" s="257">
        <f>VLOOKUP(A102,import!A:J,9,0)</f>
        <v>9</v>
      </c>
      <c r="J102" s="369">
        <f>VLOOKUP(A102,import!A:J,10,0)</f>
        <v>0.89</v>
      </c>
      <c r="K102" s="266" t="s">
        <v>4053</v>
      </c>
      <c r="L102" s="266">
        <v>3.222279292E9</v>
      </c>
      <c r="M102" s="266" t="s">
        <v>286</v>
      </c>
      <c r="N102" s="266" t="s">
        <v>3782</v>
      </c>
      <c r="O102" s="266" t="s">
        <v>4059</v>
      </c>
      <c r="P102" s="370" t="str">
        <f>VLOOKUP(A102,import!A:P,16,0)</f>
        <v>Geleneksel</v>
      </c>
      <c r="Q102" s="370"/>
      <c r="R102" s="370" t="b">
        <v>1</v>
      </c>
      <c r="S102" s="370" t="b">
        <v>0</v>
      </c>
      <c r="T102" s="301" t="s">
        <v>3679</v>
      </c>
      <c r="U102" s="301" t="s">
        <v>3752</v>
      </c>
      <c r="V102" s="301" t="s">
        <v>78</v>
      </c>
      <c r="W102" s="301" t="s">
        <v>4060</v>
      </c>
      <c r="X102" s="371">
        <v>44384.0</v>
      </c>
      <c r="Y102" s="371">
        <v>44356.0</v>
      </c>
      <c r="Z102" s="372"/>
      <c r="AA102" s="373" t="s">
        <v>3448</v>
      </c>
      <c r="AB102" s="374">
        <v>44379.0</v>
      </c>
      <c r="AC102" s="373" t="s">
        <v>3682</v>
      </c>
      <c r="AD102" s="374">
        <v>44384.0</v>
      </c>
      <c r="AE102" s="92"/>
      <c r="AF102" s="375"/>
      <c r="AG102" s="92"/>
      <c r="AH102" s="375"/>
      <c r="AI102" s="375"/>
      <c r="AJ102" s="375"/>
      <c r="AK102" s="373" t="s">
        <v>1014</v>
      </c>
      <c r="AL102" s="373" t="s">
        <v>3752</v>
      </c>
      <c r="AM102" s="375"/>
      <c r="AN102" s="375"/>
      <c r="AO102" s="375"/>
      <c r="AP102" s="376" t="s">
        <v>3686</v>
      </c>
      <c r="AQ102" s="375"/>
    </row>
    <row r="103">
      <c r="A103" s="257" t="s">
        <v>2193</v>
      </c>
      <c r="B103" s="257" t="s">
        <v>2194</v>
      </c>
      <c r="C103" s="257" t="str">
        <f>VLOOKUP(A103,import!A:J,3,0)</f>
        <v>DOĞRU</v>
      </c>
      <c r="D103" s="257" t="s">
        <v>3994</v>
      </c>
      <c r="E103" s="257">
        <f>VLOOKUP(A103,import!A:J,5,0)</f>
        <v>511</v>
      </c>
      <c r="F103" s="257">
        <f>VLOOKUP(A103,import!A:J,6,0)</f>
        <v>61</v>
      </c>
      <c r="G103" s="257">
        <f>VLOOKUP(A103,import!A:J,7,0)</f>
        <v>4</v>
      </c>
      <c r="H103" s="257">
        <f>VLOOKUP(A103,import!A:J,8,0)</f>
        <v>4</v>
      </c>
      <c r="I103" s="257">
        <f>VLOOKUP(A103,import!A:J,9,0)</f>
        <v>8</v>
      </c>
      <c r="J103" s="369">
        <f>VLOOKUP(A103,import!A:J,10,0)</f>
        <v>0.5</v>
      </c>
      <c r="K103" s="257" t="s">
        <v>4056</v>
      </c>
      <c r="L103" s="257">
        <v>3.224452554E9</v>
      </c>
      <c r="M103" s="257" t="s">
        <v>286</v>
      </c>
      <c r="N103" s="257" t="s">
        <v>4057</v>
      </c>
      <c r="O103" s="257" t="s">
        <v>2197</v>
      </c>
      <c r="P103" s="370" t="str">
        <f>VLOOKUP(A103,import!A:P,16,0)</f>
        <v>Geleneksel</v>
      </c>
      <c r="Q103" s="370"/>
      <c r="R103" s="370" t="b">
        <v>1</v>
      </c>
      <c r="S103" s="370" t="b">
        <v>0</v>
      </c>
      <c r="T103" s="301" t="s">
        <v>3679</v>
      </c>
      <c r="U103" s="301" t="s">
        <v>2192</v>
      </c>
      <c r="V103" s="301" t="s">
        <v>78</v>
      </c>
      <c r="W103" s="301"/>
      <c r="X103" s="371">
        <v>44440.0</v>
      </c>
      <c r="Y103" s="371">
        <v>44441.0</v>
      </c>
      <c r="Z103" s="372"/>
      <c r="AA103" s="373" t="s">
        <v>3682</v>
      </c>
      <c r="AB103" s="374">
        <v>44450.0</v>
      </c>
      <c r="AC103" s="373"/>
      <c r="AD103" s="374"/>
      <c r="AE103" s="373"/>
      <c r="AF103" s="374"/>
      <c r="AG103" s="92"/>
      <c r="AH103" s="375"/>
      <c r="AI103" s="375"/>
      <c r="AJ103" s="375"/>
      <c r="AK103" s="373" t="s">
        <v>2418</v>
      </c>
      <c r="AL103" s="375"/>
      <c r="AM103" s="375"/>
      <c r="AN103" s="375"/>
      <c r="AO103" s="375"/>
      <c r="AP103" s="376" t="s">
        <v>3686</v>
      </c>
      <c r="AQ103" s="375"/>
    </row>
    <row r="104">
      <c r="A104" s="257" t="s">
        <v>1848</v>
      </c>
      <c r="B104" s="257" t="s">
        <v>1849</v>
      </c>
      <c r="C104" s="257" t="str">
        <f>VLOOKUP(A104,import!A:J,3,0)</f>
        <v>DOĞRU</v>
      </c>
      <c r="D104" s="257" t="s">
        <v>3676</v>
      </c>
      <c r="E104" s="257">
        <f>VLOOKUP(A104,import!A:J,5,0)</f>
        <v>757</v>
      </c>
      <c r="F104" s="257">
        <f>VLOOKUP(A104,import!A:J,6,0)</f>
        <v>16</v>
      </c>
      <c r="G104" s="257">
        <f>VLOOKUP(A104,import!A:J,7,0)</f>
        <v>5</v>
      </c>
      <c r="H104" s="257">
        <f>VLOOKUP(A104,import!A:J,8,0)</f>
        <v>7</v>
      </c>
      <c r="I104" s="257">
        <f>VLOOKUP(A104,import!A:J,9,0)</f>
        <v>12</v>
      </c>
      <c r="J104" s="369">
        <f>VLOOKUP(A104,import!A:J,10,0)</f>
        <v>0.42</v>
      </c>
      <c r="K104" s="257" t="s">
        <v>4061</v>
      </c>
      <c r="L104" s="257">
        <v>3.222612186E9</v>
      </c>
      <c r="M104" s="257" t="s">
        <v>286</v>
      </c>
      <c r="N104" s="257" t="s">
        <v>3769</v>
      </c>
      <c r="O104" s="257" t="s">
        <v>1852</v>
      </c>
      <c r="P104" s="370" t="str">
        <f>VLOOKUP(A104,import!A:P,16,0)</f>
        <v>Geleneksel</v>
      </c>
      <c r="Q104" s="370"/>
      <c r="R104" s="370" t="b">
        <v>1</v>
      </c>
      <c r="S104" s="370" t="b">
        <v>0</v>
      </c>
      <c r="T104" s="301" t="s">
        <v>3679</v>
      </c>
      <c r="U104" s="301" t="s">
        <v>3723</v>
      </c>
      <c r="V104" s="301" t="s">
        <v>78</v>
      </c>
      <c r="W104" s="301" t="s">
        <v>4062</v>
      </c>
      <c r="X104" s="371">
        <v>44414.0</v>
      </c>
      <c r="Y104" s="371">
        <v>44420.0</v>
      </c>
      <c r="Z104" s="372"/>
      <c r="AA104" s="373" t="s">
        <v>3695</v>
      </c>
      <c r="AB104" s="374">
        <v>44377.0</v>
      </c>
      <c r="AC104" s="373" t="s">
        <v>3681</v>
      </c>
      <c r="AD104" s="374">
        <v>44379.0</v>
      </c>
      <c r="AE104" s="373" t="s">
        <v>3681</v>
      </c>
      <c r="AF104" s="374">
        <v>44406.0</v>
      </c>
      <c r="AG104" s="373" t="s">
        <v>3448</v>
      </c>
      <c r="AH104" s="374">
        <v>44407.0</v>
      </c>
      <c r="AI104" s="373" t="s">
        <v>3682</v>
      </c>
      <c r="AJ104" s="374">
        <v>44420.0</v>
      </c>
      <c r="AK104" s="373" t="s">
        <v>399</v>
      </c>
      <c r="AL104" s="373" t="s">
        <v>1014</v>
      </c>
      <c r="AM104" s="373" t="s">
        <v>79</v>
      </c>
      <c r="AN104" s="373" t="s">
        <v>79</v>
      </c>
      <c r="AO104" s="373" t="s">
        <v>3723</v>
      </c>
      <c r="AP104" s="376" t="s">
        <v>3686</v>
      </c>
      <c r="AQ104" s="373"/>
    </row>
    <row r="105">
      <c r="A105" s="257" t="s">
        <v>722</v>
      </c>
      <c r="B105" s="257" t="s">
        <v>723</v>
      </c>
      <c r="C105" s="257" t="str">
        <f>VLOOKUP(A105,import!A:J,3,0)</f>
        <v>DOĞRU</v>
      </c>
      <c r="D105" s="257" t="s">
        <v>3690</v>
      </c>
      <c r="E105" s="257">
        <f>VLOOKUP(A105,import!A:J,5,0)</f>
        <v>3108</v>
      </c>
      <c r="F105" s="257">
        <f>VLOOKUP(A105,import!A:J,6,0)</f>
        <v>31</v>
      </c>
      <c r="G105" s="257">
        <f>VLOOKUP(A105,import!A:J,7,0)</f>
        <v>6</v>
      </c>
      <c r="H105" s="257">
        <f>VLOOKUP(A105,import!A:J,8,0)</f>
        <v>4</v>
      </c>
      <c r="I105" s="257">
        <f>VLOOKUP(A105,import!A:J,9,0)</f>
        <v>10</v>
      </c>
      <c r="J105" s="369">
        <f>VLOOKUP(A105,import!A:J,10,0)</f>
        <v>0.6</v>
      </c>
      <c r="K105" s="257" t="s">
        <v>4063</v>
      </c>
      <c r="L105" s="257">
        <v>3.222260666E9</v>
      </c>
      <c r="M105" s="257" t="s">
        <v>286</v>
      </c>
      <c r="N105" s="257" t="s">
        <v>3754</v>
      </c>
      <c r="O105" s="257" t="s">
        <v>726</v>
      </c>
      <c r="P105" s="370" t="str">
        <f>VLOOKUP(A105,import!A:P,16,0)</f>
        <v>Geleneksel</v>
      </c>
      <c r="Q105" s="370"/>
      <c r="R105" s="370" t="b">
        <v>1</v>
      </c>
      <c r="S105" s="370" t="b">
        <v>0</v>
      </c>
      <c r="T105" s="301" t="s">
        <v>3679</v>
      </c>
      <c r="U105" s="301" t="s">
        <v>79</v>
      </c>
      <c r="V105" s="301" t="s">
        <v>4054</v>
      </c>
      <c r="W105" s="301">
        <v>5.324084541E9</v>
      </c>
      <c r="X105" s="371">
        <v>44341.0</v>
      </c>
      <c r="Y105" s="371">
        <v>44343.0</v>
      </c>
      <c r="Z105" s="377"/>
      <c r="AA105" s="375"/>
      <c r="AB105" s="375"/>
      <c r="AC105" s="375"/>
      <c r="AD105" s="375"/>
      <c r="AE105" s="92"/>
      <c r="AF105" s="375"/>
      <c r="AG105" s="92"/>
      <c r="AH105" s="375"/>
      <c r="AI105" s="375"/>
      <c r="AJ105" s="375"/>
      <c r="AK105" s="375"/>
      <c r="AL105" s="375"/>
      <c r="AM105" s="375"/>
      <c r="AN105" s="375"/>
      <c r="AO105" s="375"/>
      <c r="AP105" s="376" t="s">
        <v>3686</v>
      </c>
      <c r="AQ105" s="375"/>
    </row>
    <row r="106">
      <c r="A106" s="257" t="s">
        <v>591</v>
      </c>
      <c r="B106" s="257" t="s">
        <v>592</v>
      </c>
      <c r="C106" s="257" t="str">
        <f>VLOOKUP(A106,import!A:J,3,0)</f>
        <v>DOĞRU</v>
      </c>
      <c r="D106" s="257" t="s">
        <v>3749</v>
      </c>
      <c r="E106" s="257">
        <f>VLOOKUP(A106,import!A:J,5,0)</f>
        <v>3459</v>
      </c>
      <c r="F106" s="257">
        <f>VLOOKUP(A106,import!A:J,6,0)</f>
        <v>153</v>
      </c>
      <c r="G106" s="257">
        <f>VLOOKUP(A106,import!A:J,7,0)</f>
        <v>0</v>
      </c>
      <c r="H106" s="257">
        <f>VLOOKUP(A106,import!A:J,8,0)</f>
        <v>32</v>
      </c>
      <c r="I106" s="257">
        <f>VLOOKUP(A106,import!A:J,9,0)</f>
        <v>32</v>
      </c>
      <c r="J106" s="369">
        <f>VLOOKUP(A106,import!A:J,10,0)</f>
        <v>0</v>
      </c>
      <c r="K106" s="257" t="s">
        <v>4064</v>
      </c>
      <c r="L106" s="257">
        <v>3.222264654E9</v>
      </c>
      <c r="M106" s="257" t="s">
        <v>286</v>
      </c>
      <c r="N106" s="257" t="s">
        <v>3961</v>
      </c>
      <c r="O106" s="257" t="s">
        <v>594</v>
      </c>
      <c r="P106" s="370" t="str">
        <f>VLOOKUP(A106,import!A:P,16,0)</f>
        <v>Geleneksel</v>
      </c>
      <c r="Q106" s="370"/>
      <c r="R106" s="370" t="b">
        <v>1</v>
      </c>
      <c r="S106" s="370" t="b">
        <v>0</v>
      </c>
      <c r="T106" s="301" t="s">
        <v>4065</v>
      </c>
      <c r="U106" s="301"/>
      <c r="V106" s="301"/>
      <c r="W106" s="301" t="s">
        <v>4066</v>
      </c>
      <c r="X106" s="371"/>
      <c r="Y106" s="371"/>
      <c r="Z106" s="377"/>
      <c r="AA106" s="373" t="s">
        <v>3682</v>
      </c>
      <c r="AB106" s="374">
        <v>44384.0</v>
      </c>
      <c r="AC106" s="373" t="s">
        <v>3682</v>
      </c>
      <c r="AD106" s="374">
        <v>44414.0</v>
      </c>
      <c r="AE106" s="373" t="s">
        <v>3682</v>
      </c>
      <c r="AF106" s="374">
        <v>44434.0</v>
      </c>
      <c r="AG106" s="373" t="s">
        <v>3696</v>
      </c>
      <c r="AH106" s="374">
        <v>44404.0</v>
      </c>
      <c r="AI106" s="375"/>
      <c r="AJ106" s="375"/>
      <c r="AK106" s="373" t="s">
        <v>3752</v>
      </c>
      <c r="AL106" s="373" t="s">
        <v>3729</v>
      </c>
      <c r="AM106" s="373" t="s">
        <v>3723</v>
      </c>
      <c r="AN106" s="373" t="s">
        <v>3723</v>
      </c>
      <c r="AO106" s="375"/>
      <c r="AP106" s="376" t="s">
        <v>3686</v>
      </c>
      <c r="AQ106" s="375"/>
    </row>
    <row r="107">
      <c r="A107" s="257" t="s">
        <v>2329</v>
      </c>
      <c r="B107" s="257" t="s">
        <v>2330</v>
      </c>
      <c r="C107" s="257" t="str">
        <f>VLOOKUP(A107,import!A:J,3,0)</f>
        <v>DOĞRU</v>
      </c>
      <c r="D107" s="257" t="s">
        <v>3713</v>
      </c>
      <c r="E107" s="257">
        <f>VLOOKUP(A107,import!A:J,5,0)</f>
        <v>4713</v>
      </c>
      <c r="F107" s="257">
        <f>VLOOKUP(A107,import!A:J,6,0)</f>
        <v>198</v>
      </c>
      <c r="G107" s="257">
        <f>VLOOKUP(A107,import!A:J,7,0)</f>
        <v>14</v>
      </c>
      <c r="H107" s="257">
        <f>VLOOKUP(A107,import!A:J,8,0)</f>
        <v>17</v>
      </c>
      <c r="I107" s="257">
        <f>VLOOKUP(A107,import!A:J,9,0)</f>
        <v>31</v>
      </c>
      <c r="J107" s="369">
        <f>VLOOKUP(A107,import!A:J,10,0)</f>
        <v>0.45</v>
      </c>
      <c r="K107" s="257" t="s">
        <v>4067</v>
      </c>
      <c r="L107" s="257">
        <v>5.32782292E9</v>
      </c>
      <c r="M107" s="257" t="s">
        <v>3692</v>
      </c>
      <c r="N107" s="257" t="s">
        <v>3721</v>
      </c>
      <c r="O107" s="257" t="s">
        <v>2332</v>
      </c>
      <c r="P107" s="370" t="str">
        <f>VLOOKUP(A107,import!A:P,16,0)</f>
        <v>Geleneksel</v>
      </c>
      <c r="Q107" s="370"/>
      <c r="R107" s="370" t="b">
        <v>1</v>
      </c>
      <c r="S107" s="370" t="b">
        <v>0</v>
      </c>
      <c r="T107" s="301" t="s">
        <v>3679</v>
      </c>
      <c r="U107" s="301" t="s">
        <v>79</v>
      </c>
      <c r="V107" s="301" t="s">
        <v>78</v>
      </c>
      <c r="W107" s="301" t="s">
        <v>4068</v>
      </c>
      <c r="X107" s="371">
        <v>44446.0</v>
      </c>
      <c r="Y107" s="371">
        <v>44447.0</v>
      </c>
      <c r="Z107" s="372"/>
      <c r="AA107" s="373" t="s">
        <v>3682</v>
      </c>
      <c r="AB107" s="374">
        <v>44405.0</v>
      </c>
      <c r="AC107" s="373" t="s">
        <v>3682</v>
      </c>
      <c r="AD107" s="374">
        <v>44414.0</v>
      </c>
      <c r="AE107" s="373" t="s">
        <v>3682</v>
      </c>
      <c r="AF107" s="374">
        <v>44418.0</v>
      </c>
      <c r="AG107" s="373" t="s">
        <v>3682</v>
      </c>
      <c r="AH107" s="374">
        <v>44475.0</v>
      </c>
      <c r="AI107" s="375"/>
      <c r="AJ107" s="375"/>
      <c r="AK107" s="373" t="s">
        <v>3752</v>
      </c>
      <c r="AL107" s="373" t="s">
        <v>3729</v>
      </c>
      <c r="AM107" s="373" t="s">
        <v>1953</v>
      </c>
      <c r="AN107" s="373" t="s">
        <v>2192</v>
      </c>
      <c r="AO107" s="375"/>
      <c r="AP107" s="376" t="s">
        <v>3686</v>
      </c>
      <c r="AQ107" s="375"/>
    </row>
    <row r="108">
      <c r="A108" s="257" t="s">
        <v>4069</v>
      </c>
      <c r="B108" s="257" t="s">
        <v>4070</v>
      </c>
      <c r="C108" s="257" t="str">
        <f>VLOOKUP(A108,import!A:J,3,0)</f>
        <v>DOĞRU</v>
      </c>
      <c r="D108" s="257" t="s">
        <v>3994</v>
      </c>
      <c r="E108" s="257">
        <f>VLOOKUP(A108,import!A:J,5,0)</f>
        <v>700</v>
      </c>
      <c r="F108" s="257">
        <f>VLOOKUP(A108,import!A:J,6,0)</f>
        <v>46</v>
      </c>
      <c r="G108" s="257">
        <f>VLOOKUP(A108,import!A:J,7,0)</f>
        <v>0</v>
      </c>
      <c r="H108" s="257">
        <f>VLOOKUP(A108,import!A:J,8,0)</f>
        <v>15</v>
      </c>
      <c r="I108" s="257">
        <f>VLOOKUP(A108,import!A:J,9,0)</f>
        <v>15</v>
      </c>
      <c r="J108" s="369">
        <f>VLOOKUP(A108,import!A:J,10,0)</f>
        <v>0</v>
      </c>
      <c r="K108" s="257" t="s">
        <v>4071</v>
      </c>
      <c r="L108" s="257">
        <v>3.22515677E9</v>
      </c>
      <c r="M108" s="257" t="s">
        <v>3814</v>
      </c>
      <c r="N108" s="257" t="s">
        <v>4072</v>
      </c>
      <c r="O108" s="257" t="s">
        <v>4073</v>
      </c>
      <c r="P108" s="370" t="str">
        <f>VLOOKUP(A108,import!A:P,16,0)</f>
        <v>Geleneksel</v>
      </c>
      <c r="Q108" s="370"/>
      <c r="R108" s="370" t="b">
        <v>0</v>
      </c>
      <c r="S108" s="370" t="b">
        <v>0</v>
      </c>
      <c r="T108" s="301" t="s">
        <v>3862</v>
      </c>
      <c r="U108" s="379"/>
      <c r="V108" s="379"/>
      <c r="W108" s="301"/>
      <c r="X108" s="381"/>
      <c r="Y108" s="381"/>
      <c r="Z108" s="372"/>
      <c r="AA108" s="373"/>
      <c r="AB108" s="374"/>
      <c r="AC108" s="373"/>
      <c r="AD108" s="374"/>
      <c r="AE108" s="373"/>
      <c r="AF108" s="374"/>
      <c r="AG108" s="373"/>
      <c r="AH108" s="374"/>
      <c r="AI108" s="375"/>
      <c r="AJ108" s="375"/>
      <c r="AK108" s="373"/>
      <c r="AL108" s="375"/>
      <c r="AM108" s="375"/>
      <c r="AN108" s="373"/>
      <c r="AO108" s="375"/>
      <c r="AP108" s="376" t="s">
        <v>3686</v>
      </c>
      <c r="AQ108" s="375"/>
    </row>
    <row r="109">
      <c r="A109" s="257" t="s">
        <v>2583</v>
      </c>
      <c r="B109" s="257" t="s">
        <v>2584</v>
      </c>
      <c r="C109" s="257" t="str">
        <f>VLOOKUP(A109,import!A:J,3,0)</f>
        <v>DOĞRU</v>
      </c>
      <c r="D109" s="257" t="s">
        <v>3713</v>
      </c>
      <c r="E109" s="257">
        <f>VLOOKUP(A109,import!A:J,5,0)</f>
        <v>2109</v>
      </c>
      <c r="F109" s="257">
        <f>VLOOKUP(A109,import!A:J,6,0)</f>
        <v>80</v>
      </c>
      <c r="G109" s="257">
        <f>VLOOKUP(A109,import!A:J,7,0)</f>
        <v>11</v>
      </c>
      <c r="H109" s="257">
        <f>VLOOKUP(A109,import!A:J,8,0)</f>
        <v>36</v>
      </c>
      <c r="I109" s="257">
        <f>VLOOKUP(A109,import!A:J,9,0)</f>
        <v>47</v>
      </c>
      <c r="J109" s="369">
        <f>VLOOKUP(A109,import!A:J,10,0)</f>
        <v>0.23</v>
      </c>
      <c r="K109" s="257" t="s">
        <v>4074</v>
      </c>
      <c r="L109" s="257">
        <v>5.337730238E9</v>
      </c>
      <c r="M109" s="257" t="s">
        <v>286</v>
      </c>
      <c r="N109" s="257" t="s">
        <v>4075</v>
      </c>
      <c r="O109" s="257" t="s">
        <v>2587</v>
      </c>
      <c r="P109" s="370" t="str">
        <f>VLOOKUP(A109,import!A:P,16,0)</f>
        <v>Geleneksel</v>
      </c>
      <c r="Q109" s="370"/>
      <c r="R109" s="370" t="b">
        <v>1</v>
      </c>
      <c r="S109" s="370" t="b">
        <v>0</v>
      </c>
      <c r="T109" s="301" t="s">
        <v>3679</v>
      </c>
      <c r="U109" s="301" t="s">
        <v>2542</v>
      </c>
      <c r="V109" s="301" t="s">
        <v>78</v>
      </c>
      <c r="W109" s="301" t="s">
        <v>4076</v>
      </c>
      <c r="X109" s="371">
        <v>44459.0</v>
      </c>
      <c r="Y109" s="371">
        <v>44462.0</v>
      </c>
      <c r="Z109" s="301" t="s">
        <v>3808</v>
      </c>
      <c r="AA109" s="373" t="s">
        <v>3682</v>
      </c>
      <c r="AB109" s="374">
        <v>44379.0</v>
      </c>
      <c r="AC109" s="373" t="s">
        <v>3682</v>
      </c>
      <c r="AD109" s="374">
        <v>44414.0</v>
      </c>
      <c r="AE109" s="373" t="s">
        <v>3682</v>
      </c>
      <c r="AF109" s="374">
        <v>44418.0</v>
      </c>
      <c r="AG109" s="373" t="s">
        <v>3682</v>
      </c>
      <c r="AH109" s="374">
        <v>44459.0</v>
      </c>
      <c r="AI109" s="375"/>
      <c r="AJ109" s="375"/>
      <c r="AK109" s="373" t="s">
        <v>79</v>
      </c>
      <c r="AL109" s="373" t="s">
        <v>3729</v>
      </c>
      <c r="AM109" s="373" t="s">
        <v>1953</v>
      </c>
      <c r="AN109" s="373" t="s">
        <v>2542</v>
      </c>
      <c r="AO109" s="375"/>
      <c r="AP109" s="376" t="s">
        <v>3686</v>
      </c>
      <c r="AQ109" s="375"/>
    </row>
    <row r="110">
      <c r="A110" s="257" t="s">
        <v>3492</v>
      </c>
      <c r="B110" s="257" t="s">
        <v>3493</v>
      </c>
      <c r="C110" s="257" t="str">
        <f>VLOOKUP(A110,import!A:J,3,0)</f>
        <v>DOĞRU</v>
      </c>
      <c r="D110" s="257" t="s">
        <v>3713</v>
      </c>
      <c r="E110" s="257">
        <f>VLOOKUP(A110,import!A:J,5,0)</f>
        <v>236</v>
      </c>
      <c r="F110" s="257">
        <f>VLOOKUP(A110,import!A:J,6,0)</f>
        <v>92</v>
      </c>
      <c r="G110" s="257">
        <f>VLOOKUP(A110,import!A:J,7,0)</f>
        <v>7</v>
      </c>
      <c r="H110" s="257">
        <f>VLOOKUP(A110,import!A:J,8,0)</f>
        <v>5</v>
      </c>
      <c r="I110" s="257">
        <f>VLOOKUP(A110,import!A:J,9,0)</f>
        <v>12</v>
      </c>
      <c r="J110" s="369">
        <f>VLOOKUP(A110,import!A:J,10,0)</f>
        <v>0.58</v>
      </c>
      <c r="K110" s="257" t="s">
        <v>4077</v>
      </c>
      <c r="L110" s="257">
        <v>5.434539356E9</v>
      </c>
      <c r="M110" s="257" t="s">
        <v>14</v>
      </c>
      <c r="N110" s="257" t="s">
        <v>3767</v>
      </c>
      <c r="O110" s="257" t="s">
        <v>3496</v>
      </c>
      <c r="P110" s="370" t="str">
        <f>VLOOKUP(A110,import!A:P,16,0)</f>
        <v>Geleneksel</v>
      </c>
      <c r="Q110" s="370"/>
      <c r="R110" s="370" t="b">
        <v>1</v>
      </c>
      <c r="S110" s="370" t="b">
        <v>0</v>
      </c>
      <c r="T110" s="301" t="s">
        <v>3679</v>
      </c>
      <c r="U110" s="301" t="s">
        <v>2542</v>
      </c>
      <c r="V110" s="394" t="s">
        <v>3331</v>
      </c>
      <c r="W110" s="301"/>
      <c r="X110" s="371">
        <v>44630.0</v>
      </c>
      <c r="Y110" s="371">
        <v>44631.0</v>
      </c>
      <c r="Z110" s="372"/>
      <c r="AA110" s="373" t="s">
        <v>3682</v>
      </c>
      <c r="AB110" s="371">
        <v>44630.0</v>
      </c>
      <c r="AC110" s="373"/>
      <c r="AD110" s="374"/>
      <c r="AE110" s="373"/>
      <c r="AF110" s="374"/>
      <c r="AG110" s="373"/>
      <c r="AH110" s="374"/>
      <c r="AI110" s="373"/>
      <c r="AJ110" s="374"/>
      <c r="AK110" s="373" t="s">
        <v>2542</v>
      </c>
      <c r="AL110" s="373"/>
      <c r="AM110" s="373"/>
      <c r="AN110" s="373"/>
      <c r="AO110" s="373"/>
      <c r="AP110" s="376"/>
      <c r="AQ110" s="373"/>
    </row>
    <row r="111">
      <c r="A111" s="257" t="s">
        <v>3408</v>
      </c>
      <c r="B111" s="257" t="s">
        <v>3409</v>
      </c>
      <c r="C111" s="257" t="str">
        <f>VLOOKUP(A111,import!A:J,3,0)</f>
        <v>DOĞRU</v>
      </c>
      <c r="D111" s="257" t="s">
        <v>3713</v>
      </c>
      <c r="E111" s="257" t="str">
        <f>VLOOKUP(A111,import!A:J,5,0)</f>
        <v/>
      </c>
      <c r="F111" s="257" t="str">
        <f>VLOOKUP(A111,import!A:J,6,0)</f>
        <v/>
      </c>
      <c r="G111" s="257">
        <f>VLOOKUP(A111,import!A:J,7,0)</f>
        <v>0</v>
      </c>
      <c r="H111" s="257">
        <f>VLOOKUP(A111,import!A:J,8,0)</f>
        <v>33</v>
      </c>
      <c r="I111" s="257">
        <f>VLOOKUP(A111,import!A:J,9,0)</f>
        <v>33</v>
      </c>
      <c r="J111" s="369">
        <f>VLOOKUP(A111,import!A:J,10,0)</f>
        <v>0</v>
      </c>
      <c r="K111" s="257" t="s">
        <v>4078</v>
      </c>
      <c r="L111" s="257">
        <v>5.331647115E9</v>
      </c>
      <c r="M111" s="257" t="s">
        <v>286</v>
      </c>
      <c r="N111" s="257" t="s">
        <v>3754</v>
      </c>
      <c r="O111" s="257" t="s">
        <v>3411</v>
      </c>
      <c r="P111" s="370" t="str">
        <f>VLOOKUP(A111,import!A:P,16,0)</f>
        <v>Geleneksel</v>
      </c>
      <c r="Q111" s="370"/>
      <c r="R111" s="370" t="b">
        <v>1</v>
      </c>
      <c r="S111" s="370" t="b">
        <v>0</v>
      </c>
      <c r="T111" s="301" t="s">
        <v>3710</v>
      </c>
      <c r="U111" s="301" t="s">
        <v>2576</v>
      </c>
      <c r="V111" s="301" t="s">
        <v>3331</v>
      </c>
      <c r="W111" s="36" t="s">
        <v>4079</v>
      </c>
      <c r="X111" s="371">
        <v>44621.0</v>
      </c>
      <c r="Y111" s="371">
        <v>44622.0</v>
      </c>
      <c r="Z111" s="372"/>
      <c r="AA111" s="373" t="s">
        <v>3682</v>
      </c>
      <c r="AB111" s="374">
        <v>44621.0</v>
      </c>
      <c r="AC111" s="373"/>
      <c r="AD111" s="374"/>
      <c r="AE111" s="373"/>
      <c r="AF111" s="374"/>
      <c r="AG111" s="373"/>
      <c r="AH111" s="374"/>
      <c r="AI111" s="373"/>
      <c r="AJ111" s="374"/>
      <c r="AK111" s="373" t="s">
        <v>2576</v>
      </c>
      <c r="AL111" s="373"/>
      <c r="AM111" s="373"/>
      <c r="AN111" s="373"/>
      <c r="AO111" s="373"/>
      <c r="AP111" s="376"/>
      <c r="AQ111" s="373"/>
    </row>
    <row r="112">
      <c r="A112" s="257" t="s">
        <v>4080</v>
      </c>
      <c r="B112" s="257" t="s">
        <v>4081</v>
      </c>
      <c r="C112" s="257" t="str">
        <f>VLOOKUP(A112,import!A:J,3,0)</f>
        <v>DOĞRU</v>
      </c>
      <c r="D112" s="257" t="s">
        <v>3713</v>
      </c>
      <c r="E112" s="257">
        <f>VLOOKUP(A112,import!A:J,5,0)</f>
        <v>10</v>
      </c>
      <c r="F112" s="257">
        <f>VLOOKUP(A112,import!A:J,6,0)</f>
        <v>2</v>
      </c>
      <c r="G112" s="257">
        <f>VLOOKUP(A112,import!A:J,7,0)</f>
        <v>0</v>
      </c>
      <c r="H112" s="257">
        <f>VLOOKUP(A112,import!A:J,8,0)</f>
        <v>11</v>
      </c>
      <c r="I112" s="257">
        <f>VLOOKUP(A112,import!A:J,9,0)</f>
        <v>11</v>
      </c>
      <c r="J112" s="369">
        <f>VLOOKUP(A112,import!A:J,10,0)</f>
        <v>0</v>
      </c>
      <c r="K112" s="257" t="s">
        <v>4082</v>
      </c>
      <c r="L112" s="257">
        <v>5.516782663E9</v>
      </c>
      <c r="M112" s="257" t="s">
        <v>3707</v>
      </c>
      <c r="N112" s="257" t="s">
        <v>4083</v>
      </c>
      <c r="O112" s="257" t="s">
        <v>4084</v>
      </c>
      <c r="P112" s="370" t="str">
        <f>VLOOKUP(A112,import!A:P,16,0)</f>
        <v>Geleneksel</v>
      </c>
      <c r="Q112" s="370"/>
      <c r="R112" s="370" t="b">
        <v>0</v>
      </c>
      <c r="S112" s="370" t="b">
        <v>0</v>
      </c>
      <c r="T112" s="301"/>
      <c r="U112" s="301"/>
      <c r="V112" s="301"/>
      <c r="W112" s="301"/>
      <c r="X112" s="371"/>
      <c r="Y112" s="371"/>
      <c r="Z112" s="372"/>
      <c r="AA112" s="373"/>
      <c r="AB112" s="374"/>
      <c r="AC112" s="373"/>
      <c r="AD112" s="374"/>
      <c r="AE112" s="373"/>
      <c r="AF112" s="374"/>
      <c r="AG112" s="373"/>
      <c r="AH112" s="374"/>
      <c r="AI112" s="373"/>
      <c r="AJ112" s="374"/>
      <c r="AK112" s="373"/>
      <c r="AL112" s="373"/>
      <c r="AM112" s="373"/>
      <c r="AN112" s="373"/>
      <c r="AO112" s="373"/>
      <c r="AP112" s="376"/>
      <c r="AQ112" s="373"/>
    </row>
    <row r="113">
      <c r="A113" s="257" t="s">
        <v>337</v>
      </c>
      <c r="B113" s="257" t="s">
        <v>338</v>
      </c>
      <c r="C113" s="257" t="str">
        <f>VLOOKUP(A113,import!A:J,3,0)</f>
        <v>DOĞRU</v>
      </c>
      <c r="D113" s="257" t="s">
        <v>3713</v>
      </c>
      <c r="E113" s="257">
        <f>VLOOKUP(A113,import!A:J,5,0)</f>
        <v>2552</v>
      </c>
      <c r="F113" s="257">
        <f>VLOOKUP(A113,import!A:J,6,0)</f>
        <v>42</v>
      </c>
      <c r="G113" s="257">
        <f>VLOOKUP(A113,import!A:J,7,0)</f>
        <v>8</v>
      </c>
      <c r="H113" s="257">
        <f>VLOOKUP(A113,import!A:J,8,0)</f>
        <v>26</v>
      </c>
      <c r="I113" s="257">
        <f>VLOOKUP(A113,import!A:J,9,0)</f>
        <v>34</v>
      </c>
      <c r="J113" s="369">
        <f>VLOOKUP(A113,import!A:J,10,0)</f>
        <v>0.24</v>
      </c>
      <c r="K113" s="257" t="s">
        <v>4085</v>
      </c>
      <c r="L113" s="257">
        <v>5.075052939E9</v>
      </c>
      <c r="M113" s="257" t="s">
        <v>286</v>
      </c>
      <c r="N113" s="257" t="s">
        <v>4086</v>
      </c>
      <c r="O113" s="257" t="s">
        <v>341</v>
      </c>
      <c r="P113" s="370" t="str">
        <f>VLOOKUP(A113,import!A:P,16,0)</f>
        <v>Geleneksel</v>
      </c>
      <c r="Q113" s="370"/>
      <c r="R113" s="370" t="b">
        <v>1</v>
      </c>
      <c r="S113" s="370" t="b">
        <v>0</v>
      </c>
      <c r="T113" s="389" t="s">
        <v>3679</v>
      </c>
      <c r="U113" s="389" t="s">
        <v>1947</v>
      </c>
      <c r="V113" s="389" t="s">
        <v>78</v>
      </c>
      <c r="W113" s="389" t="s">
        <v>4087</v>
      </c>
      <c r="X113" s="390">
        <v>44421.0</v>
      </c>
      <c r="Y113" s="390">
        <v>44426.0</v>
      </c>
      <c r="Z113" s="391"/>
      <c r="AA113" s="373" t="s">
        <v>3681</v>
      </c>
      <c r="AB113" s="374">
        <v>44390.0</v>
      </c>
      <c r="AC113" s="373" t="s">
        <v>3448</v>
      </c>
      <c r="AD113" s="374">
        <v>44392.0</v>
      </c>
      <c r="AE113" s="373" t="s">
        <v>3682</v>
      </c>
      <c r="AF113" s="374">
        <v>44421.0</v>
      </c>
      <c r="AG113" s="92"/>
      <c r="AH113" s="375"/>
      <c r="AI113" s="375"/>
      <c r="AJ113" s="375"/>
      <c r="AK113" s="373" t="s">
        <v>4088</v>
      </c>
      <c r="AL113" s="373" t="s">
        <v>4089</v>
      </c>
      <c r="AM113" s="373" t="s">
        <v>1947</v>
      </c>
      <c r="AN113" s="375"/>
      <c r="AO113" s="375"/>
      <c r="AP113" s="376" t="s">
        <v>3686</v>
      </c>
      <c r="AQ113" s="375"/>
    </row>
    <row r="114">
      <c r="A114" s="376" t="s">
        <v>4090</v>
      </c>
      <c r="B114" s="376" t="s">
        <v>4091</v>
      </c>
      <c r="C114" s="257" t="str">
        <f>VLOOKUP(A114,import!A:J,3,0)</f>
        <v>DOĞRU</v>
      </c>
      <c r="D114" s="376" t="s">
        <v>4092</v>
      </c>
      <c r="E114" s="257" t="str">
        <f>VLOOKUP(A114,import!A:J,5,0)</f>
        <v/>
      </c>
      <c r="F114" s="257" t="str">
        <f>VLOOKUP(A114,import!A:J,6,0)</f>
        <v/>
      </c>
      <c r="G114" s="257">
        <f>VLOOKUP(A114,import!A:J,7,0)</f>
        <v>0</v>
      </c>
      <c r="H114" s="257">
        <f>VLOOKUP(A114,import!A:J,8,0)</f>
        <v>9</v>
      </c>
      <c r="I114" s="257">
        <f>VLOOKUP(A114,import!A:J,9,0)</f>
        <v>9</v>
      </c>
      <c r="J114" s="369">
        <f>VLOOKUP(A114,import!A:J,10,0)</f>
        <v>0</v>
      </c>
      <c r="K114" s="376" t="s">
        <v>4093</v>
      </c>
      <c r="L114" s="376">
        <v>5.393151444E9</v>
      </c>
      <c r="M114" s="376" t="s">
        <v>286</v>
      </c>
      <c r="N114" s="376" t="s">
        <v>3855</v>
      </c>
      <c r="O114" s="376" t="s">
        <v>4094</v>
      </c>
      <c r="P114" s="370" t="str">
        <f>VLOOKUP(A114,import!A:P,16,0)</f>
        <v>Geleneksel</v>
      </c>
      <c r="Q114" s="370"/>
      <c r="R114" s="370" t="b">
        <v>0</v>
      </c>
      <c r="S114" s="370" t="b">
        <v>0</v>
      </c>
      <c r="T114" s="301"/>
      <c r="U114" s="301"/>
      <c r="V114" s="301"/>
      <c r="W114" s="301"/>
      <c r="X114" s="371"/>
      <c r="Y114" s="371"/>
      <c r="Z114" s="372"/>
      <c r="AA114" s="373"/>
      <c r="AB114" s="374"/>
      <c r="AC114" s="373"/>
      <c r="AD114" s="374"/>
      <c r="AE114" s="373"/>
      <c r="AF114" s="374"/>
      <c r="AG114" s="373"/>
      <c r="AH114" s="374"/>
      <c r="AI114" s="373"/>
      <c r="AJ114" s="374"/>
      <c r="AK114" s="373"/>
      <c r="AL114" s="373"/>
      <c r="AM114" s="373"/>
      <c r="AN114" s="373"/>
      <c r="AO114" s="373"/>
      <c r="AP114" s="376"/>
      <c r="AQ114" s="373"/>
    </row>
    <row r="115">
      <c r="A115" s="257" t="s">
        <v>116</v>
      </c>
      <c r="B115" s="257" t="s">
        <v>117</v>
      </c>
      <c r="C115" s="257" t="str">
        <f>VLOOKUP(A115,import!A:J,3,0)</f>
        <v>YANLIŞ</v>
      </c>
      <c r="D115" s="257" t="s">
        <v>3994</v>
      </c>
      <c r="E115" s="257">
        <f>VLOOKUP(A115,import!A:J,5,0)</f>
        <v>6952</v>
      </c>
      <c r="F115" s="257" t="str">
        <f>VLOOKUP(A115,import!A:J,6,0)</f>
        <v/>
      </c>
      <c r="G115" s="257">
        <f>VLOOKUP(A115,import!A:J,7,0)</f>
        <v>6</v>
      </c>
      <c r="H115" s="257">
        <f>VLOOKUP(A115,import!A:J,8,0)</f>
        <v>49</v>
      </c>
      <c r="I115" s="257">
        <f>VLOOKUP(A115,import!A:J,9,0)</f>
        <v>55</v>
      </c>
      <c r="J115" s="369">
        <f>VLOOKUP(A115,import!A:J,10,0)</f>
        <v>0.11</v>
      </c>
      <c r="K115" s="257" t="s">
        <v>4095</v>
      </c>
      <c r="L115" s="257">
        <v>3.222252601E9</v>
      </c>
      <c r="M115" s="257" t="s">
        <v>14</v>
      </c>
      <c r="N115" s="257" t="s">
        <v>3914</v>
      </c>
      <c r="O115" s="257" t="s">
        <v>120</v>
      </c>
      <c r="P115" s="370" t="str">
        <f>VLOOKUP(A115,import!A:P,16,0)</f>
        <v>Geleneksel</v>
      </c>
      <c r="Q115" s="370"/>
      <c r="R115" s="370" t="b">
        <v>1</v>
      </c>
      <c r="S115" s="370" t="b">
        <v>0</v>
      </c>
      <c r="T115" s="301" t="s">
        <v>3679</v>
      </c>
      <c r="U115" s="301" t="s">
        <v>111</v>
      </c>
      <c r="V115" s="301" t="s">
        <v>78</v>
      </c>
      <c r="W115" s="301" t="s">
        <v>4096</v>
      </c>
      <c r="X115" s="371">
        <v>44292.0</v>
      </c>
      <c r="Y115" s="371">
        <v>44293.0</v>
      </c>
      <c r="Z115" s="377"/>
      <c r="AA115" s="373" t="s">
        <v>3695</v>
      </c>
      <c r="AB115" s="374">
        <v>44382.0</v>
      </c>
      <c r="AC115" s="373" t="s">
        <v>3448</v>
      </c>
      <c r="AD115" s="374">
        <v>44440.0</v>
      </c>
      <c r="AE115" s="373" t="s">
        <v>3448</v>
      </c>
      <c r="AF115" s="374">
        <v>44464.0</v>
      </c>
      <c r="AG115" s="92"/>
      <c r="AH115" s="375"/>
      <c r="AI115" s="375"/>
      <c r="AJ115" s="375"/>
      <c r="AK115" s="373" t="s">
        <v>399</v>
      </c>
      <c r="AL115" s="373" t="s">
        <v>2542</v>
      </c>
      <c r="AM115" s="373" t="s">
        <v>2576</v>
      </c>
      <c r="AN115" s="375"/>
      <c r="AO115" s="375"/>
      <c r="AP115" s="376" t="s">
        <v>3683</v>
      </c>
      <c r="AQ115" s="375"/>
    </row>
    <row r="116">
      <c r="A116" s="257" t="s">
        <v>4097</v>
      </c>
      <c r="B116" s="257" t="s">
        <v>4098</v>
      </c>
      <c r="C116" s="257" t="str">
        <f>VLOOKUP(A116,import!A:J,3,0)</f>
        <v>YANLIŞ</v>
      </c>
      <c r="D116" s="257" t="s">
        <v>3699</v>
      </c>
      <c r="E116" s="257">
        <f>VLOOKUP(A116,import!A:J,5,0)</f>
        <v>198</v>
      </c>
      <c r="F116" s="257" t="str">
        <f>VLOOKUP(A116,import!A:J,6,0)</f>
        <v/>
      </c>
      <c r="G116" s="257">
        <f>VLOOKUP(A116,import!A:J,7,0)</f>
        <v>0</v>
      </c>
      <c r="H116" s="257">
        <f>VLOOKUP(A116,import!A:J,8,0)</f>
        <v>76</v>
      </c>
      <c r="I116" s="257">
        <f>VLOOKUP(A116,import!A:J,9,0)</f>
        <v>76</v>
      </c>
      <c r="J116" s="369">
        <f>VLOOKUP(A116,import!A:J,10,0)</f>
        <v>0</v>
      </c>
      <c r="K116" s="257" t="s">
        <v>4099</v>
      </c>
      <c r="L116" s="257">
        <v>5.321701373E9</v>
      </c>
      <c r="M116" s="257" t="s">
        <v>14</v>
      </c>
      <c r="N116" s="257" t="s">
        <v>3797</v>
      </c>
      <c r="O116" s="257" t="s">
        <v>4100</v>
      </c>
      <c r="P116" s="370" t="str">
        <f>VLOOKUP(A116,import!A:P,16,0)</f>
        <v>Geleneksel</v>
      </c>
      <c r="Q116" s="370"/>
      <c r="R116" s="370" t="b">
        <v>1</v>
      </c>
      <c r="S116" s="370" t="b">
        <v>1</v>
      </c>
      <c r="T116" s="301"/>
      <c r="U116" s="301"/>
      <c r="V116" s="301"/>
      <c r="W116" s="301" t="s">
        <v>4101</v>
      </c>
      <c r="X116" s="371"/>
      <c r="Y116" s="371"/>
      <c r="Z116" s="377"/>
      <c r="AA116" s="373" t="s">
        <v>3682</v>
      </c>
      <c r="AB116" s="374">
        <v>44375.0</v>
      </c>
      <c r="AC116" s="373" t="s">
        <v>3682</v>
      </c>
      <c r="AD116" s="374">
        <v>44414.0</v>
      </c>
      <c r="AE116" s="373" t="s">
        <v>3448</v>
      </c>
      <c r="AF116" s="374">
        <v>44418.0</v>
      </c>
      <c r="AG116" s="373" t="s">
        <v>3682</v>
      </c>
      <c r="AH116" s="374">
        <v>44427.0</v>
      </c>
      <c r="AI116" s="373" t="s">
        <v>3448</v>
      </c>
      <c r="AJ116" s="374">
        <v>44519.0</v>
      </c>
      <c r="AK116" s="373" t="s">
        <v>399</v>
      </c>
      <c r="AL116" s="373" t="s">
        <v>3729</v>
      </c>
      <c r="AM116" s="373" t="s">
        <v>1953</v>
      </c>
      <c r="AN116" s="373" t="s">
        <v>1947</v>
      </c>
      <c r="AO116" s="373" t="s">
        <v>3073</v>
      </c>
      <c r="AP116" s="376" t="s">
        <v>3683</v>
      </c>
      <c r="AQ116" s="373"/>
    </row>
    <row r="117">
      <c r="A117" s="257" t="s">
        <v>4102</v>
      </c>
      <c r="B117" s="257" t="s">
        <v>4103</v>
      </c>
      <c r="C117" s="257" t="str">
        <f>VLOOKUP(A117,import!A:J,3,0)</f>
        <v>DOĞRU</v>
      </c>
      <c r="D117" s="257" t="s">
        <v>3699</v>
      </c>
      <c r="E117" s="257">
        <f>VLOOKUP(A117,import!A:J,5,0)</f>
        <v>32</v>
      </c>
      <c r="F117" s="257">
        <f>VLOOKUP(A117,import!A:J,6,0)</f>
        <v>26</v>
      </c>
      <c r="G117" s="257">
        <f>VLOOKUP(A117,import!A:J,7,0)</f>
        <v>1</v>
      </c>
      <c r="H117" s="257">
        <f>VLOOKUP(A117,import!A:J,8,0)</f>
        <v>18</v>
      </c>
      <c r="I117" s="257">
        <f>VLOOKUP(A117,import!A:J,9,0)</f>
        <v>19</v>
      </c>
      <c r="J117" s="369">
        <f>VLOOKUP(A117,import!A:J,10,0)</f>
        <v>0.05</v>
      </c>
      <c r="K117" s="257" t="s">
        <v>4104</v>
      </c>
      <c r="L117" s="257">
        <v>5.51634499E9</v>
      </c>
      <c r="M117" s="257" t="s">
        <v>3707</v>
      </c>
      <c r="N117" s="257" t="s">
        <v>3761</v>
      </c>
      <c r="O117" s="257" t="s">
        <v>4105</v>
      </c>
      <c r="P117" s="370" t="str">
        <f>VLOOKUP(A117,import!A:P,16,0)</f>
        <v>Geleneksel</v>
      </c>
      <c r="Q117" s="370"/>
      <c r="R117" s="370" t="b">
        <v>0</v>
      </c>
      <c r="S117" s="370" t="b">
        <v>0</v>
      </c>
      <c r="T117" s="301"/>
      <c r="U117" s="301"/>
      <c r="V117" s="301"/>
      <c r="W117" s="301"/>
      <c r="X117" s="371"/>
      <c r="Y117" s="371"/>
      <c r="Z117" s="372"/>
      <c r="AA117" s="373"/>
      <c r="AB117" s="374"/>
      <c r="AC117" s="373"/>
      <c r="AD117" s="374"/>
      <c r="AE117" s="373"/>
      <c r="AF117" s="374"/>
      <c r="AG117" s="373"/>
      <c r="AH117" s="374"/>
      <c r="AI117" s="373"/>
      <c r="AJ117" s="374"/>
      <c r="AK117" s="373"/>
      <c r="AL117" s="373"/>
      <c r="AM117" s="373"/>
      <c r="AN117" s="373"/>
      <c r="AO117" s="373"/>
      <c r="AP117" s="376"/>
      <c r="AQ117" s="373"/>
    </row>
    <row r="118">
      <c r="A118" s="257" t="s">
        <v>4106</v>
      </c>
      <c r="B118" s="257" t="s">
        <v>4107</v>
      </c>
      <c r="C118" s="257" t="str">
        <f>VLOOKUP(A118,import!A:J,3,0)</f>
        <v>YANLIŞ</v>
      </c>
      <c r="D118" s="257" t="s">
        <v>3713</v>
      </c>
      <c r="E118" s="257">
        <f>VLOOKUP(A118,import!A:J,5,0)</f>
        <v>153</v>
      </c>
      <c r="F118" s="257" t="str">
        <f>VLOOKUP(A118,import!A:J,6,0)</f>
        <v/>
      </c>
      <c r="G118" s="257">
        <f>VLOOKUP(A118,import!A:J,7,0)</f>
        <v>0</v>
      </c>
      <c r="H118" s="257">
        <f>VLOOKUP(A118,import!A:J,8,0)</f>
        <v>20</v>
      </c>
      <c r="I118" s="257">
        <f>VLOOKUP(A118,import!A:J,9,0)</f>
        <v>20</v>
      </c>
      <c r="J118" s="369">
        <f>VLOOKUP(A118,import!A:J,10,0)</f>
        <v>0</v>
      </c>
      <c r="K118" s="257" t="s">
        <v>4108</v>
      </c>
      <c r="L118" s="257">
        <v>5.457375539E9</v>
      </c>
      <c r="M118" s="257" t="s">
        <v>3814</v>
      </c>
      <c r="N118" s="257" t="s">
        <v>4109</v>
      </c>
      <c r="O118" s="257" t="s">
        <v>4110</v>
      </c>
      <c r="P118" s="370" t="str">
        <f>VLOOKUP(A118,import!A:P,16,0)</f>
        <v>Geleneksel</v>
      </c>
      <c r="Q118" s="370"/>
      <c r="R118" s="370" t="b">
        <v>0</v>
      </c>
      <c r="S118" s="370" t="b">
        <v>0</v>
      </c>
      <c r="T118" s="301"/>
      <c r="U118" s="379"/>
      <c r="V118" s="379"/>
      <c r="W118" s="301"/>
      <c r="X118" s="381"/>
      <c r="Y118" s="381"/>
      <c r="Z118" s="372"/>
      <c r="AA118" s="373"/>
      <c r="AB118" s="374"/>
      <c r="AC118" s="373"/>
      <c r="AD118" s="374"/>
      <c r="AE118" s="373"/>
      <c r="AF118" s="374"/>
      <c r="AG118" s="373"/>
      <c r="AH118" s="374"/>
      <c r="AI118" s="375"/>
      <c r="AJ118" s="375"/>
      <c r="AK118" s="373"/>
      <c r="AL118" s="375"/>
      <c r="AM118" s="375"/>
      <c r="AN118" s="373"/>
      <c r="AO118" s="375"/>
      <c r="AP118" s="376"/>
      <c r="AQ118" s="375"/>
    </row>
    <row r="119">
      <c r="A119" s="257" t="s">
        <v>2409</v>
      </c>
      <c r="B119" s="257" t="s">
        <v>2410</v>
      </c>
      <c r="C119" s="257" t="str">
        <f>VLOOKUP(A119,import!A:J,3,0)</f>
        <v>DOĞRU</v>
      </c>
      <c r="D119" s="257" t="s">
        <v>3822</v>
      </c>
      <c r="E119" s="257">
        <f>VLOOKUP(A119,import!A:J,5,0)</f>
        <v>649</v>
      </c>
      <c r="F119" s="257" t="str">
        <f>VLOOKUP(A119,import!A:J,6,0)</f>
        <v/>
      </c>
      <c r="G119" s="257">
        <f>VLOOKUP(A119,import!A:J,7,0)</f>
        <v>2</v>
      </c>
      <c r="H119" s="257">
        <f>VLOOKUP(A119,import!A:J,8,0)</f>
        <v>18</v>
      </c>
      <c r="I119" s="257">
        <f>VLOOKUP(A119,import!A:J,9,0)</f>
        <v>20</v>
      </c>
      <c r="J119" s="369">
        <f>VLOOKUP(A119,import!A:J,10,0)</f>
        <v>0.1</v>
      </c>
      <c r="K119" s="257" t="s">
        <v>4111</v>
      </c>
      <c r="L119" s="257">
        <v>3.22224224E9</v>
      </c>
      <c r="M119" s="257" t="s">
        <v>286</v>
      </c>
      <c r="N119" s="257" t="s">
        <v>3754</v>
      </c>
      <c r="O119" s="257" t="s">
        <v>2413</v>
      </c>
      <c r="P119" s="370" t="str">
        <f>VLOOKUP(A119,import!A:P,16,0)</f>
        <v>Geleneksel</v>
      </c>
      <c r="Q119" s="370"/>
      <c r="R119" s="370" t="b">
        <v>1</v>
      </c>
      <c r="S119" s="370" t="b">
        <v>0</v>
      </c>
      <c r="T119" s="301" t="s">
        <v>3679</v>
      </c>
      <c r="U119" s="301" t="s">
        <v>2418</v>
      </c>
      <c r="V119" s="301" t="s">
        <v>78</v>
      </c>
      <c r="W119" s="301" t="s">
        <v>4112</v>
      </c>
      <c r="X119" s="371">
        <v>44450.0</v>
      </c>
      <c r="Y119" s="371">
        <v>44452.0</v>
      </c>
      <c r="Z119" s="372"/>
      <c r="AA119" s="373" t="s">
        <v>3695</v>
      </c>
      <c r="AB119" s="374">
        <v>44358.0</v>
      </c>
      <c r="AC119" s="373" t="s">
        <v>3695</v>
      </c>
      <c r="AD119" s="374">
        <v>44379.0</v>
      </c>
      <c r="AE119" s="373" t="s">
        <v>3448</v>
      </c>
      <c r="AF119" s="374">
        <v>44385.0</v>
      </c>
      <c r="AG119" s="373" t="s">
        <v>3448</v>
      </c>
      <c r="AH119" s="374">
        <v>44406.0</v>
      </c>
      <c r="AI119" s="373" t="s">
        <v>3682</v>
      </c>
      <c r="AJ119" s="374">
        <v>44450.0</v>
      </c>
      <c r="AK119" s="373" t="s">
        <v>399</v>
      </c>
      <c r="AL119" s="373" t="s">
        <v>1014</v>
      </c>
      <c r="AM119" s="373" t="s">
        <v>79</v>
      </c>
      <c r="AN119" s="375"/>
      <c r="AO119" s="373" t="s">
        <v>2418</v>
      </c>
      <c r="AP119" s="376" t="s">
        <v>3686</v>
      </c>
      <c r="AQ119" s="373"/>
    </row>
    <row r="120">
      <c r="A120" s="257" t="s">
        <v>2298</v>
      </c>
      <c r="B120" s="257" t="s">
        <v>2299</v>
      </c>
      <c r="C120" s="257" t="str">
        <f>VLOOKUP(A120,import!A:J,3,0)</f>
        <v>DOĞRU</v>
      </c>
      <c r="D120" s="257" t="s">
        <v>3822</v>
      </c>
      <c r="E120" s="257">
        <f>VLOOKUP(A120,import!A:J,5,0)</f>
        <v>468</v>
      </c>
      <c r="F120" s="257">
        <f>VLOOKUP(A120,import!A:J,6,0)</f>
        <v>5</v>
      </c>
      <c r="G120" s="257">
        <f>VLOOKUP(A120,import!A:J,7,0)</f>
        <v>8</v>
      </c>
      <c r="H120" s="257">
        <f>VLOOKUP(A120,import!A:J,8,0)</f>
        <v>4</v>
      </c>
      <c r="I120" s="257">
        <f>VLOOKUP(A120,import!A:J,9,0)</f>
        <v>12</v>
      </c>
      <c r="J120" s="369">
        <f>VLOOKUP(A120,import!A:J,10,0)</f>
        <v>0.67</v>
      </c>
      <c r="K120" s="257" t="s">
        <v>4113</v>
      </c>
      <c r="L120" s="257">
        <v>3.222564656E9</v>
      </c>
      <c r="M120" s="257" t="s">
        <v>14</v>
      </c>
      <c r="N120" s="257" t="s">
        <v>3678</v>
      </c>
      <c r="O120" s="257" t="s">
        <v>4114</v>
      </c>
      <c r="P120" s="370" t="str">
        <f>VLOOKUP(A120,import!A:P,16,0)</f>
        <v>Geleneksel</v>
      </c>
      <c r="Q120" s="370"/>
      <c r="R120" s="370" t="b">
        <v>1</v>
      </c>
      <c r="S120" s="370" t="b">
        <v>0</v>
      </c>
      <c r="T120" s="301" t="s">
        <v>3679</v>
      </c>
      <c r="U120" s="301" t="s">
        <v>79</v>
      </c>
      <c r="V120" s="301" t="s">
        <v>3755</v>
      </c>
      <c r="W120" s="301" t="s">
        <v>4115</v>
      </c>
      <c r="X120" s="371">
        <v>44445.0</v>
      </c>
      <c r="Y120" s="371">
        <v>44446.0</v>
      </c>
      <c r="Z120" s="372"/>
      <c r="AA120" s="373" t="s">
        <v>3682</v>
      </c>
      <c r="AB120" s="374">
        <v>44434.0</v>
      </c>
      <c r="AC120" s="373" t="s">
        <v>3681</v>
      </c>
      <c r="AD120" s="374">
        <v>44435.0</v>
      </c>
      <c r="AE120" s="373" t="s">
        <v>3682</v>
      </c>
      <c r="AF120" s="374">
        <v>44445.0</v>
      </c>
      <c r="AG120" s="92"/>
      <c r="AH120" s="375"/>
      <c r="AI120" s="375"/>
      <c r="AJ120" s="375"/>
      <c r="AK120" s="373" t="s">
        <v>1953</v>
      </c>
      <c r="AL120" s="375"/>
      <c r="AM120" s="373" t="s">
        <v>79</v>
      </c>
      <c r="AN120" s="375"/>
      <c r="AO120" s="375"/>
      <c r="AP120" s="376" t="s">
        <v>3683</v>
      </c>
      <c r="AQ120" s="375"/>
    </row>
    <row r="121">
      <c r="A121" s="257" t="s">
        <v>902</v>
      </c>
      <c r="B121" s="257" t="s">
        <v>903</v>
      </c>
      <c r="C121" s="257" t="str">
        <f>VLOOKUP(A121,import!A:J,3,0)</f>
        <v>DOĞRU</v>
      </c>
      <c r="D121" s="257" t="s">
        <v>3822</v>
      </c>
      <c r="E121" s="257">
        <f>VLOOKUP(A121,import!A:J,5,0)</f>
        <v>370</v>
      </c>
      <c r="F121" s="257" t="str">
        <f>VLOOKUP(A121,import!A:J,6,0)</f>
        <v/>
      </c>
      <c r="G121" s="257">
        <f>VLOOKUP(A121,import!A:J,7,0)</f>
        <v>0</v>
      </c>
      <c r="H121" s="257">
        <f>VLOOKUP(A121,import!A:J,8,0)</f>
        <v>29</v>
      </c>
      <c r="I121" s="257">
        <f>VLOOKUP(A121,import!A:J,9,0)</f>
        <v>29</v>
      </c>
      <c r="J121" s="369">
        <f>VLOOKUP(A121,import!A:J,10,0)</f>
        <v>0</v>
      </c>
      <c r="K121" s="257" t="s">
        <v>4116</v>
      </c>
      <c r="L121" s="257">
        <v>5.528992233E9</v>
      </c>
      <c r="M121" s="257" t="s">
        <v>14</v>
      </c>
      <c r="N121" s="257" t="s">
        <v>3718</v>
      </c>
      <c r="O121" s="257" t="s">
        <v>905</v>
      </c>
      <c r="P121" s="370" t="str">
        <f>VLOOKUP(A121,import!A:P,16,0)</f>
        <v>Geleneksel</v>
      </c>
      <c r="Q121" s="370"/>
      <c r="R121" s="370" t="b">
        <v>1</v>
      </c>
      <c r="S121" s="370" t="b">
        <v>0</v>
      </c>
      <c r="T121" s="301" t="s">
        <v>3710</v>
      </c>
      <c r="U121" s="301" t="s">
        <v>3127</v>
      </c>
      <c r="V121" s="301" t="s">
        <v>78</v>
      </c>
      <c r="W121" s="301" t="s">
        <v>4117</v>
      </c>
      <c r="X121" s="371">
        <v>44544.0</v>
      </c>
      <c r="Y121" s="371">
        <v>44546.0</v>
      </c>
      <c r="Z121" s="372"/>
      <c r="AA121" s="373" t="s">
        <v>3682</v>
      </c>
      <c r="AB121" s="374">
        <v>44349.0</v>
      </c>
      <c r="AC121" s="373" t="s">
        <v>3682</v>
      </c>
      <c r="AD121" s="374">
        <v>44356.0</v>
      </c>
      <c r="AE121" s="373" t="s">
        <v>3682</v>
      </c>
      <c r="AF121" s="374">
        <v>44377.0</v>
      </c>
      <c r="AG121" s="373" t="s">
        <v>3682</v>
      </c>
      <c r="AH121" s="374">
        <v>44470.0</v>
      </c>
      <c r="AI121" s="373" t="s">
        <v>3682</v>
      </c>
      <c r="AJ121" s="374">
        <v>44634.0</v>
      </c>
      <c r="AK121" s="373" t="s">
        <v>111</v>
      </c>
      <c r="AL121" s="373" t="s">
        <v>1014</v>
      </c>
      <c r="AM121" s="373" t="s">
        <v>79</v>
      </c>
      <c r="AN121" s="373" t="s">
        <v>3073</v>
      </c>
      <c r="AO121" s="373" t="s">
        <v>2418</v>
      </c>
      <c r="AP121" s="376" t="s">
        <v>3683</v>
      </c>
      <c r="AQ121" s="373"/>
    </row>
    <row r="122">
      <c r="A122" s="376" t="s">
        <v>4118</v>
      </c>
      <c r="B122" s="376" t="s">
        <v>4119</v>
      </c>
      <c r="C122" s="257" t="str">
        <f>VLOOKUP(A122,import!A:J,3,0)</f>
        <v>DOĞRU</v>
      </c>
      <c r="D122" s="376" t="s">
        <v>3699</v>
      </c>
      <c r="E122" s="257" t="str">
        <f>VLOOKUP(A122,import!A:J,5,0)</f>
        <v/>
      </c>
      <c r="F122" s="257" t="str">
        <f>VLOOKUP(A122,import!A:J,6,0)</f>
        <v/>
      </c>
      <c r="G122" s="257">
        <f>VLOOKUP(A122,import!A:J,7,0)</f>
        <v>0</v>
      </c>
      <c r="H122" s="257">
        <f>VLOOKUP(A122,import!A:J,8,0)</f>
        <v>65</v>
      </c>
      <c r="I122" s="257">
        <f>VLOOKUP(A122,import!A:J,9,0)</f>
        <v>65</v>
      </c>
      <c r="J122" s="369">
        <f>VLOOKUP(A122,import!A:J,10,0)</f>
        <v>0</v>
      </c>
      <c r="K122" s="376" t="s">
        <v>3889</v>
      </c>
      <c r="L122" s="376">
        <v>5.452333073E9</v>
      </c>
      <c r="M122" s="376" t="s">
        <v>3692</v>
      </c>
      <c r="N122" s="376" t="s">
        <v>4120</v>
      </c>
      <c r="O122" s="376" t="s">
        <v>4121</v>
      </c>
      <c r="P122" s="370" t="str">
        <f>VLOOKUP(A122,import!A:P,16,0)</f>
        <v>Geleneksel</v>
      </c>
      <c r="Q122" s="370"/>
      <c r="R122" s="370" t="b">
        <v>0</v>
      </c>
      <c r="S122" s="370" t="b">
        <v>0</v>
      </c>
      <c r="T122" s="301"/>
      <c r="U122" s="301"/>
      <c r="V122" s="301"/>
      <c r="W122" s="301"/>
      <c r="X122" s="371"/>
      <c r="Y122" s="371"/>
      <c r="Z122" s="372"/>
      <c r="AA122" s="373"/>
      <c r="AB122" s="374"/>
      <c r="AC122" s="373"/>
      <c r="AD122" s="374"/>
      <c r="AE122" s="373"/>
      <c r="AF122" s="374"/>
      <c r="AG122" s="373"/>
      <c r="AH122" s="374"/>
      <c r="AI122" s="373"/>
      <c r="AJ122" s="374"/>
      <c r="AK122" s="373"/>
      <c r="AL122" s="373"/>
      <c r="AM122" s="373"/>
      <c r="AN122" s="373"/>
      <c r="AO122" s="373"/>
      <c r="AP122" s="376"/>
      <c r="AQ122" s="373"/>
    </row>
    <row r="123">
      <c r="A123" s="257" t="s">
        <v>4122</v>
      </c>
      <c r="B123" s="257" t="s">
        <v>4123</v>
      </c>
      <c r="C123" s="257" t="str">
        <f>VLOOKUP(A123,import!A:J,3,0)</f>
        <v>DOĞRU</v>
      </c>
      <c r="D123" s="257" t="s">
        <v>4124</v>
      </c>
      <c r="E123" s="257">
        <f>VLOOKUP(A123,import!A:J,5,0)</f>
        <v>2</v>
      </c>
      <c r="F123" s="257">
        <f>VLOOKUP(A123,import!A:J,6,0)</f>
        <v>1</v>
      </c>
      <c r="G123" s="257">
        <f>VLOOKUP(A123,import!A:J,7,0)</f>
        <v>0</v>
      </c>
      <c r="H123" s="257">
        <f>VLOOKUP(A123,import!A:J,8,0)</f>
        <v>6</v>
      </c>
      <c r="I123" s="257">
        <f>VLOOKUP(A123,import!A:J,9,0)</f>
        <v>6</v>
      </c>
      <c r="J123" s="369">
        <f>VLOOKUP(A123,import!A:J,10,0)</f>
        <v>0</v>
      </c>
      <c r="K123" s="257" t="s">
        <v>4125</v>
      </c>
      <c r="L123" s="257">
        <v>5.42655553E9</v>
      </c>
      <c r="M123" s="257" t="s">
        <v>14</v>
      </c>
      <c r="N123" s="257" t="s">
        <v>3797</v>
      </c>
      <c r="O123" s="257" t="s">
        <v>4126</v>
      </c>
      <c r="P123" s="370" t="str">
        <f>VLOOKUP(A123,import!A:P,16,0)</f>
        <v>Geleneksel</v>
      </c>
      <c r="Q123" s="370"/>
      <c r="R123" s="370" t="b">
        <v>0</v>
      </c>
      <c r="S123" s="370" t="b">
        <v>0</v>
      </c>
      <c r="T123" s="301"/>
      <c r="U123" s="301"/>
      <c r="V123" s="301"/>
      <c r="W123" s="301"/>
      <c r="X123" s="371"/>
      <c r="Y123" s="371"/>
      <c r="Z123" s="372"/>
      <c r="AA123" s="373"/>
      <c r="AB123" s="374"/>
      <c r="AC123" s="373"/>
      <c r="AD123" s="374"/>
      <c r="AE123" s="373"/>
      <c r="AF123" s="374"/>
      <c r="AG123" s="373"/>
      <c r="AH123" s="374"/>
      <c r="AI123" s="373"/>
      <c r="AJ123" s="374"/>
      <c r="AK123" s="373"/>
      <c r="AL123" s="373"/>
      <c r="AM123" s="373"/>
      <c r="AN123" s="373"/>
      <c r="AO123" s="373"/>
      <c r="AP123" s="376"/>
      <c r="AQ123" s="373"/>
    </row>
    <row r="124">
      <c r="A124" s="266" t="s">
        <v>4127</v>
      </c>
      <c r="B124" s="266" t="s">
        <v>4128</v>
      </c>
      <c r="C124" s="257" t="str">
        <f>VLOOKUP(A124,import!A:J,3,0)</f>
        <v>DOĞRU</v>
      </c>
      <c r="D124" s="266" t="s">
        <v>3676</v>
      </c>
      <c r="E124" s="257">
        <f>VLOOKUP(A124,import!A:J,5,0)</f>
        <v>9748</v>
      </c>
      <c r="F124" s="257">
        <f>VLOOKUP(A124,import!A:J,6,0)</f>
        <v>578</v>
      </c>
      <c r="G124" s="257">
        <f>VLOOKUP(A124,import!A:J,7,0)</f>
        <v>9</v>
      </c>
      <c r="H124" s="257">
        <f>VLOOKUP(A124,import!A:J,8,0)</f>
        <v>5</v>
      </c>
      <c r="I124" s="257">
        <f>VLOOKUP(A124,import!A:J,9,0)</f>
        <v>14</v>
      </c>
      <c r="J124" s="369">
        <f>VLOOKUP(A124,import!A:J,10,0)</f>
        <v>0.64</v>
      </c>
      <c r="K124" s="266" t="s">
        <v>4129</v>
      </c>
      <c r="L124" s="266">
        <v>3.222281214E9</v>
      </c>
      <c r="M124" s="266" t="s">
        <v>286</v>
      </c>
      <c r="N124" s="266" t="s">
        <v>3754</v>
      </c>
      <c r="O124" s="266" t="s">
        <v>1729</v>
      </c>
      <c r="P124" s="370" t="str">
        <f>VLOOKUP(A124,import!A:P,16,0)</f>
        <v>Geleneksel</v>
      </c>
      <c r="Q124" s="370"/>
      <c r="R124" s="370" t="b">
        <v>1</v>
      </c>
      <c r="S124" s="370" t="b">
        <v>1</v>
      </c>
      <c r="T124" s="379"/>
      <c r="U124" s="379"/>
      <c r="V124" s="379"/>
      <c r="W124" s="301" t="s">
        <v>4130</v>
      </c>
      <c r="X124" s="381"/>
      <c r="Y124" s="381"/>
      <c r="Z124" s="372"/>
      <c r="AA124" s="373" t="s">
        <v>3448</v>
      </c>
      <c r="AB124" s="374">
        <v>44358.0</v>
      </c>
      <c r="AC124" s="373" t="s">
        <v>3448</v>
      </c>
      <c r="AD124" s="374">
        <v>44386.0</v>
      </c>
      <c r="AE124" s="373" t="s">
        <v>3448</v>
      </c>
      <c r="AF124" s="374">
        <v>44414.0</v>
      </c>
      <c r="AG124" s="373" t="s">
        <v>3448</v>
      </c>
      <c r="AH124" s="374">
        <v>44459.0</v>
      </c>
      <c r="AI124" s="375"/>
      <c r="AJ124" s="375"/>
      <c r="AK124" s="373" t="s">
        <v>399</v>
      </c>
      <c r="AL124" s="373" t="s">
        <v>79</v>
      </c>
      <c r="AM124" s="373" t="s">
        <v>3729</v>
      </c>
      <c r="AN124" s="373" t="s">
        <v>1953</v>
      </c>
      <c r="AO124" s="375"/>
      <c r="AP124" s="376" t="s">
        <v>3686</v>
      </c>
      <c r="AQ124" s="375"/>
    </row>
    <row r="125">
      <c r="A125" s="257" t="s">
        <v>1725</v>
      </c>
      <c r="B125" s="257" t="s">
        <v>1726</v>
      </c>
      <c r="C125" s="257" t="str">
        <f>VLOOKUP(A125,import!A:J,3,0)</f>
        <v>DOĞRU</v>
      </c>
      <c r="D125" s="257" t="s">
        <v>3994</v>
      </c>
      <c r="E125" s="257">
        <f>VLOOKUP(A125,import!A:J,5,0)</f>
        <v>3112</v>
      </c>
      <c r="F125" s="257">
        <f>VLOOKUP(A125,import!A:J,6,0)</f>
        <v>143</v>
      </c>
      <c r="G125" s="257">
        <f>VLOOKUP(A125,import!A:J,7,0)</f>
        <v>0</v>
      </c>
      <c r="H125" s="257">
        <f>VLOOKUP(A125,import!A:J,8,0)</f>
        <v>11</v>
      </c>
      <c r="I125" s="257">
        <f>VLOOKUP(A125,import!A:J,9,0)</f>
        <v>11</v>
      </c>
      <c r="J125" s="369">
        <f>VLOOKUP(A125,import!A:J,10,0)</f>
        <v>0</v>
      </c>
      <c r="K125" s="257" t="s">
        <v>4129</v>
      </c>
      <c r="L125" s="257">
        <v>3.222281214E9</v>
      </c>
      <c r="M125" s="257" t="s">
        <v>286</v>
      </c>
      <c r="N125" s="257" t="s">
        <v>3754</v>
      </c>
      <c r="O125" s="257" t="s">
        <v>1729</v>
      </c>
      <c r="P125" s="370" t="str">
        <f>VLOOKUP(A125,import!A:P,16,0)</f>
        <v>Geleneksel</v>
      </c>
      <c r="Q125" s="370"/>
      <c r="R125" s="370" t="b">
        <v>1</v>
      </c>
      <c r="S125" s="370" t="b">
        <v>0</v>
      </c>
      <c r="T125" s="301" t="s">
        <v>3787</v>
      </c>
      <c r="U125" s="301" t="s">
        <v>3729</v>
      </c>
      <c r="V125" s="301" t="s">
        <v>78</v>
      </c>
      <c r="W125" s="301" t="s">
        <v>4131</v>
      </c>
      <c r="X125" s="371">
        <v>44431.0</v>
      </c>
      <c r="Y125" s="371">
        <v>44432.0</v>
      </c>
      <c r="Z125" s="372"/>
      <c r="AA125" s="373" t="s">
        <v>3448</v>
      </c>
      <c r="AB125" s="374">
        <v>44390.0</v>
      </c>
      <c r="AC125" s="373" t="s">
        <v>3448</v>
      </c>
      <c r="AD125" s="374">
        <v>44406.0</v>
      </c>
      <c r="AE125" s="373" t="s">
        <v>3682</v>
      </c>
      <c r="AF125" s="374">
        <v>44407.0</v>
      </c>
      <c r="AG125" s="373" t="s">
        <v>3448</v>
      </c>
      <c r="AH125" s="374">
        <v>44428.0</v>
      </c>
      <c r="AI125" s="373" t="s">
        <v>3682</v>
      </c>
      <c r="AJ125" s="374">
        <v>44431.0</v>
      </c>
      <c r="AK125" s="373" t="s">
        <v>3719</v>
      </c>
      <c r="AL125" s="373" t="s">
        <v>79</v>
      </c>
      <c r="AM125" s="375"/>
      <c r="AN125" s="373" t="s">
        <v>1953</v>
      </c>
      <c r="AO125" s="373" t="s">
        <v>3729</v>
      </c>
      <c r="AP125" s="376" t="s">
        <v>3686</v>
      </c>
      <c r="AQ125" s="373"/>
    </row>
    <row r="126">
      <c r="A126" s="257" t="s">
        <v>4132</v>
      </c>
      <c r="B126" s="257" t="s">
        <v>4133</v>
      </c>
      <c r="C126" s="257" t="str">
        <f>VLOOKUP(A126,import!A:J,3,0)</f>
        <v>DOĞRU</v>
      </c>
      <c r="D126" s="257" t="s">
        <v>3801</v>
      </c>
      <c r="E126" s="257">
        <f>VLOOKUP(A126,import!A:J,5,0)</f>
        <v>96</v>
      </c>
      <c r="F126" s="257">
        <f>VLOOKUP(A126,import!A:J,6,0)</f>
        <v>23</v>
      </c>
      <c r="G126" s="257">
        <f>VLOOKUP(A126,import!A:J,7,0)</f>
        <v>0</v>
      </c>
      <c r="H126" s="257">
        <f>VLOOKUP(A126,import!A:J,8,0)</f>
        <v>5</v>
      </c>
      <c r="I126" s="257">
        <f>VLOOKUP(A126,import!A:J,9,0)</f>
        <v>5</v>
      </c>
      <c r="J126" s="369">
        <f>VLOOKUP(A126,import!A:J,10,0)</f>
        <v>0</v>
      </c>
      <c r="K126" s="257" t="s">
        <v>4134</v>
      </c>
      <c r="L126" s="257">
        <v>5.434054198E9</v>
      </c>
      <c r="M126" s="257" t="s">
        <v>286</v>
      </c>
      <c r="N126" s="257" t="s">
        <v>4135</v>
      </c>
      <c r="O126" s="257" t="s">
        <v>4136</v>
      </c>
      <c r="P126" s="370" t="str">
        <f>VLOOKUP(A126,import!A:P,16,0)</f>
        <v>Geleneksel</v>
      </c>
      <c r="Q126" s="370"/>
      <c r="R126" s="370" t="b">
        <v>0</v>
      </c>
      <c r="S126" s="370" t="b">
        <v>0</v>
      </c>
      <c r="T126" s="301"/>
      <c r="U126" s="301"/>
      <c r="V126" s="301"/>
      <c r="W126" s="301"/>
      <c r="X126" s="371"/>
      <c r="Y126" s="371"/>
      <c r="Z126" s="372"/>
      <c r="AA126" s="373"/>
      <c r="AB126" s="374"/>
      <c r="AC126" s="373"/>
      <c r="AD126" s="374"/>
      <c r="AE126" s="373"/>
      <c r="AF126" s="374"/>
      <c r="AG126" s="373"/>
      <c r="AH126" s="374"/>
      <c r="AI126" s="373"/>
      <c r="AJ126" s="374"/>
      <c r="AK126" s="373"/>
      <c r="AL126" s="373"/>
      <c r="AM126" s="373"/>
      <c r="AN126" s="373"/>
      <c r="AO126" s="373"/>
      <c r="AP126" s="376"/>
      <c r="AQ126" s="373"/>
    </row>
    <row r="127">
      <c r="A127" s="257" t="s">
        <v>3332</v>
      </c>
      <c r="B127" s="257" t="s">
        <v>3333</v>
      </c>
      <c r="C127" s="257" t="str">
        <f>VLOOKUP(A127,import!A:J,3,0)</f>
        <v>DOĞRU</v>
      </c>
      <c r="D127" s="257" t="s">
        <v>3676</v>
      </c>
      <c r="E127" s="257">
        <f>VLOOKUP(A127,import!A:J,5,0)</f>
        <v>430</v>
      </c>
      <c r="F127" s="257">
        <f>VLOOKUP(A127,import!A:J,6,0)</f>
        <v>55</v>
      </c>
      <c r="G127" s="257">
        <f>VLOOKUP(A127,import!A:J,7,0)</f>
        <v>6</v>
      </c>
      <c r="H127" s="257">
        <f>VLOOKUP(A127,import!A:J,8,0)</f>
        <v>2</v>
      </c>
      <c r="I127" s="257">
        <f>VLOOKUP(A127,import!A:J,9,0)</f>
        <v>8</v>
      </c>
      <c r="J127" s="369">
        <f>VLOOKUP(A127,import!A:J,10,0)</f>
        <v>0.75</v>
      </c>
      <c r="K127" s="257" t="s">
        <v>4137</v>
      </c>
      <c r="L127" s="257">
        <v>5.362961416E9</v>
      </c>
      <c r="M127" s="257" t="s">
        <v>3707</v>
      </c>
      <c r="N127" s="257" t="s">
        <v>3761</v>
      </c>
      <c r="O127" s="257" t="s">
        <v>4138</v>
      </c>
      <c r="P127" s="370" t="str">
        <f>VLOOKUP(A127,import!A:P,16,0)</f>
        <v>Geleneksel</v>
      </c>
      <c r="Q127" s="370"/>
      <c r="R127" s="370" t="b">
        <v>1</v>
      </c>
      <c r="S127" s="370" t="b">
        <v>0</v>
      </c>
      <c r="T127" s="301" t="s">
        <v>3679</v>
      </c>
      <c r="U127" s="301" t="s">
        <v>2576</v>
      </c>
      <c r="V127" s="301" t="s">
        <v>3331</v>
      </c>
      <c r="W127" s="301" t="s">
        <v>4139</v>
      </c>
      <c r="X127" s="371">
        <v>44617.0</v>
      </c>
      <c r="Y127" s="371">
        <v>44620.0</v>
      </c>
      <c r="Z127" s="372"/>
      <c r="AA127" s="373" t="s">
        <v>3682</v>
      </c>
      <c r="AB127" s="374">
        <v>44617.0</v>
      </c>
      <c r="AC127" s="373"/>
      <c r="AD127" s="374"/>
      <c r="AE127" s="373"/>
      <c r="AF127" s="374"/>
      <c r="AG127" s="373"/>
      <c r="AH127" s="374"/>
      <c r="AI127" s="375"/>
      <c r="AJ127" s="375"/>
      <c r="AK127" s="373" t="s">
        <v>2576</v>
      </c>
      <c r="AL127" s="375"/>
      <c r="AM127" s="375"/>
      <c r="AN127" s="373"/>
      <c r="AO127" s="375"/>
      <c r="AP127" s="376"/>
      <c r="AQ127" s="375"/>
    </row>
    <row r="128">
      <c r="A128" s="257" t="s">
        <v>4140</v>
      </c>
      <c r="B128" s="257" t="s">
        <v>4141</v>
      </c>
      <c r="C128" s="257" t="str">
        <f>VLOOKUP(A128,import!A:J,3,0)</f>
        <v>DOĞRU</v>
      </c>
      <c r="D128" s="257" t="s">
        <v>3801</v>
      </c>
      <c r="E128" s="257">
        <f>VLOOKUP(A128,import!A:J,5,0)</f>
        <v>988</v>
      </c>
      <c r="F128" s="257">
        <f>VLOOKUP(A128,import!A:J,6,0)</f>
        <v>33</v>
      </c>
      <c r="G128" s="257">
        <f>VLOOKUP(A128,import!A:J,7,0)</f>
        <v>6</v>
      </c>
      <c r="H128" s="257">
        <f>VLOOKUP(A128,import!A:J,8,0)</f>
        <v>7</v>
      </c>
      <c r="I128" s="257">
        <f>VLOOKUP(A128,import!A:J,9,0)</f>
        <v>13</v>
      </c>
      <c r="J128" s="369">
        <f>VLOOKUP(A128,import!A:J,10,0)</f>
        <v>0.46</v>
      </c>
      <c r="K128" s="257" t="s">
        <v>4142</v>
      </c>
      <c r="L128" s="257">
        <v>5.414034497E9</v>
      </c>
      <c r="M128" s="257" t="s">
        <v>286</v>
      </c>
      <c r="N128" s="257" t="s">
        <v>4143</v>
      </c>
      <c r="O128" s="257" t="s">
        <v>4144</v>
      </c>
      <c r="P128" s="370" t="str">
        <f>VLOOKUP(A128,import!A:P,16,0)</f>
        <v>Geleneksel</v>
      </c>
      <c r="Q128" s="370"/>
      <c r="R128" s="370" t="b">
        <v>1</v>
      </c>
      <c r="S128" s="370" t="b">
        <v>1</v>
      </c>
      <c r="T128" s="301"/>
      <c r="U128" s="379"/>
      <c r="V128" s="379"/>
      <c r="W128" s="301"/>
      <c r="X128" s="381"/>
      <c r="Y128" s="381"/>
      <c r="Z128" s="372"/>
      <c r="AA128" s="375"/>
      <c r="AB128" s="375"/>
      <c r="AC128" s="375"/>
      <c r="AD128" s="375"/>
      <c r="AE128" s="92"/>
      <c r="AF128" s="375"/>
      <c r="AG128" s="92"/>
      <c r="AH128" s="375"/>
      <c r="AI128" s="375"/>
      <c r="AJ128" s="375"/>
      <c r="AK128" s="375"/>
      <c r="AL128" s="375"/>
      <c r="AM128" s="375"/>
      <c r="AN128" s="375"/>
      <c r="AO128" s="375"/>
      <c r="AP128" s="376" t="s">
        <v>3686</v>
      </c>
      <c r="AQ128" s="375"/>
    </row>
    <row r="129">
      <c r="A129" s="257" t="s">
        <v>4145</v>
      </c>
      <c r="B129" s="257" t="s">
        <v>4146</v>
      </c>
      <c r="C129" s="257" t="str">
        <f>VLOOKUP(A129,import!A:J,3,0)</f>
        <v>DOĞRU</v>
      </c>
      <c r="D129" s="257" t="s">
        <v>3801</v>
      </c>
      <c r="E129" s="257">
        <f>VLOOKUP(A129,import!A:J,5,0)</f>
        <v>539</v>
      </c>
      <c r="F129" s="257">
        <f>VLOOKUP(A129,import!A:J,6,0)</f>
        <v>37</v>
      </c>
      <c r="G129" s="257">
        <f>VLOOKUP(A129,import!A:J,7,0)</f>
        <v>7</v>
      </c>
      <c r="H129" s="257">
        <f>VLOOKUP(A129,import!A:J,8,0)</f>
        <v>5</v>
      </c>
      <c r="I129" s="257">
        <f>VLOOKUP(A129,import!A:J,9,0)</f>
        <v>12</v>
      </c>
      <c r="J129" s="369">
        <f>VLOOKUP(A129,import!A:J,10,0)</f>
        <v>0.58</v>
      </c>
      <c r="K129" s="257" t="s">
        <v>4147</v>
      </c>
      <c r="L129" s="257">
        <v>5.352295989E9</v>
      </c>
      <c r="M129" s="257" t="s">
        <v>14</v>
      </c>
      <c r="N129" s="257" t="s">
        <v>3767</v>
      </c>
      <c r="O129" s="257" t="s">
        <v>4148</v>
      </c>
      <c r="P129" s="370" t="str">
        <f>VLOOKUP(A129,import!A:P,16,0)</f>
        <v>Geleneksel</v>
      </c>
      <c r="Q129" s="370"/>
      <c r="R129" s="370" t="b">
        <v>0</v>
      </c>
      <c r="S129" s="370" t="b">
        <v>0</v>
      </c>
      <c r="T129" s="301" t="s">
        <v>3817</v>
      </c>
      <c r="U129" s="301"/>
      <c r="V129" s="301"/>
      <c r="W129" s="379"/>
      <c r="X129" s="371"/>
      <c r="Y129" s="371"/>
      <c r="Z129" s="377"/>
      <c r="AA129" s="375"/>
      <c r="AB129" s="375"/>
      <c r="AC129" s="375"/>
      <c r="AD129" s="375"/>
      <c r="AE129" s="92"/>
      <c r="AF129" s="375"/>
      <c r="AG129" s="92"/>
      <c r="AH129" s="375"/>
      <c r="AI129" s="375"/>
      <c r="AJ129" s="375"/>
      <c r="AK129" s="375"/>
      <c r="AL129" s="375"/>
      <c r="AM129" s="375"/>
      <c r="AN129" s="375"/>
      <c r="AO129" s="375"/>
      <c r="AP129" s="376" t="s">
        <v>3683</v>
      </c>
      <c r="AQ129" s="375"/>
    </row>
    <row r="130">
      <c r="A130" s="257" t="s">
        <v>4149</v>
      </c>
      <c r="B130" s="257" t="s">
        <v>4150</v>
      </c>
      <c r="C130" s="257" t="str">
        <f>VLOOKUP(A130,import!A:J,3,0)</f>
        <v>DOĞRU</v>
      </c>
      <c r="D130" s="257" t="s">
        <v>3676</v>
      </c>
      <c r="E130" s="257">
        <f>VLOOKUP(A130,import!A:J,5,0)</f>
        <v>238</v>
      </c>
      <c r="F130" s="257" t="str">
        <f>VLOOKUP(A130,import!A:J,6,0)</f>
        <v/>
      </c>
      <c r="G130" s="257">
        <f>VLOOKUP(A130,import!A:J,7,0)</f>
        <v>0</v>
      </c>
      <c r="H130" s="257">
        <f>VLOOKUP(A130,import!A:J,8,0)</f>
        <v>6</v>
      </c>
      <c r="I130" s="257">
        <f>VLOOKUP(A130,import!A:J,9,0)</f>
        <v>6</v>
      </c>
      <c r="J130" s="369">
        <f>VLOOKUP(A130,import!A:J,10,0)</f>
        <v>0</v>
      </c>
      <c r="K130" s="257" t="s">
        <v>4151</v>
      </c>
      <c r="L130" s="257">
        <v>5.435133717E9</v>
      </c>
      <c r="M130" s="257" t="s">
        <v>286</v>
      </c>
      <c r="N130" s="257" t="s">
        <v>4152</v>
      </c>
      <c r="O130" s="257" t="s">
        <v>4153</v>
      </c>
      <c r="P130" s="370" t="str">
        <f>VLOOKUP(A130,import!A:P,16,0)</f>
        <v>Geleneksel</v>
      </c>
      <c r="Q130" s="370"/>
      <c r="R130" s="370" t="b">
        <v>1</v>
      </c>
      <c r="S130" s="370" t="b">
        <v>0</v>
      </c>
      <c r="T130" s="301"/>
      <c r="U130" s="379"/>
      <c r="V130" s="379"/>
      <c r="W130" s="301" t="s">
        <v>4154</v>
      </c>
      <c r="X130" s="381"/>
      <c r="Y130" s="381"/>
      <c r="Z130" s="372"/>
      <c r="AA130" s="373" t="s">
        <v>3682</v>
      </c>
      <c r="AB130" s="374">
        <v>44466.0</v>
      </c>
      <c r="AC130" s="373"/>
      <c r="AD130" s="374"/>
      <c r="AE130" s="373"/>
      <c r="AF130" s="374"/>
      <c r="AG130" s="92"/>
      <c r="AH130" s="375"/>
      <c r="AI130" s="375"/>
      <c r="AJ130" s="375"/>
      <c r="AK130" s="373" t="s">
        <v>2576</v>
      </c>
      <c r="AL130" s="375"/>
      <c r="AM130" s="375"/>
      <c r="AN130" s="375"/>
      <c r="AO130" s="375"/>
      <c r="AP130" s="376" t="s">
        <v>3686</v>
      </c>
      <c r="AQ130" s="375"/>
    </row>
    <row r="131">
      <c r="A131" s="257" t="s">
        <v>3048</v>
      </c>
      <c r="B131" s="257" t="s">
        <v>3049</v>
      </c>
      <c r="C131" s="257" t="str">
        <f>VLOOKUP(A131,import!A:J,3,0)</f>
        <v>DOĞRU</v>
      </c>
      <c r="D131" s="257" t="s">
        <v>3690</v>
      </c>
      <c r="E131" s="257">
        <f>VLOOKUP(A131,import!A:J,5,0)</f>
        <v>1251</v>
      </c>
      <c r="F131" s="257">
        <f>VLOOKUP(A131,import!A:J,6,0)</f>
        <v>95</v>
      </c>
      <c r="G131" s="257">
        <f>VLOOKUP(A131,import!A:J,7,0)</f>
        <v>11</v>
      </c>
      <c r="H131" s="257">
        <f>VLOOKUP(A131,import!A:J,8,0)</f>
        <v>3</v>
      </c>
      <c r="I131" s="257">
        <f>VLOOKUP(A131,import!A:J,9,0)</f>
        <v>14</v>
      </c>
      <c r="J131" s="369">
        <f>VLOOKUP(A131,import!A:J,10,0)</f>
        <v>0.79</v>
      </c>
      <c r="K131" s="257" t="s">
        <v>4155</v>
      </c>
      <c r="L131" s="257">
        <v>5.357292874E9</v>
      </c>
      <c r="M131" s="257" t="s">
        <v>3692</v>
      </c>
      <c r="N131" s="257" t="s">
        <v>4156</v>
      </c>
      <c r="O131" s="257" t="s">
        <v>3051</v>
      </c>
      <c r="P131" s="370" t="str">
        <f>VLOOKUP(A131,import!A:P,16,0)</f>
        <v>Geleneksel</v>
      </c>
      <c r="Q131" s="370"/>
      <c r="R131" s="370" t="b">
        <v>1</v>
      </c>
      <c r="S131" s="370" t="b">
        <v>0</v>
      </c>
      <c r="T131" s="301" t="s">
        <v>3679</v>
      </c>
      <c r="U131" s="301" t="s">
        <v>2192</v>
      </c>
      <c r="V131" s="301" t="s">
        <v>78</v>
      </c>
      <c r="W131" s="301" t="s">
        <v>4157</v>
      </c>
      <c r="X131" s="371">
        <v>44509.0</v>
      </c>
      <c r="Y131" s="371">
        <v>44510.0</v>
      </c>
      <c r="Z131" s="372"/>
      <c r="AA131" s="373" t="s">
        <v>3682</v>
      </c>
      <c r="AB131" s="374">
        <v>44509.0</v>
      </c>
      <c r="AC131" s="373"/>
      <c r="AD131" s="374"/>
      <c r="AE131" s="373"/>
      <c r="AF131" s="374"/>
      <c r="AG131" s="373"/>
      <c r="AH131" s="374"/>
      <c r="AI131" s="375"/>
      <c r="AJ131" s="375"/>
      <c r="AK131" s="373" t="s">
        <v>2192</v>
      </c>
      <c r="AL131" s="375"/>
      <c r="AM131" s="375"/>
      <c r="AN131" s="373"/>
      <c r="AO131" s="375"/>
      <c r="AP131" s="376" t="s">
        <v>3686</v>
      </c>
      <c r="AQ131" s="375"/>
    </row>
    <row r="132">
      <c r="A132" s="257" t="s">
        <v>758</v>
      </c>
      <c r="B132" s="257" t="s">
        <v>759</v>
      </c>
      <c r="C132" s="257" t="str">
        <f>VLOOKUP(A132,import!A:J,3,0)</f>
        <v>DOĞRU</v>
      </c>
      <c r="D132" s="257" t="s">
        <v>3912</v>
      </c>
      <c r="E132" s="257">
        <f>VLOOKUP(A132,import!A:J,5,0)</f>
        <v>523</v>
      </c>
      <c r="F132" s="257">
        <f>VLOOKUP(A132,import!A:J,6,0)</f>
        <v>62</v>
      </c>
      <c r="G132" s="257">
        <f>VLOOKUP(A132,import!A:J,7,0)</f>
        <v>3</v>
      </c>
      <c r="H132" s="257">
        <f>VLOOKUP(A132,import!A:J,8,0)</f>
        <v>1</v>
      </c>
      <c r="I132" s="257">
        <f>VLOOKUP(A132,import!A:J,9,0)</f>
        <v>4</v>
      </c>
      <c r="J132" s="369">
        <f>VLOOKUP(A132,import!A:J,10,0)</f>
        <v>0.75</v>
      </c>
      <c r="K132" s="257" t="s">
        <v>4158</v>
      </c>
      <c r="L132" s="257">
        <v>5.467361116E9</v>
      </c>
      <c r="M132" s="257" t="s">
        <v>286</v>
      </c>
      <c r="N132" s="257" t="s">
        <v>3754</v>
      </c>
      <c r="O132" s="257" t="s">
        <v>761</v>
      </c>
      <c r="P132" s="370" t="str">
        <f>VLOOKUP(A132,import!A:P,16,0)</f>
        <v>Geleneksel</v>
      </c>
      <c r="Q132" s="370"/>
      <c r="R132" s="370" t="b">
        <v>1</v>
      </c>
      <c r="S132" s="370" t="b">
        <v>0</v>
      </c>
      <c r="T132" s="301" t="s">
        <v>3679</v>
      </c>
      <c r="U132" s="301" t="s">
        <v>4159</v>
      </c>
      <c r="V132" s="301" t="s">
        <v>4054</v>
      </c>
      <c r="W132" s="301"/>
      <c r="X132" s="371">
        <v>44340.0</v>
      </c>
      <c r="Y132" s="371">
        <v>44344.0</v>
      </c>
      <c r="Z132" s="377"/>
      <c r="AA132" s="375"/>
      <c r="AB132" s="375"/>
      <c r="AC132" s="375"/>
      <c r="AD132" s="375"/>
      <c r="AE132" s="92"/>
      <c r="AF132" s="375"/>
      <c r="AG132" s="92"/>
      <c r="AH132" s="375"/>
      <c r="AI132" s="375"/>
      <c r="AJ132" s="375"/>
      <c r="AK132" s="375"/>
      <c r="AL132" s="375"/>
      <c r="AM132" s="375"/>
      <c r="AN132" s="375"/>
      <c r="AO132" s="375"/>
      <c r="AP132" s="376" t="s">
        <v>3686</v>
      </c>
      <c r="AQ132" s="375"/>
    </row>
    <row r="133">
      <c r="A133" s="257" t="s">
        <v>2206</v>
      </c>
      <c r="B133" s="257" t="s">
        <v>2207</v>
      </c>
      <c r="C133" s="257" t="str">
        <f>VLOOKUP(A133,import!A:J,3,0)</f>
        <v>DOĞRU</v>
      </c>
      <c r="D133" s="257" t="s">
        <v>3699</v>
      </c>
      <c r="E133" s="257">
        <f>VLOOKUP(A133,import!A:J,5,0)</f>
        <v>114</v>
      </c>
      <c r="F133" s="257">
        <f>VLOOKUP(A133,import!A:J,6,0)</f>
        <v>24</v>
      </c>
      <c r="G133" s="257">
        <f>VLOOKUP(A133,import!A:J,7,0)</f>
        <v>20</v>
      </c>
      <c r="H133" s="257">
        <f>VLOOKUP(A133,import!A:J,8,0)</f>
        <v>19</v>
      </c>
      <c r="I133" s="257">
        <f>VLOOKUP(A133,import!A:J,9,0)</f>
        <v>39</v>
      </c>
      <c r="J133" s="369">
        <f>VLOOKUP(A133,import!A:J,10,0)</f>
        <v>0.51</v>
      </c>
      <c r="K133" s="257" t="s">
        <v>4160</v>
      </c>
      <c r="L133" s="257">
        <v>3.224561E9</v>
      </c>
      <c r="M133" s="257" t="s">
        <v>286</v>
      </c>
      <c r="N133" s="257" t="s">
        <v>3758</v>
      </c>
      <c r="O133" s="257" t="s">
        <v>2210</v>
      </c>
      <c r="P133" s="370" t="str">
        <f>VLOOKUP(A133,import!A:P,16,0)</f>
        <v>Geleneksel</v>
      </c>
      <c r="Q133" s="370"/>
      <c r="R133" s="370" t="b">
        <v>1</v>
      </c>
      <c r="S133" s="370" t="b">
        <v>0</v>
      </c>
      <c r="T133" s="301" t="s">
        <v>3679</v>
      </c>
      <c r="U133" s="301"/>
      <c r="V133" s="301"/>
      <c r="W133" s="301" t="s">
        <v>4161</v>
      </c>
      <c r="X133" s="371">
        <v>44435.0</v>
      </c>
      <c r="Y133" s="371">
        <v>44440.0</v>
      </c>
      <c r="Z133" s="372"/>
      <c r="AA133" s="373" t="s">
        <v>3682</v>
      </c>
      <c r="AB133" s="374">
        <v>44348.0</v>
      </c>
      <c r="AC133" s="373" t="s">
        <v>3696</v>
      </c>
      <c r="AD133" s="374">
        <v>44376.0</v>
      </c>
      <c r="AE133" s="373" t="s">
        <v>3696</v>
      </c>
      <c r="AF133" s="374">
        <v>44379.0</v>
      </c>
      <c r="AG133" s="373" t="s">
        <v>3695</v>
      </c>
      <c r="AH133" s="374">
        <v>44406.0</v>
      </c>
      <c r="AI133" s="373" t="s">
        <v>3682</v>
      </c>
      <c r="AJ133" s="374">
        <v>44435.0</v>
      </c>
      <c r="AK133" s="373" t="s">
        <v>3916</v>
      </c>
      <c r="AL133" s="373" t="s">
        <v>1014</v>
      </c>
      <c r="AM133" s="373" t="s">
        <v>79</v>
      </c>
      <c r="AN133" s="373" t="s">
        <v>79</v>
      </c>
      <c r="AO133" s="373" t="s">
        <v>3723</v>
      </c>
      <c r="AP133" s="376" t="s">
        <v>3686</v>
      </c>
      <c r="AQ133" s="373"/>
    </row>
    <row r="134">
      <c r="A134" s="257" t="s">
        <v>2138</v>
      </c>
      <c r="B134" s="257" t="s">
        <v>2139</v>
      </c>
      <c r="C134" s="257" t="str">
        <f>VLOOKUP(A134,import!A:J,3,0)</f>
        <v>DOĞRU</v>
      </c>
      <c r="D134" s="257" t="s">
        <v>3759</v>
      </c>
      <c r="E134" s="257">
        <f>VLOOKUP(A134,import!A:J,5,0)</f>
        <v>1441</v>
      </c>
      <c r="F134" s="257">
        <f>VLOOKUP(A134,import!A:J,6,0)</f>
        <v>96</v>
      </c>
      <c r="G134" s="257">
        <f>VLOOKUP(A134,import!A:J,7,0)</f>
        <v>1</v>
      </c>
      <c r="H134" s="257">
        <f>VLOOKUP(A134,import!A:J,8,0)</f>
        <v>6</v>
      </c>
      <c r="I134" s="257">
        <f>VLOOKUP(A134,import!A:J,9,0)</f>
        <v>7</v>
      </c>
      <c r="J134" s="369">
        <f>VLOOKUP(A134,import!A:J,10,0)</f>
        <v>0.14</v>
      </c>
      <c r="K134" s="257" t="s">
        <v>4162</v>
      </c>
      <c r="L134" s="257">
        <v>3.222620063E9</v>
      </c>
      <c r="M134" s="257" t="s">
        <v>286</v>
      </c>
      <c r="N134" s="257" t="s">
        <v>3855</v>
      </c>
      <c r="O134" s="257" t="s">
        <v>2141</v>
      </c>
      <c r="P134" s="370" t="str">
        <f>VLOOKUP(A134,import!A:P,16,0)</f>
        <v>Geleneksel</v>
      </c>
      <c r="Q134" s="370"/>
      <c r="R134" s="370" t="b">
        <v>1</v>
      </c>
      <c r="S134" s="370" t="b">
        <v>0</v>
      </c>
      <c r="T134" s="301" t="s">
        <v>3679</v>
      </c>
      <c r="U134" s="301" t="s">
        <v>1953</v>
      </c>
      <c r="V134" s="301" t="s">
        <v>78</v>
      </c>
      <c r="W134" s="301"/>
      <c r="X134" s="371">
        <v>44434.0</v>
      </c>
      <c r="Y134" s="371">
        <v>44438.0</v>
      </c>
      <c r="Z134" s="372"/>
      <c r="AA134" s="373" t="s">
        <v>3681</v>
      </c>
      <c r="AB134" s="374">
        <v>44432.0</v>
      </c>
      <c r="AC134" s="373" t="s">
        <v>3682</v>
      </c>
      <c r="AD134" s="374">
        <v>44434.0</v>
      </c>
      <c r="AE134" s="92"/>
      <c r="AF134" s="375"/>
      <c r="AG134" s="92"/>
      <c r="AH134" s="375"/>
      <c r="AI134" s="375"/>
      <c r="AJ134" s="375"/>
      <c r="AK134" s="373" t="s">
        <v>1953</v>
      </c>
      <c r="AL134" s="375"/>
      <c r="AM134" s="375"/>
      <c r="AN134" s="375"/>
      <c r="AO134" s="375"/>
      <c r="AP134" s="376" t="s">
        <v>3686</v>
      </c>
      <c r="AQ134" s="375"/>
    </row>
    <row r="135">
      <c r="A135" s="257" t="s">
        <v>2654</v>
      </c>
      <c r="B135" s="257" t="s">
        <v>2655</v>
      </c>
      <c r="C135" s="257" t="str">
        <f>VLOOKUP(A135,import!A:J,3,0)</f>
        <v>DOĞRU</v>
      </c>
      <c r="D135" s="257" t="s">
        <v>3676</v>
      </c>
      <c r="E135" s="257">
        <f>VLOOKUP(A135,import!A:J,5,0)</f>
        <v>4452</v>
      </c>
      <c r="F135" s="257">
        <f>VLOOKUP(A135,import!A:J,6,0)</f>
        <v>314</v>
      </c>
      <c r="G135" s="257">
        <f>VLOOKUP(A135,import!A:J,7,0)</f>
        <v>0</v>
      </c>
      <c r="H135" s="257">
        <f>VLOOKUP(A135,import!A:J,8,0)</f>
        <v>16</v>
      </c>
      <c r="I135" s="257">
        <f>VLOOKUP(A135,import!A:J,9,0)</f>
        <v>16</v>
      </c>
      <c r="J135" s="369">
        <f>VLOOKUP(A135,import!A:J,10,0)</f>
        <v>0</v>
      </c>
      <c r="K135" s="257" t="s">
        <v>4163</v>
      </c>
      <c r="L135" s="257">
        <v>5.303954809E9</v>
      </c>
      <c r="M135" s="257" t="s">
        <v>14</v>
      </c>
      <c r="N135" s="257" t="s">
        <v>3914</v>
      </c>
      <c r="O135" s="257" t="s">
        <v>2658</v>
      </c>
      <c r="P135" s="370" t="str">
        <f>VLOOKUP(A135,import!A:P,16,0)</f>
        <v>Geleneksel</v>
      </c>
      <c r="Q135" s="370"/>
      <c r="R135" s="370" t="b">
        <v>1</v>
      </c>
      <c r="S135" s="370" t="b">
        <v>0</v>
      </c>
      <c r="T135" s="301" t="s">
        <v>3710</v>
      </c>
      <c r="U135" s="301" t="s">
        <v>2542</v>
      </c>
      <c r="V135" s="301" t="s">
        <v>78</v>
      </c>
      <c r="W135" s="301" t="s">
        <v>4164</v>
      </c>
      <c r="X135" s="371">
        <v>44466.0</v>
      </c>
      <c r="Y135" s="371">
        <v>44467.0</v>
      </c>
      <c r="Z135" s="372"/>
      <c r="AA135" s="373" t="s">
        <v>3682</v>
      </c>
      <c r="AB135" s="374">
        <v>44466.0</v>
      </c>
      <c r="AC135" s="373" t="s">
        <v>3682</v>
      </c>
      <c r="AD135" s="374">
        <v>44574.0</v>
      </c>
      <c r="AE135" s="373"/>
      <c r="AF135" s="374"/>
      <c r="AG135" s="92"/>
      <c r="AH135" s="375"/>
      <c r="AI135" s="375"/>
      <c r="AJ135" s="375"/>
      <c r="AK135" s="373" t="s">
        <v>2542</v>
      </c>
      <c r="AL135" s="373" t="s">
        <v>2706</v>
      </c>
      <c r="AM135" s="375"/>
      <c r="AN135" s="375"/>
      <c r="AO135" s="375"/>
      <c r="AP135" s="376" t="s">
        <v>3683</v>
      </c>
      <c r="AQ135" s="375"/>
    </row>
    <row r="136">
      <c r="A136" s="266" t="s">
        <v>432</v>
      </c>
      <c r="B136" s="266" t="s">
        <v>433</v>
      </c>
      <c r="C136" s="257" t="str">
        <f>VLOOKUP(A136,import!A:J,3,0)</f>
        <v>DOĞRU</v>
      </c>
      <c r="D136" s="266" t="s">
        <v>4000</v>
      </c>
      <c r="E136" s="257">
        <f>VLOOKUP(A136,import!A:J,5,0)</f>
        <v>537</v>
      </c>
      <c r="F136" s="257">
        <f>VLOOKUP(A136,import!A:J,6,0)</f>
        <v>46</v>
      </c>
      <c r="G136" s="257">
        <f>VLOOKUP(A136,import!A:J,7,0)</f>
        <v>6</v>
      </c>
      <c r="H136" s="257">
        <f>VLOOKUP(A136,import!A:J,8,0)</f>
        <v>6</v>
      </c>
      <c r="I136" s="257">
        <f>VLOOKUP(A136,import!A:J,9,0)</f>
        <v>12</v>
      </c>
      <c r="J136" s="369">
        <f>VLOOKUP(A136,import!A:J,10,0)</f>
        <v>0.5</v>
      </c>
      <c r="K136" s="266" t="s">
        <v>4165</v>
      </c>
      <c r="L136" s="266">
        <v>5.453097068E9</v>
      </c>
      <c r="M136" s="266" t="s">
        <v>14</v>
      </c>
      <c r="N136" s="266" t="s">
        <v>3914</v>
      </c>
      <c r="O136" s="266" t="s">
        <v>435</v>
      </c>
      <c r="P136" s="370" t="str">
        <f>VLOOKUP(A136,import!A:P,16,0)</f>
        <v>Geleneksel</v>
      </c>
      <c r="Q136" s="370"/>
      <c r="R136" s="370" t="b">
        <v>1</v>
      </c>
      <c r="S136" s="370" t="b">
        <v>0</v>
      </c>
      <c r="T136" s="301" t="s">
        <v>3679</v>
      </c>
      <c r="U136" s="301" t="s">
        <v>4166</v>
      </c>
      <c r="V136" s="301" t="s">
        <v>78</v>
      </c>
      <c r="W136" s="379"/>
      <c r="X136" s="381"/>
      <c r="Y136" s="371">
        <v>44308.0</v>
      </c>
      <c r="Z136" s="377"/>
      <c r="AA136" s="375"/>
      <c r="AB136" s="375"/>
      <c r="AC136" s="375"/>
      <c r="AD136" s="375"/>
      <c r="AE136" s="92"/>
      <c r="AF136" s="375"/>
      <c r="AG136" s="92"/>
      <c r="AH136" s="375"/>
      <c r="AI136" s="375"/>
      <c r="AJ136" s="375"/>
      <c r="AK136" s="375"/>
      <c r="AL136" s="375"/>
      <c r="AM136" s="375"/>
      <c r="AN136" s="375"/>
      <c r="AO136" s="375"/>
      <c r="AP136" s="376" t="s">
        <v>3683</v>
      </c>
      <c r="AQ136" s="375"/>
    </row>
    <row r="137">
      <c r="A137" s="266" t="s">
        <v>2291</v>
      </c>
      <c r="B137" s="266" t="s">
        <v>2292</v>
      </c>
      <c r="C137" s="257" t="str">
        <f>VLOOKUP(A137,import!A:J,3,0)</f>
        <v>DOĞRU</v>
      </c>
      <c r="D137" s="266" t="s">
        <v>3713</v>
      </c>
      <c r="E137" s="257">
        <f>VLOOKUP(A137,import!A:J,5,0)</f>
        <v>4272</v>
      </c>
      <c r="F137" s="257">
        <f>VLOOKUP(A137,import!A:J,6,0)</f>
        <v>151</v>
      </c>
      <c r="G137" s="257">
        <f>VLOOKUP(A137,import!A:J,7,0)</f>
        <v>18</v>
      </c>
      <c r="H137" s="257">
        <f>VLOOKUP(A137,import!A:J,8,0)</f>
        <v>23</v>
      </c>
      <c r="I137" s="257">
        <f>VLOOKUP(A137,import!A:J,9,0)</f>
        <v>41</v>
      </c>
      <c r="J137" s="369">
        <f>VLOOKUP(A137,import!A:J,10,0)</f>
        <v>0.44</v>
      </c>
      <c r="K137" s="266" t="s">
        <v>4167</v>
      </c>
      <c r="L137" s="266">
        <v>3.222610445E9</v>
      </c>
      <c r="M137" s="266" t="s">
        <v>286</v>
      </c>
      <c r="N137" s="266" t="s">
        <v>3855</v>
      </c>
      <c r="O137" s="266" t="s">
        <v>2294</v>
      </c>
      <c r="P137" s="370" t="str">
        <f>VLOOKUP(A137,import!A:P,16,0)</f>
        <v>Geleneksel</v>
      </c>
      <c r="Q137" s="370"/>
      <c r="R137" s="370" t="b">
        <v>1</v>
      </c>
      <c r="S137" s="370" t="b">
        <v>0</v>
      </c>
      <c r="T137" s="301" t="s">
        <v>3679</v>
      </c>
      <c r="U137" s="301" t="s">
        <v>2542</v>
      </c>
      <c r="V137" s="301" t="s">
        <v>78</v>
      </c>
      <c r="W137" s="301" t="s">
        <v>4168</v>
      </c>
      <c r="X137" s="371">
        <v>44440.0</v>
      </c>
      <c r="Y137" s="371">
        <v>44233.0</v>
      </c>
      <c r="Z137" s="372"/>
      <c r="AA137" s="373" t="s">
        <v>3681</v>
      </c>
      <c r="AB137" s="374">
        <v>44384.0</v>
      </c>
      <c r="AC137" s="373" t="s">
        <v>3681</v>
      </c>
      <c r="AD137" s="374">
        <v>44389.0</v>
      </c>
      <c r="AE137" s="373" t="s">
        <v>3695</v>
      </c>
      <c r="AF137" s="374">
        <v>44413.0</v>
      </c>
      <c r="AG137" s="373" t="s">
        <v>3695</v>
      </c>
      <c r="AH137" s="374">
        <v>44414.0</v>
      </c>
      <c r="AI137" s="373" t="s">
        <v>3682</v>
      </c>
      <c r="AJ137" s="374">
        <v>44441.0</v>
      </c>
      <c r="AK137" s="373" t="s">
        <v>3752</v>
      </c>
      <c r="AL137" s="373" t="s">
        <v>4088</v>
      </c>
      <c r="AM137" s="373" t="s">
        <v>3723</v>
      </c>
      <c r="AN137" s="373" t="s">
        <v>3729</v>
      </c>
      <c r="AO137" s="373" t="s">
        <v>2542</v>
      </c>
      <c r="AP137" s="376" t="s">
        <v>3686</v>
      </c>
      <c r="AQ137" s="373"/>
    </row>
    <row r="138">
      <c r="A138" s="266" t="s">
        <v>1621</v>
      </c>
      <c r="B138" s="266" t="s">
        <v>1622</v>
      </c>
      <c r="C138" s="257" t="str">
        <f>VLOOKUP(A138,import!A:J,3,0)</f>
        <v>DOĞRU</v>
      </c>
      <c r="D138" s="266" t="s">
        <v>3713</v>
      </c>
      <c r="E138" s="257">
        <f>VLOOKUP(A138,import!A:J,5,0)</f>
        <v>8182</v>
      </c>
      <c r="F138" s="257">
        <f>VLOOKUP(A138,import!A:J,6,0)</f>
        <v>334</v>
      </c>
      <c r="G138" s="257">
        <f>VLOOKUP(A138,import!A:J,7,0)</f>
        <v>23</v>
      </c>
      <c r="H138" s="257">
        <f>VLOOKUP(A138,import!A:J,8,0)</f>
        <v>64</v>
      </c>
      <c r="I138" s="257">
        <f>VLOOKUP(A138,import!A:J,9,0)</f>
        <v>87</v>
      </c>
      <c r="J138" s="369">
        <f>VLOOKUP(A138,import!A:J,10,0)</f>
        <v>0.26</v>
      </c>
      <c r="K138" s="266" t="s">
        <v>4169</v>
      </c>
      <c r="L138" s="266">
        <v>3.222151515E9</v>
      </c>
      <c r="M138" s="266" t="s">
        <v>14</v>
      </c>
      <c r="N138" s="266" t="s">
        <v>3797</v>
      </c>
      <c r="O138" s="266" t="s">
        <v>1624</v>
      </c>
      <c r="P138" s="370" t="str">
        <f>VLOOKUP(A138,import!A:P,16,0)</f>
        <v>Geleneksel</v>
      </c>
      <c r="Q138" s="370"/>
      <c r="R138" s="370" t="b">
        <v>1</v>
      </c>
      <c r="S138" s="370" t="b">
        <v>0</v>
      </c>
      <c r="T138" s="301" t="s">
        <v>3679</v>
      </c>
      <c r="U138" s="301" t="s">
        <v>79</v>
      </c>
      <c r="V138" s="301" t="s">
        <v>78</v>
      </c>
      <c r="W138" s="301" t="s">
        <v>4170</v>
      </c>
      <c r="X138" s="371">
        <v>44462.0</v>
      </c>
      <c r="Y138" s="371">
        <v>44463.0</v>
      </c>
      <c r="Z138" s="372"/>
      <c r="AA138" s="373" t="s">
        <v>3448</v>
      </c>
      <c r="AB138" s="374">
        <v>44349.0</v>
      </c>
      <c r="AC138" s="373" t="s">
        <v>3682</v>
      </c>
      <c r="AD138" s="374">
        <v>44375.0</v>
      </c>
      <c r="AE138" s="373" t="s">
        <v>3681</v>
      </c>
      <c r="AF138" s="374">
        <v>44468.0</v>
      </c>
      <c r="AG138" s="373" t="s">
        <v>3682</v>
      </c>
      <c r="AH138" s="374">
        <v>44379.0</v>
      </c>
      <c r="AI138" s="373" t="s">
        <v>3682</v>
      </c>
      <c r="AJ138" s="374">
        <v>44442.0</v>
      </c>
      <c r="AK138" s="373" t="s">
        <v>111</v>
      </c>
      <c r="AL138" s="373" t="s">
        <v>399</v>
      </c>
      <c r="AM138" s="373" t="s">
        <v>1014</v>
      </c>
      <c r="AN138" s="373" t="s">
        <v>79</v>
      </c>
      <c r="AO138" s="373" t="s">
        <v>399</v>
      </c>
      <c r="AP138" s="376" t="s">
        <v>3683</v>
      </c>
      <c r="AQ138" s="373"/>
    </row>
    <row r="139">
      <c r="A139" s="257" t="s">
        <v>85</v>
      </c>
      <c r="B139" s="257" t="s">
        <v>86</v>
      </c>
      <c r="C139" s="257" t="str">
        <f>VLOOKUP(A139,import!A:J,3,0)</f>
        <v>DOĞRU</v>
      </c>
      <c r="D139" s="257" t="s">
        <v>4000</v>
      </c>
      <c r="E139" s="257">
        <f>VLOOKUP(A139,import!A:J,5,0)</f>
        <v>10472</v>
      </c>
      <c r="F139" s="257">
        <f>VLOOKUP(A139,import!A:J,6,0)</f>
        <v>278</v>
      </c>
      <c r="G139" s="257">
        <f>VLOOKUP(A139,import!A:J,7,0)</f>
        <v>10</v>
      </c>
      <c r="H139" s="257">
        <f>VLOOKUP(A139,import!A:J,8,0)</f>
        <v>21</v>
      </c>
      <c r="I139" s="257">
        <f>VLOOKUP(A139,import!A:J,9,0)</f>
        <v>31</v>
      </c>
      <c r="J139" s="369">
        <f>VLOOKUP(A139,import!A:J,10,0)</f>
        <v>0.32</v>
      </c>
      <c r="K139" s="257" t="s">
        <v>4171</v>
      </c>
      <c r="L139" s="257">
        <v>3.222349404E9</v>
      </c>
      <c r="M139" s="257" t="s">
        <v>14</v>
      </c>
      <c r="N139" s="257" t="s">
        <v>3797</v>
      </c>
      <c r="O139" s="257" t="s">
        <v>89</v>
      </c>
      <c r="P139" s="370" t="str">
        <f>VLOOKUP(A139,import!A:P,16,0)</f>
        <v>Geleneksel</v>
      </c>
      <c r="Q139" s="370"/>
      <c r="R139" s="370" t="b">
        <v>1</v>
      </c>
      <c r="S139" s="370" t="b">
        <v>0</v>
      </c>
      <c r="T139" s="301" t="s">
        <v>3679</v>
      </c>
      <c r="U139" s="301" t="s">
        <v>79</v>
      </c>
      <c r="V139" s="301" t="s">
        <v>15</v>
      </c>
      <c r="W139" s="301" t="s">
        <v>4172</v>
      </c>
      <c r="X139" s="371">
        <v>44287.0</v>
      </c>
      <c r="Y139" s="371">
        <v>44291.0</v>
      </c>
      <c r="Z139" s="377"/>
      <c r="AA139" s="373" t="s">
        <v>3695</v>
      </c>
      <c r="AB139" s="374">
        <v>44363.0</v>
      </c>
      <c r="AC139" s="373" t="s">
        <v>3681</v>
      </c>
      <c r="AD139" s="374">
        <v>44375.0</v>
      </c>
      <c r="AE139" s="92"/>
      <c r="AF139" s="375"/>
      <c r="AG139" s="92"/>
      <c r="AH139" s="375"/>
      <c r="AI139" s="375"/>
      <c r="AJ139" s="375"/>
      <c r="AK139" s="373" t="s">
        <v>399</v>
      </c>
      <c r="AL139" s="373" t="s">
        <v>399</v>
      </c>
      <c r="AM139" s="375"/>
      <c r="AN139" s="375"/>
      <c r="AO139" s="375"/>
      <c r="AP139" s="376" t="s">
        <v>3683</v>
      </c>
      <c r="AQ139" s="375"/>
    </row>
    <row r="140">
      <c r="A140" s="376" t="s">
        <v>4173</v>
      </c>
      <c r="B140" s="376" t="s">
        <v>4174</v>
      </c>
      <c r="C140" s="257" t="str">
        <f>VLOOKUP(A140,import!A:J,3,0)</f>
        <v>DOĞRU</v>
      </c>
      <c r="D140" s="376" t="s">
        <v>3842</v>
      </c>
      <c r="E140" s="257">
        <f>VLOOKUP(A140,import!A:J,5,0)</f>
        <v>31</v>
      </c>
      <c r="F140" s="257">
        <f>VLOOKUP(A140,import!A:J,6,0)</f>
        <v>31</v>
      </c>
      <c r="G140" s="257">
        <f>VLOOKUP(A140,import!A:J,7,0)</f>
        <v>0</v>
      </c>
      <c r="H140" s="257">
        <f>VLOOKUP(A140,import!A:J,8,0)</f>
        <v>17</v>
      </c>
      <c r="I140" s="257">
        <f>VLOOKUP(A140,import!A:J,9,0)</f>
        <v>17</v>
      </c>
      <c r="J140" s="369">
        <f>VLOOKUP(A140,import!A:J,10,0)</f>
        <v>0</v>
      </c>
      <c r="K140" s="376" t="s">
        <v>4175</v>
      </c>
      <c r="L140" s="376">
        <v>3.226132524E9</v>
      </c>
      <c r="M140" s="376" t="s">
        <v>3701</v>
      </c>
      <c r="N140" s="376" t="s">
        <v>4176</v>
      </c>
      <c r="O140" s="376" t="s">
        <v>4177</v>
      </c>
      <c r="P140" s="370" t="str">
        <f>VLOOKUP(A140,import!A:P,16,0)</f>
        <v>Geleneksel</v>
      </c>
      <c r="Q140" s="370"/>
      <c r="R140" s="370" t="b">
        <v>0</v>
      </c>
      <c r="S140" s="370" t="b">
        <v>0</v>
      </c>
      <c r="T140" s="301"/>
      <c r="U140" s="301"/>
      <c r="V140" s="301"/>
      <c r="W140" s="301"/>
      <c r="X140" s="371"/>
      <c r="Y140" s="371"/>
      <c r="Z140" s="372"/>
      <c r="AA140" s="373"/>
      <c r="AB140" s="374"/>
      <c r="AC140" s="373"/>
      <c r="AD140" s="374"/>
      <c r="AE140" s="373"/>
      <c r="AF140" s="374"/>
      <c r="AG140" s="373"/>
      <c r="AH140" s="374"/>
      <c r="AI140" s="373"/>
      <c r="AJ140" s="374"/>
      <c r="AK140" s="373"/>
      <c r="AL140" s="373"/>
      <c r="AM140" s="373"/>
      <c r="AN140" s="373"/>
      <c r="AO140" s="373"/>
      <c r="AP140" s="376"/>
      <c r="AQ140" s="373"/>
    </row>
    <row r="141">
      <c r="A141" s="257" t="s">
        <v>4178</v>
      </c>
      <c r="B141" s="257" t="s">
        <v>4179</v>
      </c>
      <c r="C141" s="257" t="str">
        <f>VLOOKUP(A141,import!A:J,3,0)</f>
        <v>DOĞRU</v>
      </c>
      <c r="D141" s="257" t="s">
        <v>3676</v>
      </c>
      <c r="E141" s="257">
        <f>VLOOKUP(A141,import!A:J,5,0)</f>
        <v>123</v>
      </c>
      <c r="F141" s="257">
        <f>VLOOKUP(A141,import!A:J,6,0)</f>
        <v>27</v>
      </c>
      <c r="G141" s="257">
        <f>VLOOKUP(A141,import!A:J,7,0)</f>
        <v>0</v>
      </c>
      <c r="H141" s="257">
        <f>VLOOKUP(A141,import!A:J,8,0)</f>
        <v>102</v>
      </c>
      <c r="I141" s="257">
        <f>VLOOKUP(A141,import!A:J,9,0)</f>
        <v>102</v>
      </c>
      <c r="J141" s="369">
        <f>VLOOKUP(A141,import!A:J,10,0)</f>
        <v>0</v>
      </c>
      <c r="K141" s="257" t="s">
        <v>4180</v>
      </c>
      <c r="L141" s="257">
        <v>5.327656584E9</v>
      </c>
      <c r="M141" s="257" t="s">
        <v>286</v>
      </c>
      <c r="N141" s="257" t="s">
        <v>3746</v>
      </c>
      <c r="O141" s="257" t="s">
        <v>4181</v>
      </c>
      <c r="P141" s="370" t="str">
        <f>VLOOKUP(A141,import!A:P,16,0)</f>
        <v>Geleneksel</v>
      </c>
      <c r="Q141" s="370"/>
      <c r="R141" s="370" t="b">
        <v>1</v>
      </c>
      <c r="S141" s="370" t="b">
        <v>0</v>
      </c>
      <c r="T141" s="301" t="s">
        <v>4182</v>
      </c>
      <c r="U141" s="379"/>
      <c r="V141" s="379"/>
      <c r="W141" s="301" t="s">
        <v>4183</v>
      </c>
      <c r="X141" s="381"/>
      <c r="Y141" s="381"/>
      <c r="Z141" s="372"/>
      <c r="AA141" s="375"/>
      <c r="AB141" s="375"/>
      <c r="AC141" s="375"/>
      <c r="AD141" s="375"/>
      <c r="AE141" s="92"/>
      <c r="AF141" s="375"/>
      <c r="AG141" s="92"/>
      <c r="AH141" s="375"/>
      <c r="AI141" s="375"/>
      <c r="AJ141" s="374">
        <v>44432.0</v>
      </c>
      <c r="AK141" s="375"/>
      <c r="AL141" s="375"/>
      <c r="AM141" s="375"/>
      <c r="AN141" s="375"/>
      <c r="AO141" s="375"/>
      <c r="AP141" s="376" t="s">
        <v>3686</v>
      </c>
      <c r="AQ141" s="375"/>
    </row>
    <row r="142">
      <c r="A142" s="257" t="s">
        <v>2672</v>
      </c>
      <c r="B142" s="257" t="s">
        <v>2673</v>
      </c>
      <c r="C142" s="257" t="str">
        <f>VLOOKUP(A142,import!A:J,3,0)</f>
        <v>DOĞRU</v>
      </c>
      <c r="D142" s="257" t="s">
        <v>3912</v>
      </c>
      <c r="E142" s="257">
        <f>VLOOKUP(A142,import!A:J,5,0)</f>
        <v>37</v>
      </c>
      <c r="F142" s="257" t="str">
        <f>VLOOKUP(A142,import!A:J,6,0)</f>
        <v/>
      </c>
      <c r="G142" s="257">
        <f>VLOOKUP(A142,import!A:J,7,0)</f>
        <v>5</v>
      </c>
      <c r="H142" s="257">
        <f>VLOOKUP(A142,import!A:J,8,0)</f>
        <v>12</v>
      </c>
      <c r="I142" s="257">
        <f>VLOOKUP(A142,import!A:J,9,0)</f>
        <v>17</v>
      </c>
      <c r="J142" s="369">
        <f>VLOOKUP(A142,import!A:J,10,0)</f>
        <v>0.29</v>
      </c>
      <c r="K142" s="257" t="s">
        <v>4184</v>
      </c>
      <c r="L142" s="257">
        <v>5.4161301E9</v>
      </c>
      <c r="M142" s="257" t="s">
        <v>286</v>
      </c>
      <c r="N142" s="257" t="s">
        <v>3782</v>
      </c>
      <c r="O142" s="257" t="s">
        <v>4185</v>
      </c>
      <c r="P142" s="370" t="str">
        <f>VLOOKUP(A142,import!A:P,16,0)</f>
        <v>Geleneksel</v>
      </c>
      <c r="Q142" s="370"/>
      <c r="R142" s="370" t="b">
        <v>1</v>
      </c>
      <c r="S142" s="370" t="b">
        <v>0</v>
      </c>
      <c r="T142" s="301" t="s">
        <v>3679</v>
      </c>
      <c r="U142" s="301" t="s">
        <v>2542</v>
      </c>
      <c r="V142" s="301" t="s">
        <v>78</v>
      </c>
      <c r="W142" s="301"/>
      <c r="X142" s="371">
        <v>44466.0</v>
      </c>
      <c r="Y142" s="371">
        <v>44467.0</v>
      </c>
      <c r="Z142" s="372"/>
      <c r="AA142" s="373" t="s">
        <v>3682</v>
      </c>
      <c r="AB142" s="374">
        <v>44466.0</v>
      </c>
      <c r="AC142" s="373"/>
      <c r="AD142" s="374"/>
      <c r="AE142" s="373"/>
      <c r="AF142" s="374"/>
      <c r="AG142" s="92"/>
      <c r="AH142" s="375"/>
      <c r="AI142" s="375"/>
      <c r="AJ142" s="375"/>
      <c r="AK142" s="373" t="s">
        <v>2542</v>
      </c>
      <c r="AL142" s="375"/>
      <c r="AM142" s="375"/>
      <c r="AN142" s="375"/>
      <c r="AO142" s="375"/>
      <c r="AP142" s="376" t="s">
        <v>3686</v>
      </c>
      <c r="AQ142" s="375"/>
    </row>
    <row r="143">
      <c r="A143" s="257" t="s">
        <v>4186</v>
      </c>
      <c r="B143" s="257" t="s">
        <v>4187</v>
      </c>
      <c r="C143" s="257" t="str">
        <f>VLOOKUP(A143,import!A:J,3,0)</f>
        <v>DOĞRU</v>
      </c>
      <c r="D143" s="257" t="s">
        <v>3676</v>
      </c>
      <c r="E143" s="257">
        <f>VLOOKUP(A143,import!A:J,5,0)</f>
        <v>983</v>
      </c>
      <c r="F143" s="257">
        <f>VLOOKUP(A143,import!A:J,6,0)</f>
        <v>43</v>
      </c>
      <c r="G143" s="257">
        <f>VLOOKUP(A143,import!A:J,7,0)</f>
        <v>0</v>
      </c>
      <c r="H143" s="257">
        <f>VLOOKUP(A143,import!A:J,8,0)</f>
        <v>31</v>
      </c>
      <c r="I143" s="257">
        <f>VLOOKUP(A143,import!A:J,9,0)</f>
        <v>31</v>
      </c>
      <c r="J143" s="369">
        <f>VLOOKUP(A143,import!A:J,10,0)</f>
        <v>0</v>
      </c>
      <c r="K143" s="257" t="s">
        <v>4188</v>
      </c>
      <c r="L143" s="257">
        <v>3.222250021E9</v>
      </c>
      <c r="M143" s="257" t="s">
        <v>14</v>
      </c>
      <c r="N143" s="257" t="s">
        <v>3767</v>
      </c>
      <c r="O143" s="257" t="s">
        <v>4189</v>
      </c>
      <c r="P143" s="370" t="str">
        <f>VLOOKUP(A143,import!A:P,16,0)</f>
        <v>Geleneksel</v>
      </c>
      <c r="Q143" s="370"/>
      <c r="R143" s="370" t="b">
        <v>1</v>
      </c>
      <c r="S143" s="370" t="b">
        <v>0</v>
      </c>
      <c r="T143" s="301" t="s">
        <v>3770</v>
      </c>
      <c r="U143" s="379"/>
      <c r="V143" s="384"/>
      <c r="W143" s="301" t="s">
        <v>4190</v>
      </c>
      <c r="X143" s="381"/>
      <c r="Y143" s="381"/>
      <c r="Z143" s="372"/>
      <c r="AA143" s="373" t="s">
        <v>3682</v>
      </c>
      <c r="AB143" s="374">
        <v>44355.0</v>
      </c>
      <c r="AC143" s="373" t="s">
        <v>3682</v>
      </c>
      <c r="AD143" s="374">
        <v>44379.0</v>
      </c>
      <c r="AE143" s="373" t="s">
        <v>3682</v>
      </c>
      <c r="AF143" s="374">
        <v>44382.0</v>
      </c>
      <c r="AG143" s="373" t="s">
        <v>3682</v>
      </c>
      <c r="AH143" s="374">
        <v>44412.0</v>
      </c>
      <c r="AI143" s="373" t="s">
        <v>3695</v>
      </c>
      <c r="AJ143" s="374">
        <v>44523.0</v>
      </c>
      <c r="AK143" s="373" t="s">
        <v>399</v>
      </c>
      <c r="AL143" s="373" t="s">
        <v>79</v>
      </c>
      <c r="AM143" s="373" t="s">
        <v>1014</v>
      </c>
      <c r="AN143" s="373" t="s">
        <v>3723</v>
      </c>
      <c r="AO143" s="373" t="s">
        <v>2941</v>
      </c>
      <c r="AP143" s="376" t="s">
        <v>3683</v>
      </c>
      <c r="AQ143" s="373"/>
    </row>
    <row r="144">
      <c r="A144" s="257" t="s">
        <v>4191</v>
      </c>
      <c r="B144" s="257" t="s">
        <v>4192</v>
      </c>
      <c r="C144" s="257" t="str">
        <f>VLOOKUP(A144,import!A:J,3,0)</f>
        <v>DOĞRU</v>
      </c>
      <c r="D144" s="257" t="s">
        <v>3713</v>
      </c>
      <c r="E144" s="257">
        <f>VLOOKUP(A144,import!A:J,5,0)</f>
        <v>513</v>
      </c>
      <c r="F144" s="257">
        <f>VLOOKUP(A144,import!A:J,6,0)</f>
        <v>37</v>
      </c>
      <c r="G144" s="257">
        <f>VLOOKUP(A144,import!A:J,7,0)</f>
        <v>0</v>
      </c>
      <c r="H144" s="257">
        <f>VLOOKUP(A144,import!A:J,8,0)</f>
        <v>46</v>
      </c>
      <c r="I144" s="257">
        <f>VLOOKUP(A144,import!A:J,9,0)</f>
        <v>46</v>
      </c>
      <c r="J144" s="369">
        <f>VLOOKUP(A144,import!A:J,10,0)</f>
        <v>0</v>
      </c>
      <c r="K144" s="257" t="s">
        <v>4193</v>
      </c>
      <c r="L144" s="257">
        <v>3.222566162E9</v>
      </c>
      <c r="M144" s="257" t="s">
        <v>14</v>
      </c>
      <c r="N144" s="257" t="s">
        <v>4194</v>
      </c>
      <c r="O144" s="257" t="s">
        <v>4195</v>
      </c>
      <c r="P144" s="370" t="str">
        <f>VLOOKUP(A144,import!A:P,16,0)</f>
        <v>Geleneksel</v>
      </c>
      <c r="Q144" s="370"/>
      <c r="R144" s="370" t="b">
        <v>1</v>
      </c>
      <c r="S144" s="370" t="b">
        <v>1</v>
      </c>
      <c r="T144" s="301" t="s">
        <v>3696</v>
      </c>
      <c r="U144" s="301"/>
      <c r="V144" s="301"/>
      <c r="W144" s="301" t="s">
        <v>4196</v>
      </c>
      <c r="X144" s="371"/>
      <c r="Y144" s="371"/>
      <c r="Z144" s="377"/>
      <c r="AA144" s="373" t="s">
        <v>3695</v>
      </c>
      <c r="AB144" s="374">
        <v>44368.0</v>
      </c>
      <c r="AC144" s="373" t="s">
        <v>3681</v>
      </c>
      <c r="AD144" s="374">
        <v>44378.0</v>
      </c>
      <c r="AE144" s="373" t="s">
        <v>3682</v>
      </c>
      <c r="AF144" s="374">
        <v>44259.0</v>
      </c>
      <c r="AG144" s="373" t="s">
        <v>3682</v>
      </c>
      <c r="AH144" s="374">
        <v>44414.0</v>
      </c>
      <c r="AI144" s="373" t="s">
        <v>3682</v>
      </c>
      <c r="AJ144" s="374">
        <v>44519.0</v>
      </c>
      <c r="AK144" s="373" t="s">
        <v>3916</v>
      </c>
      <c r="AL144" s="373" t="s">
        <v>3752</v>
      </c>
      <c r="AM144" s="373" t="s">
        <v>3723</v>
      </c>
      <c r="AN144" s="373" t="s">
        <v>3729</v>
      </c>
      <c r="AO144" s="373" t="s">
        <v>3073</v>
      </c>
      <c r="AP144" s="376" t="s">
        <v>3683</v>
      </c>
      <c r="AQ144" s="373"/>
    </row>
    <row r="145">
      <c r="A145" s="257" t="s">
        <v>4197</v>
      </c>
      <c r="B145" s="257" t="s">
        <v>4198</v>
      </c>
      <c r="C145" s="257" t="str">
        <f>VLOOKUP(A145,import!A:J,3,0)</f>
        <v>DOĞRU</v>
      </c>
      <c r="D145" s="257" t="s">
        <v>3713</v>
      </c>
      <c r="E145" s="257">
        <f>VLOOKUP(A145,import!A:J,5,0)</f>
        <v>4756</v>
      </c>
      <c r="F145" s="257">
        <f>VLOOKUP(A145,import!A:J,6,0)</f>
        <v>123</v>
      </c>
      <c r="G145" s="257">
        <f>VLOOKUP(A145,import!A:J,7,0)</f>
        <v>0</v>
      </c>
      <c r="H145" s="257">
        <f>VLOOKUP(A145,import!A:J,8,0)</f>
        <v>55</v>
      </c>
      <c r="I145" s="257">
        <f>VLOOKUP(A145,import!A:J,9,0)</f>
        <v>55</v>
      </c>
      <c r="J145" s="369">
        <f>VLOOKUP(A145,import!A:J,10,0)</f>
        <v>0</v>
      </c>
      <c r="K145" s="257">
        <v>5.468810203E9</v>
      </c>
      <c r="L145" s="257">
        <v>3.22235586E9</v>
      </c>
      <c r="M145" s="257" t="s">
        <v>14</v>
      </c>
      <c r="N145" s="257" t="s">
        <v>3733</v>
      </c>
      <c r="O145" s="257" t="s">
        <v>4199</v>
      </c>
      <c r="P145" s="370" t="str">
        <f>VLOOKUP(A145,import!A:P,16,0)</f>
        <v>Geleneksel</v>
      </c>
      <c r="Q145" s="370"/>
      <c r="R145" s="370" t="b">
        <v>1</v>
      </c>
      <c r="S145" s="370" t="b">
        <v>1</v>
      </c>
      <c r="T145" s="301"/>
      <c r="U145" s="301"/>
      <c r="V145" s="301"/>
      <c r="W145" s="301" t="s">
        <v>4200</v>
      </c>
      <c r="X145" s="371"/>
      <c r="Y145" s="371"/>
      <c r="Z145" s="377"/>
      <c r="AA145" s="373" t="s">
        <v>3448</v>
      </c>
      <c r="AB145" s="374">
        <v>44412.0</v>
      </c>
      <c r="AC145" s="373" t="s">
        <v>3448</v>
      </c>
      <c r="AD145" s="374">
        <v>44414.0</v>
      </c>
      <c r="AE145" s="373" t="s">
        <v>3682</v>
      </c>
      <c r="AF145" s="374">
        <v>44418.0</v>
      </c>
      <c r="AG145" s="373" t="s">
        <v>3448</v>
      </c>
      <c r="AH145" s="374">
        <v>44519.0</v>
      </c>
      <c r="AI145" s="375"/>
      <c r="AJ145" s="375"/>
      <c r="AK145" s="373" t="s">
        <v>3723</v>
      </c>
      <c r="AL145" s="373" t="s">
        <v>3729</v>
      </c>
      <c r="AM145" s="373" t="s">
        <v>1953</v>
      </c>
      <c r="AN145" s="373" t="s">
        <v>3073</v>
      </c>
      <c r="AO145" s="375"/>
      <c r="AP145" s="376" t="s">
        <v>3683</v>
      </c>
      <c r="AQ145" s="375"/>
    </row>
    <row r="146">
      <c r="A146" s="257" t="s">
        <v>4201</v>
      </c>
      <c r="B146" s="257" t="s">
        <v>4202</v>
      </c>
      <c r="C146" s="257" t="str">
        <f>VLOOKUP(A146,import!A:J,3,0)</f>
        <v>DOĞRU</v>
      </c>
      <c r="D146" s="257" t="s">
        <v>3713</v>
      </c>
      <c r="E146" s="257">
        <f>VLOOKUP(A146,import!A:J,5,0)</f>
        <v>7163</v>
      </c>
      <c r="F146" s="257">
        <f>VLOOKUP(A146,import!A:J,6,0)</f>
        <v>270</v>
      </c>
      <c r="G146" s="257">
        <f>VLOOKUP(A146,import!A:J,7,0)</f>
        <v>0</v>
      </c>
      <c r="H146" s="257">
        <f>VLOOKUP(A146,import!A:J,8,0)</f>
        <v>75</v>
      </c>
      <c r="I146" s="257">
        <f>VLOOKUP(A146,import!A:J,9,0)</f>
        <v>75</v>
      </c>
      <c r="J146" s="369">
        <f>VLOOKUP(A146,import!A:J,10,0)</f>
        <v>0</v>
      </c>
      <c r="K146" s="257" t="s">
        <v>4203</v>
      </c>
      <c r="L146" s="257">
        <v>3.222344387E9</v>
      </c>
      <c r="M146" s="257" t="s">
        <v>14</v>
      </c>
      <c r="N146" s="257" t="s">
        <v>3797</v>
      </c>
      <c r="O146" s="257" t="s">
        <v>4204</v>
      </c>
      <c r="P146" s="370" t="str">
        <f>VLOOKUP(A146,import!A:P,16,0)</f>
        <v>Geleneksel</v>
      </c>
      <c r="Q146" s="370"/>
      <c r="R146" s="370" t="b">
        <v>1</v>
      </c>
      <c r="S146" s="370" t="b">
        <v>1</v>
      </c>
      <c r="T146" s="301"/>
      <c r="U146" s="301"/>
      <c r="V146" s="301"/>
      <c r="W146" s="301" t="s">
        <v>4205</v>
      </c>
      <c r="X146" s="371"/>
      <c r="Y146" s="371"/>
      <c r="Z146" s="377"/>
      <c r="AA146" s="373" t="s">
        <v>3682</v>
      </c>
      <c r="AB146" s="374">
        <v>44375.0</v>
      </c>
      <c r="AC146" s="373" t="s">
        <v>3448</v>
      </c>
      <c r="AD146" s="374">
        <v>44414.0</v>
      </c>
      <c r="AE146" s="373" t="s">
        <v>3682</v>
      </c>
      <c r="AF146" s="374">
        <v>44440.0</v>
      </c>
      <c r="AG146" s="373" t="s">
        <v>3695</v>
      </c>
      <c r="AH146" s="374">
        <v>44519.0</v>
      </c>
      <c r="AI146" s="375"/>
      <c r="AJ146" s="375"/>
      <c r="AK146" s="373" t="s">
        <v>399</v>
      </c>
      <c r="AL146" s="373" t="s">
        <v>3729</v>
      </c>
      <c r="AM146" s="373" t="s">
        <v>2542</v>
      </c>
      <c r="AN146" s="373" t="s">
        <v>3073</v>
      </c>
      <c r="AO146" s="375"/>
      <c r="AP146" s="376" t="s">
        <v>3683</v>
      </c>
      <c r="AQ146" s="375"/>
    </row>
    <row r="147">
      <c r="A147" s="257" t="s">
        <v>4206</v>
      </c>
      <c r="B147" s="257" t="s">
        <v>4207</v>
      </c>
      <c r="C147" s="257" t="str">
        <f>VLOOKUP(A147,import!A:J,3,0)</f>
        <v>DOĞRU</v>
      </c>
      <c r="D147" s="257" t="s">
        <v>3713</v>
      </c>
      <c r="E147" s="257">
        <f>VLOOKUP(A147,import!A:J,5,0)</f>
        <v>17677</v>
      </c>
      <c r="F147" s="257">
        <f>VLOOKUP(A147,import!A:J,6,0)</f>
        <v>537</v>
      </c>
      <c r="G147" s="257">
        <f>VLOOKUP(A147,import!A:J,7,0)</f>
        <v>0</v>
      </c>
      <c r="H147" s="257">
        <f>VLOOKUP(A147,import!A:J,8,0)</f>
        <v>65</v>
      </c>
      <c r="I147" s="257">
        <f>VLOOKUP(A147,import!A:J,9,0)</f>
        <v>65</v>
      </c>
      <c r="J147" s="369">
        <f>VLOOKUP(A147,import!A:J,10,0)</f>
        <v>0</v>
      </c>
      <c r="K147" s="257" t="s">
        <v>4208</v>
      </c>
      <c r="L147" s="257">
        <v>3.222563042E9</v>
      </c>
      <c r="M147" s="257" t="s">
        <v>14</v>
      </c>
      <c r="N147" s="257" t="s">
        <v>3678</v>
      </c>
      <c r="O147" s="257" t="s">
        <v>4209</v>
      </c>
      <c r="P147" s="370" t="str">
        <f>VLOOKUP(A147,import!A:P,16,0)</f>
        <v>Geleneksel</v>
      </c>
      <c r="Q147" s="370"/>
      <c r="R147" s="370" t="b">
        <v>1</v>
      </c>
      <c r="S147" s="370" t="b">
        <v>1</v>
      </c>
      <c r="T147" s="301"/>
      <c r="U147" s="301"/>
      <c r="V147" s="301"/>
      <c r="W147" s="301" t="s">
        <v>4210</v>
      </c>
      <c r="X147" s="371"/>
      <c r="Y147" s="371"/>
      <c r="Z147" s="377"/>
      <c r="AA147" s="373" t="s">
        <v>3682</v>
      </c>
      <c r="AB147" s="374">
        <v>44412.0</v>
      </c>
      <c r="AC147" s="373" t="s">
        <v>3448</v>
      </c>
      <c r="AD147" s="374">
        <v>44414.0</v>
      </c>
      <c r="AE147" s="373" t="s">
        <v>3448</v>
      </c>
      <c r="AF147" s="374">
        <v>44441.0</v>
      </c>
      <c r="AG147" s="92"/>
      <c r="AH147" s="374">
        <v>44418.0</v>
      </c>
      <c r="AI147" s="373" t="s">
        <v>3682</v>
      </c>
      <c r="AJ147" s="374">
        <v>44519.0</v>
      </c>
      <c r="AK147" s="373" t="s">
        <v>3723</v>
      </c>
      <c r="AL147" s="373" t="s">
        <v>3729</v>
      </c>
      <c r="AM147" s="373" t="s">
        <v>2542</v>
      </c>
      <c r="AN147" s="373" t="s">
        <v>1953</v>
      </c>
      <c r="AO147" s="373" t="s">
        <v>3073</v>
      </c>
      <c r="AP147" s="376" t="s">
        <v>3683</v>
      </c>
      <c r="AQ147" s="373"/>
    </row>
    <row r="148">
      <c r="A148" s="257" t="s">
        <v>17</v>
      </c>
      <c r="B148" s="257" t="s">
        <v>18</v>
      </c>
      <c r="C148" s="257" t="str">
        <f>VLOOKUP(A148,import!A:J,3,0)</f>
        <v>DOĞRU</v>
      </c>
      <c r="D148" s="257" t="s">
        <v>4000</v>
      </c>
      <c r="E148" s="257">
        <f>VLOOKUP(A148,import!A:J,5,0)</f>
        <v>4119</v>
      </c>
      <c r="F148" s="257">
        <f>VLOOKUP(A148,import!A:J,6,0)</f>
        <v>112</v>
      </c>
      <c r="G148" s="257">
        <f>VLOOKUP(A148,import!A:J,7,0)</f>
        <v>20</v>
      </c>
      <c r="H148" s="257">
        <f>VLOOKUP(A148,import!A:J,8,0)</f>
        <v>46</v>
      </c>
      <c r="I148" s="257">
        <f>VLOOKUP(A148,import!A:J,9,0)</f>
        <v>66</v>
      </c>
      <c r="J148" s="369">
        <f>VLOOKUP(A148,import!A:J,10,0)</f>
        <v>0.3</v>
      </c>
      <c r="K148" s="257" t="s">
        <v>4211</v>
      </c>
      <c r="L148" s="257">
        <v>5.426752656E9</v>
      </c>
      <c r="M148" s="257" t="s">
        <v>14</v>
      </c>
      <c r="N148" s="257" t="s">
        <v>3733</v>
      </c>
      <c r="O148" s="257" t="s">
        <v>21</v>
      </c>
      <c r="P148" s="370" t="str">
        <f>VLOOKUP(A148,import!A:P,16,0)</f>
        <v>Geleneksel</v>
      </c>
      <c r="Q148" s="370"/>
      <c r="R148" s="370" t="b">
        <v>1</v>
      </c>
      <c r="S148" s="370" t="b">
        <v>1</v>
      </c>
      <c r="T148" s="301"/>
      <c r="U148" s="301"/>
      <c r="V148" s="301"/>
      <c r="W148" s="301" t="s">
        <v>4212</v>
      </c>
      <c r="X148" s="371"/>
      <c r="Y148" s="371"/>
      <c r="Z148" s="377"/>
      <c r="AA148" s="373" t="s">
        <v>3695</v>
      </c>
      <c r="AB148" s="374">
        <v>44383.0</v>
      </c>
      <c r="AC148" s="373" t="s">
        <v>3448</v>
      </c>
      <c r="AD148" s="374">
        <v>44441.0</v>
      </c>
      <c r="AE148" s="92"/>
      <c r="AF148" s="375"/>
      <c r="AG148" s="92"/>
      <c r="AH148" s="375"/>
      <c r="AI148" s="375"/>
      <c r="AJ148" s="375"/>
      <c r="AK148" s="373" t="s">
        <v>3974</v>
      </c>
      <c r="AL148" s="373" t="s">
        <v>2542</v>
      </c>
      <c r="AM148" s="375"/>
      <c r="AN148" s="375"/>
      <c r="AO148" s="375"/>
      <c r="AP148" s="376" t="s">
        <v>3683</v>
      </c>
      <c r="AQ148" s="375"/>
    </row>
    <row r="149">
      <c r="A149" s="257" t="s">
        <v>3062</v>
      </c>
      <c r="B149" s="257" t="s">
        <v>3063</v>
      </c>
      <c r="C149" s="257" t="str">
        <f>VLOOKUP(A149,import!A:J,3,0)</f>
        <v>DOĞRU</v>
      </c>
      <c r="D149" s="257" t="s">
        <v>4000</v>
      </c>
      <c r="E149" s="257">
        <f>VLOOKUP(A149,import!A:J,5,0)</f>
        <v>3886</v>
      </c>
      <c r="F149" s="257">
        <f>VLOOKUP(A149,import!A:J,6,0)</f>
        <v>147</v>
      </c>
      <c r="G149" s="257">
        <f>VLOOKUP(A149,import!A:J,7,0)</f>
        <v>20</v>
      </c>
      <c r="H149" s="257">
        <f>VLOOKUP(A149,import!A:J,8,0)</f>
        <v>46</v>
      </c>
      <c r="I149" s="257">
        <f>VLOOKUP(A149,import!A:J,9,0)</f>
        <v>66</v>
      </c>
      <c r="J149" s="369">
        <f>VLOOKUP(A149,import!A:J,10,0)</f>
        <v>0.3</v>
      </c>
      <c r="K149" s="257" t="s">
        <v>4211</v>
      </c>
      <c r="L149" s="257">
        <v>5.49199919E9</v>
      </c>
      <c r="M149" s="257" t="s">
        <v>286</v>
      </c>
      <c r="N149" s="257" t="s">
        <v>3855</v>
      </c>
      <c r="O149" s="257" t="s">
        <v>3066</v>
      </c>
      <c r="P149" s="370" t="str">
        <f>VLOOKUP(A149,import!A:P,16,0)</f>
        <v>Geleneksel</v>
      </c>
      <c r="Q149" s="370"/>
      <c r="R149" s="370" t="b">
        <v>1</v>
      </c>
      <c r="S149" s="370" t="b">
        <v>0</v>
      </c>
      <c r="T149" s="301" t="s">
        <v>3679</v>
      </c>
      <c r="U149" s="301" t="s">
        <v>2941</v>
      </c>
      <c r="V149" s="301" t="s">
        <v>78</v>
      </c>
      <c r="W149" s="301" t="s">
        <v>4213</v>
      </c>
      <c r="X149" s="371">
        <v>44509.0</v>
      </c>
      <c r="Y149" s="371">
        <v>44511.0</v>
      </c>
      <c r="Z149" s="377"/>
      <c r="AA149" s="373" t="s">
        <v>3682</v>
      </c>
      <c r="AB149" s="374">
        <v>44386.0</v>
      </c>
      <c r="AC149" s="373" t="s">
        <v>3695</v>
      </c>
      <c r="AD149" s="374">
        <v>44442.0</v>
      </c>
      <c r="AE149" s="373" t="s">
        <v>3682</v>
      </c>
      <c r="AF149" s="374">
        <v>44509.0</v>
      </c>
      <c r="AG149" s="92"/>
      <c r="AH149" s="375"/>
      <c r="AI149" s="375"/>
      <c r="AJ149" s="375"/>
      <c r="AK149" s="373" t="s">
        <v>79</v>
      </c>
      <c r="AL149" s="373" t="s">
        <v>399</v>
      </c>
      <c r="AM149" s="373" t="s">
        <v>2941</v>
      </c>
      <c r="AN149" s="375"/>
      <c r="AO149" s="375"/>
      <c r="AP149" s="376" t="s">
        <v>3686</v>
      </c>
      <c r="AQ149" s="375"/>
    </row>
    <row r="150">
      <c r="A150" s="257" t="s">
        <v>4214</v>
      </c>
      <c r="B150" s="257" t="s">
        <v>4215</v>
      </c>
      <c r="C150" s="257" t="str">
        <f>VLOOKUP(A150,import!A:J,3,0)</f>
        <v>YANLIŞ</v>
      </c>
      <c r="D150" s="257" t="s">
        <v>3699</v>
      </c>
      <c r="E150" s="257">
        <f>VLOOKUP(A150,import!A:J,5,0)</f>
        <v>2</v>
      </c>
      <c r="F150" s="257" t="str">
        <f>VLOOKUP(A150,import!A:J,6,0)</f>
        <v/>
      </c>
      <c r="G150" s="257">
        <f>VLOOKUP(A150,import!A:J,7,0)</f>
        <v>0</v>
      </c>
      <c r="H150" s="257">
        <f>VLOOKUP(A150,import!A:J,8,0)</f>
        <v>9</v>
      </c>
      <c r="I150" s="257">
        <f>VLOOKUP(A150,import!A:J,9,0)</f>
        <v>9</v>
      </c>
      <c r="J150" s="369">
        <f>VLOOKUP(A150,import!A:J,10,0)</f>
        <v>0</v>
      </c>
      <c r="K150" s="257" t="s">
        <v>4216</v>
      </c>
      <c r="L150" s="257">
        <v>5.414301077E9</v>
      </c>
      <c r="M150" s="257" t="s">
        <v>286</v>
      </c>
      <c r="N150" s="257" t="s">
        <v>4217</v>
      </c>
      <c r="O150" s="257" t="s">
        <v>4218</v>
      </c>
      <c r="P150" s="370" t="str">
        <f>VLOOKUP(A150,import!A:P,16,0)</f>
        <v>Geleneksel</v>
      </c>
      <c r="Q150" s="370"/>
      <c r="R150" s="370" t="b">
        <v>1</v>
      </c>
      <c r="S150" s="370" t="b">
        <v>0</v>
      </c>
      <c r="T150" s="301"/>
      <c r="U150" s="379"/>
      <c r="V150" s="379"/>
      <c r="W150" s="301"/>
      <c r="X150" s="381"/>
      <c r="Y150" s="381"/>
      <c r="Z150" s="372"/>
      <c r="AA150" s="373" t="s">
        <v>3448</v>
      </c>
      <c r="AB150" s="374">
        <v>44566.0</v>
      </c>
      <c r="AC150" s="373"/>
      <c r="AD150" s="374"/>
      <c r="AE150" s="373"/>
      <c r="AF150" s="374"/>
      <c r="AG150" s="373"/>
      <c r="AH150" s="374"/>
      <c r="AI150" s="375"/>
      <c r="AJ150" s="375"/>
      <c r="AK150" s="373" t="s">
        <v>2192</v>
      </c>
      <c r="AL150" s="375"/>
      <c r="AM150" s="375"/>
      <c r="AN150" s="373"/>
      <c r="AO150" s="375"/>
      <c r="AP150" s="376"/>
      <c r="AQ150" s="375"/>
    </row>
    <row r="151">
      <c r="A151" s="257" t="s">
        <v>3237</v>
      </c>
      <c r="B151" s="257" t="s">
        <v>3238</v>
      </c>
      <c r="C151" s="257" t="str">
        <f>VLOOKUP(A151,import!A:J,3,0)</f>
        <v>DOĞRU</v>
      </c>
      <c r="D151" s="257" t="s">
        <v>3759</v>
      </c>
      <c r="E151" s="257">
        <f>VLOOKUP(A151,import!A:J,5,0)</f>
        <v>1917</v>
      </c>
      <c r="F151" s="257">
        <f>VLOOKUP(A151,import!A:J,6,0)</f>
        <v>77</v>
      </c>
      <c r="G151" s="257">
        <f>VLOOKUP(A151,import!A:J,7,0)</f>
        <v>0</v>
      </c>
      <c r="H151" s="257">
        <f>VLOOKUP(A151,import!A:J,8,0)</f>
        <v>34</v>
      </c>
      <c r="I151" s="257">
        <f>VLOOKUP(A151,import!A:J,9,0)</f>
        <v>34</v>
      </c>
      <c r="J151" s="369">
        <f>VLOOKUP(A151,import!A:J,10,0)</f>
        <v>0</v>
      </c>
      <c r="K151" s="257" t="s">
        <v>4219</v>
      </c>
      <c r="L151" s="257">
        <v>3.22234303E9</v>
      </c>
      <c r="M151" s="257" t="s">
        <v>14</v>
      </c>
      <c r="N151" s="257" t="s">
        <v>3797</v>
      </c>
      <c r="O151" s="257" t="s">
        <v>4220</v>
      </c>
      <c r="P151" s="370" t="str">
        <f>VLOOKUP(A151,import!A:P,16,0)</f>
        <v>Geleneksel</v>
      </c>
      <c r="Q151" s="370"/>
      <c r="R151" s="370" t="b">
        <v>1</v>
      </c>
      <c r="S151" s="370" t="b">
        <v>0</v>
      </c>
      <c r="T151" s="389" t="s">
        <v>3787</v>
      </c>
      <c r="U151" s="389" t="s">
        <v>3213</v>
      </c>
      <c r="V151" s="301" t="s">
        <v>78</v>
      </c>
      <c r="W151" s="389" t="s">
        <v>4221</v>
      </c>
      <c r="X151" s="390">
        <v>44538.0</v>
      </c>
      <c r="Y151" s="390">
        <v>44545.0</v>
      </c>
      <c r="Z151" s="393"/>
      <c r="AA151" s="373" t="s">
        <v>3696</v>
      </c>
      <c r="AB151" s="374">
        <v>44375.0</v>
      </c>
      <c r="AC151" s="373" t="s">
        <v>3682</v>
      </c>
      <c r="AD151" s="374">
        <v>44414.0</v>
      </c>
      <c r="AE151" s="373" t="s">
        <v>3695</v>
      </c>
      <c r="AF151" s="374">
        <v>44418.0</v>
      </c>
      <c r="AG151" s="373" t="s">
        <v>3695</v>
      </c>
      <c r="AH151" s="374">
        <v>44432.0</v>
      </c>
      <c r="AI151" s="373" t="s">
        <v>3682</v>
      </c>
      <c r="AJ151" s="374">
        <v>44538.0</v>
      </c>
      <c r="AK151" s="373" t="s">
        <v>399</v>
      </c>
      <c r="AL151" s="373" t="s">
        <v>3729</v>
      </c>
      <c r="AM151" s="373" t="s">
        <v>1953</v>
      </c>
      <c r="AN151" s="375"/>
      <c r="AO151" s="373" t="s">
        <v>3213</v>
      </c>
      <c r="AP151" s="376" t="s">
        <v>3683</v>
      </c>
      <c r="AQ151" s="373"/>
    </row>
    <row r="152">
      <c r="A152" s="257" t="s">
        <v>4222</v>
      </c>
      <c r="B152" s="257" t="s">
        <v>4223</v>
      </c>
      <c r="C152" s="257" t="str">
        <f>VLOOKUP(A152,import!A:J,3,0)</f>
        <v>DOĞRU</v>
      </c>
      <c r="D152" s="257" t="s">
        <v>3759</v>
      </c>
      <c r="E152" s="257">
        <f>VLOOKUP(A152,import!A:J,5,0)</f>
        <v>1676</v>
      </c>
      <c r="F152" s="257">
        <f>VLOOKUP(A152,import!A:J,6,0)</f>
        <v>53</v>
      </c>
      <c r="G152" s="257">
        <f>VLOOKUP(A152,import!A:J,7,0)</f>
        <v>0</v>
      </c>
      <c r="H152" s="257">
        <f>VLOOKUP(A152,import!A:J,8,0)</f>
        <v>15</v>
      </c>
      <c r="I152" s="257">
        <f>VLOOKUP(A152,import!A:J,9,0)</f>
        <v>15</v>
      </c>
      <c r="J152" s="369">
        <f>VLOOKUP(A152,import!A:J,10,0)</f>
        <v>0</v>
      </c>
      <c r="K152" s="257" t="s">
        <v>4224</v>
      </c>
      <c r="L152" s="257">
        <v>3.222241111E9</v>
      </c>
      <c r="M152" s="257" t="s">
        <v>286</v>
      </c>
      <c r="N152" s="257" t="s">
        <v>3754</v>
      </c>
      <c r="O152" s="257" t="s">
        <v>4225</v>
      </c>
      <c r="P152" s="370" t="str">
        <f>VLOOKUP(A152,import!A:P,16,0)</f>
        <v>Geleneksel</v>
      </c>
      <c r="Q152" s="370"/>
      <c r="R152" s="370" t="b">
        <v>0</v>
      </c>
      <c r="S152" s="370" t="b">
        <v>0</v>
      </c>
      <c r="T152" s="389"/>
      <c r="U152" s="389"/>
      <c r="V152" s="389"/>
      <c r="W152" s="257" t="s">
        <v>4226</v>
      </c>
      <c r="X152" s="257"/>
      <c r="Y152" s="390"/>
      <c r="Z152" s="391"/>
      <c r="AA152" s="373" t="s">
        <v>3695</v>
      </c>
      <c r="AB152" s="374">
        <v>44358.0</v>
      </c>
      <c r="AC152" s="373" t="s">
        <v>3682</v>
      </c>
      <c r="AD152" s="374">
        <v>44414.0</v>
      </c>
      <c r="AE152" s="373" t="s">
        <v>3695</v>
      </c>
      <c r="AF152" s="374">
        <v>44418.0</v>
      </c>
      <c r="AG152" s="373" t="s">
        <v>3695</v>
      </c>
      <c r="AH152" s="374">
        <v>44432.0</v>
      </c>
      <c r="AI152" s="373" t="s">
        <v>3695</v>
      </c>
      <c r="AJ152" s="374">
        <v>44488.0</v>
      </c>
      <c r="AK152" s="373" t="s">
        <v>399</v>
      </c>
      <c r="AL152" s="373" t="s">
        <v>3729</v>
      </c>
      <c r="AM152" s="373" t="s">
        <v>1953</v>
      </c>
      <c r="AN152" s="375"/>
      <c r="AO152" s="373" t="s">
        <v>2542</v>
      </c>
      <c r="AP152" s="376" t="s">
        <v>3686</v>
      </c>
      <c r="AQ152" s="373"/>
    </row>
    <row r="153">
      <c r="A153" s="257" t="s">
        <v>4227</v>
      </c>
      <c r="B153" s="257" t="s">
        <v>4228</v>
      </c>
      <c r="C153" s="257" t="str">
        <f>VLOOKUP(A153,import!A:J,3,0)</f>
        <v>DOĞRU</v>
      </c>
      <c r="D153" s="257" t="s">
        <v>3676</v>
      </c>
      <c r="E153" s="257">
        <f>VLOOKUP(A153,import!A:J,5,0)</f>
        <v>19</v>
      </c>
      <c r="F153" s="257" t="str">
        <f>VLOOKUP(A153,import!A:J,6,0)</f>
        <v/>
      </c>
      <c r="G153" s="257">
        <f>VLOOKUP(A153,import!A:J,7,0)</f>
        <v>0</v>
      </c>
      <c r="H153" s="257">
        <f>VLOOKUP(A153,import!A:J,8,0)</f>
        <v>6</v>
      </c>
      <c r="I153" s="257">
        <f>VLOOKUP(A153,import!A:J,9,0)</f>
        <v>6</v>
      </c>
      <c r="J153" s="369">
        <f>VLOOKUP(A153,import!A:J,10,0)</f>
        <v>0</v>
      </c>
      <c r="K153" s="257" t="s">
        <v>4229</v>
      </c>
      <c r="L153" s="257">
        <v>5.446864047E9</v>
      </c>
      <c r="M153" s="257" t="s">
        <v>286</v>
      </c>
      <c r="N153" s="257" t="s">
        <v>3782</v>
      </c>
      <c r="O153" s="257" t="s">
        <v>4230</v>
      </c>
      <c r="P153" s="370" t="str">
        <f>VLOOKUP(A153,import!A:P,16,0)</f>
        <v>Geleneksel</v>
      </c>
      <c r="Q153" s="370"/>
      <c r="R153" s="370" t="b">
        <v>1</v>
      </c>
      <c r="S153" s="370" t="b">
        <v>0</v>
      </c>
      <c r="T153" s="301" t="s">
        <v>3710</v>
      </c>
      <c r="U153" s="301"/>
      <c r="V153" s="301"/>
      <c r="W153" s="301" t="s">
        <v>4231</v>
      </c>
      <c r="X153" s="371"/>
      <c r="Y153" s="371"/>
      <c r="Z153" s="372"/>
      <c r="AA153" s="373" t="s">
        <v>3681</v>
      </c>
      <c r="AB153" s="374">
        <v>44621.0</v>
      </c>
      <c r="AC153" s="373"/>
      <c r="AD153" s="374"/>
      <c r="AE153" s="373"/>
      <c r="AF153" s="374"/>
      <c r="AG153" s="373"/>
      <c r="AH153" s="374"/>
      <c r="AI153" s="373"/>
      <c r="AJ153" s="374"/>
      <c r="AK153" s="373" t="s">
        <v>2576</v>
      </c>
      <c r="AL153" s="373"/>
      <c r="AM153" s="373"/>
      <c r="AN153" s="373"/>
      <c r="AO153" s="373"/>
      <c r="AP153" s="376"/>
      <c r="AQ153" s="373"/>
    </row>
    <row r="154">
      <c r="A154" s="257" t="s">
        <v>4232</v>
      </c>
      <c r="B154" s="257" t="s">
        <v>4233</v>
      </c>
      <c r="C154" s="257" t="str">
        <f>VLOOKUP(A154,import!A:J,3,0)</f>
        <v>DOĞRU</v>
      </c>
      <c r="D154" s="257" t="s">
        <v>3690</v>
      </c>
      <c r="E154" s="257">
        <f>VLOOKUP(A154,import!A:J,5,0)</f>
        <v>549</v>
      </c>
      <c r="F154" s="257">
        <f>VLOOKUP(A154,import!A:J,6,0)</f>
        <v>25</v>
      </c>
      <c r="G154" s="257">
        <f>VLOOKUP(A154,import!A:J,7,0)</f>
        <v>0</v>
      </c>
      <c r="H154" s="257">
        <f>VLOOKUP(A154,import!A:J,8,0)</f>
        <v>11</v>
      </c>
      <c r="I154" s="257">
        <f>VLOOKUP(A154,import!A:J,9,0)</f>
        <v>11</v>
      </c>
      <c r="J154" s="369">
        <f>VLOOKUP(A154,import!A:J,10,0)</f>
        <v>0</v>
      </c>
      <c r="K154" s="257" t="s">
        <v>4234</v>
      </c>
      <c r="L154" s="257">
        <v>3.2233327E9</v>
      </c>
      <c r="M154" s="257" t="s">
        <v>286</v>
      </c>
      <c r="N154" s="257" t="s">
        <v>4235</v>
      </c>
      <c r="O154" s="257" t="s">
        <v>4236</v>
      </c>
      <c r="P154" s="370" t="str">
        <f>VLOOKUP(A154,import!A:P,16,0)</f>
        <v>Geleneksel</v>
      </c>
      <c r="Q154" s="370"/>
      <c r="R154" s="370" t="b">
        <v>1</v>
      </c>
      <c r="S154" s="370" t="b">
        <v>0</v>
      </c>
      <c r="T154" s="301"/>
      <c r="U154" s="379"/>
      <c r="V154" s="379"/>
      <c r="W154" s="301" t="s">
        <v>4237</v>
      </c>
      <c r="X154" s="381"/>
      <c r="Y154" s="381"/>
      <c r="Z154" s="372"/>
      <c r="AA154" s="373" t="s">
        <v>3682</v>
      </c>
      <c r="AB154" s="374">
        <v>44379.0</v>
      </c>
      <c r="AC154" s="375"/>
      <c r="AD154" s="375"/>
      <c r="AE154" s="92"/>
      <c r="AF154" s="375"/>
      <c r="AG154" s="92"/>
      <c r="AH154" s="375"/>
      <c r="AI154" s="375"/>
      <c r="AJ154" s="375"/>
      <c r="AK154" s="373" t="s">
        <v>79</v>
      </c>
      <c r="AL154" s="375"/>
      <c r="AM154" s="375"/>
      <c r="AN154" s="375"/>
      <c r="AO154" s="375"/>
      <c r="AP154" s="376" t="s">
        <v>3686</v>
      </c>
      <c r="AQ154" s="375"/>
    </row>
    <row r="155">
      <c r="A155" s="257" t="s">
        <v>4238</v>
      </c>
      <c r="B155" s="257" t="s">
        <v>1251</v>
      </c>
      <c r="C155" s="257" t="str">
        <f>VLOOKUP(A155,import!A:J,3,0)</f>
        <v>DOĞRU</v>
      </c>
      <c r="D155" s="257" t="s">
        <v>3690</v>
      </c>
      <c r="E155" s="257">
        <f>VLOOKUP(A155,import!A:J,5,0)</f>
        <v>490</v>
      </c>
      <c r="F155" s="257" t="str">
        <f>VLOOKUP(A155,import!A:J,6,0)</f>
        <v/>
      </c>
      <c r="G155" s="257">
        <f>VLOOKUP(A155,import!A:J,7,0)</f>
        <v>0</v>
      </c>
      <c r="H155" s="257">
        <f>VLOOKUP(A155,import!A:J,8,0)</f>
        <v>11</v>
      </c>
      <c r="I155" s="257">
        <f>VLOOKUP(A155,import!A:J,9,0)</f>
        <v>11</v>
      </c>
      <c r="J155" s="369">
        <f>VLOOKUP(A155,import!A:J,10,0)</f>
        <v>0</v>
      </c>
      <c r="K155" s="257" t="s">
        <v>4239</v>
      </c>
      <c r="L155" s="257">
        <v>3.2245977E9</v>
      </c>
      <c r="M155" s="257" t="s">
        <v>286</v>
      </c>
      <c r="N155" s="257" t="s">
        <v>3688</v>
      </c>
      <c r="O155" s="257" t="s">
        <v>1253</v>
      </c>
      <c r="P155" s="370" t="str">
        <f>VLOOKUP(A155,import!A:P,16,0)</f>
        <v>Geleneksel</v>
      </c>
      <c r="Q155" s="370"/>
      <c r="R155" s="370" t="b">
        <v>1</v>
      </c>
      <c r="S155" s="370" t="b">
        <v>0</v>
      </c>
      <c r="T155" s="301" t="s">
        <v>3787</v>
      </c>
      <c r="U155" s="379"/>
      <c r="V155" s="379"/>
      <c r="W155" s="301" t="s">
        <v>4240</v>
      </c>
      <c r="X155" s="381"/>
      <c r="Y155" s="371">
        <v>44383.0</v>
      </c>
      <c r="Z155" s="372"/>
      <c r="AA155" s="373" t="s">
        <v>3681</v>
      </c>
      <c r="AB155" s="374">
        <v>44450.0</v>
      </c>
      <c r="AC155" s="373" t="s">
        <v>3682</v>
      </c>
      <c r="AD155" s="374">
        <v>44510.0</v>
      </c>
      <c r="AE155" s="92"/>
      <c r="AF155" s="375"/>
      <c r="AG155" s="92"/>
      <c r="AH155" s="375"/>
      <c r="AI155" s="375"/>
      <c r="AJ155" s="375"/>
      <c r="AK155" s="373" t="s">
        <v>2418</v>
      </c>
      <c r="AL155" s="373" t="s">
        <v>3073</v>
      </c>
      <c r="AM155" s="375"/>
      <c r="AN155" s="375"/>
      <c r="AO155" s="375"/>
      <c r="AP155" s="376" t="s">
        <v>3686</v>
      </c>
      <c r="AQ155" s="375"/>
    </row>
    <row r="156">
      <c r="A156" s="257" t="s">
        <v>4241</v>
      </c>
      <c r="B156" s="257" t="s">
        <v>4242</v>
      </c>
      <c r="C156" s="257" t="str">
        <f>VLOOKUP(A156,import!A:J,3,0)</f>
        <v>DOĞRU</v>
      </c>
      <c r="D156" s="257" t="s">
        <v>4000</v>
      </c>
      <c r="E156" s="257">
        <f>VLOOKUP(A156,import!A:J,5,0)</f>
        <v>447</v>
      </c>
      <c r="F156" s="257">
        <f>VLOOKUP(A156,import!A:J,6,0)</f>
        <v>295</v>
      </c>
      <c r="G156" s="257">
        <f>VLOOKUP(A156,import!A:J,7,0)</f>
        <v>0</v>
      </c>
      <c r="H156" s="257">
        <f>VLOOKUP(A156,import!A:J,8,0)</f>
        <v>48</v>
      </c>
      <c r="I156" s="257">
        <f>VLOOKUP(A156,import!A:J,9,0)</f>
        <v>48</v>
      </c>
      <c r="J156" s="369">
        <f>VLOOKUP(A156,import!A:J,10,0)</f>
        <v>0</v>
      </c>
      <c r="K156" s="257" t="s">
        <v>4243</v>
      </c>
      <c r="L156" s="257">
        <v>5.434315977E9</v>
      </c>
      <c r="M156" s="257" t="s">
        <v>14</v>
      </c>
      <c r="N156" s="257" t="s">
        <v>3733</v>
      </c>
      <c r="O156" s="257" t="s">
        <v>4244</v>
      </c>
      <c r="P156" s="370" t="str">
        <f>VLOOKUP(A156,import!A:P,16,0)</f>
        <v>Geleneksel</v>
      </c>
      <c r="Q156" s="370"/>
      <c r="R156" s="370" t="b">
        <v>1</v>
      </c>
      <c r="S156" s="370" t="b">
        <v>0</v>
      </c>
      <c r="T156" s="301"/>
      <c r="U156" s="301"/>
      <c r="V156" s="301"/>
      <c r="W156" s="301" t="s">
        <v>4245</v>
      </c>
      <c r="X156" s="371"/>
      <c r="Y156" s="371"/>
      <c r="Z156" s="372"/>
      <c r="AA156" s="373" t="s">
        <v>3682</v>
      </c>
      <c r="AB156" s="371">
        <v>44632.0</v>
      </c>
      <c r="AC156" s="373" t="s">
        <v>3682</v>
      </c>
      <c r="AD156" s="374">
        <v>44634.0</v>
      </c>
      <c r="AE156" s="373"/>
      <c r="AF156" s="374"/>
      <c r="AG156" s="373"/>
      <c r="AH156" s="374"/>
      <c r="AI156" s="373"/>
      <c r="AJ156" s="374"/>
      <c r="AK156" s="373" t="s">
        <v>2542</v>
      </c>
      <c r="AL156" s="373" t="s">
        <v>2418</v>
      </c>
      <c r="AM156" s="373"/>
      <c r="AN156" s="373"/>
      <c r="AO156" s="373"/>
      <c r="AP156" s="376"/>
      <c r="AQ156" s="373"/>
    </row>
    <row r="157">
      <c r="A157" s="266" t="s">
        <v>1450</v>
      </c>
      <c r="B157" s="266" t="s">
        <v>1451</v>
      </c>
      <c r="C157" s="257" t="str">
        <f>VLOOKUP(A157,import!A:J,3,0)</f>
        <v>DOĞRU</v>
      </c>
      <c r="D157" s="266" t="s">
        <v>3713</v>
      </c>
      <c r="E157" s="257">
        <f>VLOOKUP(A157,import!A:J,5,0)</f>
        <v>916</v>
      </c>
      <c r="F157" s="257">
        <f>VLOOKUP(A157,import!A:J,6,0)</f>
        <v>68</v>
      </c>
      <c r="G157" s="257">
        <f>VLOOKUP(A157,import!A:J,7,0)</f>
        <v>6</v>
      </c>
      <c r="H157" s="257">
        <f>VLOOKUP(A157,import!A:J,8,0)</f>
        <v>5</v>
      </c>
      <c r="I157" s="257">
        <f>VLOOKUP(A157,import!A:J,9,0)</f>
        <v>11</v>
      </c>
      <c r="J157" s="369">
        <f>VLOOKUP(A157,import!A:J,10,0)</f>
        <v>0.55</v>
      </c>
      <c r="K157" s="266" t="s">
        <v>4246</v>
      </c>
      <c r="L157" s="266">
        <v>3.222610506E9</v>
      </c>
      <c r="M157" s="266" t="s">
        <v>286</v>
      </c>
      <c r="N157" s="266" t="s">
        <v>3855</v>
      </c>
      <c r="O157" s="266" t="s">
        <v>4247</v>
      </c>
      <c r="P157" s="370" t="str">
        <f>VLOOKUP(A157,import!A:P,16,0)</f>
        <v>Geleneksel</v>
      </c>
      <c r="Q157" s="370"/>
      <c r="R157" s="370" t="b">
        <v>1</v>
      </c>
      <c r="S157" s="370" t="b">
        <v>0</v>
      </c>
      <c r="T157" s="301" t="s">
        <v>3679</v>
      </c>
      <c r="U157" s="301" t="s">
        <v>79</v>
      </c>
      <c r="V157" s="301" t="s">
        <v>78</v>
      </c>
      <c r="W157" s="301" t="s">
        <v>4248</v>
      </c>
      <c r="X157" s="371">
        <v>44390.0</v>
      </c>
      <c r="Y157" s="371">
        <v>44392.0</v>
      </c>
      <c r="Z157" s="372"/>
      <c r="AA157" s="373" t="s">
        <v>3682</v>
      </c>
      <c r="AB157" s="374">
        <v>44389.0</v>
      </c>
      <c r="AC157" s="375"/>
      <c r="AD157" s="375"/>
      <c r="AE157" s="92"/>
      <c r="AF157" s="375"/>
      <c r="AG157" s="92"/>
      <c r="AH157" s="375"/>
      <c r="AI157" s="375"/>
      <c r="AJ157" s="375"/>
      <c r="AK157" s="373" t="s">
        <v>4088</v>
      </c>
      <c r="AL157" s="375"/>
      <c r="AM157" s="375"/>
      <c r="AN157" s="375"/>
      <c r="AO157" s="375"/>
      <c r="AP157" s="376" t="s">
        <v>3686</v>
      </c>
      <c r="AQ157" s="375"/>
    </row>
    <row r="158">
      <c r="A158" s="257" t="s">
        <v>3520</v>
      </c>
      <c r="B158" s="257" t="s">
        <v>3521</v>
      </c>
      <c r="C158" s="257" t="str">
        <f>VLOOKUP(A158,import!A:J,3,0)</f>
        <v>DOĞRU</v>
      </c>
      <c r="D158" s="257" t="s">
        <v>4249</v>
      </c>
      <c r="E158" s="257">
        <f>VLOOKUP(A158,import!A:J,5,0)</f>
        <v>728</v>
      </c>
      <c r="F158" s="257">
        <f>VLOOKUP(A158,import!A:J,6,0)</f>
        <v>87</v>
      </c>
      <c r="G158" s="257">
        <f>VLOOKUP(A158,import!A:J,7,0)</f>
        <v>2</v>
      </c>
      <c r="H158" s="257">
        <f>VLOOKUP(A158,import!A:J,8,0)</f>
        <v>69</v>
      </c>
      <c r="I158" s="257">
        <f>VLOOKUP(A158,import!A:J,9,0)</f>
        <v>71</v>
      </c>
      <c r="J158" s="369">
        <f>VLOOKUP(A158,import!A:J,10,0)</f>
        <v>0.03</v>
      </c>
      <c r="K158" s="257" t="s">
        <v>4250</v>
      </c>
      <c r="L158" s="257">
        <v>3.222566554E9</v>
      </c>
      <c r="M158" s="257" t="s">
        <v>14</v>
      </c>
      <c r="N158" s="257" t="s">
        <v>3678</v>
      </c>
      <c r="O158" s="257" t="s">
        <v>3523</v>
      </c>
      <c r="P158" s="370" t="str">
        <f>VLOOKUP(A158,import!A:P,16,0)</f>
        <v>Geleneksel</v>
      </c>
      <c r="Q158" s="370"/>
      <c r="R158" s="370" t="b">
        <v>1</v>
      </c>
      <c r="S158" s="370" t="b">
        <v>0</v>
      </c>
      <c r="T158" s="301" t="s">
        <v>3679</v>
      </c>
      <c r="U158" s="301" t="s">
        <v>2542</v>
      </c>
      <c r="V158" s="394" t="s">
        <v>3331</v>
      </c>
      <c r="W158" s="301">
        <v>5.520029255E9</v>
      </c>
      <c r="X158" s="371">
        <v>44634.0</v>
      </c>
      <c r="Y158" s="371">
        <v>44635.0</v>
      </c>
      <c r="Z158" s="372"/>
      <c r="AA158" s="373" t="s">
        <v>3682</v>
      </c>
      <c r="AB158" s="371">
        <v>44634.0</v>
      </c>
      <c r="AC158" s="373"/>
      <c r="AD158" s="374"/>
      <c r="AE158" s="373"/>
      <c r="AF158" s="374"/>
      <c r="AG158" s="373"/>
      <c r="AH158" s="374"/>
      <c r="AI158" s="375"/>
      <c r="AJ158" s="375"/>
      <c r="AK158" s="373" t="s">
        <v>2542</v>
      </c>
      <c r="AL158" s="375"/>
      <c r="AM158" s="375"/>
      <c r="AN158" s="373"/>
      <c r="AO158" s="375"/>
      <c r="AP158" s="376"/>
      <c r="AQ158" s="375"/>
    </row>
    <row r="159">
      <c r="A159" s="257" t="s">
        <v>2387</v>
      </c>
      <c r="B159" s="257" t="s">
        <v>2388</v>
      </c>
      <c r="C159" s="257" t="str">
        <f>VLOOKUP(A159,import!A:J,3,0)</f>
        <v>DOĞRU</v>
      </c>
      <c r="D159" s="257" t="s">
        <v>3713</v>
      </c>
      <c r="E159" s="257">
        <f>VLOOKUP(A159,import!A:J,5,0)</f>
        <v>3057</v>
      </c>
      <c r="F159" s="257">
        <f>VLOOKUP(A159,import!A:J,6,0)</f>
        <v>65</v>
      </c>
      <c r="G159" s="257">
        <f>VLOOKUP(A159,import!A:J,7,0)</f>
        <v>5</v>
      </c>
      <c r="H159" s="257">
        <f>VLOOKUP(A159,import!A:J,8,0)</f>
        <v>18</v>
      </c>
      <c r="I159" s="257">
        <f>VLOOKUP(A159,import!A:J,9,0)</f>
        <v>23</v>
      </c>
      <c r="J159" s="369">
        <f>VLOOKUP(A159,import!A:J,10,0)</f>
        <v>0.22</v>
      </c>
      <c r="K159" s="257" t="s">
        <v>4251</v>
      </c>
      <c r="L159" s="257">
        <v>3.222615959E9</v>
      </c>
      <c r="M159" s="257" t="s">
        <v>286</v>
      </c>
      <c r="N159" s="257" t="s">
        <v>3746</v>
      </c>
      <c r="O159" s="257" t="s">
        <v>2390</v>
      </c>
      <c r="P159" s="370" t="str">
        <f>VLOOKUP(A159,import!A:P,16,0)</f>
        <v>Geleneksel</v>
      </c>
      <c r="Q159" s="370"/>
      <c r="R159" s="370" t="b">
        <v>1</v>
      </c>
      <c r="S159" s="370" t="b">
        <v>0</v>
      </c>
      <c r="T159" s="301" t="s">
        <v>3770</v>
      </c>
      <c r="U159" s="379"/>
      <c r="V159" s="379"/>
      <c r="W159" s="301" t="s">
        <v>4252</v>
      </c>
      <c r="X159" s="381"/>
      <c r="Y159" s="381"/>
      <c r="Z159" s="372"/>
      <c r="AA159" s="373" t="s">
        <v>3696</v>
      </c>
      <c r="AB159" s="374">
        <v>44413.0</v>
      </c>
      <c r="AC159" s="373" t="s">
        <v>3681</v>
      </c>
      <c r="AD159" s="374">
        <v>44406.0</v>
      </c>
      <c r="AE159" s="373" t="s">
        <v>3681</v>
      </c>
      <c r="AF159" s="374">
        <v>44427.0</v>
      </c>
      <c r="AG159" s="373" t="s">
        <v>3695</v>
      </c>
      <c r="AH159" s="374">
        <v>44433.0</v>
      </c>
      <c r="AI159" s="373" t="s">
        <v>3682</v>
      </c>
      <c r="AJ159" s="374">
        <v>44435.0</v>
      </c>
      <c r="AK159" s="373" t="s">
        <v>3723</v>
      </c>
      <c r="AL159" s="373" t="s">
        <v>79</v>
      </c>
      <c r="AM159" s="373" t="s">
        <v>1953</v>
      </c>
      <c r="AN159" s="375"/>
      <c r="AO159" s="373" t="s">
        <v>3723</v>
      </c>
      <c r="AP159" s="376" t="s">
        <v>3686</v>
      </c>
      <c r="AQ159" s="373"/>
    </row>
    <row r="160">
      <c r="A160" s="257" t="s">
        <v>4253</v>
      </c>
      <c r="B160" s="257" t="s">
        <v>4254</v>
      </c>
      <c r="C160" s="257" t="str">
        <f>VLOOKUP(A160,import!A:J,3,0)</f>
        <v>DOĞRU</v>
      </c>
      <c r="D160" s="257" t="s">
        <v>3713</v>
      </c>
      <c r="E160" s="257">
        <f>VLOOKUP(A160,import!A:J,5,0)</f>
        <v>90</v>
      </c>
      <c r="F160" s="257" t="str">
        <f>VLOOKUP(A160,import!A:J,6,0)</f>
        <v/>
      </c>
      <c r="G160" s="257">
        <f>VLOOKUP(A160,import!A:J,7,0)</f>
        <v>0</v>
      </c>
      <c r="H160" s="257">
        <f>VLOOKUP(A160,import!A:J,8,0)</f>
        <v>22</v>
      </c>
      <c r="I160" s="257">
        <f>VLOOKUP(A160,import!A:J,9,0)</f>
        <v>22</v>
      </c>
      <c r="J160" s="369">
        <f>VLOOKUP(A160,import!A:J,10,0)</f>
        <v>0</v>
      </c>
      <c r="K160" s="257" t="s">
        <v>4255</v>
      </c>
      <c r="L160" s="257">
        <v>3.222340102E9</v>
      </c>
      <c r="M160" s="257" t="s">
        <v>14</v>
      </c>
      <c r="N160" s="257" t="s">
        <v>3797</v>
      </c>
      <c r="O160" s="257" t="s">
        <v>4256</v>
      </c>
      <c r="P160" s="370" t="str">
        <f>VLOOKUP(A160,import!A:P,16,0)</f>
        <v>Geleneksel</v>
      </c>
      <c r="Q160" s="370"/>
      <c r="R160" s="370" t="b">
        <v>1</v>
      </c>
      <c r="S160" s="370" t="b">
        <v>0</v>
      </c>
      <c r="T160" s="301"/>
      <c r="U160" s="379"/>
      <c r="V160" s="379"/>
      <c r="W160" s="301"/>
      <c r="X160" s="381"/>
      <c r="Y160" s="381"/>
      <c r="Z160" s="372"/>
      <c r="AA160" s="373" t="s">
        <v>3448</v>
      </c>
      <c r="AB160" s="374">
        <v>44565.0</v>
      </c>
      <c r="AC160" s="373" t="s">
        <v>3448</v>
      </c>
      <c r="AD160" s="374">
        <v>44635.0</v>
      </c>
      <c r="AE160" s="373"/>
      <c r="AF160" s="374"/>
      <c r="AG160" s="373"/>
      <c r="AH160" s="374"/>
      <c r="AI160" s="375"/>
      <c r="AJ160" s="375"/>
      <c r="AK160" s="373" t="s">
        <v>2424</v>
      </c>
      <c r="AL160" s="373" t="s">
        <v>2192</v>
      </c>
      <c r="AM160" s="375"/>
      <c r="AN160" s="373"/>
      <c r="AO160" s="375"/>
      <c r="AP160" s="376"/>
      <c r="AQ160" s="375"/>
    </row>
    <row r="161">
      <c r="A161" s="257" t="s">
        <v>3137</v>
      </c>
      <c r="B161" s="257" t="s">
        <v>3138</v>
      </c>
      <c r="C161" s="257" t="str">
        <f>VLOOKUP(A161,import!A:J,3,0)</f>
        <v>DOĞRU</v>
      </c>
      <c r="D161" s="257" t="s">
        <v>3713</v>
      </c>
      <c r="E161" s="257">
        <f>VLOOKUP(A161,import!A:J,5,0)</f>
        <v>1239</v>
      </c>
      <c r="F161" s="257">
        <f>VLOOKUP(A161,import!A:J,6,0)</f>
        <v>143</v>
      </c>
      <c r="G161" s="257">
        <f>VLOOKUP(A161,import!A:J,7,0)</f>
        <v>0</v>
      </c>
      <c r="H161" s="257">
        <f>VLOOKUP(A161,import!A:J,8,0)</f>
        <v>17</v>
      </c>
      <c r="I161" s="257">
        <f>VLOOKUP(A161,import!A:J,9,0)</f>
        <v>17</v>
      </c>
      <c r="J161" s="369">
        <f>VLOOKUP(A161,import!A:J,10,0)</f>
        <v>0</v>
      </c>
      <c r="K161" s="257" t="s">
        <v>4257</v>
      </c>
      <c r="L161" s="257">
        <v>3.222570505E9</v>
      </c>
      <c r="M161" s="257" t="s">
        <v>14</v>
      </c>
      <c r="N161" s="257" t="s">
        <v>3797</v>
      </c>
      <c r="O161" s="257" t="s">
        <v>3140</v>
      </c>
      <c r="P161" s="370" t="str">
        <f>VLOOKUP(A161,import!A:P,16,0)</f>
        <v>Geleneksel</v>
      </c>
      <c r="Q161" s="370"/>
      <c r="R161" s="370" t="b">
        <v>1</v>
      </c>
      <c r="S161" s="370" t="b">
        <v>0</v>
      </c>
      <c r="T161" s="301" t="s">
        <v>3770</v>
      </c>
      <c r="U161" s="301" t="s">
        <v>3127</v>
      </c>
      <c r="V161" s="301" t="s">
        <v>78</v>
      </c>
      <c r="W161" s="301" t="s">
        <v>4258</v>
      </c>
      <c r="X161" s="371">
        <v>44546.0</v>
      </c>
      <c r="Y161" s="371">
        <v>44552.0</v>
      </c>
      <c r="Z161" s="372"/>
      <c r="AA161" s="373" t="s">
        <v>3682</v>
      </c>
      <c r="AB161" s="374">
        <v>44522.0</v>
      </c>
      <c r="AC161" s="373"/>
      <c r="AD161" s="374"/>
      <c r="AE161" s="373"/>
      <c r="AF161" s="374"/>
      <c r="AG161" s="373"/>
      <c r="AH161" s="374"/>
      <c r="AI161" s="375"/>
      <c r="AJ161" s="375"/>
      <c r="AK161" s="373" t="s">
        <v>3127</v>
      </c>
      <c r="AL161" s="375"/>
      <c r="AM161" s="375"/>
      <c r="AN161" s="373"/>
      <c r="AO161" s="375"/>
      <c r="AP161" s="376" t="s">
        <v>3683</v>
      </c>
      <c r="AQ161" s="375"/>
    </row>
    <row r="162">
      <c r="A162" s="257" t="s">
        <v>3324</v>
      </c>
      <c r="B162" s="257" t="s">
        <v>3325</v>
      </c>
      <c r="C162" s="257" t="str">
        <f>VLOOKUP(A162,import!A:J,3,0)</f>
        <v>DOĞRU</v>
      </c>
      <c r="D162" s="257" t="s">
        <v>3713</v>
      </c>
      <c r="E162" s="257">
        <f>VLOOKUP(A162,import!A:J,5,0)</f>
        <v>518</v>
      </c>
      <c r="F162" s="257">
        <f>VLOOKUP(A162,import!A:J,6,0)</f>
        <v>60</v>
      </c>
      <c r="G162" s="257">
        <f>VLOOKUP(A162,import!A:J,7,0)</f>
        <v>11</v>
      </c>
      <c r="H162" s="257">
        <f>VLOOKUP(A162,import!A:J,8,0)</f>
        <v>8</v>
      </c>
      <c r="I162" s="257">
        <f>VLOOKUP(A162,import!A:J,9,0)</f>
        <v>19</v>
      </c>
      <c r="J162" s="369">
        <f>VLOOKUP(A162,import!A:J,10,0)</f>
        <v>0.58</v>
      </c>
      <c r="K162" s="257" t="s">
        <v>4259</v>
      </c>
      <c r="L162" s="257">
        <v>5.491750101E9</v>
      </c>
      <c r="M162" s="257" t="s">
        <v>286</v>
      </c>
      <c r="N162" s="257" t="s">
        <v>4260</v>
      </c>
      <c r="O162" s="257" t="s">
        <v>3328</v>
      </c>
      <c r="P162" s="370" t="str">
        <f>VLOOKUP(A162,import!A:P,16,0)</f>
        <v>Geleneksel</v>
      </c>
      <c r="Q162" s="370"/>
      <c r="R162" s="370" t="b">
        <v>1</v>
      </c>
      <c r="S162" s="370" t="b">
        <v>0</v>
      </c>
      <c r="T162" s="301" t="s">
        <v>3679</v>
      </c>
      <c r="U162" s="301" t="s">
        <v>2192</v>
      </c>
      <c r="V162" s="355" t="s">
        <v>78</v>
      </c>
      <c r="W162" s="301">
        <v>5.415101212E9</v>
      </c>
      <c r="X162" s="371">
        <v>44566.0</v>
      </c>
      <c r="Y162" s="371">
        <v>44567.0</v>
      </c>
      <c r="Z162" s="372"/>
      <c r="AA162" s="373" t="s">
        <v>3682</v>
      </c>
      <c r="AB162" s="374">
        <v>44566.0</v>
      </c>
      <c r="AC162" s="373"/>
      <c r="AD162" s="374"/>
      <c r="AE162" s="373"/>
      <c r="AF162" s="374"/>
      <c r="AG162" s="373"/>
      <c r="AH162" s="374"/>
      <c r="AI162" s="375"/>
      <c r="AJ162" s="375"/>
      <c r="AK162" s="373" t="s">
        <v>2192</v>
      </c>
      <c r="AL162" s="375"/>
      <c r="AM162" s="375"/>
      <c r="AN162" s="373"/>
      <c r="AO162" s="375"/>
      <c r="AP162" s="376"/>
      <c r="AQ162" s="375"/>
    </row>
    <row r="163">
      <c r="A163" s="257" t="s">
        <v>2761</v>
      </c>
      <c r="B163" s="257" t="s">
        <v>2762</v>
      </c>
      <c r="C163" s="257" t="str">
        <f>VLOOKUP(A163,import!A:J,3,0)</f>
        <v>DOĞRU</v>
      </c>
      <c r="D163" s="257" t="s">
        <v>3759</v>
      </c>
      <c r="E163" s="257">
        <f>VLOOKUP(A163,import!A:J,5,0)</f>
        <v>4938</v>
      </c>
      <c r="F163" s="257">
        <f>VLOOKUP(A163,import!A:J,6,0)</f>
        <v>75</v>
      </c>
      <c r="G163" s="257">
        <f>VLOOKUP(A163,import!A:J,7,0)</f>
        <v>4</v>
      </c>
      <c r="H163" s="257">
        <f>VLOOKUP(A163,import!A:J,8,0)</f>
        <v>1</v>
      </c>
      <c r="I163" s="257">
        <f>VLOOKUP(A163,import!A:J,9,0)</f>
        <v>5</v>
      </c>
      <c r="J163" s="369">
        <f>VLOOKUP(A163,import!A:J,10,0)</f>
        <v>0.8</v>
      </c>
      <c r="K163" s="257" t="s">
        <v>4261</v>
      </c>
      <c r="L163" s="257">
        <v>3.2250381E9</v>
      </c>
      <c r="M163" s="257" t="s">
        <v>286</v>
      </c>
      <c r="N163" s="257" t="s">
        <v>3855</v>
      </c>
      <c r="O163" s="257" t="s">
        <v>2765</v>
      </c>
      <c r="P163" s="370" t="str">
        <f>VLOOKUP(A163,import!A:P,16,0)</f>
        <v>Geleneksel</v>
      </c>
      <c r="Q163" s="370"/>
      <c r="R163" s="370" t="b">
        <v>1</v>
      </c>
      <c r="S163" s="370" t="b">
        <v>0</v>
      </c>
      <c r="T163" s="301" t="s">
        <v>3679</v>
      </c>
      <c r="U163" s="301" t="s">
        <v>2542</v>
      </c>
      <c r="V163" s="301" t="s">
        <v>78</v>
      </c>
      <c r="W163" s="301" t="s">
        <v>4262</v>
      </c>
      <c r="X163" s="371">
        <v>44474.0</v>
      </c>
      <c r="Y163" s="371">
        <v>44475.0</v>
      </c>
      <c r="Z163" s="372"/>
      <c r="AA163" s="373" t="s">
        <v>3682</v>
      </c>
      <c r="AB163" s="374">
        <v>44379.0</v>
      </c>
      <c r="AC163" s="373" t="s">
        <v>3682</v>
      </c>
      <c r="AD163" s="374">
        <v>44414.0</v>
      </c>
      <c r="AE163" s="373" t="s">
        <v>3695</v>
      </c>
      <c r="AF163" s="374">
        <v>44418.0</v>
      </c>
      <c r="AG163" s="373" t="s">
        <v>3682</v>
      </c>
      <c r="AH163" s="374">
        <v>44469.0</v>
      </c>
      <c r="AI163" s="373" t="s">
        <v>3682</v>
      </c>
      <c r="AJ163" s="374">
        <v>44474.0</v>
      </c>
      <c r="AK163" s="373" t="s">
        <v>1014</v>
      </c>
      <c r="AL163" s="373" t="s">
        <v>3729</v>
      </c>
      <c r="AM163" s="373" t="s">
        <v>1953</v>
      </c>
      <c r="AN163" s="373" t="s">
        <v>2706</v>
      </c>
      <c r="AO163" s="373" t="s">
        <v>2542</v>
      </c>
      <c r="AP163" s="376" t="s">
        <v>3686</v>
      </c>
      <c r="AQ163" s="373"/>
    </row>
    <row r="164">
      <c r="A164" s="257" t="s">
        <v>2766</v>
      </c>
      <c r="B164" s="257" t="s">
        <v>2767</v>
      </c>
      <c r="C164" s="257" t="str">
        <f>VLOOKUP(A164,import!A:J,3,0)</f>
        <v>DOĞRU</v>
      </c>
      <c r="D164" s="257" t="s">
        <v>3759</v>
      </c>
      <c r="E164" s="257">
        <f>VLOOKUP(A164,import!A:J,5,0)</f>
        <v>3157</v>
      </c>
      <c r="F164" s="257">
        <f>VLOOKUP(A164,import!A:J,6,0)</f>
        <v>63</v>
      </c>
      <c r="G164" s="257">
        <f>VLOOKUP(A164,import!A:J,7,0)</f>
        <v>5</v>
      </c>
      <c r="H164" s="257">
        <f>VLOOKUP(A164,import!A:J,8,0)</f>
        <v>1</v>
      </c>
      <c r="I164" s="257">
        <f>VLOOKUP(A164,import!A:J,9,0)</f>
        <v>6</v>
      </c>
      <c r="J164" s="369">
        <f>VLOOKUP(A164,import!A:J,10,0)</f>
        <v>0.83</v>
      </c>
      <c r="K164" s="257" t="s">
        <v>4261</v>
      </c>
      <c r="L164" s="257">
        <v>3.224547537E9</v>
      </c>
      <c r="M164" s="257" t="s">
        <v>286</v>
      </c>
      <c r="N164" s="257" t="s">
        <v>4263</v>
      </c>
      <c r="O164" s="257" t="s">
        <v>2770</v>
      </c>
      <c r="P164" s="370" t="str">
        <f>VLOOKUP(A164,import!A:P,16,0)</f>
        <v>Geleneksel</v>
      </c>
      <c r="Q164" s="370"/>
      <c r="R164" s="370" t="b">
        <v>1</v>
      </c>
      <c r="S164" s="370" t="b">
        <v>0</v>
      </c>
      <c r="T164" s="301" t="s">
        <v>3679</v>
      </c>
      <c r="U164" s="301" t="s">
        <v>2542</v>
      </c>
      <c r="V164" s="301" t="s">
        <v>78</v>
      </c>
      <c r="W164" s="301" t="s">
        <v>4264</v>
      </c>
      <c r="X164" s="371">
        <v>44474.0</v>
      </c>
      <c r="Y164" s="371">
        <v>44475.0</v>
      </c>
      <c r="Z164" s="372"/>
      <c r="AA164" s="373" t="s">
        <v>3448</v>
      </c>
      <c r="AB164" s="374">
        <v>44378.0</v>
      </c>
      <c r="AC164" s="373" t="s">
        <v>3682</v>
      </c>
      <c r="AD164" s="374">
        <v>44379.0</v>
      </c>
      <c r="AE164" s="373" t="s">
        <v>3682</v>
      </c>
      <c r="AF164" s="374">
        <v>44414.0</v>
      </c>
      <c r="AG164" s="373" t="s">
        <v>3682</v>
      </c>
      <c r="AH164" s="374">
        <v>44418.0</v>
      </c>
      <c r="AI164" s="373" t="s">
        <v>3682</v>
      </c>
      <c r="AJ164" s="374">
        <v>44474.0</v>
      </c>
      <c r="AK164" s="373" t="s">
        <v>3752</v>
      </c>
      <c r="AL164" s="373" t="s">
        <v>1014</v>
      </c>
      <c r="AM164" s="373" t="s">
        <v>3729</v>
      </c>
      <c r="AN164" s="373" t="s">
        <v>1953</v>
      </c>
      <c r="AO164" s="373" t="s">
        <v>2542</v>
      </c>
      <c r="AP164" s="376" t="s">
        <v>3686</v>
      </c>
      <c r="AQ164" s="373"/>
    </row>
    <row r="165">
      <c r="A165" s="257" t="s">
        <v>2891</v>
      </c>
      <c r="B165" s="257" t="s">
        <v>2892</v>
      </c>
      <c r="C165" s="257" t="str">
        <f>VLOOKUP(A165,import!A:J,3,0)</f>
        <v>DOĞRU</v>
      </c>
      <c r="D165" s="257" t="s">
        <v>3699</v>
      </c>
      <c r="E165" s="257">
        <f>VLOOKUP(A165,import!A:J,5,0)</f>
        <v>348</v>
      </c>
      <c r="F165" s="257">
        <f>VLOOKUP(A165,import!A:J,6,0)</f>
        <v>27</v>
      </c>
      <c r="G165" s="257">
        <f>VLOOKUP(A165,import!A:J,7,0)</f>
        <v>60</v>
      </c>
      <c r="H165" s="257">
        <f>VLOOKUP(A165,import!A:J,8,0)</f>
        <v>23</v>
      </c>
      <c r="I165" s="257">
        <f>VLOOKUP(A165,import!A:J,9,0)</f>
        <v>83</v>
      </c>
      <c r="J165" s="369">
        <f>VLOOKUP(A165,import!A:J,10,0)</f>
        <v>0.72</v>
      </c>
      <c r="K165" s="257" t="s">
        <v>4265</v>
      </c>
      <c r="L165" s="257">
        <v>5.380510547E9</v>
      </c>
      <c r="M165" s="257" t="s">
        <v>286</v>
      </c>
      <c r="N165" s="257" t="s">
        <v>3688</v>
      </c>
      <c r="O165" s="257" t="s">
        <v>2894</v>
      </c>
      <c r="P165" s="370" t="str">
        <f>VLOOKUP(A165,import!A:P,16,0)</f>
        <v>Geleneksel</v>
      </c>
      <c r="Q165" s="370"/>
      <c r="R165" s="370" t="b">
        <v>1</v>
      </c>
      <c r="S165" s="370" t="b">
        <v>0</v>
      </c>
      <c r="T165" s="301" t="s">
        <v>3679</v>
      </c>
      <c r="U165" s="301" t="s">
        <v>2706</v>
      </c>
      <c r="V165" s="301" t="s">
        <v>78</v>
      </c>
      <c r="W165" s="301"/>
      <c r="X165" s="371">
        <v>44494.0</v>
      </c>
      <c r="Y165" s="371">
        <v>44495.0</v>
      </c>
      <c r="Z165" s="372"/>
      <c r="AA165" s="373" t="s">
        <v>3682</v>
      </c>
      <c r="AB165" s="374">
        <v>44488.0</v>
      </c>
      <c r="AC165" s="373" t="s">
        <v>3682</v>
      </c>
      <c r="AD165" s="374">
        <v>44494.0</v>
      </c>
      <c r="AE165" s="373"/>
      <c r="AF165" s="374"/>
      <c r="AG165" s="373"/>
      <c r="AH165" s="374"/>
      <c r="AI165" s="375"/>
      <c r="AJ165" s="375"/>
      <c r="AK165" s="373" t="s">
        <v>2542</v>
      </c>
      <c r="AL165" s="373" t="s">
        <v>2706</v>
      </c>
      <c r="AM165" s="375"/>
      <c r="AN165" s="373"/>
      <c r="AO165" s="375"/>
      <c r="AP165" s="376" t="s">
        <v>3686</v>
      </c>
      <c r="AQ165" s="375"/>
    </row>
    <row r="166">
      <c r="A166" s="257" t="s">
        <v>3394</v>
      </c>
      <c r="B166" s="257" t="s">
        <v>3395</v>
      </c>
      <c r="C166" s="257" t="str">
        <f>VLOOKUP(A166,import!A:J,3,0)</f>
        <v>DOĞRU</v>
      </c>
      <c r="D166" s="257" t="s">
        <v>3713</v>
      </c>
      <c r="E166" s="257">
        <f>VLOOKUP(A166,import!A:J,5,0)</f>
        <v>47</v>
      </c>
      <c r="F166" s="257">
        <f>VLOOKUP(A166,import!A:J,6,0)</f>
        <v>8</v>
      </c>
      <c r="G166" s="257">
        <f>VLOOKUP(A166,import!A:J,7,0)</f>
        <v>11</v>
      </c>
      <c r="H166" s="257">
        <f>VLOOKUP(A166,import!A:J,8,0)</f>
        <v>8</v>
      </c>
      <c r="I166" s="257">
        <f>VLOOKUP(A166,import!A:J,9,0)</f>
        <v>19</v>
      </c>
      <c r="J166" s="369">
        <f>VLOOKUP(A166,import!A:J,10,0)</f>
        <v>0.58</v>
      </c>
      <c r="K166" s="257" t="s">
        <v>4266</v>
      </c>
      <c r="L166" s="257">
        <v>3.223210202E9</v>
      </c>
      <c r="M166" s="257" t="s">
        <v>286</v>
      </c>
      <c r="N166" s="257" t="s">
        <v>3782</v>
      </c>
      <c r="O166" s="257" t="s">
        <v>4267</v>
      </c>
      <c r="P166" s="370" t="str">
        <f>VLOOKUP(A166,import!A:P,16,0)</f>
        <v>Geleneksel</v>
      </c>
      <c r="Q166" s="370"/>
      <c r="R166" s="370" t="b">
        <v>1</v>
      </c>
      <c r="S166" s="370" t="b">
        <v>0</v>
      </c>
      <c r="T166" s="301" t="s">
        <v>3679</v>
      </c>
      <c r="U166" s="301" t="s">
        <v>2576</v>
      </c>
      <c r="V166" s="36" t="s">
        <v>3331</v>
      </c>
      <c r="W166" s="395">
        <v>5.537141202E9</v>
      </c>
      <c r="X166" s="371">
        <v>44621.0</v>
      </c>
      <c r="Y166" s="371">
        <v>44622.0</v>
      </c>
      <c r="Z166" s="372"/>
      <c r="AA166" s="373" t="s">
        <v>3682</v>
      </c>
      <c r="AB166" s="374">
        <v>44621.0</v>
      </c>
      <c r="AC166" s="373"/>
      <c r="AD166" s="374"/>
      <c r="AE166" s="373"/>
      <c r="AF166" s="374"/>
      <c r="AG166" s="373"/>
      <c r="AH166" s="374"/>
      <c r="AI166" s="375"/>
      <c r="AJ166" s="375"/>
      <c r="AK166" s="373" t="s">
        <v>2576</v>
      </c>
      <c r="AL166" s="375"/>
      <c r="AM166" s="375"/>
      <c r="AN166" s="373"/>
      <c r="AO166" s="375"/>
      <c r="AP166" s="376"/>
      <c r="AQ166" s="375"/>
    </row>
    <row r="167">
      <c r="A167" s="257" t="s">
        <v>4268</v>
      </c>
      <c r="B167" s="257" t="s">
        <v>4269</v>
      </c>
      <c r="C167" s="257" t="str">
        <f>VLOOKUP(A167,import!A:J,3,0)</f>
        <v>YANLIŞ</v>
      </c>
      <c r="D167" s="257" t="s">
        <v>3699</v>
      </c>
      <c r="E167" s="257" t="str">
        <f>VLOOKUP(A167,import!A:J,5,0)</f>
        <v/>
      </c>
      <c r="F167" s="257" t="str">
        <f>VLOOKUP(A167,import!A:J,6,0)</f>
        <v/>
      </c>
      <c r="G167" s="257">
        <f>VLOOKUP(A167,import!A:J,7,0)</f>
        <v>0</v>
      </c>
      <c r="H167" s="257">
        <f>VLOOKUP(A167,import!A:J,8,0)</f>
        <v>27</v>
      </c>
      <c r="I167" s="257">
        <f>VLOOKUP(A167,import!A:J,9,0)</f>
        <v>27</v>
      </c>
      <c r="J167" s="369">
        <f>VLOOKUP(A167,import!A:J,10,0)</f>
        <v>0</v>
      </c>
      <c r="K167" s="257" t="s">
        <v>4270</v>
      </c>
      <c r="L167" s="257">
        <v>3.223297686E9</v>
      </c>
      <c r="M167" s="257" t="s">
        <v>3707</v>
      </c>
      <c r="N167" s="257" t="s">
        <v>3761</v>
      </c>
      <c r="O167" s="257" t="s">
        <v>4271</v>
      </c>
      <c r="P167" s="386" t="str">
        <f>VLOOKUP(A167,import!A:P,16,0)</f>
        <v>Geleneksel</v>
      </c>
      <c r="Q167" s="370"/>
      <c r="R167" s="370" t="b">
        <v>0</v>
      </c>
      <c r="S167" s="370" t="b">
        <v>0</v>
      </c>
      <c r="T167" s="301"/>
      <c r="U167" s="379"/>
      <c r="V167" s="379"/>
      <c r="W167" s="301"/>
      <c r="X167" s="381"/>
      <c r="Y167" s="381"/>
      <c r="Z167" s="372"/>
      <c r="AA167" s="373"/>
      <c r="AB167" s="374"/>
      <c r="AC167" s="373"/>
      <c r="AD167" s="374"/>
      <c r="AE167" s="373"/>
      <c r="AF167" s="374"/>
      <c r="AG167" s="373"/>
      <c r="AH167" s="374"/>
      <c r="AI167" s="375"/>
      <c r="AJ167" s="375"/>
      <c r="AK167" s="373"/>
      <c r="AL167" s="375"/>
      <c r="AM167" s="375"/>
      <c r="AN167" s="373"/>
      <c r="AO167" s="375"/>
      <c r="AP167" s="376"/>
      <c r="AQ167" s="375"/>
    </row>
    <row r="168">
      <c r="A168" s="266" t="s">
        <v>1367</v>
      </c>
      <c r="B168" s="266" t="s">
        <v>1368</v>
      </c>
      <c r="C168" s="257" t="str">
        <f>VLOOKUP(A168,import!A:J,3,0)</f>
        <v>DOĞRU</v>
      </c>
      <c r="D168" s="266" t="s">
        <v>3822</v>
      </c>
      <c r="E168" s="257">
        <f>VLOOKUP(A168,import!A:J,5,0)</f>
        <v>119</v>
      </c>
      <c r="F168" s="257" t="str">
        <f>VLOOKUP(A168,import!A:J,6,0)</f>
        <v/>
      </c>
      <c r="G168" s="257">
        <f>VLOOKUP(A168,import!A:J,7,0)</f>
        <v>12</v>
      </c>
      <c r="H168" s="257">
        <f>VLOOKUP(A168,import!A:J,8,0)</f>
        <v>21</v>
      </c>
      <c r="I168" s="257">
        <f>VLOOKUP(A168,import!A:J,9,0)</f>
        <v>33</v>
      </c>
      <c r="J168" s="369">
        <f>VLOOKUP(A168,import!A:J,10,0)</f>
        <v>0.36</v>
      </c>
      <c r="K168" s="266" t="s">
        <v>4272</v>
      </c>
      <c r="L168" s="266">
        <v>5.32604642E9</v>
      </c>
      <c r="M168" s="266" t="s">
        <v>286</v>
      </c>
      <c r="N168" s="266" t="s">
        <v>3737</v>
      </c>
      <c r="O168" s="266" t="s">
        <v>301</v>
      </c>
      <c r="P168" s="370" t="str">
        <f>VLOOKUP(A168,import!A:P,16,0)</f>
        <v>Geleneksel</v>
      </c>
      <c r="Q168" s="370"/>
      <c r="R168" s="370" t="b">
        <v>1</v>
      </c>
      <c r="S168" s="370" t="b">
        <v>0</v>
      </c>
      <c r="T168" s="301" t="s">
        <v>3770</v>
      </c>
      <c r="U168" s="301" t="s">
        <v>79</v>
      </c>
      <c r="V168" s="301" t="s">
        <v>78</v>
      </c>
      <c r="W168" s="301" t="s">
        <v>4273</v>
      </c>
      <c r="X168" s="371">
        <v>44490.0</v>
      </c>
      <c r="Y168" s="371">
        <v>44491.0</v>
      </c>
      <c r="Z168" s="377"/>
      <c r="AA168" s="373" t="s">
        <v>3682</v>
      </c>
      <c r="AB168" s="396">
        <v>44385.0</v>
      </c>
      <c r="AC168" s="373" t="s">
        <v>3448</v>
      </c>
      <c r="AD168" s="396">
        <v>44476.0</v>
      </c>
      <c r="AE168" s="373" t="s">
        <v>3682</v>
      </c>
      <c r="AF168" s="396">
        <v>44508.0</v>
      </c>
      <c r="AG168" s="92"/>
      <c r="AH168" s="397"/>
      <c r="AI168" s="375"/>
      <c r="AJ168" s="397"/>
      <c r="AK168" s="373" t="s">
        <v>79</v>
      </c>
      <c r="AL168" s="373" t="s">
        <v>2418</v>
      </c>
      <c r="AM168" s="373" t="s">
        <v>2282</v>
      </c>
      <c r="AN168" s="397"/>
      <c r="AO168" s="397"/>
      <c r="AP168" s="376" t="s">
        <v>3683</v>
      </c>
      <c r="AQ168" s="397"/>
    </row>
    <row r="169">
      <c r="A169" s="257" t="s">
        <v>4274</v>
      </c>
      <c r="B169" s="257" t="s">
        <v>4275</v>
      </c>
      <c r="C169" s="257" t="str">
        <f>VLOOKUP(A169,import!A:J,3,0)</f>
        <v>YANLIŞ</v>
      </c>
      <c r="D169" s="257" t="s">
        <v>3699</v>
      </c>
      <c r="E169" s="257">
        <f>VLOOKUP(A169,import!A:J,5,0)</f>
        <v>111</v>
      </c>
      <c r="F169" s="257" t="str">
        <f>VLOOKUP(A169,import!A:J,6,0)</f>
        <v/>
      </c>
      <c r="G169" s="257">
        <f>VLOOKUP(A169,import!A:J,7,0)</f>
        <v>0</v>
      </c>
      <c r="H169" s="257">
        <f>VLOOKUP(A169,import!A:J,8,0)</f>
        <v>7</v>
      </c>
      <c r="I169" s="257">
        <f>VLOOKUP(A169,import!A:J,9,0)</f>
        <v>7</v>
      </c>
      <c r="J169" s="369">
        <f>VLOOKUP(A169,import!A:J,10,0)</f>
        <v>0</v>
      </c>
      <c r="K169" s="257" t="s">
        <v>4276</v>
      </c>
      <c r="L169" s="257">
        <v>5.444425329E9</v>
      </c>
      <c r="M169" s="257" t="s">
        <v>286</v>
      </c>
      <c r="N169" s="257" t="s">
        <v>3754</v>
      </c>
      <c r="O169" s="257" t="s">
        <v>4277</v>
      </c>
      <c r="P169" s="370" t="str">
        <f>VLOOKUP(A169,import!A:P,16,0)</f>
        <v>Geleneksel</v>
      </c>
      <c r="Q169" s="370"/>
      <c r="R169" s="370" t="b">
        <v>1</v>
      </c>
      <c r="S169" s="370" t="b">
        <v>0</v>
      </c>
      <c r="T169" s="301"/>
      <c r="U169" s="379"/>
      <c r="V169" s="379"/>
      <c r="W169" s="301" t="s">
        <v>4278</v>
      </c>
      <c r="X169" s="381"/>
      <c r="Y169" s="381"/>
      <c r="Z169" s="372"/>
      <c r="AA169" s="373" t="s">
        <v>3448</v>
      </c>
      <c r="AB169" s="374">
        <v>44488.0</v>
      </c>
      <c r="AC169" s="373"/>
      <c r="AD169" s="374"/>
      <c r="AE169" s="373"/>
      <c r="AF169" s="374"/>
      <c r="AG169" s="373"/>
      <c r="AH169" s="374"/>
      <c r="AI169" s="375"/>
      <c r="AJ169" s="375"/>
      <c r="AK169" s="373" t="s">
        <v>2542</v>
      </c>
      <c r="AL169" s="375"/>
      <c r="AM169" s="375"/>
      <c r="AN169" s="373"/>
      <c r="AO169" s="375"/>
      <c r="AP169" s="376" t="s">
        <v>3686</v>
      </c>
      <c r="AQ169" s="375"/>
    </row>
    <row r="170">
      <c r="A170" s="257" t="s">
        <v>4279</v>
      </c>
      <c r="B170" s="257" t="s">
        <v>4280</v>
      </c>
      <c r="C170" s="257" t="str">
        <f>VLOOKUP(A170,import!A:J,3,0)</f>
        <v>DOĞRU</v>
      </c>
      <c r="D170" s="257" t="s">
        <v>3699</v>
      </c>
      <c r="E170" s="257">
        <f>VLOOKUP(A170,import!A:J,5,0)</f>
        <v>2024</v>
      </c>
      <c r="F170" s="257">
        <f>VLOOKUP(A170,import!A:J,6,0)</f>
        <v>70</v>
      </c>
      <c r="G170" s="257">
        <f>VLOOKUP(A170,import!A:J,7,0)</f>
        <v>57</v>
      </c>
      <c r="H170" s="257">
        <f>VLOOKUP(A170,import!A:J,8,0)</f>
        <v>19</v>
      </c>
      <c r="I170" s="257">
        <f>VLOOKUP(A170,import!A:J,9,0)</f>
        <v>76</v>
      </c>
      <c r="J170" s="369">
        <f>VLOOKUP(A170,import!A:J,10,0)</f>
        <v>0.75</v>
      </c>
      <c r="K170" s="257" t="s">
        <v>4281</v>
      </c>
      <c r="L170" s="257">
        <v>3.224593555E9</v>
      </c>
      <c r="M170" s="257" t="s">
        <v>286</v>
      </c>
      <c r="N170" s="257" t="s">
        <v>3688</v>
      </c>
      <c r="O170" s="257" t="s">
        <v>4282</v>
      </c>
      <c r="P170" s="370" t="str">
        <f>VLOOKUP(A170,import!A:P,16,0)</f>
        <v>Geleneksel</v>
      </c>
      <c r="Q170" s="370"/>
      <c r="R170" s="370" t="b">
        <v>0</v>
      </c>
      <c r="S170" s="370" t="b">
        <v>0</v>
      </c>
      <c r="T170" s="301" t="s">
        <v>3817</v>
      </c>
      <c r="U170" s="301"/>
      <c r="V170" s="301"/>
      <c r="W170" s="301"/>
      <c r="X170" s="371"/>
      <c r="Y170" s="371"/>
      <c r="Z170" s="377"/>
      <c r="AA170" s="375"/>
      <c r="AB170" s="375"/>
      <c r="AC170" s="375"/>
      <c r="AD170" s="375"/>
      <c r="AE170" s="92"/>
      <c r="AF170" s="375"/>
      <c r="AG170" s="92"/>
      <c r="AH170" s="375"/>
      <c r="AI170" s="375"/>
      <c r="AJ170" s="375"/>
      <c r="AK170" s="375"/>
      <c r="AL170" s="375"/>
      <c r="AM170" s="375"/>
      <c r="AN170" s="375"/>
      <c r="AO170" s="375"/>
      <c r="AP170" s="376" t="s">
        <v>4283</v>
      </c>
      <c r="AQ170" s="375"/>
    </row>
    <row r="171">
      <c r="A171" s="257" t="s">
        <v>4284</v>
      </c>
      <c r="B171" s="257" t="s">
        <v>4285</v>
      </c>
      <c r="C171" s="257" t="str">
        <f>VLOOKUP(A171,import!A:J,3,0)</f>
        <v>YANLIŞ</v>
      </c>
      <c r="D171" s="257" t="s">
        <v>3699</v>
      </c>
      <c r="E171" s="257">
        <f>VLOOKUP(A171,import!A:J,5,0)</f>
        <v>93</v>
      </c>
      <c r="F171" s="257" t="str">
        <f>VLOOKUP(A171,import!A:J,6,0)</f>
        <v/>
      </c>
      <c r="G171" s="257">
        <f>VLOOKUP(A171,import!A:J,7,0)</f>
        <v>0</v>
      </c>
      <c r="H171" s="257">
        <f>VLOOKUP(A171,import!A:J,8,0)</f>
        <v>37</v>
      </c>
      <c r="I171" s="257">
        <f>VLOOKUP(A171,import!A:J,9,0)</f>
        <v>37</v>
      </c>
      <c r="J171" s="369">
        <f>VLOOKUP(A171,import!A:J,10,0)</f>
        <v>0</v>
      </c>
      <c r="K171" s="257" t="s">
        <v>4286</v>
      </c>
      <c r="L171" s="257">
        <v>8.508087235E9</v>
      </c>
      <c r="M171" s="257" t="s">
        <v>286</v>
      </c>
      <c r="N171" s="257" t="s">
        <v>3737</v>
      </c>
      <c r="O171" s="257" t="s">
        <v>4287</v>
      </c>
      <c r="P171" s="370" t="str">
        <f>VLOOKUP(A171,import!A:P,16,0)</f>
        <v>Geleneksel</v>
      </c>
      <c r="Q171" s="370"/>
      <c r="R171" s="370" t="b">
        <v>1</v>
      </c>
      <c r="S171" s="370" t="b">
        <v>1</v>
      </c>
      <c r="T171" s="301"/>
      <c r="U171" s="379"/>
      <c r="V171" s="379"/>
      <c r="W171" s="301" t="s">
        <v>4288</v>
      </c>
      <c r="X171" s="381"/>
      <c r="Y171" s="381"/>
      <c r="Z171" s="372"/>
      <c r="AA171" s="373" t="s">
        <v>3695</v>
      </c>
      <c r="AB171" s="374">
        <v>44385.0</v>
      </c>
      <c r="AC171" s="373" t="s">
        <v>3682</v>
      </c>
      <c r="AD171" s="374">
        <v>44406.0</v>
      </c>
      <c r="AE171" s="373" t="s">
        <v>3682</v>
      </c>
      <c r="AF171" s="374">
        <v>44414.0</v>
      </c>
      <c r="AG171" s="373" t="s">
        <v>3681</v>
      </c>
      <c r="AH171" s="374">
        <v>44433.0</v>
      </c>
      <c r="AI171" s="373" t="s">
        <v>3682</v>
      </c>
      <c r="AJ171" s="374">
        <v>44481.0</v>
      </c>
      <c r="AK171" s="373" t="s">
        <v>79</v>
      </c>
      <c r="AL171" s="373" t="s">
        <v>79</v>
      </c>
      <c r="AM171" s="373" t="s">
        <v>3723</v>
      </c>
      <c r="AN171" s="373" t="s">
        <v>1953</v>
      </c>
      <c r="AO171" s="373" t="s">
        <v>2542</v>
      </c>
      <c r="AP171" s="376" t="s">
        <v>3683</v>
      </c>
      <c r="AQ171" s="373"/>
    </row>
    <row r="172">
      <c r="A172" s="257" t="s">
        <v>98</v>
      </c>
      <c r="B172" s="257" t="s">
        <v>99</v>
      </c>
      <c r="C172" s="257" t="str">
        <f>VLOOKUP(A172,import!A:J,3,0)</f>
        <v>DOĞRU</v>
      </c>
      <c r="D172" s="257" t="s">
        <v>3759</v>
      </c>
      <c r="E172" s="257">
        <f>VLOOKUP(A172,import!A:J,5,0)</f>
        <v>2459</v>
      </c>
      <c r="F172" s="257">
        <f>VLOOKUP(A172,import!A:J,6,0)</f>
        <v>81</v>
      </c>
      <c r="G172" s="257">
        <f>VLOOKUP(A172,import!A:J,7,0)</f>
        <v>7</v>
      </c>
      <c r="H172" s="257">
        <f>VLOOKUP(A172,import!A:J,8,0)</f>
        <v>2</v>
      </c>
      <c r="I172" s="257">
        <f>VLOOKUP(A172,import!A:J,9,0)</f>
        <v>9</v>
      </c>
      <c r="J172" s="369">
        <f>VLOOKUP(A172,import!A:J,10,0)</f>
        <v>0.78</v>
      </c>
      <c r="K172" s="257" t="s">
        <v>4289</v>
      </c>
      <c r="L172" s="257">
        <v>3.222563356E9</v>
      </c>
      <c r="M172" s="257" t="s">
        <v>14</v>
      </c>
      <c r="N172" s="257" t="s">
        <v>3678</v>
      </c>
      <c r="O172" s="257" t="s">
        <v>101</v>
      </c>
      <c r="P172" s="370" t="str">
        <f>VLOOKUP(A172,import!A:P,16,0)</f>
        <v>Geleneksel</v>
      </c>
      <c r="Q172" s="370"/>
      <c r="R172" s="370" t="b">
        <v>1</v>
      </c>
      <c r="S172" s="370" t="b">
        <v>0</v>
      </c>
      <c r="T172" s="301" t="s">
        <v>3679</v>
      </c>
      <c r="U172" s="301" t="s">
        <v>16</v>
      </c>
      <c r="V172" s="301" t="s">
        <v>15</v>
      </c>
      <c r="W172" s="301"/>
      <c r="X172" s="371">
        <v>44286.0</v>
      </c>
      <c r="Y172" s="371">
        <v>44292.0</v>
      </c>
      <c r="Z172" s="377"/>
      <c r="AA172" s="375"/>
      <c r="AB172" s="375"/>
      <c r="AC172" s="375"/>
      <c r="AD172" s="375"/>
      <c r="AE172" s="92"/>
      <c r="AF172" s="375"/>
      <c r="AG172" s="92"/>
      <c r="AH172" s="375"/>
      <c r="AI172" s="375"/>
      <c r="AJ172" s="375"/>
      <c r="AK172" s="375"/>
      <c r="AL172" s="375"/>
      <c r="AM172" s="375"/>
      <c r="AN172" s="375"/>
      <c r="AO172" s="375"/>
      <c r="AP172" s="376" t="s">
        <v>3683</v>
      </c>
      <c r="AQ172" s="375"/>
    </row>
    <row r="173">
      <c r="A173" s="257" t="s">
        <v>2612</v>
      </c>
      <c r="B173" s="257" t="s">
        <v>2613</v>
      </c>
      <c r="C173" s="257" t="str">
        <f>VLOOKUP(A173,import!A:J,3,0)</f>
        <v>DOĞRU</v>
      </c>
      <c r="D173" s="257" t="s">
        <v>3759</v>
      </c>
      <c r="E173" s="257">
        <f>VLOOKUP(A173,import!A:J,5,0)</f>
        <v>992</v>
      </c>
      <c r="F173" s="257">
        <f>VLOOKUP(A173,import!A:J,6,0)</f>
        <v>56</v>
      </c>
      <c r="G173" s="257">
        <f>VLOOKUP(A173,import!A:J,7,0)</f>
        <v>5</v>
      </c>
      <c r="H173" s="257">
        <f>VLOOKUP(A173,import!A:J,8,0)</f>
        <v>1</v>
      </c>
      <c r="I173" s="257">
        <f>VLOOKUP(A173,import!A:J,9,0)</f>
        <v>6</v>
      </c>
      <c r="J173" s="369">
        <f>VLOOKUP(A173,import!A:J,10,0)</f>
        <v>0.83</v>
      </c>
      <c r="K173" s="257" t="s">
        <v>4290</v>
      </c>
      <c r="L173" s="257">
        <v>3.223244901E9</v>
      </c>
      <c r="M173" s="257" t="s">
        <v>3707</v>
      </c>
      <c r="N173" s="257" t="s">
        <v>4291</v>
      </c>
      <c r="O173" s="257" t="s">
        <v>2616</v>
      </c>
      <c r="P173" s="370" t="str">
        <f>VLOOKUP(A173,import!A:P,16,0)</f>
        <v>Geleneksel</v>
      </c>
      <c r="Q173" s="370"/>
      <c r="R173" s="370" t="b">
        <v>1</v>
      </c>
      <c r="S173" s="370" t="b">
        <v>0</v>
      </c>
      <c r="T173" s="301" t="s">
        <v>3679</v>
      </c>
      <c r="U173" s="301" t="s">
        <v>2542</v>
      </c>
      <c r="V173" s="301" t="s">
        <v>78</v>
      </c>
      <c r="W173" s="301" t="s">
        <v>4292</v>
      </c>
      <c r="X173" s="371">
        <v>44463.0</v>
      </c>
      <c r="Y173" s="371">
        <v>44466.0</v>
      </c>
      <c r="Z173" s="372"/>
      <c r="AA173" s="373" t="s">
        <v>3681</v>
      </c>
      <c r="AB173" s="374">
        <v>44432.0</v>
      </c>
      <c r="AC173" s="373" t="s">
        <v>3682</v>
      </c>
      <c r="AD173" s="374">
        <v>44463.0</v>
      </c>
      <c r="AE173" s="92"/>
      <c r="AF173" s="375"/>
      <c r="AG173" s="92"/>
      <c r="AH173" s="375"/>
      <c r="AI173" s="375"/>
      <c r="AJ173" s="375"/>
      <c r="AK173" s="375"/>
      <c r="AL173" s="373" t="s">
        <v>2542</v>
      </c>
      <c r="AM173" s="375"/>
      <c r="AN173" s="375"/>
      <c r="AO173" s="375"/>
      <c r="AP173" s="376" t="s">
        <v>3686</v>
      </c>
      <c r="AQ173" s="375"/>
    </row>
    <row r="174">
      <c r="A174" s="257" t="s">
        <v>4293</v>
      </c>
      <c r="B174" s="257" t="s">
        <v>4294</v>
      </c>
      <c r="C174" s="257" t="str">
        <f>VLOOKUP(A174,import!A:J,3,0)</f>
        <v>DOĞRU</v>
      </c>
      <c r="D174" s="257" t="s">
        <v>4000</v>
      </c>
      <c r="E174" s="257">
        <f>VLOOKUP(A174,import!A:J,5,0)</f>
        <v>155</v>
      </c>
      <c r="F174" s="257">
        <f>VLOOKUP(A174,import!A:J,6,0)</f>
        <v>46</v>
      </c>
      <c r="G174" s="257">
        <f>VLOOKUP(A174,import!A:J,7,0)</f>
        <v>0</v>
      </c>
      <c r="H174" s="257">
        <f>VLOOKUP(A174,import!A:J,8,0)</f>
        <v>20</v>
      </c>
      <c r="I174" s="257">
        <f>VLOOKUP(A174,import!A:J,9,0)</f>
        <v>20</v>
      </c>
      <c r="J174" s="369">
        <f>VLOOKUP(A174,import!A:J,10,0)</f>
        <v>0</v>
      </c>
      <c r="K174" s="257" t="s">
        <v>4295</v>
      </c>
      <c r="L174" s="257">
        <v>5.465040101E9</v>
      </c>
      <c r="M174" s="257" t="s">
        <v>14</v>
      </c>
      <c r="N174" s="257" t="s">
        <v>3826</v>
      </c>
      <c r="O174" s="257" t="s">
        <v>4296</v>
      </c>
      <c r="P174" s="370" t="str">
        <f>VLOOKUP(A174,import!A:P,16,0)</f>
        <v>Geleneksel</v>
      </c>
      <c r="Q174" s="370"/>
      <c r="R174" s="370" t="b">
        <v>1</v>
      </c>
      <c r="S174" s="370" t="b">
        <v>0</v>
      </c>
      <c r="T174" s="301" t="s">
        <v>3696</v>
      </c>
      <c r="U174" s="379"/>
      <c r="V174" s="379"/>
      <c r="W174" s="301" t="s">
        <v>4297</v>
      </c>
      <c r="X174" s="381"/>
      <c r="Y174" s="381"/>
      <c r="Z174" s="372"/>
      <c r="AA174" s="373"/>
      <c r="AB174" s="374"/>
      <c r="AC174" s="373"/>
      <c r="AD174" s="374"/>
      <c r="AE174" s="373"/>
      <c r="AF174" s="374"/>
      <c r="AG174" s="373"/>
      <c r="AH174" s="374"/>
      <c r="AI174" s="375"/>
      <c r="AJ174" s="375"/>
      <c r="AK174" s="373"/>
      <c r="AL174" s="375"/>
      <c r="AM174" s="375"/>
      <c r="AN174" s="373"/>
      <c r="AO174" s="375"/>
      <c r="AP174" s="376"/>
      <c r="AQ174" s="375"/>
    </row>
    <row r="175">
      <c r="A175" s="257" t="s">
        <v>3434</v>
      </c>
      <c r="B175" s="257" t="s">
        <v>3435</v>
      </c>
      <c r="C175" s="257" t="str">
        <f>VLOOKUP(A175,import!A:J,3,0)</f>
        <v>DOĞRU</v>
      </c>
      <c r="D175" s="257" t="s">
        <v>4000</v>
      </c>
      <c r="E175" s="257">
        <f>VLOOKUP(A175,import!A:J,5,0)</f>
        <v>204</v>
      </c>
      <c r="F175" s="257">
        <f>VLOOKUP(A175,import!A:J,6,0)</f>
        <v>46</v>
      </c>
      <c r="G175" s="257">
        <f>VLOOKUP(A175,import!A:J,7,0)</f>
        <v>0</v>
      </c>
      <c r="H175" s="257">
        <f>VLOOKUP(A175,import!A:J,8,0)</f>
        <v>9</v>
      </c>
      <c r="I175" s="257">
        <f>VLOOKUP(A175,import!A:J,9,0)</f>
        <v>9</v>
      </c>
      <c r="J175" s="369">
        <f>VLOOKUP(A175,import!A:J,10,0)</f>
        <v>0</v>
      </c>
      <c r="K175" s="257" t="s">
        <v>4298</v>
      </c>
      <c r="L175" s="257">
        <v>5.535782194E9</v>
      </c>
      <c r="M175" s="257" t="s">
        <v>286</v>
      </c>
      <c r="N175" s="257" t="s">
        <v>3737</v>
      </c>
      <c r="O175" s="257" t="s">
        <v>3437</v>
      </c>
      <c r="P175" s="370" t="str">
        <f>VLOOKUP(A175,import!A:P,16,0)</f>
        <v>Geleneksel</v>
      </c>
      <c r="Q175" s="370"/>
      <c r="R175" s="370" t="b">
        <v>1</v>
      </c>
      <c r="S175" s="370" t="b">
        <v>0</v>
      </c>
      <c r="T175" s="301" t="s">
        <v>3679</v>
      </c>
      <c r="U175" s="301" t="s">
        <v>2192</v>
      </c>
      <c r="V175" s="387" t="s">
        <v>3331</v>
      </c>
      <c r="W175" s="301"/>
      <c r="X175" s="371">
        <v>44628.0</v>
      </c>
      <c r="Y175" s="371">
        <v>44629.0</v>
      </c>
      <c r="Z175" s="372"/>
      <c r="AA175" s="373" t="s">
        <v>3682</v>
      </c>
      <c r="AB175" s="374">
        <v>44628.0</v>
      </c>
      <c r="AC175" s="373"/>
      <c r="AD175" s="374"/>
      <c r="AE175" s="373"/>
      <c r="AF175" s="374"/>
      <c r="AG175" s="373"/>
      <c r="AH175" s="374"/>
      <c r="AI175" s="373"/>
      <c r="AJ175" s="374"/>
      <c r="AK175" s="373" t="s">
        <v>2192</v>
      </c>
      <c r="AL175" s="373"/>
      <c r="AM175" s="373"/>
      <c r="AN175" s="373"/>
      <c r="AO175" s="373"/>
      <c r="AP175" s="376"/>
      <c r="AQ175" s="373"/>
    </row>
    <row r="176">
      <c r="A176" s="257" t="s">
        <v>3171</v>
      </c>
      <c r="B176" s="257" t="s">
        <v>3172</v>
      </c>
      <c r="C176" s="257" t="str">
        <f>VLOOKUP(A176,import!A:J,3,0)</f>
        <v>DOĞRU</v>
      </c>
      <c r="D176" s="257" t="s">
        <v>3842</v>
      </c>
      <c r="E176" s="257">
        <f>VLOOKUP(A176,import!A:J,5,0)</f>
        <v>544</v>
      </c>
      <c r="F176" s="257">
        <f>VLOOKUP(A176,import!A:J,6,0)</f>
        <v>43</v>
      </c>
      <c r="G176" s="257">
        <f>VLOOKUP(A176,import!A:J,7,0)</f>
        <v>6</v>
      </c>
      <c r="H176" s="257">
        <f>VLOOKUP(A176,import!A:J,8,0)</f>
        <v>1</v>
      </c>
      <c r="I176" s="257">
        <f>VLOOKUP(A176,import!A:J,9,0)</f>
        <v>7</v>
      </c>
      <c r="J176" s="369">
        <f>VLOOKUP(A176,import!A:J,10,0)</f>
        <v>0.86</v>
      </c>
      <c r="K176" s="257" t="s">
        <v>4298</v>
      </c>
      <c r="L176" s="257">
        <v>5.33029133E9</v>
      </c>
      <c r="M176" s="257" t="s">
        <v>286</v>
      </c>
      <c r="N176" s="257" t="s">
        <v>3855</v>
      </c>
      <c r="O176" s="257" t="s">
        <v>4299</v>
      </c>
      <c r="P176" s="370" t="str">
        <f>VLOOKUP(A176,import!A:P,16,0)</f>
        <v>Geleneksel</v>
      </c>
      <c r="Q176" s="370"/>
      <c r="R176" s="370" t="b">
        <v>1</v>
      </c>
      <c r="S176" s="370" t="b">
        <v>0</v>
      </c>
      <c r="T176" s="301" t="s">
        <v>3787</v>
      </c>
      <c r="U176" s="301" t="s">
        <v>2941</v>
      </c>
      <c r="V176" s="379"/>
      <c r="W176" s="301"/>
      <c r="X176" s="381"/>
      <c r="Y176" s="381"/>
      <c r="Z176" s="372"/>
      <c r="AA176" s="373" t="s">
        <v>3682</v>
      </c>
      <c r="AB176" s="374">
        <v>44530.0</v>
      </c>
      <c r="AC176" s="373"/>
      <c r="AD176" s="374"/>
      <c r="AE176" s="373"/>
      <c r="AF176" s="374"/>
      <c r="AG176" s="373"/>
      <c r="AH176" s="374"/>
      <c r="AI176" s="375"/>
      <c r="AJ176" s="375"/>
      <c r="AK176" s="373" t="s">
        <v>2941</v>
      </c>
      <c r="AL176" s="375"/>
      <c r="AM176" s="375"/>
      <c r="AN176" s="373"/>
      <c r="AO176" s="375"/>
      <c r="AP176" s="376" t="s">
        <v>3686</v>
      </c>
      <c r="AQ176" s="375"/>
    </row>
    <row r="177">
      <c r="A177" s="257" t="s">
        <v>792</v>
      </c>
      <c r="B177" s="257" t="s">
        <v>793</v>
      </c>
      <c r="C177" s="257" t="str">
        <f>VLOOKUP(A177,import!A:J,3,0)</f>
        <v>DOĞRU</v>
      </c>
      <c r="D177" s="257" t="s">
        <v>4000</v>
      </c>
      <c r="E177" s="257">
        <f>VLOOKUP(A177,import!A:J,5,0)</f>
        <v>327</v>
      </c>
      <c r="F177" s="257">
        <f>VLOOKUP(A177,import!A:J,6,0)</f>
        <v>20</v>
      </c>
      <c r="G177" s="257">
        <f>VLOOKUP(A177,import!A:J,7,0)</f>
        <v>0</v>
      </c>
      <c r="H177" s="257">
        <f>VLOOKUP(A177,import!A:J,8,0)</f>
        <v>25</v>
      </c>
      <c r="I177" s="257">
        <f>VLOOKUP(A177,import!A:J,9,0)</f>
        <v>25</v>
      </c>
      <c r="J177" s="369">
        <f>VLOOKUP(A177,import!A:J,10,0)</f>
        <v>0</v>
      </c>
      <c r="K177" s="257" t="s">
        <v>4300</v>
      </c>
      <c r="L177" s="257">
        <v>3.222332334E9</v>
      </c>
      <c r="M177" s="257" t="s">
        <v>14</v>
      </c>
      <c r="N177" s="257" t="s">
        <v>3797</v>
      </c>
      <c r="O177" s="257" t="s">
        <v>795</v>
      </c>
      <c r="P177" s="370" t="str">
        <f>VLOOKUP(A177,import!A:P,16,0)</f>
        <v>Geleneksel</v>
      </c>
      <c r="Q177" s="370"/>
      <c r="R177" s="370" t="b">
        <v>1</v>
      </c>
      <c r="S177" s="370" t="b">
        <v>0</v>
      </c>
      <c r="T177" s="301" t="s">
        <v>3770</v>
      </c>
      <c r="U177" s="301" t="s">
        <v>79</v>
      </c>
      <c r="V177" s="301" t="s">
        <v>78</v>
      </c>
      <c r="W177" s="301" t="s">
        <v>4301</v>
      </c>
      <c r="X177" s="371">
        <v>44455.0</v>
      </c>
      <c r="Y177" s="371">
        <v>44456.0</v>
      </c>
      <c r="Z177" s="377"/>
      <c r="AA177" s="373" t="s">
        <v>3682</v>
      </c>
      <c r="AB177" s="374">
        <v>44375.0</v>
      </c>
      <c r="AC177" s="373" t="s">
        <v>3682</v>
      </c>
      <c r="AD177" s="374">
        <v>44440.0</v>
      </c>
      <c r="AE177" s="373" t="s">
        <v>3682</v>
      </c>
      <c r="AF177" s="374">
        <v>44574.0</v>
      </c>
      <c r="AG177" s="92"/>
      <c r="AH177" s="375"/>
      <c r="AI177" s="375"/>
      <c r="AJ177" s="375"/>
      <c r="AK177" s="373" t="s">
        <v>399</v>
      </c>
      <c r="AL177" s="373" t="s">
        <v>2542</v>
      </c>
      <c r="AM177" s="373" t="s">
        <v>2706</v>
      </c>
      <c r="AN177" s="375"/>
      <c r="AO177" s="375"/>
      <c r="AP177" s="376" t="s">
        <v>3683</v>
      </c>
      <c r="AQ177" s="375"/>
    </row>
    <row r="178">
      <c r="A178" s="257" t="s">
        <v>4302</v>
      </c>
      <c r="B178" s="257" t="s">
        <v>4303</v>
      </c>
      <c r="C178" s="257" t="str">
        <f>VLOOKUP(A178,import!A:J,3,0)</f>
        <v>DOĞRU</v>
      </c>
      <c r="D178" s="257" t="s">
        <v>4000</v>
      </c>
      <c r="E178" s="257">
        <f>VLOOKUP(A178,import!A:J,5,0)</f>
        <v>638</v>
      </c>
      <c r="F178" s="257">
        <f>VLOOKUP(A178,import!A:J,6,0)</f>
        <v>37</v>
      </c>
      <c r="G178" s="257">
        <f>VLOOKUP(A178,import!A:J,7,0)</f>
        <v>0</v>
      </c>
      <c r="H178" s="257">
        <f>VLOOKUP(A178,import!A:J,8,0)</f>
        <v>20</v>
      </c>
      <c r="I178" s="257">
        <f>VLOOKUP(A178,import!A:J,9,0)</f>
        <v>20</v>
      </c>
      <c r="J178" s="369">
        <f>VLOOKUP(A178,import!A:J,10,0)</f>
        <v>0</v>
      </c>
      <c r="K178" s="257" t="s">
        <v>4304</v>
      </c>
      <c r="L178" s="257">
        <v>3.224544542E9</v>
      </c>
      <c r="M178" s="257" t="s">
        <v>286</v>
      </c>
      <c r="N178" s="257" t="s">
        <v>3737</v>
      </c>
      <c r="O178" s="257" t="s">
        <v>4305</v>
      </c>
      <c r="P178" s="370" t="str">
        <f>VLOOKUP(A178,import!A:P,16,0)</f>
        <v>Geleneksel</v>
      </c>
      <c r="Q178" s="370"/>
      <c r="R178" s="370" t="b">
        <v>1</v>
      </c>
      <c r="S178" s="370" t="b">
        <v>1</v>
      </c>
      <c r="T178" s="301"/>
      <c r="U178" s="379"/>
      <c r="V178" s="15"/>
      <c r="W178" s="301" t="s">
        <v>4306</v>
      </c>
      <c r="X178" s="381"/>
      <c r="Y178" s="381"/>
      <c r="Z178" s="372"/>
      <c r="AA178" s="373" t="s">
        <v>3682</v>
      </c>
      <c r="AB178" s="374">
        <v>44377.0</v>
      </c>
      <c r="AC178" s="373" t="s">
        <v>3682</v>
      </c>
      <c r="AD178" s="374">
        <v>44441.0</v>
      </c>
      <c r="AE178" s="373" t="s">
        <v>3695</v>
      </c>
      <c r="AF178" s="374">
        <v>44481.0</v>
      </c>
      <c r="AG178" s="92"/>
      <c r="AH178" s="375"/>
      <c r="AI178" s="375"/>
      <c r="AJ178" s="375"/>
      <c r="AK178" s="373" t="s">
        <v>79</v>
      </c>
      <c r="AL178" s="373" t="s">
        <v>2542</v>
      </c>
      <c r="AM178" s="373" t="s">
        <v>2542</v>
      </c>
      <c r="AN178" s="375"/>
      <c r="AO178" s="375"/>
      <c r="AP178" s="376" t="s">
        <v>3683</v>
      </c>
      <c r="AQ178" s="375"/>
    </row>
    <row r="179">
      <c r="A179" s="257" t="s">
        <v>4307</v>
      </c>
      <c r="B179" s="257" t="s">
        <v>4308</v>
      </c>
      <c r="C179" s="257" t="str">
        <f>VLOOKUP(A179,import!A:J,3,0)</f>
        <v>DOĞRU</v>
      </c>
      <c r="D179" s="257" t="s">
        <v>4000</v>
      </c>
      <c r="E179" s="257">
        <f>VLOOKUP(A179,import!A:J,5,0)</f>
        <v>929</v>
      </c>
      <c r="F179" s="257">
        <f>VLOOKUP(A179,import!A:J,6,0)</f>
        <v>47</v>
      </c>
      <c r="G179" s="257">
        <f>VLOOKUP(A179,import!A:J,7,0)</f>
        <v>0</v>
      </c>
      <c r="H179" s="257">
        <f>VLOOKUP(A179,import!A:J,8,0)</f>
        <v>26</v>
      </c>
      <c r="I179" s="257">
        <f>VLOOKUP(A179,import!A:J,9,0)</f>
        <v>26</v>
      </c>
      <c r="J179" s="369">
        <f>VLOOKUP(A179,import!A:J,10,0)</f>
        <v>0</v>
      </c>
      <c r="K179" s="257" t="s">
        <v>4304</v>
      </c>
      <c r="L179" s="257">
        <v>3.222242242E9</v>
      </c>
      <c r="M179" s="257" t="s">
        <v>286</v>
      </c>
      <c r="N179" s="257" t="s">
        <v>3961</v>
      </c>
      <c r="O179" s="257" t="s">
        <v>4309</v>
      </c>
      <c r="P179" s="370" t="str">
        <f>VLOOKUP(A179,import!A:P,16,0)</f>
        <v>Geleneksel</v>
      </c>
      <c r="Q179" s="370"/>
      <c r="R179" s="370" t="b">
        <v>1</v>
      </c>
      <c r="S179" s="370" t="b">
        <v>1</v>
      </c>
      <c r="T179" s="301"/>
      <c r="U179" s="379"/>
      <c r="V179" s="379"/>
      <c r="W179" s="301" t="s">
        <v>4310</v>
      </c>
      <c r="X179" s="381"/>
      <c r="Y179" s="381"/>
      <c r="Z179" s="372"/>
      <c r="AA179" s="373" t="s">
        <v>3682</v>
      </c>
      <c r="AB179" s="374">
        <v>44418.0</v>
      </c>
      <c r="AC179" s="375"/>
      <c r="AD179" s="375"/>
      <c r="AE179" s="92"/>
      <c r="AF179" s="375"/>
      <c r="AG179" s="92"/>
      <c r="AH179" s="375"/>
      <c r="AI179" s="375"/>
      <c r="AJ179" s="375"/>
      <c r="AK179" s="373" t="s">
        <v>1953</v>
      </c>
      <c r="AL179" s="375"/>
      <c r="AM179" s="375"/>
      <c r="AN179" s="375"/>
      <c r="AO179" s="375"/>
      <c r="AP179" s="376" t="s">
        <v>3686</v>
      </c>
      <c r="AQ179" s="375"/>
    </row>
    <row r="180">
      <c r="A180" s="257" t="s">
        <v>4311</v>
      </c>
      <c r="B180" s="257" t="s">
        <v>4312</v>
      </c>
      <c r="C180" s="257" t="str">
        <f>VLOOKUP(A180,import!A:J,3,0)</f>
        <v>DOĞRU</v>
      </c>
      <c r="D180" s="257" t="s">
        <v>4000</v>
      </c>
      <c r="E180" s="257">
        <f>VLOOKUP(A180,import!A:J,5,0)</f>
        <v>4535</v>
      </c>
      <c r="F180" s="257">
        <f>VLOOKUP(A180,import!A:J,6,0)</f>
        <v>185</v>
      </c>
      <c r="G180" s="257">
        <f>VLOOKUP(A180,import!A:J,7,0)</f>
        <v>0</v>
      </c>
      <c r="H180" s="257">
        <f>VLOOKUP(A180,import!A:J,8,0)</f>
        <v>64</v>
      </c>
      <c r="I180" s="257">
        <f>VLOOKUP(A180,import!A:J,9,0)</f>
        <v>64</v>
      </c>
      <c r="J180" s="369">
        <f>VLOOKUP(A180,import!A:J,10,0)</f>
        <v>0</v>
      </c>
      <c r="K180" s="257" t="s">
        <v>4313</v>
      </c>
      <c r="L180" s="257">
        <v>8.50939909E9</v>
      </c>
      <c r="M180" s="257" t="s">
        <v>286</v>
      </c>
      <c r="N180" s="257" t="s">
        <v>3855</v>
      </c>
      <c r="O180" s="257" t="s">
        <v>4314</v>
      </c>
      <c r="P180" s="370" t="str">
        <f>VLOOKUP(A180,import!A:P,16,0)</f>
        <v>Geleneksel</v>
      </c>
      <c r="Q180" s="370"/>
      <c r="R180" s="370" t="b">
        <v>1</v>
      </c>
      <c r="S180" s="370" t="b">
        <v>1</v>
      </c>
      <c r="T180" s="301"/>
      <c r="U180" s="301"/>
      <c r="V180" s="301"/>
      <c r="W180" s="301" t="s">
        <v>4315</v>
      </c>
      <c r="X180" s="371"/>
      <c r="Y180" s="371"/>
      <c r="Z180" s="377"/>
      <c r="AA180" s="373" t="s">
        <v>3682</v>
      </c>
      <c r="AB180" s="374">
        <v>44414.0</v>
      </c>
      <c r="AC180" s="375"/>
      <c r="AD180" s="375"/>
      <c r="AE180" s="92"/>
      <c r="AF180" s="375"/>
      <c r="AG180" s="92"/>
      <c r="AH180" s="375"/>
      <c r="AI180" s="375"/>
      <c r="AJ180" s="375"/>
      <c r="AK180" s="373" t="s">
        <v>3729</v>
      </c>
      <c r="AL180" s="375"/>
      <c r="AM180" s="375"/>
      <c r="AN180" s="375"/>
      <c r="AO180" s="375"/>
      <c r="AP180" s="376" t="s">
        <v>3686</v>
      </c>
      <c r="AQ180" s="375"/>
    </row>
    <row r="181">
      <c r="A181" s="257" t="s">
        <v>4316</v>
      </c>
      <c r="B181" s="257" t="s">
        <v>4317</v>
      </c>
      <c r="C181" s="257" t="str">
        <f>VLOOKUP(A181,import!A:J,3,0)</f>
        <v>DOĞRU</v>
      </c>
      <c r="D181" s="257" t="s">
        <v>4000</v>
      </c>
      <c r="E181" s="257">
        <f>VLOOKUP(A181,import!A:J,5,0)</f>
        <v>1685</v>
      </c>
      <c r="F181" s="257">
        <f>VLOOKUP(A181,import!A:J,6,0)</f>
        <v>115</v>
      </c>
      <c r="G181" s="257">
        <f>VLOOKUP(A181,import!A:J,7,0)</f>
        <v>0</v>
      </c>
      <c r="H181" s="257">
        <f>VLOOKUP(A181,import!A:J,8,0)</f>
        <v>27</v>
      </c>
      <c r="I181" s="257">
        <f>VLOOKUP(A181,import!A:J,9,0)</f>
        <v>27</v>
      </c>
      <c r="J181" s="369">
        <f>VLOOKUP(A181,import!A:J,10,0)</f>
        <v>0</v>
      </c>
      <c r="K181" s="257" t="s">
        <v>4318</v>
      </c>
      <c r="L181" s="257">
        <v>5.459557E9</v>
      </c>
      <c r="M181" s="257" t="s">
        <v>3814</v>
      </c>
      <c r="N181" s="257" t="s">
        <v>3815</v>
      </c>
      <c r="O181" s="257" t="s">
        <v>4319</v>
      </c>
      <c r="P181" s="370" t="str">
        <f>VLOOKUP(A181,import!A:P,16,0)</f>
        <v>Geleneksel</v>
      </c>
      <c r="Q181" s="370"/>
      <c r="R181" s="370" t="b">
        <v>0</v>
      </c>
      <c r="S181" s="370" t="b">
        <v>0</v>
      </c>
      <c r="T181" s="301" t="s">
        <v>3862</v>
      </c>
      <c r="U181" s="301"/>
      <c r="V181" s="301"/>
      <c r="W181" s="301"/>
      <c r="X181" s="371"/>
      <c r="Y181" s="371"/>
      <c r="Z181" s="372"/>
      <c r="AA181" s="373"/>
      <c r="AB181" s="374"/>
      <c r="AC181" s="373"/>
      <c r="AD181" s="374"/>
      <c r="AE181" s="373"/>
      <c r="AF181" s="374"/>
      <c r="AG181" s="373"/>
      <c r="AH181" s="374"/>
      <c r="AI181" s="375"/>
      <c r="AJ181" s="375"/>
      <c r="AK181" s="373"/>
      <c r="AL181" s="375"/>
      <c r="AM181" s="375"/>
      <c r="AN181" s="373"/>
      <c r="AO181" s="375"/>
      <c r="AP181" s="376" t="s">
        <v>3686</v>
      </c>
      <c r="AQ181" s="375"/>
    </row>
    <row r="182">
      <c r="A182" s="257" t="s">
        <v>4320</v>
      </c>
      <c r="B182" s="257" t="s">
        <v>4321</v>
      </c>
      <c r="C182" s="257" t="str">
        <f>VLOOKUP(A182,import!A:J,3,0)</f>
        <v>DOĞRU</v>
      </c>
      <c r="D182" s="257" t="s">
        <v>4000</v>
      </c>
      <c r="E182" s="257">
        <f>VLOOKUP(A182,import!A:J,5,0)</f>
        <v>2799</v>
      </c>
      <c r="F182" s="257">
        <f>VLOOKUP(A182,import!A:J,6,0)</f>
        <v>73</v>
      </c>
      <c r="G182" s="257">
        <f>VLOOKUP(A182,import!A:J,7,0)</f>
        <v>0</v>
      </c>
      <c r="H182" s="257">
        <f>VLOOKUP(A182,import!A:J,8,0)</f>
        <v>93</v>
      </c>
      <c r="I182" s="257">
        <f>VLOOKUP(A182,import!A:J,9,0)</f>
        <v>93</v>
      </c>
      <c r="J182" s="369">
        <f>VLOOKUP(A182,import!A:J,10,0)</f>
        <v>0</v>
      </c>
      <c r="K182" s="257" t="s">
        <v>4322</v>
      </c>
      <c r="L182" s="257">
        <v>3.224441476E9</v>
      </c>
      <c r="M182" s="257" t="s">
        <v>286</v>
      </c>
      <c r="N182" s="257" t="s">
        <v>3855</v>
      </c>
      <c r="O182" s="257" t="s">
        <v>4323</v>
      </c>
      <c r="P182" s="370" t="str">
        <f>VLOOKUP(A182,import!A:P,16,0)</f>
        <v>Geleneksel</v>
      </c>
      <c r="Q182" s="370"/>
      <c r="R182" s="370" t="b">
        <v>1</v>
      </c>
      <c r="S182" s="370" t="b">
        <v>0</v>
      </c>
      <c r="T182" s="301"/>
      <c r="U182" s="379"/>
      <c r="V182" s="379"/>
      <c r="W182" s="301" t="s">
        <v>4324</v>
      </c>
      <c r="X182" s="381"/>
      <c r="Y182" s="381"/>
      <c r="Z182" s="372"/>
      <c r="AA182" s="373" t="s">
        <v>3448</v>
      </c>
      <c r="AB182" s="374">
        <v>44379.0</v>
      </c>
      <c r="AC182" s="373" t="s">
        <v>3448</v>
      </c>
      <c r="AD182" s="374">
        <v>44539.0</v>
      </c>
      <c r="AE182" s="92"/>
      <c r="AF182" s="375"/>
      <c r="AG182" s="92"/>
      <c r="AH182" s="375"/>
      <c r="AI182" s="375"/>
      <c r="AJ182" s="375"/>
      <c r="AK182" s="373" t="s">
        <v>1014</v>
      </c>
      <c r="AL182" s="373" t="s">
        <v>2542</v>
      </c>
      <c r="AM182" s="375"/>
      <c r="AN182" s="375"/>
      <c r="AO182" s="375"/>
      <c r="AP182" s="376" t="s">
        <v>3686</v>
      </c>
      <c r="AQ182" s="375"/>
    </row>
    <row r="183">
      <c r="A183" s="257" t="s">
        <v>1349</v>
      </c>
      <c r="B183" s="257" t="s">
        <v>1350</v>
      </c>
      <c r="C183" s="257" t="str">
        <f>VLOOKUP(A183,import!A:J,3,0)</f>
        <v>DOĞRU</v>
      </c>
      <c r="D183" s="257" t="s">
        <v>4000</v>
      </c>
      <c r="E183" s="257">
        <f>VLOOKUP(A183,import!A:J,5,0)</f>
        <v>5649</v>
      </c>
      <c r="F183" s="257">
        <f>VLOOKUP(A183,import!A:J,6,0)</f>
        <v>193</v>
      </c>
      <c r="G183" s="257">
        <f>VLOOKUP(A183,import!A:J,7,0)</f>
        <v>30</v>
      </c>
      <c r="H183" s="257">
        <f>VLOOKUP(A183,import!A:J,8,0)</f>
        <v>1</v>
      </c>
      <c r="I183" s="257">
        <f>VLOOKUP(A183,import!A:J,9,0)</f>
        <v>31</v>
      </c>
      <c r="J183" s="369">
        <f>VLOOKUP(A183,import!A:J,10,0)</f>
        <v>0.97</v>
      </c>
      <c r="K183" s="257" t="s">
        <v>4325</v>
      </c>
      <c r="L183" s="257">
        <v>3.222354462E9</v>
      </c>
      <c r="M183" s="257" t="s">
        <v>286</v>
      </c>
      <c r="N183" s="257" t="s">
        <v>3688</v>
      </c>
      <c r="O183" s="257" t="s">
        <v>1352</v>
      </c>
      <c r="P183" s="370" t="str">
        <f>VLOOKUP(A183,import!A:P,16,0)</f>
        <v>Geleneksel</v>
      </c>
      <c r="Q183" s="370"/>
      <c r="R183" s="370" t="b">
        <v>1</v>
      </c>
      <c r="S183" s="370" t="b">
        <v>0</v>
      </c>
      <c r="T183" s="301" t="s">
        <v>3735</v>
      </c>
      <c r="U183" s="301" t="s">
        <v>3752</v>
      </c>
      <c r="V183" s="301" t="s">
        <v>78</v>
      </c>
      <c r="W183" s="301" t="s">
        <v>4326</v>
      </c>
      <c r="X183" s="371">
        <v>44384.0</v>
      </c>
      <c r="Y183" s="371">
        <v>44386.0</v>
      </c>
      <c r="Z183" s="301" t="s">
        <v>3957</v>
      </c>
      <c r="AA183" s="373" t="s">
        <v>3682</v>
      </c>
      <c r="AB183" s="374">
        <v>44384.0</v>
      </c>
      <c r="AC183" s="373" t="s">
        <v>3695</v>
      </c>
      <c r="AD183" s="374">
        <v>44427.0</v>
      </c>
      <c r="AE183" s="373" t="s">
        <v>3682</v>
      </c>
      <c r="AF183" s="374">
        <v>44476.0</v>
      </c>
      <c r="AG183" s="92"/>
      <c r="AH183" s="375"/>
      <c r="AI183" s="375"/>
      <c r="AJ183" s="375"/>
      <c r="AK183" s="373" t="s">
        <v>3752</v>
      </c>
      <c r="AL183" s="373" t="s">
        <v>1947</v>
      </c>
      <c r="AM183" s="373" t="s">
        <v>2418</v>
      </c>
      <c r="AN183" s="375"/>
      <c r="AO183" s="375"/>
      <c r="AP183" s="376" t="s">
        <v>3686</v>
      </c>
      <c r="AQ183" s="375"/>
    </row>
    <row r="184">
      <c r="A184" s="257" t="s">
        <v>4327</v>
      </c>
      <c r="B184" s="257" t="s">
        <v>4328</v>
      </c>
      <c r="C184" s="257" t="str">
        <f>VLOOKUP(A184,import!A:J,3,0)</f>
        <v>DOĞRU</v>
      </c>
      <c r="D184" s="257" t="s">
        <v>4000</v>
      </c>
      <c r="E184" s="257">
        <f>VLOOKUP(A184,import!A:J,5,0)</f>
        <v>4768</v>
      </c>
      <c r="F184" s="257">
        <f>VLOOKUP(A184,import!A:J,6,0)</f>
        <v>65</v>
      </c>
      <c r="G184" s="257">
        <f>VLOOKUP(A184,import!A:J,7,0)</f>
        <v>31</v>
      </c>
      <c r="H184" s="257">
        <f>VLOOKUP(A184,import!A:J,8,0)</f>
        <v>2</v>
      </c>
      <c r="I184" s="257">
        <f>VLOOKUP(A184,import!A:J,9,0)</f>
        <v>33</v>
      </c>
      <c r="J184" s="369">
        <f>VLOOKUP(A184,import!A:J,10,0)</f>
        <v>0.94</v>
      </c>
      <c r="K184" s="257" t="s">
        <v>4329</v>
      </c>
      <c r="L184" s="257">
        <v>3.222710561E9</v>
      </c>
      <c r="M184" s="257" t="s">
        <v>286</v>
      </c>
      <c r="N184" s="257" t="s">
        <v>4235</v>
      </c>
      <c r="O184" s="257" t="s">
        <v>4330</v>
      </c>
      <c r="P184" s="370" t="str">
        <f>VLOOKUP(A184,import!A:P,16,0)</f>
        <v>Geleneksel</v>
      </c>
      <c r="Q184" s="370"/>
      <c r="R184" s="370" t="b">
        <v>1</v>
      </c>
      <c r="S184" s="370" t="b">
        <v>0</v>
      </c>
      <c r="T184" s="300" t="s">
        <v>3735</v>
      </c>
      <c r="U184" s="379"/>
      <c r="V184" s="379"/>
      <c r="W184" s="301" t="s">
        <v>4331</v>
      </c>
      <c r="X184" s="381"/>
      <c r="Y184" s="381"/>
      <c r="Z184" s="372"/>
      <c r="AA184" s="373" t="s">
        <v>3682</v>
      </c>
      <c r="AB184" s="374">
        <v>44389.0</v>
      </c>
      <c r="AC184" s="375"/>
      <c r="AD184" s="375"/>
      <c r="AE184" s="92"/>
      <c r="AF184" s="375"/>
      <c r="AG184" s="92"/>
      <c r="AH184" s="375"/>
      <c r="AI184" s="375"/>
      <c r="AJ184" s="375"/>
      <c r="AK184" s="373" t="s">
        <v>4088</v>
      </c>
      <c r="AL184" s="375"/>
      <c r="AM184" s="375"/>
      <c r="AN184" s="375"/>
      <c r="AO184" s="375"/>
      <c r="AP184" s="376" t="s">
        <v>3686</v>
      </c>
      <c r="AQ184" s="375"/>
    </row>
    <row r="185">
      <c r="A185" s="257" t="s">
        <v>893</v>
      </c>
      <c r="B185" s="257" t="s">
        <v>894</v>
      </c>
      <c r="C185" s="257" t="str">
        <f>VLOOKUP(A185,import!A:J,3,0)</f>
        <v>DOĞRU</v>
      </c>
      <c r="D185" s="257" t="s">
        <v>4000</v>
      </c>
      <c r="E185" s="257">
        <f>VLOOKUP(A185,import!A:J,5,0)</f>
        <v>4061</v>
      </c>
      <c r="F185" s="257">
        <f>VLOOKUP(A185,import!A:J,6,0)</f>
        <v>114</v>
      </c>
      <c r="G185" s="257">
        <f>VLOOKUP(A185,import!A:J,7,0)</f>
        <v>30</v>
      </c>
      <c r="H185" s="257">
        <f>VLOOKUP(A185,import!A:J,8,0)</f>
        <v>2</v>
      </c>
      <c r="I185" s="257">
        <f>VLOOKUP(A185,import!A:J,9,0)</f>
        <v>32</v>
      </c>
      <c r="J185" s="369">
        <f>VLOOKUP(A185,import!A:J,10,0)</f>
        <v>0.94</v>
      </c>
      <c r="K185" s="257" t="s">
        <v>4332</v>
      </c>
      <c r="L185" s="257">
        <v>3.227770003E9</v>
      </c>
      <c r="M185" s="257" t="s">
        <v>14</v>
      </c>
      <c r="N185" s="257" t="s">
        <v>3733</v>
      </c>
      <c r="O185" s="257" t="s">
        <v>4333</v>
      </c>
      <c r="P185" s="370" t="str">
        <f>VLOOKUP(A185,import!A:P,16,0)</f>
        <v>Geleneksel</v>
      </c>
      <c r="Q185" s="370"/>
      <c r="R185" s="370" t="b">
        <v>1</v>
      </c>
      <c r="S185" s="370" t="b">
        <v>0</v>
      </c>
      <c r="T185" s="389" t="s">
        <v>3679</v>
      </c>
      <c r="U185" s="389" t="s">
        <v>79</v>
      </c>
      <c r="V185" s="398"/>
      <c r="W185" s="389"/>
      <c r="X185" s="390">
        <v>44349.0</v>
      </c>
      <c r="Y185" s="390">
        <v>44351.0</v>
      </c>
      <c r="Z185" s="399"/>
      <c r="AA185" s="373" t="s">
        <v>3682</v>
      </c>
      <c r="AB185" s="374">
        <v>44349.0</v>
      </c>
      <c r="AC185" s="375"/>
      <c r="AD185" s="375"/>
      <c r="AE185" s="92"/>
      <c r="AF185" s="375"/>
      <c r="AG185" s="92"/>
      <c r="AH185" s="375"/>
      <c r="AI185" s="375"/>
      <c r="AJ185" s="375"/>
      <c r="AK185" s="373" t="s">
        <v>111</v>
      </c>
      <c r="AL185" s="375"/>
      <c r="AM185" s="375"/>
      <c r="AN185" s="375"/>
      <c r="AO185" s="375"/>
      <c r="AP185" s="376" t="s">
        <v>3683</v>
      </c>
      <c r="AQ185" s="375"/>
    </row>
    <row r="186">
      <c r="A186" s="257" t="s">
        <v>4334</v>
      </c>
      <c r="B186" s="257" t="s">
        <v>4335</v>
      </c>
      <c r="C186" s="257" t="str">
        <f>VLOOKUP(A186,import!A:J,3,0)</f>
        <v>DOĞRU</v>
      </c>
      <c r="D186" s="257" t="s">
        <v>4000</v>
      </c>
      <c r="E186" s="257">
        <f>VLOOKUP(A186,import!A:J,5,0)</f>
        <v>505</v>
      </c>
      <c r="F186" s="257">
        <f>VLOOKUP(A186,import!A:J,6,0)</f>
        <v>62</v>
      </c>
      <c r="G186" s="257">
        <f>VLOOKUP(A186,import!A:J,7,0)</f>
        <v>0</v>
      </c>
      <c r="H186" s="257">
        <f>VLOOKUP(A186,import!A:J,8,0)</f>
        <v>23</v>
      </c>
      <c r="I186" s="257">
        <f>VLOOKUP(A186,import!A:J,9,0)</f>
        <v>23</v>
      </c>
      <c r="J186" s="369">
        <f>VLOOKUP(A186,import!A:J,10,0)</f>
        <v>0</v>
      </c>
      <c r="K186" s="257" t="s">
        <v>4336</v>
      </c>
      <c r="L186" s="257">
        <v>5.36718812E9</v>
      </c>
      <c r="M186" s="257" t="s">
        <v>14</v>
      </c>
      <c r="N186" s="257" t="s">
        <v>3767</v>
      </c>
      <c r="O186" s="257" t="s">
        <v>4337</v>
      </c>
      <c r="P186" s="370" t="str">
        <f>VLOOKUP(A186,import!A:P,16,0)</f>
        <v>Geleneksel</v>
      </c>
      <c r="Q186" s="370"/>
      <c r="R186" s="370" t="b">
        <v>1</v>
      </c>
      <c r="S186" s="370" t="b">
        <v>0</v>
      </c>
      <c r="T186" s="301" t="s">
        <v>3770</v>
      </c>
      <c r="U186" s="379"/>
      <c r="V186" s="379"/>
      <c r="W186" s="301" t="s">
        <v>4338</v>
      </c>
      <c r="X186" s="381"/>
      <c r="Y186" s="381"/>
      <c r="Z186" s="372"/>
      <c r="AA186" s="373" t="s">
        <v>3682</v>
      </c>
      <c r="AB186" s="374">
        <v>44630.0</v>
      </c>
      <c r="AC186" s="373"/>
      <c r="AD186" s="374"/>
      <c r="AE186" s="373"/>
      <c r="AF186" s="374"/>
      <c r="AG186" s="373"/>
      <c r="AH186" s="374"/>
      <c r="AI186" s="375"/>
      <c r="AJ186" s="375"/>
      <c r="AK186" s="373" t="s">
        <v>2576</v>
      </c>
      <c r="AL186" s="375"/>
      <c r="AM186" s="375"/>
      <c r="AN186" s="373"/>
      <c r="AO186" s="375"/>
      <c r="AP186" s="376"/>
      <c r="AQ186" s="375"/>
    </row>
    <row r="187">
      <c r="A187" s="257" t="s">
        <v>4339</v>
      </c>
      <c r="B187" s="257" t="s">
        <v>4340</v>
      </c>
      <c r="C187" s="257" t="str">
        <f>VLOOKUP(A187,import!A:J,3,0)</f>
        <v>DOĞRU</v>
      </c>
      <c r="D187" s="257" t="s">
        <v>4092</v>
      </c>
      <c r="E187" s="257">
        <f>VLOOKUP(A187,import!A:J,5,0)</f>
        <v>225</v>
      </c>
      <c r="F187" s="257">
        <f>VLOOKUP(A187,import!A:J,6,0)</f>
        <v>35</v>
      </c>
      <c r="G187" s="257">
        <f>VLOOKUP(A187,import!A:J,7,0)</f>
        <v>0</v>
      </c>
      <c r="H187" s="257">
        <f>VLOOKUP(A187,import!A:J,8,0)</f>
        <v>49</v>
      </c>
      <c r="I187" s="257">
        <f>VLOOKUP(A187,import!A:J,9,0)</f>
        <v>49</v>
      </c>
      <c r="J187" s="369">
        <f>VLOOKUP(A187,import!A:J,10,0)</f>
        <v>0</v>
      </c>
      <c r="K187" s="257" t="s">
        <v>4341</v>
      </c>
      <c r="L187" s="257">
        <v>5.321361603E9</v>
      </c>
      <c r="M187" s="257" t="s">
        <v>3701</v>
      </c>
      <c r="N187" s="257" t="s">
        <v>4342</v>
      </c>
      <c r="O187" s="257" t="s">
        <v>4343</v>
      </c>
      <c r="P187" s="370" t="str">
        <f>VLOOKUP(A187,import!A:P,16,0)</f>
        <v>Geleneksel</v>
      </c>
      <c r="Q187" s="370"/>
      <c r="R187" s="370" t="b">
        <v>0</v>
      </c>
      <c r="S187" s="370" t="b">
        <v>0</v>
      </c>
      <c r="T187" s="301"/>
      <c r="U187" s="301"/>
      <c r="V187" s="301"/>
      <c r="W187" s="301"/>
      <c r="X187" s="371"/>
      <c r="Y187" s="371"/>
      <c r="Z187" s="372"/>
      <c r="AA187" s="373"/>
      <c r="AB187" s="374"/>
      <c r="AC187" s="373"/>
      <c r="AD187" s="374"/>
      <c r="AE187" s="373"/>
      <c r="AF187" s="374"/>
      <c r="AG187" s="373"/>
      <c r="AH187" s="374"/>
      <c r="AI187" s="373"/>
      <c r="AJ187" s="374"/>
      <c r="AK187" s="373"/>
      <c r="AL187" s="373"/>
      <c r="AM187" s="373"/>
      <c r="AN187" s="373"/>
      <c r="AO187" s="373"/>
      <c r="AP187" s="376"/>
      <c r="AQ187" s="373"/>
    </row>
    <row r="188">
      <c r="A188" s="257" t="s">
        <v>4344</v>
      </c>
      <c r="B188" s="257" t="s">
        <v>4345</v>
      </c>
      <c r="C188" s="257" t="str">
        <f>VLOOKUP(A188,import!A:J,3,0)</f>
        <v>DOĞRU</v>
      </c>
      <c r="D188" s="257" t="s">
        <v>3713</v>
      </c>
      <c r="E188" s="257">
        <f>VLOOKUP(A188,import!A:J,5,0)</f>
        <v>1874</v>
      </c>
      <c r="F188" s="257">
        <f>VLOOKUP(A188,import!A:J,6,0)</f>
        <v>123</v>
      </c>
      <c r="G188" s="257">
        <f>VLOOKUP(A188,import!A:J,7,0)</f>
        <v>0</v>
      </c>
      <c r="H188" s="257">
        <f>VLOOKUP(A188,import!A:J,8,0)</f>
        <v>101</v>
      </c>
      <c r="I188" s="257">
        <f>VLOOKUP(A188,import!A:J,9,0)</f>
        <v>101</v>
      </c>
      <c r="J188" s="369">
        <f>VLOOKUP(A188,import!A:J,10,0)</f>
        <v>0</v>
      </c>
      <c r="K188" s="257" t="s">
        <v>4346</v>
      </c>
      <c r="L188" s="257">
        <v>5.457444052E9</v>
      </c>
      <c r="M188" s="257" t="s">
        <v>286</v>
      </c>
      <c r="N188" s="257" t="s">
        <v>3737</v>
      </c>
      <c r="O188" s="257" t="s">
        <v>4347</v>
      </c>
      <c r="P188" s="370" t="str">
        <f>VLOOKUP(A188,import!A:P,16,0)</f>
        <v>Geleneksel</v>
      </c>
      <c r="Q188" s="370"/>
      <c r="R188" s="370" t="b">
        <v>1</v>
      </c>
      <c r="S188" s="370" t="b">
        <v>1</v>
      </c>
      <c r="T188" s="301"/>
      <c r="U188" s="379"/>
      <c r="V188" s="379"/>
      <c r="W188" s="301" t="s">
        <v>4348</v>
      </c>
      <c r="X188" s="381"/>
      <c r="Y188" s="381"/>
      <c r="Z188" s="372"/>
      <c r="AA188" s="373" t="s">
        <v>3681</v>
      </c>
      <c r="AB188" s="374">
        <v>44384.0</v>
      </c>
      <c r="AC188" s="373" t="s">
        <v>3695</v>
      </c>
      <c r="AD188" s="374">
        <v>44390.0</v>
      </c>
      <c r="AE188" s="373" t="s">
        <v>3696</v>
      </c>
      <c r="AF188" s="374">
        <v>44390.0</v>
      </c>
      <c r="AG188" s="373" t="s">
        <v>3448</v>
      </c>
      <c r="AH188" s="374">
        <v>44406.0</v>
      </c>
      <c r="AI188" s="373" t="s">
        <v>3448</v>
      </c>
      <c r="AJ188" s="374">
        <v>44490.0</v>
      </c>
      <c r="AK188" s="373" t="s">
        <v>3719</v>
      </c>
      <c r="AL188" s="373" t="s">
        <v>3719</v>
      </c>
      <c r="AM188" s="373" t="s">
        <v>3719</v>
      </c>
      <c r="AN188" s="373" t="s">
        <v>79</v>
      </c>
      <c r="AO188" s="373" t="s">
        <v>2542</v>
      </c>
      <c r="AP188" s="376" t="s">
        <v>3683</v>
      </c>
      <c r="AQ188" s="373"/>
    </row>
    <row r="189">
      <c r="A189" s="257" t="s">
        <v>2627</v>
      </c>
      <c r="B189" s="257" t="s">
        <v>2628</v>
      </c>
      <c r="C189" s="257" t="str">
        <f>VLOOKUP(A189,import!A:J,3,0)</f>
        <v>DOĞRU</v>
      </c>
      <c r="D189" s="257" t="s">
        <v>3676</v>
      </c>
      <c r="E189" s="257">
        <f>VLOOKUP(A189,import!A:J,5,0)</f>
        <v>545</v>
      </c>
      <c r="F189" s="257" t="str">
        <f>VLOOKUP(A189,import!A:J,6,0)</f>
        <v/>
      </c>
      <c r="G189" s="257">
        <f>VLOOKUP(A189,import!A:J,7,0)</f>
        <v>2</v>
      </c>
      <c r="H189" s="257">
        <f>VLOOKUP(A189,import!A:J,8,0)</f>
        <v>1</v>
      </c>
      <c r="I189" s="257">
        <f>VLOOKUP(A189,import!A:J,9,0)</f>
        <v>3</v>
      </c>
      <c r="J189" s="369">
        <f>VLOOKUP(A189,import!A:J,10,0)</f>
        <v>0.67</v>
      </c>
      <c r="K189" s="257" t="s">
        <v>4349</v>
      </c>
      <c r="L189" s="257">
        <v>3.223285454E9</v>
      </c>
      <c r="M189" s="257" t="s">
        <v>3707</v>
      </c>
      <c r="N189" s="257" t="s">
        <v>3761</v>
      </c>
      <c r="O189" s="257" t="s">
        <v>2630</v>
      </c>
      <c r="P189" s="370" t="str">
        <f>VLOOKUP(A189,import!A:P,16,0)</f>
        <v>Geleneksel</v>
      </c>
      <c r="Q189" s="370"/>
      <c r="R189" s="370" t="b">
        <v>1</v>
      </c>
      <c r="S189" s="370" t="b">
        <v>0</v>
      </c>
      <c r="T189" s="301" t="s">
        <v>3679</v>
      </c>
      <c r="U189" s="301" t="s">
        <v>2542</v>
      </c>
      <c r="V189" s="301" t="s">
        <v>78</v>
      </c>
      <c r="W189" s="301" t="s">
        <v>4350</v>
      </c>
      <c r="X189" s="371">
        <v>44463.0</v>
      </c>
      <c r="Y189" s="371">
        <v>44466.0</v>
      </c>
      <c r="Z189" s="372"/>
      <c r="AA189" s="373" t="s">
        <v>3682</v>
      </c>
      <c r="AB189" s="374">
        <v>44463.0</v>
      </c>
      <c r="AC189" s="375"/>
      <c r="AD189" s="375"/>
      <c r="AE189" s="92"/>
      <c r="AF189" s="375"/>
      <c r="AG189" s="92"/>
      <c r="AH189" s="375"/>
      <c r="AI189" s="375"/>
      <c r="AJ189" s="375"/>
      <c r="AK189" s="373" t="s">
        <v>2542</v>
      </c>
      <c r="AL189" s="375"/>
      <c r="AM189" s="375"/>
      <c r="AN189" s="375"/>
      <c r="AO189" s="375"/>
      <c r="AP189" s="376" t="s">
        <v>3686</v>
      </c>
      <c r="AQ189" s="375"/>
    </row>
    <row r="190">
      <c r="A190" s="257" t="s">
        <v>1905</v>
      </c>
      <c r="B190" s="257" t="s">
        <v>1906</v>
      </c>
      <c r="C190" s="257" t="str">
        <f>VLOOKUP(A190,import!A:J,3,0)</f>
        <v>DOĞRU</v>
      </c>
      <c r="D190" s="257" t="s">
        <v>3676</v>
      </c>
      <c r="E190" s="257">
        <f>VLOOKUP(A190,import!A:J,5,0)</f>
        <v>24528</v>
      </c>
      <c r="F190" s="257">
        <f>VLOOKUP(A190,import!A:J,6,0)</f>
        <v>886</v>
      </c>
      <c r="G190" s="257">
        <f>VLOOKUP(A190,import!A:J,7,0)</f>
        <v>1</v>
      </c>
      <c r="H190" s="257">
        <f>VLOOKUP(A190,import!A:J,8,0)</f>
        <v>39</v>
      </c>
      <c r="I190" s="257">
        <f>VLOOKUP(A190,import!A:J,9,0)</f>
        <v>40</v>
      </c>
      <c r="J190" s="369">
        <f>VLOOKUP(A190,import!A:J,10,0)</f>
        <v>0.03</v>
      </c>
      <c r="K190" s="257" t="s">
        <v>4351</v>
      </c>
      <c r="L190" s="257">
        <v>5.326621653E9</v>
      </c>
      <c r="M190" s="257" t="s">
        <v>14</v>
      </c>
      <c r="N190" s="257" t="s">
        <v>3718</v>
      </c>
      <c r="O190" s="257" t="s">
        <v>1909</v>
      </c>
      <c r="P190" s="370" t="str">
        <f>VLOOKUP(A190,import!A:P,16,0)</f>
        <v>Geleneksel</v>
      </c>
      <c r="Q190" s="370"/>
      <c r="R190" s="370" t="b">
        <v>1</v>
      </c>
      <c r="S190" s="370" t="b">
        <v>0</v>
      </c>
      <c r="T190" s="301"/>
      <c r="U190" s="301" t="s">
        <v>3729</v>
      </c>
      <c r="V190" s="301" t="s">
        <v>78</v>
      </c>
      <c r="W190" s="301" t="s">
        <v>4352</v>
      </c>
      <c r="X190" s="371">
        <v>44417.0</v>
      </c>
      <c r="Y190" s="371">
        <v>44425.0</v>
      </c>
      <c r="Z190" s="372"/>
      <c r="AA190" s="373" t="s">
        <v>3448</v>
      </c>
      <c r="AB190" s="374">
        <v>44349.0</v>
      </c>
      <c r="AC190" s="373" t="s">
        <v>3681</v>
      </c>
      <c r="AD190" s="374">
        <v>44349.0</v>
      </c>
      <c r="AE190" s="373" t="s">
        <v>3682</v>
      </c>
      <c r="AF190" s="374">
        <v>44356.0</v>
      </c>
      <c r="AG190" s="373" t="s">
        <v>3448</v>
      </c>
      <c r="AH190" s="374">
        <v>44382.0</v>
      </c>
      <c r="AI190" s="373" t="s">
        <v>3681</v>
      </c>
      <c r="AJ190" s="374">
        <v>44635.0</v>
      </c>
      <c r="AK190" s="373" t="s">
        <v>111</v>
      </c>
      <c r="AL190" s="373" t="s">
        <v>79</v>
      </c>
      <c r="AM190" s="373" t="s">
        <v>2706</v>
      </c>
      <c r="AN190" s="373" t="s">
        <v>3974</v>
      </c>
      <c r="AO190" s="373" t="s">
        <v>2192</v>
      </c>
      <c r="AP190" s="376" t="s">
        <v>3683</v>
      </c>
      <c r="AQ190" s="373"/>
    </row>
    <row r="191">
      <c r="A191" s="376" t="s">
        <v>4353</v>
      </c>
      <c r="B191" s="376" t="s">
        <v>4354</v>
      </c>
      <c r="C191" s="257" t="str">
        <f>VLOOKUP(A191,import!A:J,3,0)</f>
        <v>DOĞRU</v>
      </c>
      <c r="D191" s="376" t="s">
        <v>3699</v>
      </c>
      <c r="E191" s="257">
        <f>VLOOKUP(A191,import!A:J,5,0)</f>
        <v>237</v>
      </c>
      <c r="F191" s="257">
        <f>VLOOKUP(A191,import!A:J,6,0)</f>
        <v>122</v>
      </c>
      <c r="G191" s="257">
        <f>VLOOKUP(A191,import!A:J,7,0)</f>
        <v>0</v>
      </c>
      <c r="H191" s="257">
        <f>VLOOKUP(A191,import!A:J,8,0)</f>
        <v>38</v>
      </c>
      <c r="I191" s="257">
        <f>VLOOKUP(A191,import!A:J,9,0)</f>
        <v>38</v>
      </c>
      <c r="J191" s="369">
        <f>VLOOKUP(A191,import!A:J,10,0)</f>
        <v>0</v>
      </c>
      <c r="K191" s="376" t="s">
        <v>4355</v>
      </c>
      <c r="L191" s="376">
        <v>3.229997899E9</v>
      </c>
      <c r="M191" s="376" t="s">
        <v>14</v>
      </c>
      <c r="N191" s="376" t="s">
        <v>3718</v>
      </c>
      <c r="O191" s="376" t="s">
        <v>4356</v>
      </c>
      <c r="P191" s="370" t="str">
        <f>VLOOKUP(A191,import!A:P,16,0)</f>
        <v>Geleneksel</v>
      </c>
      <c r="Q191" s="370"/>
      <c r="R191" s="370" t="b">
        <v>0</v>
      </c>
      <c r="S191" s="370" t="b">
        <v>0</v>
      </c>
      <c r="T191" s="301"/>
      <c r="U191" s="301"/>
      <c r="V191" s="301"/>
      <c r="W191" s="301"/>
      <c r="X191" s="371"/>
      <c r="Y191" s="371"/>
      <c r="Z191" s="372"/>
      <c r="AA191" s="373"/>
      <c r="AB191" s="374"/>
      <c r="AC191" s="373"/>
      <c r="AD191" s="374"/>
      <c r="AE191" s="373"/>
      <c r="AF191" s="374"/>
      <c r="AG191" s="373"/>
      <c r="AH191" s="374"/>
      <c r="AI191" s="373"/>
      <c r="AJ191" s="374"/>
      <c r="AK191" s="373"/>
      <c r="AL191" s="373"/>
      <c r="AM191" s="373"/>
      <c r="AN191" s="373"/>
      <c r="AO191" s="373"/>
      <c r="AP191" s="376"/>
      <c r="AQ191" s="373"/>
    </row>
    <row r="192">
      <c r="A192" s="257" t="s">
        <v>73</v>
      </c>
      <c r="B192" s="257" t="s">
        <v>74</v>
      </c>
      <c r="C192" s="257" t="str">
        <f>VLOOKUP(A192,import!A:J,3,0)</f>
        <v>DOĞRU</v>
      </c>
      <c r="D192" s="257" t="s">
        <v>3676</v>
      </c>
      <c r="E192" s="257">
        <f>VLOOKUP(A192,import!A:J,5,0)</f>
        <v>7748</v>
      </c>
      <c r="F192" s="257">
        <f>VLOOKUP(A192,import!A:J,6,0)</f>
        <v>228</v>
      </c>
      <c r="G192" s="257">
        <f>VLOOKUP(A192,import!A:J,7,0)</f>
        <v>0</v>
      </c>
      <c r="H192" s="257">
        <f>VLOOKUP(A192,import!A:J,8,0)</f>
        <v>45</v>
      </c>
      <c r="I192" s="257">
        <f>VLOOKUP(A192,import!A:J,9,0)</f>
        <v>45</v>
      </c>
      <c r="J192" s="369">
        <f>VLOOKUP(A192,import!A:J,10,0)</f>
        <v>0</v>
      </c>
      <c r="K192" s="257" t="s">
        <v>4357</v>
      </c>
      <c r="L192" s="257">
        <v>3.222420003E9</v>
      </c>
      <c r="M192" s="257" t="s">
        <v>14</v>
      </c>
      <c r="N192" s="257" t="s">
        <v>3826</v>
      </c>
      <c r="O192" s="257" t="s">
        <v>76</v>
      </c>
      <c r="P192" s="370" t="str">
        <f>VLOOKUP(A192,import!A:P,16,0)</f>
        <v>Geleneksel</v>
      </c>
      <c r="Q192" s="370"/>
      <c r="R192" s="370" t="b">
        <v>1</v>
      </c>
      <c r="S192" s="370" t="b">
        <v>0</v>
      </c>
      <c r="T192" s="301"/>
      <c r="U192" s="301" t="s">
        <v>1947</v>
      </c>
      <c r="V192" s="301" t="s">
        <v>78</v>
      </c>
      <c r="W192" s="301" t="s">
        <v>4358</v>
      </c>
      <c r="X192" s="371">
        <v>44427.0</v>
      </c>
      <c r="Y192" s="371">
        <v>44432.0</v>
      </c>
      <c r="Z192" s="377"/>
      <c r="AA192" s="373" t="s">
        <v>3695</v>
      </c>
      <c r="AB192" s="374">
        <v>44365.0</v>
      </c>
      <c r="AC192" s="373" t="s">
        <v>3696</v>
      </c>
      <c r="AD192" s="374">
        <v>44365.0</v>
      </c>
      <c r="AE192" s="373" t="s">
        <v>3682</v>
      </c>
      <c r="AF192" s="374">
        <v>44365.0</v>
      </c>
      <c r="AG192" s="373" t="s">
        <v>3682</v>
      </c>
      <c r="AH192" s="374">
        <v>44406.0</v>
      </c>
      <c r="AI192" s="373" t="s">
        <v>3682</v>
      </c>
      <c r="AJ192" s="374">
        <v>44427.0</v>
      </c>
      <c r="AK192" s="373" t="s">
        <v>79</v>
      </c>
      <c r="AL192" s="373" t="s">
        <v>79</v>
      </c>
      <c r="AM192" s="373" t="s">
        <v>79</v>
      </c>
      <c r="AN192" s="373" t="s">
        <v>3719</v>
      </c>
      <c r="AO192" s="373" t="s">
        <v>1947</v>
      </c>
      <c r="AP192" s="376" t="s">
        <v>3683</v>
      </c>
      <c r="AQ192" s="373"/>
    </row>
    <row r="193">
      <c r="A193" s="376" t="s">
        <v>4359</v>
      </c>
      <c r="B193" s="376" t="s">
        <v>4360</v>
      </c>
      <c r="C193" s="257" t="str">
        <f>VLOOKUP(A193,import!A:J,3,0)</f>
        <v>DOĞRU</v>
      </c>
      <c r="D193" s="376" t="s">
        <v>3676</v>
      </c>
      <c r="E193" s="257" t="str">
        <f>VLOOKUP(A193,import!A:J,5,0)</f>
        <v/>
      </c>
      <c r="F193" s="257" t="str">
        <f>VLOOKUP(A193,import!A:J,6,0)</f>
        <v/>
      </c>
      <c r="G193" s="257">
        <f>VLOOKUP(A193,import!A:J,7,0)</f>
        <v>0</v>
      </c>
      <c r="H193" s="257">
        <f>VLOOKUP(A193,import!A:J,8,0)</f>
        <v>45</v>
      </c>
      <c r="I193" s="257">
        <f>VLOOKUP(A193,import!A:J,9,0)</f>
        <v>45</v>
      </c>
      <c r="J193" s="369">
        <f>VLOOKUP(A193,import!A:J,10,0)</f>
        <v>0</v>
      </c>
      <c r="K193" s="376" t="s">
        <v>4361</v>
      </c>
      <c r="L193" s="376">
        <v>3.226122826E9</v>
      </c>
      <c r="M193" s="376" t="s">
        <v>3701</v>
      </c>
      <c r="N193" s="376" t="s">
        <v>3702</v>
      </c>
      <c r="O193" s="376" t="s">
        <v>4362</v>
      </c>
      <c r="P193" s="370" t="str">
        <f>VLOOKUP(A193,import!A:P,16,0)</f>
        <v>Geleneksel</v>
      </c>
      <c r="Q193" s="370"/>
      <c r="R193" s="370" t="b">
        <v>0</v>
      </c>
      <c r="S193" s="370" t="b">
        <v>0</v>
      </c>
      <c r="T193" s="301"/>
      <c r="U193" s="301"/>
      <c r="V193" s="301"/>
      <c r="W193" s="301"/>
      <c r="X193" s="371"/>
      <c r="Y193" s="371"/>
      <c r="Z193" s="372"/>
      <c r="AA193" s="373"/>
      <c r="AB193" s="374"/>
      <c r="AC193" s="373"/>
      <c r="AD193" s="374"/>
      <c r="AE193" s="373"/>
      <c r="AF193" s="374"/>
      <c r="AG193" s="373"/>
      <c r="AH193" s="374"/>
      <c r="AI193" s="373"/>
      <c r="AJ193" s="374"/>
      <c r="AK193" s="373"/>
      <c r="AL193" s="373"/>
      <c r="AM193" s="373"/>
      <c r="AN193" s="373"/>
      <c r="AO193" s="373"/>
      <c r="AP193" s="376"/>
      <c r="AQ193" s="373"/>
    </row>
    <row r="194">
      <c r="A194" s="257" t="s">
        <v>1061</v>
      </c>
      <c r="B194" s="257" t="s">
        <v>1062</v>
      </c>
      <c r="C194" s="257" t="str">
        <f>VLOOKUP(A194,import!A:J,3,0)</f>
        <v>DOĞRU</v>
      </c>
      <c r="D194" s="257" t="s">
        <v>3676</v>
      </c>
      <c r="E194" s="257">
        <f>VLOOKUP(A194,import!A:J,5,0)</f>
        <v>308</v>
      </c>
      <c r="F194" s="257">
        <f>VLOOKUP(A194,import!A:J,6,0)</f>
        <v>14</v>
      </c>
      <c r="G194" s="257">
        <f>VLOOKUP(A194,import!A:J,7,0)</f>
        <v>20</v>
      </c>
      <c r="H194" s="257">
        <f>VLOOKUP(A194,import!A:J,8,0)</f>
        <v>6</v>
      </c>
      <c r="I194" s="257">
        <f>VLOOKUP(A194,import!A:J,9,0)</f>
        <v>26</v>
      </c>
      <c r="J194" s="369">
        <f>VLOOKUP(A194,import!A:J,10,0)</f>
        <v>0.77</v>
      </c>
      <c r="K194" s="257" t="s">
        <v>4363</v>
      </c>
      <c r="L194" s="257">
        <v>3.222486254E9</v>
      </c>
      <c r="M194" s="257" t="s">
        <v>14</v>
      </c>
      <c r="N194" s="257" t="s">
        <v>3826</v>
      </c>
      <c r="O194" s="257" t="s">
        <v>1064</v>
      </c>
      <c r="P194" s="370" t="str">
        <f>VLOOKUP(A194,import!A:P,16,0)</f>
        <v>Geleneksel</v>
      </c>
      <c r="Q194" s="370"/>
      <c r="R194" s="370" t="b">
        <v>1</v>
      </c>
      <c r="S194" s="370" t="b">
        <v>0</v>
      </c>
      <c r="T194" s="301" t="s">
        <v>3679</v>
      </c>
      <c r="U194" s="301" t="s">
        <v>3916</v>
      </c>
      <c r="V194" s="301" t="s">
        <v>78</v>
      </c>
      <c r="W194" s="301"/>
      <c r="X194" s="371">
        <v>44362.0</v>
      </c>
      <c r="Y194" s="371">
        <v>44364.0</v>
      </c>
      <c r="Z194" s="372"/>
      <c r="AA194" s="373" t="s">
        <v>3682</v>
      </c>
      <c r="AB194" s="374">
        <v>44362.0</v>
      </c>
      <c r="AC194" s="375"/>
      <c r="AD194" s="375"/>
      <c r="AE194" s="92"/>
      <c r="AF194" s="375"/>
      <c r="AG194" s="92"/>
      <c r="AH194" s="375"/>
      <c r="AI194" s="375"/>
      <c r="AJ194" s="375"/>
      <c r="AK194" s="373" t="s">
        <v>3916</v>
      </c>
      <c r="AL194" s="375"/>
      <c r="AM194" s="375"/>
      <c r="AN194" s="375"/>
      <c r="AO194" s="375"/>
      <c r="AP194" s="376" t="s">
        <v>3683</v>
      </c>
      <c r="AQ194" s="375"/>
    </row>
    <row r="195">
      <c r="A195" s="257" t="s">
        <v>4364</v>
      </c>
      <c r="B195" s="257" t="s">
        <v>4365</v>
      </c>
      <c r="C195" s="257" t="str">
        <f>VLOOKUP(A195,import!A:J,3,0)</f>
        <v>DOĞRU</v>
      </c>
      <c r="D195" s="257" t="s">
        <v>4000</v>
      </c>
      <c r="E195" s="257">
        <f>VLOOKUP(A195,import!A:J,5,0)</f>
        <v>187</v>
      </c>
      <c r="F195" s="257">
        <f>VLOOKUP(A195,import!A:J,6,0)</f>
        <v>5</v>
      </c>
      <c r="G195" s="257">
        <f>VLOOKUP(A195,import!A:J,7,0)</f>
        <v>0</v>
      </c>
      <c r="H195" s="257">
        <f>VLOOKUP(A195,import!A:J,8,0)</f>
        <v>25</v>
      </c>
      <c r="I195" s="257">
        <f>VLOOKUP(A195,import!A:J,9,0)</f>
        <v>25</v>
      </c>
      <c r="J195" s="369">
        <f>VLOOKUP(A195,import!A:J,10,0)</f>
        <v>0</v>
      </c>
      <c r="K195" s="257" t="s">
        <v>4366</v>
      </c>
      <c r="L195" s="257">
        <v>3.222331473E9</v>
      </c>
      <c r="M195" s="257" t="s">
        <v>14</v>
      </c>
      <c r="N195" s="257" t="s">
        <v>3767</v>
      </c>
      <c r="O195" s="257" t="s">
        <v>4367</v>
      </c>
      <c r="P195" s="370" t="str">
        <f>VLOOKUP(A195,import!A:P,16,0)</f>
        <v>Geleneksel</v>
      </c>
      <c r="Q195" s="370"/>
      <c r="R195" s="370" t="b">
        <v>1</v>
      </c>
      <c r="S195" s="370" t="b">
        <v>0</v>
      </c>
      <c r="T195" s="301" t="s">
        <v>3770</v>
      </c>
      <c r="U195" s="379"/>
      <c r="V195" s="379"/>
      <c r="W195" s="301" t="s">
        <v>4368</v>
      </c>
      <c r="X195" s="381"/>
      <c r="Y195" s="381"/>
      <c r="Z195" s="372"/>
      <c r="AA195" s="373" t="s">
        <v>3696</v>
      </c>
      <c r="AB195" s="374">
        <v>44365.0</v>
      </c>
      <c r="AC195" s="373" t="s">
        <v>3681</v>
      </c>
      <c r="AD195" s="374">
        <v>44365.0</v>
      </c>
      <c r="AE195" s="373" t="s">
        <v>3682</v>
      </c>
      <c r="AF195" s="374">
        <v>44365.0</v>
      </c>
      <c r="AG195" s="373" t="s">
        <v>3681</v>
      </c>
      <c r="AH195" s="374">
        <v>44382.0</v>
      </c>
      <c r="AI195" s="373" t="s">
        <v>3448</v>
      </c>
      <c r="AJ195" s="374">
        <v>44480.0</v>
      </c>
      <c r="AK195" s="373" t="s">
        <v>79</v>
      </c>
      <c r="AL195" s="373" t="s">
        <v>79</v>
      </c>
      <c r="AM195" s="373" t="s">
        <v>79</v>
      </c>
      <c r="AN195" s="373" t="s">
        <v>1014</v>
      </c>
      <c r="AO195" s="373" t="s">
        <v>2542</v>
      </c>
      <c r="AP195" s="376" t="s">
        <v>3683</v>
      </c>
      <c r="AQ195" s="373"/>
    </row>
    <row r="196">
      <c r="A196" s="257" t="s">
        <v>2983</v>
      </c>
      <c r="B196" s="257" t="s">
        <v>2984</v>
      </c>
      <c r="C196" s="257" t="str">
        <f>VLOOKUP(A196,import!A:J,3,0)</f>
        <v>DOĞRU</v>
      </c>
      <c r="D196" s="257" t="s">
        <v>4092</v>
      </c>
      <c r="E196" s="257">
        <f>VLOOKUP(A196,import!A:J,5,0)</f>
        <v>1528</v>
      </c>
      <c r="F196" s="257">
        <f>VLOOKUP(A196,import!A:J,6,0)</f>
        <v>14</v>
      </c>
      <c r="G196" s="257">
        <f>VLOOKUP(A196,import!A:J,7,0)</f>
        <v>7</v>
      </c>
      <c r="H196" s="257">
        <f>VLOOKUP(A196,import!A:J,8,0)</f>
        <v>2</v>
      </c>
      <c r="I196" s="257">
        <f>VLOOKUP(A196,import!A:J,9,0)</f>
        <v>9</v>
      </c>
      <c r="J196" s="369">
        <f>VLOOKUP(A196,import!A:J,10,0)</f>
        <v>0.78</v>
      </c>
      <c r="K196" s="257" t="s">
        <v>4369</v>
      </c>
      <c r="L196" s="257">
        <v>5.433483411E9</v>
      </c>
      <c r="M196" s="257" t="s">
        <v>14</v>
      </c>
      <c r="N196" s="257" t="s">
        <v>3914</v>
      </c>
      <c r="O196" s="257" t="s">
        <v>4370</v>
      </c>
      <c r="P196" s="370" t="str">
        <f>VLOOKUP(A196,import!A:P,16,0)</f>
        <v>Geleneksel</v>
      </c>
      <c r="Q196" s="370"/>
      <c r="R196" s="370" t="b">
        <v>1</v>
      </c>
      <c r="S196" s="370" t="b">
        <v>0</v>
      </c>
      <c r="T196" s="389" t="s">
        <v>3679</v>
      </c>
      <c r="U196" s="389" t="s">
        <v>2542</v>
      </c>
      <c r="V196" s="389" t="s">
        <v>78</v>
      </c>
      <c r="W196" s="389" t="s">
        <v>4371</v>
      </c>
      <c r="X196" s="390">
        <v>44501.0</v>
      </c>
      <c r="Y196" s="390">
        <v>44502.0</v>
      </c>
      <c r="Z196" s="391"/>
      <c r="AA196" s="373" t="s">
        <v>3682</v>
      </c>
      <c r="AB196" s="374">
        <v>44383.0</v>
      </c>
      <c r="AC196" s="373" t="s">
        <v>3682</v>
      </c>
      <c r="AD196" s="374">
        <v>44414.0</v>
      </c>
      <c r="AE196" s="373" t="s">
        <v>3448</v>
      </c>
      <c r="AF196" s="374">
        <v>44473.0</v>
      </c>
      <c r="AG196" s="373" t="s">
        <v>3682</v>
      </c>
      <c r="AH196" s="374">
        <v>44501.0</v>
      </c>
      <c r="AI196" s="375"/>
      <c r="AJ196" s="375"/>
      <c r="AK196" s="373" t="s">
        <v>3974</v>
      </c>
      <c r="AL196" s="373" t="s">
        <v>3729</v>
      </c>
      <c r="AM196" s="373" t="s">
        <v>2542</v>
      </c>
      <c r="AN196" s="373" t="s">
        <v>2542</v>
      </c>
      <c r="AO196" s="375"/>
      <c r="AP196" s="376" t="s">
        <v>3683</v>
      </c>
      <c r="AQ196" s="375"/>
    </row>
    <row r="197">
      <c r="A197" s="257" t="s">
        <v>1343</v>
      </c>
      <c r="B197" s="257" t="s">
        <v>1344</v>
      </c>
      <c r="C197" s="257" t="str">
        <f>VLOOKUP(A197,import!A:J,3,0)</f>
        <v>DOĞRU</v>
      </c>
      <c r="D197" s="257" t="s">
        <v>3676</v>
      </c>
      <c r="E197" s="257">
        <f>VLOOKUP(A197,import!A:J,5,0)</f>
        <v>312</v>
      </c>
      <c r="F197" s="257" t="str">
        <f>VLOOKUP(A197,import!A:J,6,0)</f>
        <v/>
      </c>
      <c r="G197" s="257">
        <f>VLOOKUP(A197,import!A:J,7,0)</f>
        <v>23</v>
      </c>
      <c r="H197" s="257">
        <f>VLOOKUP(A197,import!A:J,8,0)</f>
        <v>36</v>
      </c>
      <c r="I197" s="257">
        <f>VLOOKUP(A197,import!A:J,9,0)</f>
        <v>59</v>
      </c>
      <c r="J197" s="369">
        <f>VLOOKUP(A197,import!A:J,10,0)</f>
        <v>0.39</v>
      </c>
      <c r="K197" s="257" t="s">
        <v>4372</v>
      </c>
      <c r="L197" s="257">
        <v>3.22454545E9</v>
      </c>
      <c r="M197" s="257" t="s">
        <v>286</v>
      </c>
      <c r="N197" s="257" t="s">
        <v>3737</v>
      </c>
      <c r="O197" s="257" t="s">
        <v>4373</v>
      </c>
      <c r="P197" s="370" t="str">
        <f>VLOOKUP(A197,import!A:P,16,0)</f>
        <v>Geleneksel</v>
      </c>
      <c r="Q197" s="370"/>
      <c r="R197" s="370" t="b">
        <v>1</v>
      </c>
      <c r="S197" s="370" t="b">
        <v>0</v>
      </c>
      <c r="T197" s="301" t="s">
        <v>3679</v>
      </c>
      <c r="U197" s="301" t="s">
        <v>3752</v>
      </c>
      <c r="V197" s="301" t="s">
        <v>78</v>
      </c>
      <c r="W197" s="301" t="s">
        <v>4374</v>
      </c>
      <c r="X197" s="371">
        <v>44384.0</v>
      </c>
      <c r="Y197" s="371">
        <v>44386.0</v>
      </c>
      <c r="Z197" s="301" t="s">
        <v>3957</v>
      </c>
      <c r="AA197" s="373" t="s">
        <v>3682</v>
      </c>
      <c r="AB197" s="374">
        <v>44384.0</v>
      </c>
      <c r="AC197" s="373" t="s">
        <v>3681</v>
      </c>
      <c r="AD197" s="374">
        <v>44427.0</v>
      </c>
      <c r="AE197" s="373" t="s">
        <v>3682</v>
      </c>
      <c r="AF197" s="374">
        <v>44476.0</v>
      </c>
      <c r="AG197" s="373" t="s">
        <v>3695</v>
      </c>
      <c r="AH197" s="374">
        <v>44510.0</v>
      </c>
      <c r="AI197" s="375"/>
      <c r="AJ197" s="375"/>
      <c r="AK197" s="373" t="s">
        <v>3752</v>
      </c>
      <c r="AL197" s="373" t="s">
        <v>1947</v>
      </c>
      <c r="AM197" s="373" t="s">
        <v>2418</v>
      </c>
      <c r="AN197" s="373" t="s">
        <v>3073</v>
      </c>
      <c r="AO197" s="375"/>
      <c r="AP197" s="376" t="s">
        <v>3683</v>
      </c>
      <c r="AQ197" s="375"/>
    </row>
    <row r="198">
      <c r="A198" s="257" t="s">
        <v>1597</v>
      </c>
      <c r="B198" s="257" t="s">
        <v>1598</v>
      </c>
      <c r="C198" s="257" t="str">
        <f>VLOOKUP(A198,import!A:J,3,0)</f>
        <v>YANLIŞ</v>
      </c>
      <c r="D198" s="257" t="s">
        <v>3759</v>
      </c>
      <c r="E198" s="257">
        <f>VLOOKUP(A198,import!A:J,5,0)</f>
        <v>108</v>
      </c>
      <c r="F198" s="257" t="str">
        <f>VLOOKUP(A198,import!A:J,6,0)</f>
        <v/>
      </c>
      <c r="G198" s="257">
        <f>VLOOKUP(A198,import!A:J,7,0)</f>
        <v>5</v>
      </c>
      <c r="H198" s="257">
        <f>VLOOKUP(A198,import!A:J,8,0)</f>
        <v>4</v>
      </c>
      <c r="I198" s="257">
        <f>VLOOKUP(A198,import!A:J,9,0)</f>
        <v>9</v>
      </c>
      <c r="J198" s="369">
        <f>VLOOKUP(A198,import!A:J,10,0)</f>
        <v>0.56</v>
      </c>
      <c r="K198" s="257" t="s">
        <v>4375</v>
      </c>
      <c r="L198" s="257">
        <v>5.428207683E9</v>
      </c>
      <c r="M198" s="257" t="s">
        <v>3707</v>
      </c>
      <c r="N198" s="257" t="s">
        <v>4376</v>
      </c>
      <c r="O198" s="257" t="s">
        <v>1601</v>
      </c>
      <c r="P198" s="370" t="str">
        <f>VLOOKUP(A198,import!A:P,16,0)</f>
        <v>Geleneksel</v>
      </c>
      <c r="Q198" s="370"/>
      <c r="R198" s="370" t="b">
        <v>1</v>
      </c>
      <c r="S198" s="370" t="b">
        <v>0</v>
      </c>
      <c r="T198" s="301" t="s">
        <v>3679</v>
      </c>
      <c r="U198" s="301" t="s">
        <v>3752</v>
      </c>
      <c r="V198" s="301" t="s">
        <v>78</v>
      </c>
      <c r="W198" s="301" t="s">
        <v>4377</v>
      </c>
      <c r="X198" s="371">
        <v>44403.0</v>
      </c>
      <c r="Y198" s="371">
        <v>44405.0</v>
      </c>
      <c r="Z198" s="301" t="s">
        <v>3808</v>
      </c>
      <c r="AA198" s="373" t="s">
        <v>3681</v>
      </c>
      <c r="AB198" s="374">
        <v>44391.0</v>
      </c>
      <c r="AC198" s="373" t="s">
        <v>3682</v>
      </c>
      <c r="AD198" s="374">
        <v>44403.0</v>
      </c>
      <c r="AE198" s="92"/>
      <c r="AF198" s="375"/>
      <c r="AG198" s="92"/>
      <c r="AH198" s="375"/>
      <c r="AI198" s="375"/>
      <c r="AJ198" s="375"/>
      <c r="AK198" s="373" t="s">
        <v>3752</v>
      </c>
      <c r="AL198" s="373" t="s">
        <v>3752</v>
      </c>
      <c r="AM198" s="375"/>
      <c r="AN198" s="375"/>
      <c r="AO198" s="375"/>
      <c r="AP198" s="376" t="s">
        <v>3686</v>
      </c>
      <c r="AQ198" s="375"/>
    </row>
    <row r="199">
      <c r="A199" s="266" t="s">
        <v>4378</v>
      </c>
      <c r="B199" s="266" t="s">
        <v>4379</v>
      </c>
      <c r="C199" s="257" t="str">
        <f>VLOOKUP(A199,import!A:J,3,0)</f>
        <v>DOĞRU</v>
      </c>
      <c r="D199" s="266" t="s">
        <v>3842</v>
      </c>
      <c r="E199" s="257">
        <f>VLOOKUP(A199,import!A:J,5,0)</f>
        <v>11141</v>
      </c>
      <c r="F199" s="257">
        <f>VLOOKUP(A199,import!A:J,6,0)</f>
        <v>739</v>
      </c>
      <c r="G199" s="257">
        <f>VLOOKUP(A199,import!A:J,7,0)</f>
        <v>26</v>
      </c>
      <c r="H199" s="257">
        <f>VLOOKUP(A199,import!A:J,8,0)</f>
        <v>20</v>
      </c>
      <c r="I199" s="257">
        <f>VLOOKUP(A199,import!A:J,9,0)</f>
        <v>46</v>
      </c>
      <c r="J199" s="369">
        <f>VLOOKUP(A199,import!A:J,10,0)</f>
        <v>0.57</v>
      </c>
      <c r="K199" s="266" t="s">
        <v>4380</v>
      </c>
      <c r="L199" s="266">
        <v>3.224541122E9</v>
      </c>
      <c r="M199" s="266" t="s">
        <v>286</v>
      </c>
      <c r="N199" s="266" t="s">
        <v>3737</v>
      </c>
      <c r="O199" s="266" t="s">
        <v>4381</v>
      </c>
      <c r="P199" s="370" t="str">
        <f>VLOOKUP(A199,import!A:P,16,0)</f>
        <v>Geleneksel</v>
      </c>
      <c r="Q199" s="370"/>
      <c r="R199" s="370" t="b">
        <v>1</v>
      </c>
      <c r="S199" s="370" t="b">
        <v>0</v>
      </c>
      <c r="T199" s="301" t="s">
        <v>3817</v>
      </c>
      <c r="U199" s="379"/>
      <c r="V199" s="379"/>
      <c r="W199" s="301" t="s">
        <v>4382</v>
      </c>
      <c r="X199" s="381"/>
      <c r="Y199" s="381"/>
      <c r="Z199" s="372"/>
      <c r="AA199" s="373" t="s">
        <v>3682</v>
      </c>
      <c r="AB199" s="374">
        <v>44416.0</v>
      </c>
      <c r="AC199" s="373" t="s">
        <v>3695</v>
      </c>
      <c r="AD199" s="374">
        <v>44539.0</v>
      </c>
      <c r="AE199" s="92"/>
      <c r="AF199" s="375"/>
      <c r="AG199" s="92"/>
      <c r="AH199" s="375"/>
      <c r="AI199" s="375"/>
      <c r="AJ199" s="375"/>
      <c r="AK199" s="373" t="s">
        <v>79</v>
      </c>
      <c r="AL199" s="373" t="s">
        <v>2542</v>
      </c>
      <c r="AM199" s="375"/>
      <c r="AN199" s="375"/>
      <c r="AO199" s="375"/>
      <c r="AP199" s="376" t="s">
        <v>4383</v>
      </c>
      <c r="AQ199" s="375"/>
    </row>
    <row r="200">
      <c r="A200" s="257" t="s">
        <v>4384</v>
      </c>
      <c r="B200" s="257" t="s">
        <v>4385</v>
      </c>
      <c r="C200" s="257" t="str">
        <f>VLOOKUP(A200,import!A:J,3,0)</f>
        <v>DOĞRU</v>
      </c>
      <c r="D200" s="257" t="s">
        <v>3842</v>
      </c>
      <c r="E200" s="257">
        <f>VLOOKUP(A200,import!A:J,5,0)</f>
        <v>23382</v>
      </c>
      <c r="F200" s="257">
        <f>VLOOKUP(A200,import!A:J,6,0)</f>
        <v>844</v>
      </c>
      <c r="G200" s="257">
        <f>VLOOKUP(A200,import!A:J,7,0)</f>
        <v>14</v>
      </c>
      <c r="H200" s="257">
        <f>VLOOKUP(A200,import!A:J,8,0)</f>
        <v>66</v>
      </c>
      <c r="I200" s="257">
        <f>VLOOKUP(A200,import!A:J,9,0)</f>
        <v>80</v>
      </c>
      <c r="J200" s="369">
        <f>VLOOKUP(A200,import!A:J,10,0)</f>
        <v>0.18</v>
      </c>
      <c r="K200" s="257" t="s">
        <v>4380</v>
      </c>
      <c r="L200" s="257">
        <v>3.223111111E9</v>
      </c>
      <c r="M200" s="257" t="s">
        <v>14</v>
      </c>
      <c r="N200" s="257" t="s">
        <v>3914</v>
      </c>
      <c r="O200" s="257" t="s">
        <v>4386</v>
      </c>
      <c r="P200" s="370" t="str">
        <f>VLOOKUP(A200,import!A:P,16,0)</f>
        <v>Geleneksel</v>
      </c>
      <c r="Q200" s="370"/>
      <c r="R200" s="370" t="b">
        <v>1</v>
      </c>
      <c r="S200" s="370" t="b">
        <v>0</v>
      </c>
      <c r="T200" s="301" t="s">
        <v>3817</v>
      </c>
      <c r="U200" s="379"/>
      <c r="V200" s="379"/>
      <c r="W200" s="301" t="s">
        <v>4387</v>
      </c>
      <c r="X200" s="381"/>
      <c r="Y200" s="381"/>
      <c r="Z200" s="372"/>
      <c r="AA200" s="373" t="s">
        <v>3682</v>
      </c>
      <c r="AB200" s="374">
        <v>44501.0</v>
      </c>
      <c r="AC200" s="373" t="s">
        <v>3448</v>
      </c>
      <c r="AD200" s="374">
        <v>44539.0</v>
      </c>
      <c r="AE200" s="373"/>
      <c r="AF200" s="374"/>
      <c r="AG200" s="373"/>
      <c r="AH200" s="374"/>
      <c r="AI200" s="375"/>
      <c r="AJ200" s="375"/>
      <c r="AK200" s="373" t="s">
        <v>2542</v>
      </c>
      <c r="AL200" s="373" t="s">
        <v>2542</v>
      </c>
      <c r="AM200" s="375"/>
      <c r="AN200" s="373"/>
      <c r="AO200" s="375"/>
      <c r="AP200" s="376" t="s">
        <v>4383</v>
      </c>
      <c r="AQ200" s="375"/>
    </row>
    <row r="201">
      <c r="A201" s="257" t="s">
        <v>4388</v>
      </c>
      <c r="B201" s="257" t="s">
        <v>4389</v>
      </c>
      <c r="C201" s="257" t="str">
        <f>VLOOKUP(A201,import!A:J,3,0)</f>
        <v>DOĞRU</v>
      </c>
      <c r="D201" s="257" t="s">
        <v>3842</v>
      </c>
      <c r="E201" s="257">
        <f>VLOOKUP(A201,import!A:J,5,0)</f>
        <v>20663</v>
      </c>
      <c r="F201" s="257">
        <f>VLOOKUP(A201,import!A:J,6,0)</f>
        <v>795</v>
      </c>
      <c r="G201" s="257">
        <f>VLOOKUP(A201,import!A:J,7,0)</f>
        <v>26</v>
      </c>
      <c r="H201" s="257">
        <f>VLOOKUP(A201,import!A:J,8,0)</f>
        <v>41</v>
      </c>
      <c r="I201" s="257">
        <f>VLOOKUP(A201,import!A:J,9,0)</f>
        <v>67</v>
      </c>
      <c r="J201" s="369">
        <f>VLOOKUP(A201,import!A:J,10,0)</f>
        <v>0.39</v>
      </c>
      <c r="K201" s="257" t="s">
        <v>4390</v>
      </c>
      <c r="L201" s="257">
        <v>5.528720303E9</v>
      </c>
      <c r="M201" s="257" t="s">
        <v>286</v>
      </c>
      <c r="N201" s="257" t="s">
        <v>3746</v>
      </c>
      <c r="O201" s="257" t="s">
        <v>4391</v>
      </c>
      <c r="P201" s="370" t="str">
        <f>VLOOKUP(A201,import!A:P,16,0)</f>
        <v>Geleneksel</v>
      </c>
      <c r="Q201" s="370"/>
      <c r="R201" s="370" t="b">
        <v>1</v>
      </c>
      <c r="S201" s="370" t="b">
        <v>0</v>
      </c>
      <c r="T201" s="301" t="s">
        <v>3817</v>
      </c>
      <c r="U201" s="379"/>
      <c r="V201" s="379"/>
      <c r="W201" s="301" t="s">
        <v>4392</v>
      </c>
      <c r="X201" s="381"/>
      <c r="Y201" s="381"/>
      <c r="Z201" s="372"/>
      <c r="AA201" s="373" t="s">
        <v>3682</v>
      </c>
      <c r="AB201" s="374">
        <v>44502.0</v>
      </c>
      <c r="AC201" s="373" t="s">
        <v>3448</v>
      </c>
      <c r="AD201" s="374">
        <v>44539.0</v>
      </c>
      <c r="AE201" s="373"/>
      <c r="AF201" s="374"/>
      <c r="AG201" s="373"/>
      <c r="AH201" s="374"/>
      <c r="AI201" s="375"/>
      <c r="AJ201" s="375"/>
      <c r="AK201" s="373" t="s">
        <v>2542</v>
      </c>
      <c r="AL201" s="373" t="s">
        <v>2542</v>
      </c>
      <c r="AM201" s="375"/>
      <c r="AN201" s="373"/>
      <c r="AO201" s="375"/>
      <c r="AP201" s="376" t="s">
        <v>4383</v>
      </c>
      <c r="AQ201" s="375"/>
    </row>
    <row r="202">
      <c r="A202" s="257" t="s">
        <v>1578</v>
      </c>
      <c r="B202" s="257" t="s">
        <v>1579</v>
      </c>
      <c r="C202" s="257" t="str">
        <f>VLOOKUP(A202,import!A:J,3,0)</f>
        <v>DOĞRU</v>
      </c>
      <c r="D202" s="257" t="s">
        <v>3842</v>
      </c>
      <c r="E202" s="257">
        <f>VLOOKUP(A202,import!A:J,5,0)</f>
        <v>2116</v>
      </c>
      <c r="F202" s="257">
        <f>VLOOKUP(A202,import!A:J,6,0)</f>
        <v>153</v>
      </c>
      <c r="G202" s="257">
        <f>VLOOKUP(A202,import!A:J,7,0)</f>
        <v>13</v>
      </c>
      <c r="H202" s="257">
        <f>VLOOKUP(A202,import!A:J,8,0)</f>
        <v>4</v>
      </c>
      <c r="I202" s="257">
        <f>VLOOKUP(A202,import!A:J,9,0)</f>
        <v>17</v>
      </c>
      <c r="J202" s="369">
        <f>VLOOKUP(A202,import!A:J,10,0)</f>
        <v>0.76</v>
      </c>
      <c r="K202" s="257" t="s">
        <v>4171</v>
      </c>
      <c r="L202" s="257">
        <v>3.222349404E9</v>
      </c>
      <c r="M202" s="257" t="s">
        <v>14</v>
      </c>
      <c r="N202" s="257" t="s">
        <v>3797</v>
      </c>
      <c r="O202" s="257" t="s">
        <v>89</v>
      </c>
      <c r="P202" s="370" t="str">
        <f>VLOOKUP(A202,import!A:P,16,0)</f>
        <v>Geleneksel</v>
      </c>
      <c r="Q202" s="370"/>
      <c r="R202" s="370" t="b">
        <v>1</v>
      </c>
      <c r="S202" s="370" t="b">
        <v>0</v>
      </c>
      <c r="T202" s="301" t="s">
        <v>3679</v>
      </c>
      <c r="U202" s="301" t="s">
        <v>3752</v>
      </c>
      <c r="V202" s="301" t="s">
        <v>78</v>
      </c>
      <c r="W202" s="301"/>
      <c r="X202" s="371">
        <v>44403.0</v>
      </c>
      <c r="Y202" s="371">
        <v>44405.0</v>
      </c>
      <c r="Z202" s="372"/>
      <c r="AA202" s="373" t="s">
        <v>3682</v>
      </c>
      <c r="AB202" s="374">
        <v>44403.0</v>
      </c>
      <c r="AC202" s="375"/>
      <c r="AD202" s="375"/>
      <c r="AE202" s="92"/>
      <c r="AF202" s="375"/>
      <c r="AG202" s="92"/>
      <c r="AH202" s="375"/>
      <c r="AI202" s="375"/>
      <c r="AJ202" s="375"/>
      <c r="AK202" s="373" t="s">
        <v>3752</v>
      </c>
      <c r="AL202" s="375"/>
      <c r="AM202" s="375"/>
      <c r="AN202" s="375"/>
      <c r="AO202" s="375"/>
      <c r="AP202" s="376" t="s">
        <v>3683</v>
      </c>
      <c r="AQ202" s="375"/>
    </row>
    <row r="203">
      <c r="A203" s="257" t="s">
        <v>1787</v>
      </c>
      <c r="B203" s="257" t="s">
        <v>1788</v>
      </c>
      <c r="C203" s="257" t="str">
        <f>VLOOKUP(A203,import!A:J,3,0)</f>
        <v>DOĞRU</v>
      </c>
      <c r="D203" s="257" t="s">
        <v>3994</v>
      </c>
      <c r="E203" s="257">
        <f>VLOOKUP(A203,import!A:J,5,0)</f>
        <v>3228</v>
      </c>
      <c r="F203" s="257">
        <f>VLOOKUP(A203,import!A:J,6,0)</f>
        <v>112</v>
      </c>
      <c r="G203" s="257">
        <f>VLOOKUP(A203,import!A:J,7,0)</f>
        <v>32</v>
      </c>
      <c r="H203" s="257">
        <f>VLOOKUP(A203,import!A:J,8,0)</f>
        <v>121</v>
      </c>
      <c r="I203" s="257">
        <f>VLOOKUP(A203,import!A:J,9,0)</f>
        <v>153</v>
      </c>
      <c r="J203" s="369">
        <f>VLOOKUP(A203,import!A:J,10,0)</f>
        <v>0.21</v>
      </c>
      <c r="K203" s="257" t="s">
        <v>4393</v>
      </c>
      <c r="L203" s="257">
        <v>3.225025555E9</v>
      </c>
      <c r="M203" s="257" t="s">
        <v>3692</v>
      </c>
      <c r="N203" s="257" t="s">
        <v>3692</v>
      </c>
      <c r="O203" s="257" t="s">
        <v>1791</v>
      </c>
      <c r="P203" s="370" t="str">
        <f>VLOOKUP(A203,import!A:P,16,0)</f>
        <v>Geleneksel</v>
      </c>
      <c r="Q203" s="370"/>
      <c r="R203" s="370" t="b">
        <v>1</v>
      </c>
      <c r="S203" s="370" t="b">
        <v>0</v>
      </c>
      <c r="T203" s="301" t="s">
        <v>3679</v>
      </c>
      <c r="U203" s="301" t="s">
        <v>2192</v>
      </c>
      <c r="V203" s="301" t="s">
        <v>3755</v>
      </c>
      <c r="W203" s="301" t="s">
        <v>4394</v>
      </c>
      <c r="X203" s="371">
        <v>44475.0</v>
      </c>
      <c r="Y203" s="371">
        <v>44476.0</v>
      </c>
      <c r="Z203" s="372"/>
      <c r="AA203" s="373" t="s">
        <v>3682</v>
      </c>
      <c r="AB203" s="374">
        <v>44405.0</v>
      </c>
      <c r="AC203" s="373" t="s">
        <v>3682</v>
      </c>
      <c r="AD203" s="374">
        <v>44413.0</v>
      </c>
      <c r="AE203" s="373" t="s">
        <v>3682</v>
      </c>
      <c r="AF203" s="374">
        <v>44475.0</v>
      </c>
      <c r="AG203" s="92"/>
      <c r="AH203" s="375"/>
      <c r="AI203" s="375"/>
      <c r="AJ203" s="375"/>
      <c r="AK203" s="373" t="s">
        <v>3752</v>
      </c>
      <c r="AL203" s="373" t="s">
        <v>3723</v>
      </c>
      <c r="AM203" s="373" t="s">
        <v>2192</v>
      </c>
      <c r="AN203" s="375"/>
      <c r="AO203" s="375"/>
      <c r="AP203" s="376" t="s">
        <v>3686</v>
      </c>
      <c r="AQ203" s="375"/>
    </row>
    <row r="204">
      <c r="A204" s="266" t="s">
        <v>1422</v>
      </c>
      <c r="B204" s="266" t="s">
        <v>1423</v>
      </c>
      <c r="C204" s="257" t="str">
        <f>VLOOKUP(A204,import!A:J,3,0)</f>
        <v>DOĞRU</v>
      </c>
      <c r="D204" s="266" t="s">
        <v>3713</v>
      </c>
      <c r="E204" s="257">
        <f>VLOOKUP(A204,import!A:J,5,0)</f>
        <v>4279</v>
      </c>
      <c r="F204" s="257">
        <f>VLOOKUP(A204,import!A:J,6,0)</f>
        <v>185</v>
      </c>
      <c r="G204" s="257">
        <f>VLOOKUP(A204,import!A:J,7,0)</f>
        <v>9</v>
      </c>
      <c r="H204" s="257">
        <f>VLOOKUP(A204,import!A:J,8,0)</f>
        <v>1</v>
      </c>
      <c r="I204" s="257">
        <f>VLOOKUP(A204,import!A:J,9,0)</f>
        <v>10</v>
      </c>
      <c r="J204" s="369">
        <f>VLOOKUP(A204,import!A:J,10,0)</f>
        <v>0.9</v>
      </c>
      <c r="K204" s="266" t="s">
        <v>4395</v>
      </c>
      <c r="L204" s="266">
        <v>5.397955905E9</v>
      </c>
      <c r="M204" s="266" t="s">
        <v>286</v>
      </c>
      <c r="N204" s="266" t="s">
        <v>3855</v>
      </c>
      <c r="O204" s="266" t="s">
        <v>1425</v>
      </c>
      <c r="P204" s="370" t="str">
        <f>VLOOKUP(A204,import!A:P,16,0)</f>
        <v>Geleneksel</v>
      </c>
      <c r="Q204" s="370"/>
      <c r="R204" s="370" t="b">
        <v>1</v>
      </c>
      <c r="S204" s="370" t="b">
        <v>0</v>
      </c>
      <c r="T204" s="301" t="s">
        <v>3679</v>
      </c>
      <c r="U204" s="301" t="s">
        <v>4088</v>
      </c>
      <c r="V204" s="301" t="s">
        <v>78</v>
      </c>
      <c r="W204" s="301" t="s">
        <v>4396</v>
      </c>
      <c r="X204" s="371">
        <v>44389.0</v>
      </c>
      <c r="Y204" s="371">
        <v>44391.0</v>
      </c>
      <c r="Z204" s="372"/>
      <c r="AA204" s="373" t="s">
        <v>3682</v>
      </c>
      <c r="AB204" s="374">
        <v>44389.0</v>
      </c>
      <c r="AC204" s="375"/>
      <c r="AD204" s="375"/>
      <c r="AE204" s="92"/>
      <c r="AF204" s="375"/>
      <c r="AG204" s="92"/>
      <c r="AH204" s="375"/>
      <c r="AI204" s="375"/>
      <c r="AJ204" s="375"/>
      <c r="AK204" s="373" t="s">
        <v>4088</v>
      </c>
      <c r="AL204" s="375"/>
      <c r="AM204" s="375"/>
      <c r="AN204" s="375"/>
      <c r="AO204" s="375"/>
      <c r="AP204" s="376" t="s">
        <v>3686</v>
      </c>
      <c r="AQ204" s="375"/>
    </row>
    <row r="205">
      <c r="A205" s="376" t="s">
        <v>4397</v>
      </c>
      <c r="B205" s="376" t="s">
        <v>4398</v>
      </c>
      <c r="C205" s="257" t="str">
        <f>VLOOKUP(A205,import!A:J,3,0)</f>
        <v>DOĞRU</v>
      </c>
      <c r="D205" s="376" t="s">
        <v>3676</v>
      </c>
      <c r="E205" s="257" t="str">
        <f>VLOOKUP(A205,import!A:J,5,0)</f>
        <v/>
      </c>
      <c r="F205" s="257" t="str">
        <f>VLOOKUP(A205,import!A:J,6,0)</f>
        <v/>
      </c>
      <c r="G205" s="257">
        <f>VLOOKUP(A205,import!A:J,7,0)</f>
        <v>0</v>
      </c>
      <c r="H205" s="257">
        <f>VLOOKUP(A205,import!A:J,8,0)</f>
        <v>17</v>
      </c>
      <c r="I205" s="257">
        <f>VLOOKUP(A205,import!A:J,9,0)</f>
        <v>17</v>
      </c>
      <c r="J205" s="369">
        <f>VLOOKUP(A205,import!A:J,10,0)</f>
        <v>0</v>
      </c>
      <c r="K205" s="376" t="s">
        <v>4399</v>
      </c>
      <c r="L205" s="376">
        <v>5.379872559E9</v>
      </c>
      <c r="M205" s="376" t="s">
        <v>286</v>
      </c>
      <c r="N205" s="376" t="s">
        <v>4400</v>
      </c>
      <c r="O205" s="376" t="s">
        <v>4401</v>
      </c>
      <c r="P205" s="370" t="str">
        <f>VLOOKUP(A205,import!A:P,16,0)</f>
        <v>Geleneksel</v>
      </c>
      <c r="Q205" s="370"/>
      <c r="R205" s="370" t="b">
        <v>0</v>
      </c>
      <c r="S205" s="370" t="b">
        <v>0</v>
      </c>
      <c r="T205" s="301"/>
      <c r="U205" s="301"/>
      <c r="V205" s="301"/>
      <c r="W205" s="301"/>
      <c r="X205" s="371"/>
      <c r="Y205" s="371"/>
      <c r="Z205" s="372"/>
      <c r="AA205" s="373"/>
      <c r="AB205" s="374"/>
      <c r="AC205" s="373"/>
      <c r="AD205" s="374"/>
      <c r="AE205" s="373"/>
      <c r="AF205" s="374"/>
      <c r="AG205" s="373"/>
      <c r="AH205" s="374"/>
      <c r="AI205" s="373"/>
      <c r="AJ205" s="374"/>
      <c r="AK205" s="373"/>
      <c r="AL205" s="373"/>
      <c r="AM205" s="373"/>
      <c r="AN205" s="373"/>
      <c r="AO205" s="373"/>
      <c r="AP205" s="376"/>
      <c r="AQ205" s="373"/>
    </row>
    <row r="206">
      <c r="A206" s="376" t="s">
        <v>4402</v>
      </c>
      <c r="B206" s="376" t="s">
        <v>4403</v>
      </c>
      <c r="C206" s="257" t="str">
        <f>VLOOKUP(A206,import!A:J,3,0)</f>
        <v>DOĞRU</v>
      </c>
      <c r="D206" s="376" t="s">
        <v>3713</v>
      </c>
      <c r="E206" s="257">
        <f>VLOOKUP(A206,import!A:J,5,0)</f>
        <v>140</v>
      </c>
      <c r="F206" s="257">
        <f>VLOOKUP(A206,import!A:J,6,0)</f>
        <v>110</v>
      </c>
      <c r="G206" s="257">
        <f>VLOOKUP(A206,import!A:J,7,0)</f>
        <v>0</v>
      </c>
      <c r="H206" s="257">
        <f>VLOOKUP(A206,import!A:J,8,0)</f>
        <v>41</v>
      </c>
      <c r="I206" s="257">
        <f>VLOOKUP(A206,import!A:J,9,0)</f>
        <v>41</v>
      </c>
      <c r="J206" s="369">
        <f>VLOOKUP(A206,import!A:J,10,0)</f>
        <v>0</v>
      </c>
      <c r="K206" s="376" t="s">
        <v>4404</v>
      </c>
      <c r="L206" s="376">
        <v>5.537900201E9</v>
      </c>
      <c r="M206" s="376" t="s">
        <v>3707</v>
      </c>
      <c r="N206" s="376" t="s">
        <v>3715</v>
      </c>
      <c r="O206" s="376" t="s">
        <v>4405</v>
      </c>
      <c r="P206" s="370" t="str">
        <f>VLOOKUP(A206,import!A:P,16,0)</f>
        <v>Geleneksel</v>
      </c>
      <c r="Q206" s="370"/>
      <c r="R206" s="370" t="b">
        <v>0</v>
      </c>
      <c r="S206" s="370" t="b">
        <v>0</v>
      </c>
      <c r="T206" s="301"/>
      <c r="U206" s="301"/>
      <c r="V206" s="301"/>
      <c r="W206" s="301"/>
      <c r="X206" s="371"/>
      <c r="Y206" s="371"/>
      <c r="Z206" s="372"/>
      <c r="AA206" s="373"/>
      <c r="AB206" s="374"/>
      <c r="AC206" s="373"/>
      <c r="AD206" s="374"/>
      <c r="AE206" s="373"/>
      <c r="AF206" s="374"/>
      <c r="AG206" s="373"/>
      <c r="AH206" s="374"/>
      <c r="AI206" s="373"/>
      <c r="AJ206" s="374"/>
      <c r="AK206" s="373"/>
      <c r="AL206" s="373"/>
      <c r="AM206" s="373"/>
      <c r="AN206" s="373"/>
      <c r="AO206" s="373"/>
      <c r="AP206" s="376"/>
      <c r="AQ206" s="373"/>
    </row>
    <row r="207">
      <c r="A207" s="257" t="s">
        <v>3463</v>
      </c>
      <c r="B207" s="257" t="s">
        <v>3464</v>
      </c>
      <c r="C207" s="257" t="str">
        <f>VLOOKUP(A207,import!A:J,3,0)</f>
        <v>DOĞRU</v>
      </c>
      <c r="D207" s="257" t="s">
        <v>3699</v>
      </c>
      <c r="E207" s="257">
        <f>VLOOKUP(A207,import!A:J,5,0)</f>
        <v>42</v>
      </c>
      <c r="F207" s="257">
        <f>VLOOKUP(A207,import!A:J,6,0)</f>
        <v>10</v>
      </c>
      <c r="G207" s="257">
        <f>VLOOKUP(A207,import!A:J,7,0)</f>
        <v>0</v>
      </c>
      <c r="H207" s="257">
        <f>VLOOKUP(A207,import!A:J,8,0)</f>
        <v>8</v>
      </c>
      <c r="I207" s="257">
        <f>VLOOKUP(A207,import!A:J,9,0)</f>
        <v>8</v>
      </c>
      <c r="J207" s="369">
        <f>VLOOKUP(A207,import!A:J,10,0)</f>
        <v>0</v>
      </c>
      <c r="K207" s="257" t="s">
        <v>4406</v>
      </c>
      <c r="L207" s="257">
        <v>3.222484649E9</v>
      </c>
      <c r="M207" s="257" t="s">
        <v>14</v>
      </c>
      <c r="N207" s="257" t="s">
        <v>3826</v>
      </c>
      <c r="O207" s="257" t="s">
        <v>3466</v>
      </c>
      <c r="P207" s="370" t="str">
        <f>VLOOKUP(A207,import!A:P,16,0)</f>
        <v>Geleneksel</v>
      </c>
      <c r="Q207" s="370"/>
      <c r="R207" s="370" t="b">
        <v>1</v>
      </c>
      <c r="S207" s="370" t="b">
        <v>0</v>
      </c>
      <c r="T207" s="301" t="s">
        <v>4407</v>
      </c>
      <c r="U207" s="301" t="s">
        <v>2542</v>
      </c>
      <c r="V207" s="400" t="s">
        <v>3331</v>
      </c>
      <c r="W207" s="301">
        <v>5.065252385E9</v>
      </c>
      <c r="X207" s="371">
        <v>44632.0</v>
      </c>
      <c r="Y207" s="371">
        <v>44635.0</v>
      </c>
      <c r="Z207" s="372"/>
      <c r="AA207" s="373" t="s">
        <v>3682</v>
      </c>
      <c r="AB207" s="371">
        <v>44630.0</v>
      </c>
      <c r="AC207" s="373" t="s">
        <v>3682</v>
      </c>
      <c r="AD207" s="371">
        <v>44632.0</v>
      </c>
      <c r="AE207" s="373"/>
      <c r="AF207" s="374"/>
      <c r="AG207" s="373"/>
      <c r="AH207" s="374"/>
      <c r="AI207" s="375"/>
      <c r="AJ207" s="375"/>
      <c r="AK207" s="373" t="s">
        <v>2542</v>
      </c>
      <c r="AL207" s="373" t="s">
        <v>2542</v>
      </c>
      <c r="AM207" s="375"/>
      <c r="AN207" s="373"/>
      <c r="AO207" s="375"/>
      <c r="AP207" s="376"/>
      <c r="AQ207" s="375"/>
    </row>
    <row r="208">
      <c r="A208" s="257" t="s">
        <v>742</v>
      </c>
      <c r="B208" s="257" t="s">
        <v>743</v>
      </c>
      <c r="C208" s="257" t="str">
        <f>VLOOKUP(A208,import!A:J,3,0)</f>
        <v>DOĞRU</v>
      </c>
      <c r="D208" s="257" t="s">
        <v>3676</v>
      </c>
      <c r="E208" s="257">
        <f>VLOOKUP(A208,import!A:J,5,0)</f>
        <v>1541</v>
      </c>
      <c r="F208" s="257">
        <f>VLOOKUP(A208,import!A:J,6,0)</f>
        <v>29</v>
      </c>
      <c r="G208" s="257">
        <f>VLOOKUP(A208,import!A:J,7,0)</f>
        <v>28</v>
      </c>
      <c r="H208" s="257">
        <f>VLOOKUP(A208,import!A:J,8,0)</f>
        <v>2</v>
      </c>
      <c r="I208" s="257">
        <f>VLOOKUP(A208,import!A:J,9,0)</f>
        <v>30</v>
      </c>
      <c r="J208" s="369">
        <f>VLOOKUP(A208,import!A:J,10,0)</f>
        <v>0.93</v>
      </c>
      <c r="K208" s="257" t="s">
        <v>4408</v>
      </c>
      <c r="L208" s="257">
        <v>5.426944424E9</v>
      </c>
      <c r="M208" s="257" t="s">
        <v>14</v>
      </c>
      <c r="N208" s="257" t="s">
        <v>3678</v>
      </c>
      <c r="O208" s="257" t="s">
        <v>746</v>
      </c>
      <c r="P208" s="370" t="str">
        <f>VLOOKUP(A208,import!A:P,16,0)</f>
        <v>Geleneksel</v>
      </c>
      <c r="Q208" s="370"/>
      <c r="R208" s="370" t="b">
        <v>1</v>
      </c>
      <c r="S208" s="370" t="b">
        <v>0</v>
      </c>
      <c r="T208" s="301" t="s">
        <v>3679</v>
      </c>
      <c r="U208" s="301" t="s">
        <v>399</v>
      </c>
      <c r="V208" s="301" t="s">
        <v>78</v>
      </c>
      <c r="W208" s="301" t="s">
        <v>4409</v>
      </c>
      <c r="X208" s="371">
        <v>44341.0</v>
      </c>
      <c r="Y208" s="371">
        <v>44343.0</v>
      </c>
      <c r="Z208" s="377"/>
      <c r="AA208" s="375"/>
      <c r="AB208" s="375"/>
      <c r="AC208" s="375"/>
      <c r="AD208" s="375"/>
      <c r="AE208" s="92"/>
      <c r="AF208" s="375"/>
      <c r="AG208" s="92"/>
      <c r="AH208" s="375"/>
      <c r="AI208" s="375"/>
      <c r="AJ208" s="375"/>
      <c r="AK208" s="375"/>
      <c r="AL208" s="375"/>
      <c r="AM208" s="375"/>
      <c r="AN208" s="375"/>
      <c r="AO208" s="375"/>
      <c r="AP208" s="376" t="s">
        <v>3683</v>
      </c>
      <c r="AQ208" s="375"/>
    </row>
    <row r="209">
      <c r="A209" s="257" t="s">
        <v>1966</v>
      </c>
      <c r="B209" s="257" t="s">
        <v>1967</v>
      </c>
      <c r="C209" s="257" t="str">
        <f>VLOOKUP(A209,import!A:J,3,0)</f>
        <v>DOĞRU</v>
      </c>
      <c r="D209" s="257" t="s">
        <v>3676</v>
      </c>
      <c r="E209" s="257">
        <f>VLOOKUP(A209,import!A:J,5,0)</f>
        <v>447</v>
      </c>
      <c r="F209" s="257" t="str">
        <f>VLOOKUP(A209,import!A:J,6,0)</f>
        <v/>
      </c>
      <c r="G209" s="257">
        <f>VLOOKUP(A209,import!A:J,7,0)</f>
        <v>13</v>
      </c>
      <c r="H209" s="257">
        <f>VLOOKUP(A209,import!A:J,8,0)</f>
        <v>7</v>
      </c>
      <c r="I209" s="257">
        <f>VLOOKUP(A209,import!A:J,9,0)</f>
        <v>20</v>
      </c>
      <c r="J209" s="369">
        <f>VLOOKUP(A209,import!A:J,10,0)</f>
        <v>0.65</v>
      </c>
      <c r="K209" s="257" t="s">
        <v>4410</v>
      </c>
      <c r="L209" s="257">
        <v>3.223518772E9</v>
      </c>
      <c r="M209" s="257" t="s">
        <v>286</v>
      </c>
      <c r="N209" s="257" t="s">
        <v>4411</v>
      </c>
      <c r="O209" s="257" t="s">
        <v>1970</v>
      </c>
      <c r="P209" s="370" t="str">
        <f>VLOOKUP(A209,import!A:P,16,0)</f>
        <v>Geleneksel</v>
      </c>
      <c r="Q209" s="370"/>
      <c r="R209" s="370" t="b">
        <v>1</v>
      </c>
      <c r="S209" s="370" t="b">
        <v>0</v>
      </c>
      <c r="T209" s="301" t="s">
        <v>3679</v>
      </c>
      <c r="U209" s="301" t="s">
        <v>3729</v>
      </c>
      <c r="V209" s="301" t="s">
        <v>78</v>
      </c>
      <c r="W209" s="301"/>
      <c r="X209" s="371">
        <v>44427.0</v>
      </c>
      <c r="Y209" s="371">
        <v>44432.0</v>
      </c>
      <c r="Z209" s="372"/>
      <c r="AA209" s="373" t="s">
        <v>3682</v>
      </c>
      <c r="AB209" s="374">
        <v>44424.0</v>
      </c>
      <c r="AC209" s="373" t="s">
        <v>3682</v>
      </c>
      <c r="AD209" s="374">
        <v>44427.0</v>
      </c>
      <c r="AE209" s="373"/>
      <c r="AF209" s="374"/>
      <c r="AG209" s="92"/>
      <c r="AH209" s="375"/>
      <c r="AI209" s="375"/>
      <c r="AJ209" s="375"/>
      <c r="AK209" s="373" t="s">
        <v>3729</v>
      </c>
      <c r="AL209" s="373" t="s">
        <v>3729</v>
      </c>
      <c r="AM209" s="375"/>
      <c r="AN209" s="375"/>
      <c r="AO209" s="375"/>
      <c r="AP209" s="376" t="s">
        <v>3686</v>
      </c>
      <c r="AQ209" s="375"/>
    </row>
    <row r="210">
      <c r="A210" s="257" t="s">
        <v>2844</v>
      </c>
      <c r="B210" s="257" t="s">
        <v>2845</v>
      </c>
      <c r="C210" s="257" t="str">
        <f>VLOOKUP(A210,import!A:J,3,0)</f>
        <v>DOĞRU</v>
      </c>
      <c r="D210" s="257" t="s">
        <v>3994</v>
      </c>
      <c r="E210" s="257">
        <f>VLOOKUP(A210,import!A:J,5,0)</f>
        <v>51</v>
      </c>
      <c r="F210" s="257">
        <f>VLOOKUP(A210,import!A:J,6,0)</f>
        <v>1</v>
      </c>
      <c r="G210" s="257">
        <f>VLOOKUP(A210,import!A:J,7,0)</f>
        <v>6</v>
      </c>
      <c r="H210" s="257">
        <f>VLOOKUP(A210,import!A:J,8,0)</f>
        <v>0</v>
      </c>
      <c r="I210" s="257">
        <f>VLOOKUP(A210,import!A:J,9,0)</f>
        <v>6</v>
      </c>
      <c r="J210" s="369">
        <f>VLOOKUP(A210,import!A:J,10,0)</f>
        <v>1</v>
      </c>
      <c r="K210" s="257" t="s">
        <v>4412</v>
      </c>
      <c r="L210" s="257">
        <v>5.34290623E9</v>
      </c>
      <c r="M210" s="257" t="s">
        <v>14</v>
      </c>
      <c r="N210" s="257" t="s">
        <v>3797</v>
      </c>
      <c r="O210" s="257" t="s">
        <v>2847</v>
      </c>
      <c r="P210" s="370" t="str">
        <f>VLOOKUP(A210,import!A:P,16,0)</f>
        <v>Geleneksel</v>
      </c>
      <c r="Q210" s="370"/>
      <c r="R210" s="370" t="b">
        <v>1</v>
      </c>
      <c r="S210" s="370" t="b">
        <v>0</v>
      </c>
      <c r="T210" s="301" t="s">
        <v>3679</v>
      </c>
      <c r="U210" s="301" t="s">
        <v>2542</v>
      </c>
      <c r="V210" s="301" t="s">
        <v>78</v>
      </c>
      <c r="W210" s="301" t="s">
        <v>4413</v>
      </c>
      <c r="X210" s="371">
        <v>44483.0</v>
      </c>
      <c r="Y210" s="371">
        <v>44484.0</v>
      </c>
      <c r="Z210" s="372"/>
      <c r="AA210" s="373" t="s">
        <v>3682</v>
      </c>
      <c r="AB210" s="374">
        <v>44483.0</v>
      </c>
      <c r="AC210" s="373"/>
      <c r="AD210" s="374"/>
      <c r="AE210" s="373"/>
      <c r="AF210" s="374"/>
      <c r="AG210" s="373"/>
      <c r="AH210" s="374"/>
      <c r="AI210" s="375"/>
      <c r="AJ210" s="375"/>
      <c r="AK210" s="373" t="s">
        <v>2542</v>
      </c>
      <c r="AL210" s="375"/>
      <c r="AM210" s="375"/>
      <c r="AN210" s="373"/>
      <c r="AO210" s="375"/>
      <c r="AP210" s="376" t="s">
        <v>3683</v>
      </c>
      <c r="AQ210" s="375"/>
    </row>
    <row r="211">
      <c r="A211" s="257" t="s">
        <v>4414</v>
      </c>
      <c r="B211" s="257" t="s">
        <v>4415</v>
      </c>
      <c r="C211" s="257" t="str">
        <f>VLOOKUP(A211,import!A:J,3,0)</f>
        <v>DOĞRU</v>
      </c>
      <c r="D211" s="257" t="s">
        <v>3713</v>
      </c>
      <c r="E211" s="257">
        <f>VLOOKUP(A211,import!A:J,5,0)</f>
        <v>1217</v>
      </c>
      <c r="F211" s="257">
        <f>VLOOKUP(A211,import!A:J,6,0)</f>
        <v>4</v>
      </c>
      <c r="G211" s="257">
        <f>VLOOKUP(A211,import!A:J,7,0)</f>
        <v>0</v>
      </c>
      <c r="H211" s="257">
        <f>VLOOKUP(A211,import!A:J,8,0)</f>
        <v>36</v>
      </c>
      <c r="I211" s="257">
        <f>VLOOKUP(A211,import!A:J,9,0)</f>
        <v>36</v>
      </c>
      <c r="J211" s="369">
        <f>VLOOKUP(A211,import!A:J,10,0)</f>
        <v>0</v>
      </c>
      <c r="K211" s="257" t="s">
        <v>4416</v>
      </c>
      <c r="L211" s="257">
        <v>5.307622401E9</v>
      </c>
      <c r="M211" s="257" t="s">
        <v>3707</v>
      </c>
      <c r="N211" s="257" t="s">
        <v>4417</v>
      </c>
      <c r="O211" s="257" t="s">
        <v>4418</v>
      </c>
      <c r="P211" s="370" t="str">
        <f>VLOOKUP(A211,import!A:P,16,0)</f>
        <v>Geleneksel</v>
      </c>
      <c r="Q211" s="370"/>
      <c r="R211" s="370" t="b">
        <v>1</v>
      </c>
      <c r="S211" s="370" t="b">
        <v>0</v>
      </c>
      <c r="T211" s="301" t="s">
        <v>3770</v>
      </c>
      <c r="U211" s="379"/>
      <c r="V211" s="379"/>
      <c r="W211" s="301">
        <v>5.5541296717E10</v>
      </c>
      <c r="X211" s="381"/>
      <c r="Y211" s="381"/>
      <c r="Z211" s="301" t="s">
        <v>3957</v>
      </c>
      <c r="AA211" s="373" t="s">
        <v>3682</v>
      </c>
      <c r="AB211" s="374">
        <v>44390.0</v>
      </c>
      <c r="AC211" s="373" t="s">
        <v>3682</v>
      </c>
      <c r="AD211" s="374">
        <v>44392.0</v>
      </c>
      <c r="AE211" s="373" t="s">
        <v>3682</v>
      </c>
      <c r="AF211" s="374">
        <v>44463.0</v>
      </c>
      <c r="AG211" s="92"/>
      <c r="AH211" s="375"/>
      <c r="AI211" s="375"/>
      <c r="AJ211" s="375"/>
      <c r="AK211" s="373" t="s">
        <v>79</v>
      </c>
      <c r="AL211" s="373" t="s">
        <v>3719</v>
      </c>
      <c r="AM211" s="373" t="s">
        <v>2542</v>
      </c>
      <c r="AN211" s="375"/>
      <c r="AO211" s="375"/>
      <c r="AP211" s="376" t="s">
        <v>3686</v>
      </c>
      <c r="AQ211" s="375"/>
    </row>
    <row r="212">
      <c r="A212" s="257" t="s">
        <v>1330</v>
      </c>
      <c r="B212" s="257" t="s">
        <v>1331</v>
      </c>
      <c r="C212" s="257" t="str">
        <f>VLOOKUP(A212,import!A:J,3,0)</f>
        <v>DOĞRU</v>
      </c>
      <c r="D212" s="257" t="s">
        <v>3699</v>
      </c>
      <c r="E212" s="257">
        <f>VLOOKUP(A212,import!A:J,5,0)</f>
        <v>107</v>
      </c>
      <c r="F212" s="257" t="str">
        <f>VLOOKUP(A212,import!A:J,6,0)</f>
        <v/>
      </c>
      <c r="G212" s="257">
        <f>VLOOKUP(A212,import!A:J,7,0)</f>
        <v>46</v>
      </c>
      <c r="H212" s="257">
        <f>VLOOKUP(A212,import!A:J,8,0)</f>
        <v>21</v>
      </c>
      <c r="I212" s="257">
        <f>VLOOKUP(A212,import!A:J,9,0)</f>
        <v>67</v>
      </c>
      <c r="J212" s="369">
        <f>VLOOKUP(A212,import!A:J,10,0)</f>
        <v>0.69</v>
      </c>
      <c r="K212" s="257" t="s">
        <v>4419</v>
      </c>
      <c r="L212" s="257">
        <v>3.224365967E9</v>
      </c>
      <c r="M212" s="257" t="s">
        <v>286</v>
      </c>
      <c r="N212" s="257" t="s">
        <v>4420</v>
      </c>
      <c r="O212" s="257" t="s">
        <v>1334</v>
      </c>
      <c r="P212" s="370" t="str">
        <f>VLOOKUP(A212,import!A:P,16,0)</f>
        <v>Geleneksel</v>
      </c>
      <c r="Q212" s="370"/>
      <c r="R212" s="370" t="b">
        <v>1</v>
      </c>
      <c r="S212" s="370" t="b">
        <v>0</v>
      </c>
      <c r="T212" s="301" t="s">
        <v>3679</v>
      </c>
      <c r="U212" s="301" t="s">
        <v>79</v>
      </c>
      <c r="V212" s="301" t="s">
        <v>78</v>
      </c>
      <c r="W212" s="301"/>
      <c r="X212" s="371">
        <v>44383.0</v>
      </c>
      <c r="Y212" s="371">
        <v>44385.0</v>
      </c>
      <c r="Z212" s="301" t="s">
        <v>3957</v>
      </c>
      <c r="AA212" s="373" t="s">
        <v>3682</v>
      </c>
      <c r="AB212" s="374">
        <v>44383.0</v>
      </c>
      <c r="AC212" s="375"/>
      <c r="AD212" s="375"/>
      <c r="AE212" s="92"/>
      <c r="AF212" s="375"/>
      <c r="AG212" s="92"/>
      <c r="AH212" s="375"/>
      <c r="AI212" s="375"/>
      <c r="AJ212" s="375"/>
      <c r="AK212" s="373" t="s">
        <v>79</v>
      </c>
      <c r="AL212" s="375"/>
      <c r="AM212" s="375"/>
      <c r="AN212" s="375"/>
      <c r="AO212" s="375"/>
      <c r="AP212" s="376" t="s">
        <v>3686</v>
      </c>
      <c r="AQ212" s="375"/>
    </row>
    <row r="213">
      <c r="A213" s="257" t="s">
        <v>4421</v>
      </c>
      <c r="B213" s="257" t="s">
        <v>4422</v>
      </c>
      <c r="C213" s="257" t="str">
        <f>VLOOKUP(A213,import!A:J,3,0)</f>
        <v>DOĞRU</v>
      </c>
      <c r="D213" s="257" t="s">
        <v>4000</v>
      </c>
      <c r="E213" s="257">
        <f>VLOOKUP(A213,import!A:J,5,0)</f>
        <v>2317</v>
      </c>
      <c r="F213" s="257">
        <f>VLOOKUP(A213,import!A:J,6,0)</f>
        <v>92</v>
      </c>
      <c r="G213" s="257">
        <f>VLOOKUP(A213,import!A:J,7,0)</f>
        <v>0</v>
      </c>
      <c r="H213" s="257">
        <f>VLOOKUP(A213,import!A:J,8,0)</f>
        <v>21</v>
      </c>
      <c r="I213" s="257">
        <f>VLOOKUP(A213,import!A:J,9,0)</f>
        <v>21</v>
      </c>
      <c r="J213" s="369">
        <f>VLOOKUP(A213,import!A:J,10,0)</f>
        <v>0</v>
      </c>
      <c r="K213" s="257" t="s">
        <v>4423</v>
      </c>
      <c r="L213" s="257">
        <v>5.439091982E9</v>
      </c>
      <c r="M213" s="257" t="s">
        <v>286</v>
      </c>
      <c r="N213" s="257" t="s">
        <v>3737</v>
      </c>
      <c r="O213" s="257" t="s">
        <v>4424</v>
      </c>
      <c r="P213" s="370" t="str">
        <f>VLOOKUP(A213,import!A:P,16,0)</f>
        <v>Geleneksel</v>
      </c>
      <c r="Q213" s="370"/>
      <c r="R213" s="370" t="b">
        <v>1</v>
      </c>
      <c r="S213" s="370" t="b">
        <v>1</v>
      </c>
      <c r="T213" s="301"/>
      <c r="U213" s="301"/>
      <c r="V213" s="301"/>
      <c r="W213" s="301" t="s">
        <v>4425</v>
      </c>
      <c r="X213" s="371"/>
      <c r="Y213" s="371"/>
      <c r="Z213" s="377"/>
      <c r="AA213" s="373" t="s">
        <v>3682</v>
      </c>
      <c r="AB213" s="374">
        <v>44414.0</v>
      </c>
      <c r="AC213" s="375"/>
      <c r="AD213" s="375"/>
      <c r="AE213" s="92"/>
      <c r="AF213" s="375"/>
      <c r="AG213" s="92"/>
      <c r="AH213" s="375"/>
      <c r="AI213" s="375"/>
      <c r="AJ213" s="375"/>
      <c r="AK213" s="373" t="s">
        <v>3729</v>
      </c>
      <c r="AL213" s="375"/>
      <c r="AM213" s="375"/>
      <c r="AN213" s="375"/>
      <c r="AO213" s="375"/>
      <c r="AP213" s="376" t="s">
        <v>3683</v>
      </c>
      <c r="AQ213" s="375"/>
    </row>
    <row r="214">
      <c r="A214" s="257" t="s">
        <v>4426</v>
      </c>
      <c r="B214" s="257" t="s">
        <v>4427</v>
      </c>
      <c r="C214" s="257" t="str">
        <f>VLOOKUP(A214,import!A:J,3,0)</f>
        <v>DOĞRU</v>
      </c>
      <c r="D214" s="257" t="s">
        <v>4000</v>
      </c>
      <c r="E214" s="257">
        <f>VLOOKUP(A214,import!A:J,5,0)</f>
        <v>106</v>
      </c>
      <c r="F214" s="257">
        <f>VLOOKUP(A214,import!A:J,6,0)</f>
        <v>6</v>
      </c>
      <c r="G214" s="257">
        <f>VLOOKUP(A214,import!A:J,7,0)</f>
        <v>0</v>
      </c>
      <c r="H214" s="257">
        <f>VLOOKUP(A214,import!A:J,8,0)</f>
        <v>41</v>
      </c>
      <c r="I214" s="257">
        <f>VLOOKUP(A214,import!A:J,9,0)</f>
        <v>41</v>
      </c>
      <c r="J214" s="369">
        <f>VLOOKUP(A214,import!A:J,10,0)</f>
        <v>0</v>
      </c>
      <c r="K214" s="257" t="s">
        <v>4428</v>
      </c>
      <c r="L214" s="257">
        <v>3.224576565E9</v>
      </c>
      <c r="M214" s="257" t="s">
        <v>286</v>
      </c>
      <c r="N214" s="257" t="s">
        <v>3737</v>
      </c>
      <c r="O214" s="257" t="s">
        <v>4429</v>
      </c>
      <c r="P214" s="370" t="str">
        <f>VLOOKUP(A214,import!A:P,16,0)</f>
        <v>Geleneksel</v>
      </c>
      <c r="Q214" s="370"/>
      <c r="R214" s="370" t="b">
        <v>1</v>
      </c>
      <c r="S214" s="370" t="b">
        <v>1</v>
      </c>
      <c r="T214" s="301"/>
      <c r="U214" s="379"/>
      <c r="V214" s="379"/>
      <c r="W214" s="301" t="s">
        <v>4430</v>
      </c>
      <c r="X214" s="381"/>
      <c r="Y214" s="381"/>
      <c r="Z214" s="372"/>
      <c r="AA214" s="373" t="s">
        <v>3682</v>
      </c>
      <c r="AB214" s="374">
        <v>44349.0</v>
      </c>
      <c r="AC214" s="373" t="s">
        <v>3448</v>
      </c>
      <c r="AD214" s="374">
        <v>44385.0</v>
      </c>
      <c r="AE214" s="373" t="s">
        <v>3448</v>
      </c>
      <c r="AF214" s="374">
        <v>44390.0</v>
      </c>
      <c r="AG214" s="373" t="s">
        <v>3681</v>
      </c>
      <c r="AH214" s="374">
        <v>44390.0</v>
      </c>
      <c r="AI214" s="373" t="s">
        <v>3448</v>
      </c>
      <c r="AJ214" s="374">
        <v>44488.0</v>
      </c>
      <c r="AK214" s="373" t="s">
        <v>3789</v>
      </c>
      <c r="AL214" s="373" t="s">
        <v>79</v>
      </c>
      <c r="AM214" s="373" t="s">
        <v>3719</v>
      </c>
      <c r="AN214" s="373" t="s">
        <v>79</v>
      </c>
      <c r="AO214" s="373" t="s">
        <v>2542</v>
      </c>
      <c r="AP214" s="376" t="s">
        <v>3683</v>
      </c>
      <c r="AQ214" s="373"/>
    </row>
    <row r="215">
      <c r="A215" s="257" t="s">
        <v>2921</v>
      </c>
      <c r="B215" s="257" t="s">
        <v>2922</v>
      </c>
      <c r="C215" s="257" t="str">
        <f>VLOOKUP(A215,import!A:J,3,0)</f>
        <v>DOĞRU</v>
      </c>
      <c r="D215" s="257" t="s">
        <v>4249</v>
      </c>
      <c r="E215" s="257">
        <f>VLOOKUP(A215,import!A:J,5,0)</f>
        <v>310</v>
      </c>
      <c r="F215" s="257" t="str">
        <f>VLOOKUP(A215,import!A:J,6,0)</f>
        <v/>
      </c>
      <c r="G215" s="257">
        <f>VLOOKUP(A215,import!A:J,7,0)</f>
        <v>14</v>
      </c>
      <c r="H215" s="257">
        <f>VLOOKUP(A215,import!A:J,8,0)</f>
        <v>14</v>
      </c>
      <c r="I215" s="257">
        <f>VLOOKUP(A215,import!A:J,9,0)</f>
        <v>28</v>
      </c>
      <c r="J215" s="369">
        <f>VLOOKUP(A215,import!A:J,10,0)</f>
        <v>0.5</v>
      </c>
      <c r="K215" s="257" t="s">
        <v>4431</v>
      </c>
      <c r="L215" s="257">
        <v>5.31294931E9</v>
      </c>
      <c r="M215" s="257" t="s">
        <v>3707</v>
      </c>
      <c r="N215" s="257" t="s">
        <v>4432</v>
      </c>
      <c r="O215" s="257" t="s">
        <v>4433</v>
      </c>
      <c r="P215" s="370" t="str">
        <f>VLOOKUP(A215,import!A:P,16,0)</f>
        <v>Geleneksel</v>
      </c>
      <c r="Q215" s="370"/>
      <c r="R215" s="370" t="b">
        <v>1</v>
      </c>
      <c r="S215" s="370" t="b">
        <v>0</v>
      </c>
      <c r="T215" s="301" t="s">
        <v>3679</v>
      </c>
      <c r="U215" s="301" t="s">
        <v>2542</v>
      </c>
      <c r="V215" s="301" t="s">
        <v>78</v>
      </c>
      <c r="W215" s="301"/>
      <c r="X215" s="371">
        <v>44491.0</v>
      </c>
      <c r="Y215" s="371">
        <v>44494.0</v>
      </c>
      <c r="Z215" s="372"/>
      <c r="AA215" s="373" t="s">
        <v>3682</v>
      </c>
      <c r="AB215" s="374">
        <v>44491.0</v>
      </c>
      <c r="AC215" s="373"/>
      <c r="AD215" s="374"/>
      <c r="AE215" s="373"/>
      <c r="AF215" s="374"/>
      <c r="AG215" s="373"/>
      <c r="AH215" s="374"/>
      <c r="AI215" s="375"/>
      <c r="AJ215" s="375"/>
      <c r="AK215" s="373" t="s">
        <v>2542</v>
      </c>
      <c r="AL215" s="375"/>
      <c r="AM215" s="375"/>
      <c r="AN215" s="373"/>
      <c r="AO215" s="375"/>
      <c r="AP215" s="376" t="s">
        <v>3686</v>
      </c>
      <c r="AQ215" s="375"/>
    </row>
    <row r="216">
      <c r="A216" s="257" t="s">
        <v>303</v>
      </c>
      <c r="B216" s="257" t="s">
        <v>304</v>
      </c>
      <c r="C216" s="257" t="str">
        <f>VLOOKUP(A216,import!A:J,3,0)</f>
        <v>DOĞRU</v>
      </c>
      <c r="D216" s="257" t="s">
        <v>4124</v>
      </c>
      <c r="E216" s="257">
        <f>VLOOKUP(A216,import!A:J,5,0)</f>
        <v>711</v>
      </c>
      <c r="F216" s="257">
        <f>VLOOKUP(A216,import!A:J,6,0)</f>
        <v>34</v>
      </c>
      <c r="G216" s="257">
        <f>VLOOKUP(A216,import!A:J,7,0)</f>
        <v>16</v>
      </c>
      <c r="H216" s="257">
        <f>VLOOKUP(A216,import!A:J,8,0)</f>
        <v>6</v>
      </c>
      <c r="I216" s="257">
        <f>VLOOKUP(A216,import!A:J,9,0)</f>
        <v>22</v>
      </c>
      <c r="J216" s="369">
        <f>VLOOKUP(A216,import!A:J,10,0)</f>
        <v>0.73</v>
      </c>
      <c r="K216" s="257" t="s">
        <v>4434</v>
      </c>
      <c r="L216" s="257">
        <v>3.22458252E9</v>
      </c>
      <c r="M216" s="257" t="s">
        <v>286</v>
      </c>
      <c r="N216" s="257" t="s">
        <v>3737</v>
      </c>
      <c r="O216" s="257" t="s">
        <v>307</v>
      </c>
      <c r="P216" s="370" t="str">
        <f>VLOOKUP(A216,import!A:P,16,0)</f>
        <v>Geleneksel</v>
      </c>
      <c r="Q216" s="370"/>
      <c r="R216" s="370" t="b">
        <v>1</v>
      </c>
      <c r="S216" s="370" t="b">
        <v>0</v>
      </c>
      <c r="T216" s="301" t="s">
        <v>3679</v>
      </c>
      <c r="U216" s="301" t="s">
        <v>16</v>
      </c>
      <c r="V216" s="379"/>
      <c r="W216" s="389"/>
      <c r="X216" s="371">
        <v>44301.0</v>
      </c>
      <c r="Y216" s="371">
        <v>44305.0</v>
      </c>
      <c r="Z216" s="377"/>
      <c r="AA216" s="375"/>
      <c r="AB216" s="375"/>
      <c r="AC216" s="375"/>
      <c r="AD216" s="375"/>
      <c r="AE216" s="92"/>
      <c r="AF216" s="375"/>
      <c r="AG216" s="92"/>
      <c r="AH216" s="375"/>
      <c r="AI216" s="375"/>
      <c r="AJ216" s="375"/>
      <c r="AK216" s="373" t="s">
        <v>3752</v>
      </c>
      <c r="AL216" s="375"/>
      <c r="AM216" s="375"/>
      <c r="AN216" s="375"/>
      <c r="AO216" s="375"/>
      <c r="AP216" s="376" t="s">
        <v>3683</v>
      </c>
      <c r="AQ216" s="375"/>
    </row>
    <row r="217">
      <c r="A217" s="257" t="s">
        <v>4435</v>
      </c>
      <c r="B217" s="257" t="s">
        <v>4436</v>
      </c>
      <c r="C217" s="257" t="str">
        <f>VLOOKUP(A217,import!A:J,3,0)</f>
        <v>DOĞRU</v>
      </c>
      <c r="D217" s="257" t="s">
        <v>4124</v>
      </c>
      <c r="E217" s="257">
        <f>VLOOKUP(A217,import!A:J,5,0)</f>
        <v>975</v>
      </c>
      <c r="F217" s="257">
        <f>VLOOKUP(A217,import!A:J,6,0)</f>
        <v>110</v>
      </c>
      <c r="G217" s="257">
        <f>VLOOKUP(A217,import!A:J,7,0)</f>
        <v>0</v>
      </c>
      <c r="H217" s="257">
        <f>VLOOKUP(A217,import!A:J,8,0)</f>
        <v>30</v>
      </c>
      <c r="I217" s="257">
        <f>VLOOKUP(A217,import!A:J,9,0)</f>
        <v>30</v>
      </c>
      <c r="J217" s="369">
        <f>VLOOKUP(A217,import!A:J,10,0)</f>
        <v>0</v>
      </c>
      <c r="K217" s="257" t="s">
        <v>4437</v>
      </c>
      <c r="L217" s="257">
        <v>3.226115555E9</v>
      </c>
      <c r="M217" s="257" t="s">
        <v>3701</v>
      </c>
      <c r="N217" s="257" t="s">
        <v>4342</v>
      </c>
      <c r="O217" s="257" t="s">
        <v>4438</v>
      </c>
      <c r="P217" s="370" t="str">
        <f>VLOOKUP(A217,import!A:P,16,0)</f>
        <v>Geleneksel</v>
      </c>
      <c r="Q217" s="370"/>
      <c r="R217" s="370" t="b">
        <v>1</v>
      </c>
      <c r="S217" s="370" t="b">
        <v>0</v>
      </c>
      <c r="T217" s="301" t="s">
        <v>3710</v>
      </c>
      <c r="U217" s="379"/>
      <c r="V217" s="379"/>
      <c r="W217" s="301" t="s">
        <v>4439</v>
      </c>
      <c r="X217" s="381"/>
      <c r="Y217" s="381"/>
      <c r="Z217" s="372"/>
      <c r="AA217" s="373" t="s">
        <v>3681</v>
      </c>
      <c r="AB217" s="374">
        <v>44424.0</v>
      </c>
      <c r="AC217" s="375"/>
      <c r="AD217" s="375"/>
      <c r="AE217" s="92"/>
      <c r="AF217" s="375"/>
      <c r="AG217" s="92"/>
      <c r="AH217" s="375"/>
      <c r="AI217" s="375"/>
      <c r="AJ217" s="375"/>
      <c r="AK217" s="373" t="s">
        <v>3723</v>
      </c>
      <c r="AL217" s="375"/>
      <c r="AM217" s="375"/>
      <c r="AN217" s="375"/>
      <c r="AO217" s="375"/>
      <c r="AP217" s="376" t="s">
        <v>3686</v>
      </c>
      <c r="AQ217" s="375"/>
    </row>
    <row r="218">
      <c r="A218" s="257" t="s">
        <v>4440</v>
      </c>
      <c r="B218" s="257" t="s">
        <v>4441</v>
      </c>
      <c r="C218" s="257" t="str">
        <f>VLOOKUP(A218,import!A:J,3,0)</f>
        <v>YANLIŞ</v>
      </c>
      <c r="D218" s="257" t="s">
        <v>3842</v>
      </c>
      <c r="E218" s="257">
        <f>VLOOKUP(A218,import!A:J,5,0)</f>
        <v>366</v>
      </c>
      <c r="F218" s="257" t="str">
        <f>VLOOKUP(A218,import!A:J,6,0)</f>
        <v/>
      </c>
      <c r="G218" s="257">
        <f>VLOOKUP(A218,import!A:J,7,0)</f>
        <v>0</v>
      </c>
      <c r="H218" s="257">
        <f>VLOOKUP(A218,import!A:J,8,0)</f>
        <v>34</v>
      </c>
      <c r="I218" s="257">
        <f>VLOOKUP(A218,import!A:J,9,0)</f>
        <v>34</v>
      </c>
      <c r="J218" s="369">
        <f>VLOOKUP(A218,import!A:J,10,0)</f>
        <v>0</v>
      </c>
      <c r="K218" s="257" t="s">
        <v>4442</v>
      </c>
      <c r="L218" s="257">
        <v>5.433458804E9</v>
      </c>
      <c r="M218" s="257" t="s">
        <v>3701</v>
      </c>
      <c r="N218" s="257" t="s">
        <v>4176</v>
      </c>
      <c r="O218" s="257" t="s">
        <v>4443</v>
      </c>
      <c r="P218" s="370" t="str">
        <f>VLOOKUP(A218,import!A:P,16,0)</f>
        <v>Geleneksel</v>
      </c>
      <c r="Q218" s="370"/>
      <c r="R218" s="370" t="b">
        <v>1</v>
      </c>
      <c r="S218" s="370" t="b">
        <v>0</v>
      </c>
      <c r="T218" s="301" t="s">
        <v>3862</v>
      </c>
      <c r="U218" s="379"/>
      <c r="V218" s="379"/>
      <c r="W218" s="301"/>
      <c r="X218" s="381"/>
      <c r="Y218" s="381"/>
      <c r="Z218" s="372"/>
      <c r="AA218" s="373"/>
      <c r="AB218" s="374"/>
      <c r="AC218" s="373"/>
      <c r="AD218" s="374"/>
      <c r="AE218" s="373"/>
      <c r="AF218" s="374"/>
      <c r="AG218" s="92"/>
      <c r="AH218" s="375"/>
      <c r="AI218" s="375"/>
      <c r="AJ218" s="375"/>
      <c r="AK218" s="373"/>
      <c r="AL218" s="375"/>
      <c r="AM218" s="375"/>
      <c r="AN218" s="375"/>
      <c r="AO218" s="375"/>
      <c r="AP218" s="376" t="s">
        <v>3686</v>
      </c>
      <c r="AQ218" s="375"/>
    </row>
    <row r="219">
      <c r="A219" s="257" t="s">
        <v>4444</v>
      </c>
      <c r="B219" s="257" t="s">
        <v>4445</v>
      </c>
      <c r="C219" s="257" t="str">
        <f>VLOOKUP(A219,import!A:J,3,0)</f>
        <v>DOĞRU</v>
      </c>
      <c r="D219" s="257" t="s">
        <v>3676</v>
      </c>
      <c r="E219" s="257">
        <f>VLOOKUP(A219,import!A:J,5,0)</f>
        <v>71</v>
      </c>
      <c r="F219" s="257">
        <f>VLOOKUP(A219,import!A:J,6,0)</f>
        <v>11</v>
      </c>
      <c r="G219" s="257">
        <f>VLOOKUP(A219,import!A:J,7,0)</f>
        <v>0</v>
      </c>
      <c r="H219" s="257">
        <f>VLOOKUP(A219,import!A:J,8,0)</f>
        <v>13</v>
      </c>
      <c r="I219" s="257">
        <f>VLOOKUP(A219,import!A:J,9,0)</f>
        <v>13</v>
      </c>
      <c r="J219" s="369">
        <f>VLOOKUP(A219,import!A:J,10,0)</f>
        <v>0</v>
      </c>
      <c r="K219" s="257" t="s">
        <v>4446</v>
      </c>
      <c r="L219" s="257">
        <v>5.388599888E9</v>
      </c>
      <c r="M219" s="257" t="s">
        <v>3692</v>
      </c>
      <c r="N219" s="257" t="s">
        <v>4447</v>
      </c>
      <c r="O219" s="257" t="s">
        <v>4448</v>
      </c>
      <c r="P219" s="370" t="str">
        <f>VLOOKUP(A219,import!A:P,16,0)</f>
        <v>Geleneksel</v>
      </c>
      <c r="Q219" s="370"/>
      <c r="R219" s="370" t="b">
        <v>0</v>
      </c>
      <c r="S219" s="370" t="b">
        <v>0</v>
      </c>
      <c r="T219" s="301"/>
      <c r="U219" s="379"/>
      <c r="V219" s="379"/>
      <c r="W219" s="301"/>
      <c r="X219" s="381"/>
      <c r="Y219" s="381"/>
      <c r="Z219" s="372"/>
      <c r="AA219" s="373"/>
      <c r="AB219" s="374"/>
      <c r="AC219" s="373"/>
      <c r="AD219" s="374"/>
      <c r="AE219" s="373"/>
      <c r="AF219" s="374"/>
      <c r="AG219" s="373"/>
      <c r="AH219" s="374"/>
      <c r="AI219" s="375"/>
      <c r="AJ219" s="375"/>
      <c r="AK219" s="373"/>
      <c r="AL219" s="375"/>
      <c r="AM219" s="375"/>
      <c r="AN219" s="373"/>
      <c r="AO219" s="375"/>
      <c r="AP219" s="376"/>
      <c r="AQ219" s="375"/>
    </row>
    <row r="220">
      <c r="A220" s="266" t="s">
        <v>1125</v>
      </c>
      <c r="B220" s="266" t="s">
        <v>1126</v>
      </c>
      <c r="C220" s="257" t="str">
        <f>VLOOKUP(A220,import!A:J,3,0)</f>
        <v>DOĞRU</v>
      </c>
      <c r="D220" s="266" t="s">
        <v>3676</v>
      </c>
      <c r="E220" s="257">
        <f>VLOOKUP(A220,import!A:J,5,0)</f>
        <v>119</v>
      </c>
      <c r="F220" s="257">
        <f>VLOOKUP(A220,import!A:J,6,0)</f>
        <v>2</v>
      </c>
      <c r="G220" s="257">
        <f>VLOOKUP(A220,import!A:J,7,0)</f>
        <v>5</v>
      </c>
      <c r="H220" s="257">
        <f>VLOOKUP(A220,import!A:J,8,0)</f>
        <v>6</v>
      </c>
      <c r="I220" s="257">
        <f>VLOOKUP(A220,import!A:J,9,0)</f>
        <v>11</v>
      </c>
      <c r="J220" s="369">
        <f>VLOOKUP(A220,import!A:J,10,0)</f>
        <v>0.45</v>
      </c>
      <c r="K220" s="266" t="s">
        <v>4449</v>
      </c>
      <c r="L220" s="266">
        <v>3.222346161E9</v>
      </c>
      <c r="M220" s="266" t="s">
        <v>14</v>
      </c>
      <c r="N220" s="266" t="s">
        <v>3767</v>
      </c>
      <c r="O220" s="266" t="s">
        <v>386</v>
      </c>
      <c r="P220" s="370" t="str">
        <f>VLOOKUP(A220,import!A:P,16,0)</f>
        <v>Geleneksel</v>
      </c>
      <c r="Q220" s="370"/>
      <c r="R220" s="370" t="b">
        <v>1</v>
      </c>
      <c r="S220" s="370" t="b">
        <v>0</v>
      </c>
      <c r="T220" s="301" t="s">
        <v>3679</v>
      </c>
      <c r="U220" s="301" t="s">
        <v>79</v>
      </c>
      <c r="V220" s="301" t="s">
        <v>78</v>
      </c>
      <c r="W220" s="301">
        <v>5.438562291E9</v>
      </c>
      <c r="X220" s="371">
        <v>44365.0</v>
      </c>
      <c r="Y220" s="371">
        <v>44371.0</v>
      </c>
      <c r="Z220" s="377"/>
      <c r="AA220" s="373" t="s">
        <v>3682</v>
      </c>
      <c r="AB220" s="374">
        <v>44348.0</v>
      </c>
      <c r="AC220" s="373" t="s">
        <v>3681</v>
      </c>
      <c r="AD220" s="374">
        <v>44365.0</v>
      </c>
      <c r="AE220" s="373" t="s">
        <v>3682</v>
      </c>
      <c r="AF220" s="374">
        <v>44365.0</v>
      </c>
      <c r="AG220" s="92"/>
      <c r="AH220" s="375"/>
      <c r="AI220" s="375"/>
      <c r="AJ220" s="375"/>
      <c r="AK220" s="373" t="s">
        <v>79</v>
      </c>
      <c r="AL220" s="373" t="s">
        <v>79</v>
      </c>
      <c r="AM220" s="373" t="s">
        <v>79</v>
      </c>
      <c r="AN220" s="375"/>
      <c r="AO220" s="375"/>
      <c r="AP220" s="376" t="s">
        <v>3683</v>
      </c>
      <c r="AQ220" s="375"/>
    </row>
    <row r="221">
      <c r="A221" s="257" t="s">
        <v>2771</v>
      </c>
      <c r="B221" s="257" t="s">
        <v>2772</v>
      </c>
      <c r="C221" s="257" t="str">
        <f>VLOOKUP(A221,import!A:J,3,0)</f>
        <v>DOĞRU</v>
      </c>
      <c r="D221" s="257" t="s">
        <v>3912</v>
      </c>
      <c r="E221" s="257">
        <f>VLOOKUP(A221,import!A:J,5,0)</f>
        <v>601</v>
      </c>
      <c r="F221" s="257">
        <f>VLOOKUP(A221,import!A:J,6,0)</f>
        <v>47</v>
      </c>
      <c r="G221" s="257">
        <f>VLOOKUP(A221,import!A:J,7,0)</f>
        <v>26</v>
      </c>
      <c r="H221" s="257">
        <f>VLOOKUP(A221,import!A:J,8,0)</f>
        <v>21</v>
      </c>
      <c r="I221" s="257">
        <f>VLOOKUP(A221,import!A:J,9,0)</f>
        <v>47</v>
      </c>
      <c r="J221" s="369">
        <f>VLOOKUP(A221,import!A:J,10,0)</f>
        <v>0.55</v>
      </c>
      <c r="K221" s="257" t="s">
        <v>4450</v>
      </c>
      <c r="L221" s="257">
        <v>5.393630276E9</v>
      </c>
      <c r="M221" s="257" t="s">
        <v>286</v>
      </c>
      <c r="N221" s="257" t="s">
        <v>4451</v>
      </c>
      <c r="O221" s="257" t="s">
        <v>2774</v>
      </c>
      <c r="P221" s="370" t="str">
        <f>VLOOKUP(A221,import!A:P,16,0)</f>
        <v>Geleneksel</v>
      </c>
      <c r="Q221" s="370"/>
      <c r="R221" s="370" t="b">
        <v>1</v>
      </c>
      <c r="S221" s="370" t="b">
        <v>0</v>
      </c>
      <c r="T221" s="301" t="s">
        <v>3787</v>
      </c>
      <c r="U221" s="301" t="s">
        <v>2542</v>
      </c>
      <c r="V221" s="301" t="s">
        <v>78</v>
      </c>
      <c r="W221" s="301" t="s">
        <v>4452</v>
      </c>
      <c r="X221" s="371">
        <v>44555.0</v>
      </c>
      <c r="Y221" s="371">
        <v>44560.0</v>
      </c>
      <c r="Z221" s="372"/>
      <c r="AA221" s="373" t="s">
        <v>3682</v>
      </c>
      <c r="AB221" s="374">
        <v>44510.0</v>
      </c>
      <c r="AC221" s="373" t="s">
        <v>3682</v>
      </c>
      <c r="AD221" s="374">
        <v>44546.0</v>
      </c>
      <c r="AE221" s="373" t="s">
        <v>3682</v>
      </c>
      <c r="AF221" s="374">
        <v>44555.0</v>
      </c>
      <c r="AG221" s="373"/>
      <c r="AH221" s="374"/>
      <c r="AI221" s="375"/>
      <c r="AJ221" s="375"/>
      <c r="AK221" s="373" t="s">
        <v>3073</v>
      </c>
      <c r="AL221" s="373" t="s">
        <v>2542</v>
      </c>
      <c r="AM221" s="373" t="s">
        <v>2542</v>
      </c>
      <c r="AN221" s="373"/>
      <c r="AO221" s="375"/>
      <c r="AP221" s="376" t="s">
        <v>3686</v>
      </c>
      <c r="AQ221" s="375"/>
    </row>
    <row r="222">
      <c r="A222" s="257" t="s">
        <v>4453</v>
      </c>
      <c r="B222" s="257" t="s">
        <v>1129</v>
      </c>
      <c r="C222" s="257" t="str">
        <f>VLOOKUP(A222,import!A:J,3,0)</f>
        <v>DOĞRU</v>
      </c>
      <c r="D222" s="257" t="s">
        <v>4000</v>
      </c>
      <c r="E222" s="257">
        <f>VLOOKUP(A222,import!A:J,5,0)</f>
        <v>1500</v>
      </c>
      <c r="F222" s="257">
        <f>VLOOKUP(A222,import!A:J,6,0)</f>
        <v>25</v>
      </c>
      <c r="G222" s="257">
        <f>VLOOKUP(A222,import!A:J,7,0)</f>
        <v>0</v>
      </c>
      <c r="H222" s="257">
        <f>VLOOKUP(A222,import!A:J,8,0)</f>
        <v>32</v>
      </c>
      <c r="I222" s="257">
        <f>VLOOKUP(A222,import!A:J,9,0)</f>
        <v>32</v>
      </c>
      <c r="J222" s="369">
        <f>VLOOKUP(A222,import!A:J,10,0)</f>
        <v>0</v>
      </c>
      <c r="K222" s="257" t="s">
        <v>4454</v>
      </c>
      <c r="L222" s="257">
        <v>5.444352433E9</v>
      </c>
      <c r="M222" s="257" t="s">
        <v>14</v>
      </c>
      <c r="N222" s="257" t="s">
        <v>3733</v>
      </c>
      <c r="O222" s="257" t="s">
        <v>4455</v>
      </c>
      <c r="P222" s="370" t="str">
        <f>VLOOKUP(A222,import!A:P,16,0)</f>
        <v>Geleneksel</v>
      </c>
      <c r="Q222" s="370"/>
      <c r="R222" s="370" t="b">
        <v>1</v>
      </c>
      <c r="S222" s="370" t="b">
        <v>1</v>
      </c>
      <c r="T222" s="301"/>
      <c r="U222" s="379"/>
      <c r="V222" s="379"/>
      <c r="W222" s="301" t="s">
        <v>4456</v>
      </c>
      <c r="X222" s="381"/>
      <c r="Y222" s="381"/>
      <c r="Z222" s="372"/>
      <c r="AA222" s="373" t="s">
        <v>3682</v>
      </c>
      <c r="AB222" s="374">
        <v>44515.0</v>
      </c>
      <c r="AC222" s="373"/>
      <c r="AD222" s="374"/>
      <c r="AE222" s="373"/>
      <c r="AF222" s="374"/>
      <c r="AG222" s="373"/>
      <c r="AH222" s="374"/>
      <c r="AI222" s="375"/>
      <c r="AJ222" s="375"/>
      <c r="AK222" s="373" t="s">
        <v>2542</v>
      </c>
      <c r="AL222" s="375"/>
      <c r="AM222" s="375"/>
      <c r="AN222" s="373"/>
      <c r="AO222" s="375"/>
      <c r="AP222" s="376" t="s">
        <v>3683</v>
      </c>
      <c r="AQ222" s="375"/>
    </row>
    <row r="223">
      <c r="A223" s="257" t="s">
        <v>4457</v>
      </c>
      <c r="B223" s="257" t="s">
        <v>4458</v>
      </c>
      <c r="C223" s="257" t="str">
        <f>VLOOKUP(A223,import!A:J,3,0)</f>
        <v>YANLIŞ</v>
      </c>
      <c r="D223" s="257" t="s">
        <v>3842</v>
      </c>
      <c r="E223" s="257">
        <f>VLOOKUP(A223,import!A:J,5,0)</f>
        <v>64</v>
      </c>
      <c r="F223" s="257" t="str">
        <f>VLOOKUP(A223,import!A:J,6,0)</f>
        <v/>
      </c>
      <c r="G223" s="257">
        <f>VLOOKUP(A223,import!A:J,7,0)</f>
        <v>0</v>
      </c>
      <c r="H223" s="257">
        <f>VLOOKUP(A223,import!A:J,8,0)</f>
        <v>14</v>
      </c>
      <c r="I223" s="257">
        <f>VLOOKUP(A223,import!A:J,9,0)</f>
        <v>14</v>
      </c>
      <c r="J223" s="369">
        <f>VLOOKUP(A223,import!A:J,10,0)</f>
        <v>0</v>
      </c>
      <c r="K223" s="257" t="s">
        <v>3903</v>
      </c>
      <c r="L223" s="257">
        <v>5.457719101E9</v>
      </c>
      <c r="M223" s="257" t="s">
        <v>14</v>
      </c>
      <c r="N223" s="257" t="s">
        <v>3733</v>
      </c>
      <c r="O223" s="257" t="s">
        <v>679</v>
      </c>
      <c r="P223" s="370" t="str">
        <f>VLOOKUP(A223,import!A:P,16,0)</f>
        <v>Geleneksel</v>
      </c>
      <c r="Q223" s="370"/>
      <c r="R223" s="370" t="b">
        <v>1</v>
      </c>
      <c r="S223" s="370" t="b">
        <v>0</v>
      </c>
      <c r="T223" s="301" t="s">
        <v>3735</v>
      </c>
      <c r="U223" s="379"/>
      <c r="V223" s="379"/>
      <c r="W223" s="301" t="s">
        <v>4459</v>
      </c>
      <c r="X223" s="381"/>
      <c r="Y223" s="381"/>
      <c r="Z223" s="372"/>
      <c r="AA223" s="373" t="s">
        <v>3448</v>
      </c>
      <c r="AB223" s="374">
        <v>44355.0</v>
      </c>
      <c r="AC223" s="373" t="s">
        <v>3682</v>
      </c>
      <c r="AD223" s="374">
        <v>44362.0</v>
      </c>
      <c r="AE223" s="373" t="s">
        <v>3682</v>
      </c>
      <c r="AF223" s="374">
        <v>44469.0</v>
      </c>
      <c r="AG223" s="92"/>
      <c r="AH223" s="375"/>
      <c r="AI223" s="375"/>
      <c r="AJ223" s="375"/>
      <c r="AK223" s="375"/>
      <c r="AL223" s="373" t="s">
        <v>2706</v>
      </c>
      <c r="AM223" s="373" t="s">
        <v>2282</v>
      </c>
      <c r="AN223" s="375"/>
      <c r="AO223" s="375"/>
      <c r="AP223" s="376" t="s">
        <v>3683</v>
      </c>
      <c r="AQ223" s="375"/>
    </row>
    <row r="224">
      <c r="A224" s="257" t="s">
        <v>3301</v>
      </c>
      <c r="B224" s="257" t="s">
        <v>3302</v>
      </c>
      <c r="C224" s="257" t="str">
        <f>VLOOKUP(A224,import!A:J,3,0)</f>
        <v>DOĞRU</v>
      </c>
      <c r="D224" s="257" t="s">
        <v>3842</v>
      </c>
      <c r="E224" s="257">
        <f>VLOOKUP(A224,import!A:J,5,0)</f>
        <v>719</v>
      </c>
      <c r="F224" s="257">
        <f>VLOOKUP(A224,import!A:J,6,0)</f>
        <v>38</v>
      </c>
      <c r="G224" s="257">
        <f>VLOOKUP(A224,import!A:J,7,0)</f>
        <v>0</v>
      </c>
      <c r="H224" s="257">
        <f>VLOOKUP(A224,import!A:J,8,0)</f>
        <v>31</v>
      </c>
      <c r="I224" s="257">
        <f>VLOOKUP(A224,import!A:J,9,0)</f>
        <v>31</v>
      </c>
      <c r="J224" s="369">
        <f>VLOOKUP(A224,import!A:J,10,0)</f>
        <v>0</v>
      </c>
      <c r="K224" s="257" t="s">
        <v>4460</v>
      </c>
      <c r="L224" s="257">
        <v>5.348557485E9</v>
      </c>
      <c r="M224" s="257" t="s">
        <v>14</v>
      </c>
      <c r="N224" s="257" t="s">
        <v>3733</v>
      </c>
      <c r="O224" s="257" t="s">
        <v>3304</v>
      </c>
      <c r="P224" s="370" t="str">
        <f>VLOOKUP(A224,import!A:P,16,0)</f>
        <v>Geleneksel</v>
      </c>
      <c r="Q224" s="370"/>
      <c r="R224" s="370" t="b">
        <v>1</v>
      </c>
      <c r="S224" s="370" t="b">
        <v>0</v>
      </c>
      <c r="T224" s="301" t="s">
        <v>3787</v>
      </c>
      <c r="U224" s="301" t="s">
        <v>3213</v>
      </c>
      <c r="V224" s="301" t="s">
        <v>78</v>
      </c>
      <c r="W224" s="301"/>
      <c r="X224" s="371">
        <v>44564.0</v>
      </c>
      <c r="Y224" s="371">
        <v>44566.0</v>
      </c>
      <c r="Z224" s="372"/>
      <c r="AA224" s="373" t="s">
        <v>3682</v>
      </c>
      <c r="AB224" s="374">
        <v>44564.0</v>
      </c>
      <c r="AC224" s="373"/>
      <c r="AD224" s="374"/>
      <c r="AE224" s="373"/>
      <c r="AF224" s="374"/>
      <c r="AG224" s="373"/>
      <c r="AH224" s="374"/>
      <c r="AI224" s="375"/>
      <c r="AJ224" s="375"/>
      <c r="AK224" s="373" t="s">
        <v>3213</v>
      </c>
      <c r="AL224" s="375"/>
      <c r="AM224" s="375"/>
      <c r="AN224" s="373"/>
      <c r="AO224" s="375"/>
      <c r="AP224" s="376"/>
      <c r="AQ224" s="375"/>
    </row>
    <row r="225">
      <c r="A225" s="257" t="s">
        <v>4461</v>
      </c>
      <c r="B225" s="257" t="s">
        <v>4462</v>
      </c>
      <c r="C225" s="257" t="str">
        <f>VLOOKUP(A225,import!A:J,3,0)</f>
        <v>DOĞRU</v>
      </c>
      <c r="D225" s="257" t="s">
        <v>3699</v>
      </c>
      <c r="E225" s="257">
        <f>VLOOKUP(A225,import!A:J,5,0)</f>
        <v>634</v>
      </c>
      <c r="F225" s="257">
        <f>VLOOKUP(A225,import!A:J,6,0)</f>
        <v>46</v>
      </c>
      <c r="G225" s="257">
        <f>VLOOKUP(A225,import!A:J,7,0)</f>
        <v>29</v>
      </c>
      <c r="H225" s="257">
        <f>VLOOKUP(A225,import!A:J,8,0)</f>
        <v>13</v>
      </c>
      <c r="I225" s="257">
        <f>VLOOKUP(A225,import!A:J,9,0)</f>
        <v>42</v>
      </c>
      <c r="J225" s="369">
        <f>VLOOKUP(A225,import!A:J,10,0)</f>
        <v>0.69</v>
      </c>
      <c r="K225" s="257" t="s">
        <v>4463</v>
      </c>
      <c r="L225" s="257">
        <v>5.38924585E9</v>
      </c>
      <c r="M225" s="257" t="s">
        <v>14</v>
      </c>
      <c r="N225" s="257" t="s">
        <v>3797</v>
      </c>
      <c r="O225" s="257" t="s">
        <v>4464</v>
      </c>
      <c r="P225" s="370" t="str">
        <f>VLOOKUP(A225,import!A:P,16,0)</f>
        <v>Geleneksel</v>
      </c>
      <c r="Q225" s="370"/>
      <c r="R225" s="370" t="b">
        <v>1</v>
      </c>
      <c r="S225" s="370" t="b">
        <v>0</v>
      </c>
      <c r="T225" s="301" t="s">
        <v>3817</v>
      </c>
      <c r="U225" s="379"/>
      <c r="V225" s="379"/>
      <c r="W225" s="301" t="s">
        <v>4465</v>
      </c>
      <c r="X225" s="381"/>
      <c r="Y225" s="381"/>
      <c r="Z225" s="372"/>
      <c r="AA225" s="375"/>
      <c r="AB225" s="375"/>
      <c r="AC225" s="375"/>
      <c r="AD225" s="375"/>
      <c r="AE225" s="92"/>
      <c r="AF225" s="375"/>
      <c r="AG225" s="92"/>
      <c r="AH225" s="375"/>
      <c r="AI225" s="375"/>
      <c r="AJ225" s="375"/>
      <c r="AK225" s="375"/>
      <c r="AL225" s="375"/>
      <c r="AM225" s="375"/>
      <c r="AN225" s="375"/>
      <c r="AO225" s="375"/>
      <c r="AP225" s="376" t="s">
        <v>3683</v>
      </c>
      <c r="AQ225" s="375"/>
    </row>
    <row r="226">
      <c r="A226" s="257" t="s">
        <v>4466</v>
      </c>
      <c r="B226" s="257" t="s">
        <v>4467</v>
      </c>
      <c r="C226" s="257" t="str">
        <f>VLOOKUP(A226,import!A:J,3,0)</f>
        <v>DOĞRU</v>
      </c>
      <c r="D226" s="257" t="s">
        <v>4468</v>
      </c>
      <c r="E226" s="257">
        <f>VLOOKUP(A226,import!A:J,5,0)</f>
        <v>1004</v>
      </c>
      <c r="F226" s="257">
        <f>VLOOKUP(A226,import!A:J,6,0)</f>
        <v>39</v>
      </c>
      <c r="G226" s="257">
        <f>VLOOKUP(A226,import!A:J,7,0)</f>
        <v>0</v>
      </c>
      <c r="H226" s="257">
        <f>VLOOKUP(A226,import!A:J,8,0)</f>
        <v>33</v>
      </c>
      <c r="I226" s="257">
        <f>VLOOKUP(A226,import!A:J,9,0)</f>
        <v>33</v>
      </c>
      <c r="J226" s="369">
        <f>VLOOKUP(A226,import!A:J,10,0)</f>
        <v>0</v>
      </c>
      <c r="K226" s="257" t="s">
        <v>4469</v>
      </c>
      <c r="L226" s="257">
        <v>3.229995456E9</v>
      </c>
      <c r="M226" s="257" t="s">
        <v>14</v>
      </c>
      <c r="N226" s="257" t="s">
        <v>3733</v>
      </c>
      <c r="O226" s="257" t="s">
        <v>4470</v>
      </c>
      <c r="P226" s="370" t="str">
        <f>VLOOKUP(A226,import!A:P,16,0)</f>
        <v>Geleneksel</v>
      </c>
      <c r="Q226" s="370"/>
      <c r="R226" s="370" t="b">
        <v>1</v>
      </c>
      <c r="S226" s="370" t="b">
        <v>0</v>
      </c>
      <c r="T226" s="301" t="s">
        <v>3770</v>
      </c>
      <c r="U226" s="379"/>
      <c r="V226" s="379"/>
      <c r="W226" s="301" t="s">
        <v>4471</v>
      </c>
      <c r="X226" s="381"/>
      <c r="Y226" s="381"/>
      <c r="Z226" s="372"/>
      <c r="AA226" s="373" t="s">
        <v>3682</v>
      </c>
      <c r="AB226" s="374">
        <v>44365.0</v>
      </c>
      <c r="AC226" s="373" t="s">
        <v>3682</v>
      </c>
      <c r="AD226" s="374">
        <v>44382.0</v>
      </c>
      <c r="AE226" s="373" t="s">
        <v>3682</v>
      </c>
      <c r="AF226" s="374">
        <v>44383.0</v>
      </c>
      <c r="AG226" s="373" t="s">
        <v>3696</v>
      </c>
      <c r="AH226" s="374">
        <v>44435.0</v>
      </c>
      <c r="AI226" s="373" t="s">
        <v>3682</v>
      </c>
      <c r="AJ226" s="374">
        <v>44460.0</v>
      </c>
      <c r="AK226" s="373" t="s">
        <v>79</v>
      </c>
      <c r="AL226" s="373" t="s">
        <v>79</v>
      </c>
      <c r="AM226" s="373" t="s">
        <v>79</v>
      </c>
      <c r="AN226" s="373" t="s">
        <v>2542</v>
      </c>
      <c r="AO226" s="373" t="s">
        <v>2542</v>
      </c>
      <c r="AP226" s="376" t="s">
        <v>3683</v>
      </c>
      <c r="AQ226" s="373"/>
    </row>
    <row r="227">
      <c r="A227" s="257" t="s">
        <v>4472</v>
      </c>
      <c r="B227" s="257" t="s">
        <v>4473</v>
      </c>
      <c r="C227" s="257" t="str">
        <f>VLOOKUP(A227,import!A:J,3,0)</f>
        <v>DOĞRU</v>
      </c>
      <c r="D227" s="257" t="s">
        <v>3713</v>
      </c>
      <c r="E227" s="257">
        <f>VLOOKUP(A227,import!A:J,5,0)</f>
        <v>43</v>
      </c>
      <c r="F227" s="257">
        <f>VLOOKUP(A227,import!A:J,6,0)</f>
        <v>1</v>
      </c>
      <c r="G227" s="257">
        <f>VLOOKUP(A227,import!A:J,7,0)</f>
        <v>0</v>
      </c>
      <c r="H227" s="257">
        <f>VLOOKUP(A227,import!A:J,8,0)</f>
        <v>15</v>
      </c>
      <c r="I227" s="257">
        <f>VLOOKUP(A227,import!A:J,9,0)</f>
        <v>15</v>
      </c>
      <c r="J227" s="369">
        <f>VLOOKUP(A227,import!A:J,10,0)</f>
        <v>0</v>
      </c>
      <c r="K227" s="257" t="s">
        <v>4474</v>
      </c>
      <c r="L227" s="257">
        <v>5.388219166E9</v>
      </c>
      <c r="M227" s="257" t="s">
        <v>286</v>
      </c>
      <c r="N227" s="257" t="s">
        <v>3855</v>
      </c>
      <c r="O227" s="257" t="s">
        <v>4475</v>
      </c>
      <c r="P227" s="370" t="str">
        <f>VLOOKUP(A227,import!A:P,16,0)</f>
        <v>Geleneksel</v>
      </c>
      <c r="Q227" s="370"/>
      <c r="R227" s="370" t="b">
        <v>1</v>
      </c>
      <c r="S227" s="370" t="b">
        <v>0</v>
      </c>
      <c r="T227" s="301" t="s">
        <v>3770</v>
      </c>
      <c r="U227" s="379"/>
      <c r="V227" s="379"/>
      <c r="W227" s="301" t="s">
        <v>4476</v>
      </c>
      <c r="X227" s="381"/>
      <c r="Y227" s="381"/>
      <c r="Z227" s="372"/>
      <c r="AA227" s="373" t="s">
        <v>3682</v>
      </c>
      <c r="AB227" s="374">
        <v>44389.0</v>
      </c>
      <c r="AC227" s="373" t="s">
        <v>3682</v>
      </c>
      <c r="AD227" s="374">
        <v>44392.0</v>
      </c>
      <c r="AE227" s="373" t="s">
        <v>3681</v>
      </c>
      <c r="AF227" s="374">
        <v>44435.0</v>
      </c>
      <c r="AG227" s="92"/>
      <c r="AH227" s="375"/>
      <c r="AI227" s="375"/>
      <c r="AJ227" s="375"/>
      <c r="AK227" s="373" t="s">
        <v>4088</v>
      </c>
      <c r="AL227" s="373" t="s">
        <v>4089</v>
      </c>
      <c r="AM227" s="373" t="s">
        <v>3723</v>
      </c>
      <c r="AN227" s="375"/>
      <c r="AO227" s="375"/>
      <c r="AP227" s="376" t="s">
        <v>3686</v>
      </c>
      <c r="AQ227" s="375"/>
    </row>
    <row r="228">
      <c r="A228" s="257" t="s">
        <v>1353</v>
      </c>
      <c r="B228" s="257" t="s">
        <v>1354</v>
      </c>
      <c r="C228" s="257" t="str">
        <f>VLOOKUP(A228,import!A:J,3,0)</f>
        <v>DOĞRU</v>
      </c>
      <c r="D228" s="257" t="s">
        <v>3690</v>
      </c>
      <c r="E228" s="257">
        <f>VLOOKUP(A228,import!A:J,5,0)</f>
        <v>7134</v>
      </c>
      <c r="F228" s="257">
        <f>VLOOKUP(A228,import!A:J,6,0)</f>
        <v>221</v>
      </c>
      <c r="G228" s="257">
        <f>VLOOKUP(A228,import!A:J,7,0)</f>
        <v>8</v>
      </c>
      <c r="H228" s="257">
        <f>VLOOKUP(A228,import!A:J,8,0)</f>
        <v>18</v>
      </c>
      <c r="I228" s="257">
        <f>VLOOKUP(A228,import!A:J,9,0)</f>
        <v>26</v>
      </c>
      <c r="J228" s="369">
        <f>VLOOKUP(A228,import!A:J,10,0)</f>
        <v>0.31</v>
      </c>
      <c r="K228" s="257" t="s">
        <v>4477</v>
      </c>
      <c r="L228" s="257">
        <v>3.22255E9</v>
      </c>
      <c r="M228" s="257" t="s">
        <v>286</v>
      </c>
      <c r="N228" s="257" t="s">
        <v>3688</v>
      </c>
      <c r="O228" s="257" t="s">
        <v>1356</v>
      </c>
      <c r="P228" s="370" t="str">
        <f>VLOOKUP(A228,import!A:P,16,0)</f>
        <v>Geleneksel</v>
      </c>
      <c r="Q228" s="370"/>
      <c r="R228" s="370" t="b">
        <v>1</v>
      </c>
      <c r="S228" s="370" t="b">
        <v>0</v>
      </c>
      <c r="T228" s="301" t="s">
        <v>3679</v>
      </c>
      <c r="U228" s="301" t="s">
        <v>1947</v>
      </c>
      <c r="V228" s="301" t="s">
        <v>78</v>
      </c>
      <c r="W228" s="301" t="s">
        <v>4478</v>
      </c>
      <c r="X228" s="371">
        <v>44427.0</v>
      </c>
      <c r="Y228" s="371">
        <v>44432.0</v>
      </c>
      <c r="Z228" s="372"/>
      <c r="AA228" s="373" t="s">
        <v>3682</v>
      </c>
      <c r="AB228" s="374">
        <v>44384.0</v>
      </c>
      <c r="AC228" s="373" t="s">
        <v>3682</v>
      </c>
      <c r="AD228" s="374">
        <v>44427.0</v>
      </c>
      <c r="AE228" s="373" t="s">
        <v>3682</v>
      </c>
      <c r="AF228" s="374">
        <v>44435.0</v>
      </c>
      <c r="AG228" s="373" t="s">
        <v>3682</v>
      </c>
      <c r="AH228" s="374">
        <v>44476.0</v>
      </c>
      <c r="AI228" s="375"/>
      <c r="AJ228" s="375"/>
      <c r="AK228" s="375"/>
      <c r="AL228" s="373" t="s">
        <v>1947</v>
      </c>
      <c r="AM228" s="373" t="s">
        <v>3723</v>
      </c>
      <c r="AN228" s="373" t="s">
        <v>2418</v>
      </c>
      <c r="AO228" s="375"/>
      <c r="AP228" s="376" t="s">
        <v>3686</v>
      </c>
      <c r="AQ228" s="375"/>
    </row>
    <row r="229">
      <c r="A229" s="257" t="s">
        <v>60</v>
      </c>
      <c r="B229" s="257" t="s">
        <v>61</v>
      </c>
      <c r="C229" s="257" t="str">
        <f>VLOOKUP(A229,import!A:J,3,0)</f>
        <v>DOĞRU</v>
      </c>
      <c r="D229" s="257" t="s">
        <v>3713</v>
      </c>
      <c r="E229" s="257">
        <f>VLOOKUP(A229,import!A:J,5,0)</f>
        <v>5492</v>
      </c>
      <c r="F229" s="257">
        <f>VLOOKUP(A229,import!A:J,6,0)</f>
        <v>181</v>
      </c>
      <c r="G229" s="257">
        <f>VLOOKUP(A229,import!A:J,7,0)</f>
        <v>35</v>
      </c>
      <c r="H229" s="257">
        <f>VLOOKUP(A229,import!A:J,8,0)</f>
        <v>16</v>
      </c>
      <c r="I229" s="257">
        <f>VLOOKUP(A229,import!A:J,9,0)</f>
        <v>51</v>
      </c>
      <c r="J229" s="369">
        <f>VLOOKUP(A229,import!A:J,10,0)</f>
        <v>0.69</v>
      </c>
      <c r="K229" s="257" t="s">
        <v>4479</v>
      </c>
      <c r="L229" s="257">
        <v>3.222328486E9</v>
      </c>
      <c r="M229" s="257" t="s">
        <v>14</v>
      </c>
      <c r="N229" s="257" t="s">
        <v>3797</v>
      </c>
      <c r="O229" s="257" t="s">
        <v>63</v>
      </c>
      <c r="P229" s="370" t="str">
        <f>VLOOKUP(A229,import!A:P,16,0)</f>
        <v>Geleneksel</v>
      </c>
      <c r="Q229" s="370"/>
      <c r="R229" s="370" t="b">
        <v>1</v>
      </c>
      <c r="S229" s="370" t="b">
        <v>0</v>
      </c>
      <c r="T229" s="301" t="s">
        <v>3679</v>
      </c>
      <c r="U229" s="301" t="s">
        <v>1947</v>
      </c>
      <c r="V229" s="301" t="s">
        <v>78</v>
      </c>
      <c r="W229" s="301" t="s">
        <v>4480</v>
      </c>
      <c r="X229" s="371">
        <v>44427.0</v>
      </c>
      <c r="Y229" s="371">
        <v>44432.0</v>
      </c>
      <c r="Z229" s="377"/>
      <c r="AA229" s="373" t="s">
        <v>3695</v>
      </c>
      <c r="AB229" s="374">
        <v>44363.0</v>
      </c>
      <c r="AC229" s="373" t="s">
        <v>3681</v>
      </c>
      <c r="AD229" s="374">
        <v>44375.0</v>
      </c>
      <c r="AE229" s="373" t="s">
        <v>3695</v>
      </c>
      <c r="AF229" s="374">
        <v>44382.0</v>
      </c>
      <c r="AG229" s="373" t="s">
        <v>3682</v>
      </c>
      <c r="AH229" s="374">
        <v>44425.0</v>
      </c>
      <c r="AI229" s="373" t="s">
        <v>3682</v>
      </c>
      <c r="AJ229" s="374">
        <v>44427.0</v>
      </c>
      <c r="AK229" s="373" t="s">
        <v>399</v>
      </c>
      <c r="AL229" s="373" t="s">
        <v>399</v>
      </c>
      <c r="AM229" s="373" t="s">
        <v>3719</v>
      </c>
      <c r="AN229" s="373" t="s">
        <v>1953</v>
      </c>
      <c r="AO229" s="373" t="s">
        <v>1947</v>
      </c>
      <c r="AP229" s="376" t="s">
        <v>3683</v>
      </c>
      <c r="AQ229" s="373"/>
    </row>
    <row r="230">
      <c r="A230" s="376" t="s">
        <v>4481</v>
      </c>
      <c r="B230" s="376" t="s">
        <v>4482</v>
      </c>
      <c r="C230" s="257" t="str">
        <f>VLOOKUP(A230,import!A:J,3,0)</f>
        <v>DOĞRU</v>
      </c>
      <c r="D230" s="376" t="s">
        <v>3713</v>
      </c>
      <c r="E230" s="257">
        <f>VLOOKUP(A230,import!A:J,5,0)</f>
        <v>8</v>
      </c>
      <c r="F230" s="257">
        <f>VLOOKUP(A230,import!A:J,6,0)</f>
        <v>8</v>
      </c>
      <c r="G230" s="257">
        <f>VLOOKUP(A230,import!A:J,7,0)</f>
        <v>0</v>
      </c>
      <c r="H230" s="257">
        <f>VLOOKUP(A230,import!A:J,8,0)</f>
        <v>26</v>
      </c>
      <c r="I230" s="257">
        <f>VLOOKUP(A230,import!A:J,9,0)</f>
        <v>26</v>
      </c>
      <c r="J230" s="369">
        <f>VLOOKUP(A230,import!A:J,10,0)</f>
        <v>0</v>
      </c>
      <c r="K230" s="376" t="s">
        <v>4483</v>
      </c>
      <c r="L230" s="376">
        <v>3.2245977E9</v>
      </c>
      <c r="M230" s="376" t="s">
        <v>286</v>
      </c>
      <c r="N230" s="376" t="s">
        <v>3688</v>
      </c>
      <c r="O230" s="376" t="s">
        <v>4484</v>
      </c>
      <c r="P230" s="370" t="str">
        <f>VLOOKUP(A230,import!A:P,16,0)</f>
        <v>Geleneksel</v>
      </c>
      <c r="Q230" s="370"/>
      <c r="R230" s="370" t="b">
        <v>0</v>
      </c>
      <c r="S230" s="370" t="b">
        <v>0</v>
      </c>
      <c r="T230" s="301"/>
      <c r="U230" s="301"/>
      <c r="V230" s="301"/>
      <c r="W230" s="301"/>
      <c r="X230" s="371"/>
      <c r="Y230" s="371"/>
      <c r="Z230" s="372"/>
      <c r="AA230" s="373"/>
      <c r="AB230" s="374"/>
      <c r="AC230" s="373"/>
      <c r="AD230" s="374"/>
      <c r="AE230" s="373"/>
      <c r="AF230" s="374"/>
      <c r="AG230" s="373"/>
      <c r="AH230" s="374"/>
      <c r="AI230" s="373"/>
      <c r="AJ230" s="374"/>
      <c r="AK230" s="373"/>
      <c r="AL230" s="373"/>
      <c r="AM230" s="373"/>
      <c r="AN230" s="373"/>
      <c r="AO230" s="373"/>
      <c r="AP230" s="376"/>
      <c r="AQ230" s="373"/>
    </row>
    <row r="231">
      <c r="A231" s="257" t="s">
        <v>4485</v>
      </c>
      <c r="B231" s="257" t="s">
        <v>4486</v>
      </c>
      <c r="C231" s="257" t="str">
        <f>VLOOKUP(A231,import!A:J,3,0)</f>
        <v>DOĞRU</v>
      </c>
      <c r="D231" s="257" t="s">
        <v>3713</v>
      </c>
      <c r="E231" s="257">
        <f>VLOOKUP(A231,import!A:J,5,0)</f>
        <v>967</v>
      </c>
      <c r="F231" s="257">
        <f>VLOOKUP(A231,import!A:J,6,0)</f>
        <v>125</v>
      </c>
      <c r="G231" s="257">
        <f>VLOOKUP(A231,import!A:J,7,0)</f>
        <v>0</v>
      </c>
      <c r="H231" s="257">
        <f>VLOOKUP(A231,import!A:J,8,0)</f>
        <v>27</v>
      </c>
      <c r="I231" s="257">
        <f>VLOOKUP(A231,import!A:J,9,0)</f>
        <v>27</v>
      </c>
      <c r="J231" s="369">
        <f>VLOOKUP(A231,import!A:J,10,0)</f>
        <v>0</v>
      </c>
      <c r="K231" s="257" t="s">
        <v>4487</v>
      </c>
      <c r="L231" s="257">
        <v>3.222614142E9</v>
      </c>
      <c r="M231" s="257" t="s">
        <v>286</v>
      </c>
      <c r="N231" s="257" t="s">
        <v>3746</v>
      </c>
      <c r="O231" s="257" t="s">
        <v>4488</v>
      </c>
      <c r="P231" s="370" t="str">
        <f>VLOOKUP(A231,import!A:P,16,0)</f>
        <v>Geleneksel</v>
      </c>
      <c r="Q231" s="370"/>
      <c r="R231" s="370" t="b">
        <v>1</v>
      </c>
      <c r="S231" s="370" t="b">
        <v>0</v>
      </c>
      <c r="T231" s="301" t="s">
        <v>3448</v>
      </c>
      <c r="U231" s="379"/>
      <c r="V231" s="379"/>
      <c r="W231" s="301" t="s">
        <v>4489</v>
      </c>
      <c r="X231" s="381"/>
      <c r="Y231" s="381"/>
      <c r="Z231" s="372"/>
      <c r="AA231" s="373" t="s">
        <v>3448</v>
      </c>
      <c r="AB231" s="374">
        <v>44621.0</v>
      </c>
      <c r="AC231" s="373"/>
      <c r="AD231" s="374"/>
      <c r="AE231" s="373"/>
      <c r="AF231" s="374"/>
      <c r="AG231" s="373"/>
      <c r="AH231" s="374"/>
      <c r="AI231" s="375"/>
      <c r="AJ231" s="375"/>
      <c r="AK231" s="373" t="s">
        <v>2576</v>
      </c>
      <c r="AL231" s="375"/>
      <c r="AM231" s="375"/>
      <c r="AN231" s="373"/>
      <c r="AO231" s="375"/>
      <c r="AP231" s="376"/>
      <c r="AQ231" s="375"/>
    </row>
    <row r="232">
      <c r="A232" s="257" t="s">
        <v>121</v>
      </c>
      <c r="B232" s="257" t="s">
        <v>122</v>
      </c>
      <c r="C232" s="257" t="str">
        <f>VLOOKUP(A232,import!A:J,3,0)</f>
        <v>DOĞRU</v>
      </c>
      <c r="D232" s="257" t="s">
        <v>3713</v>
      </c>
      <c r="E232" s="257">
        <f>VLOOKUP(A232,import!A:J,5,0)</f>
        <v>7339</v>
      </c>
      <c r="F232" s="257">
        <f>VLOOKUP(A232,import!A:J,6,0)</f>
        <v>72</v>
      </c>
      <c r="G232" s="257">
        <f>VLOOKUP(A232,import!A:J,7,0)</f>
        <v>0</v>
      </c>
      <c r="H232" s="257">
        <f>VLOOKUP(A232,import!A:J,8,0)</f>
        <v>28</v>
      </c>
      <c r="I232" s="257">
        <f>VLOOKUP(A232,import!A:J,9,0)</f>
        <v>28</v>
      </c>
      <c r="J232" s="369">
        <f>VLOOKUP(A232,import!A:J,10,0)</f>
        <v>0</v>
      </c>
      <c r="K232" s="257" t="s">
        <v>4487</v>
      </c>
      <c r="L232" s="257">
        <v>3.22233606E9</v>
      </c>
      <c r="M232" s="257" t="s">
        <v>14</v>
      </c>
      <c r="N232" s="257" t="s">
        <v>3914</v>
      </c>
      <c r="O232" s="257" t="s">
        <v>125</v>
      </c>
      <c r="P232" s="370" t="str">
        <f>VLOOKUP(A232,import!A:P,16,0)</f>
        <v>Geleneksel</v>
      </c>
      <c r="Q232" s="370"/>
      <c r="R232" s="370" t="b">
        <v>1</v>
      </c>
      <c r="S232" s="370" t="b">
        <v>0</v>
      </c>
      <c r="T232" s="389" t="s">
        <v>3770</v>
      </c>
      <c r="U232" s="389"/>
      <c r="V232" s="389"/>
      <c r="W232" s="401" t="s">
        <v>4490</v>
      </c>
      <c r="X232" s="390"/>
      <c r="Y232" s="390"/>
      <c r="Z232" s="393"/>
      <c r="AA232" s="373" t="s">
        <v>3695</v>
      </c>
      <c r="AB232" s="374">
        <v>44435.0</v>
      </c>
      <c r="AC232" s="373" t="s">
        <v>3682</v>
      </c>
      <c r="AD232" s="374">
        <v>44467.0</v>
      </c>
      <c r="AE232" s="92"/>
      <c r="AF232" s="375"/>
      <c r="AG232" s="92"/>
      <c r="AH232" s="375"/>
      <c r="AI232" s="375"/>
      <c r="AJ232" s="375"/>
      <c r="AK232" s="373" t="s">
        <v>3723</v>
      </c>
      <c r="AL232" s="373" t="s">
        <v>2192</v>
      </c>
      <c r="AM232" s="375"/>
      <c r="AN232" s="375"/>
      <c r="AO232" s="375"/>
      <c r="AP232" s="376" t="s">
        <v>3683</v>
      </c>
      <c r="AQ232" s="375"/>
    </row>
    <row r="233">
      <c r="A233" s="376" t="s">
        <v>4491</v>
      </c>
      <c r="B233" s="376" t="s">
        <v>4492</v>
      </c>
      <c r="C233" s="257" t="str">
        <f>VLOOKUP(A233,import!A:J,3,0)</f>
        <v>DOĞRU</v>
      </c>
      <c r="D233" s="376" t="s">
        <v>3676</v>
      </c>
      <c r="E233" s="257">
        <f>VLOOKUP(A233,import!A:J,5,0)</f>
        <v>10</v>
      </c>
      <c r="F233" s="257">
        <f>VLOOKUP(A233,import!A:J,6,0)</f>
        <v>10</v>
      </c>
      <c r="G233" s="257">
        <f>VLOOKUP(A233,import!A:J,7,0)</f>
        <v>0</v>
      </c>
      <c r="H233" s="257">
        <f>VLOOKUP(A233,import!A:J,8,0)</f>
        <v>5</v>
      </c>
      <c r="I233" s="257">
        <f>VLOOKUP(A233,import!A:J,9,0)</f>
        <v>5</v>
      </c>
      <c r="J233" s="369">
        <f>VLOOKUP(A233,import!A:J,10,0)</f>
        <v>0</v>
      </c>
      <c r="K233" s="376" t="s">
        <v>4493</v>
      </c>
      <c r="L233" s="376">
        <v>5.424459547E9</v>
      </c>
      <c r="M233" s="376" t="s">
        <v>3692</v>
      </c>
      <c r="N233" s="376" t="s">
        <v>3721</v>
      </c>
      <c r="O233" s="376" t="s">
        <v>4494</v>
      </c>
      <c r="P233" s="370" t="str">
        <f>VLOOKUP(A233,import!A:P,16,0)</f>
        <v>Geleneksel</v>
      </c>
      <c r="Q233" s="370"/>
      <c r="R233" s="370" t="b">
        <v>0</v>
      </c>
      <c r="S233" s="370" t="b">
        <v>0</v>
      </c>
      <c r="T233" s="301"/>
      <c r="U233" s="301"/>
      <c r="V233" s="301"/>
      <c r="W233" s="301"/>
      <c r="X233" s="371"/>
      <c r="Y233" s="371"/>
      <c r="Z233" s="372"/>
      <c r="AA233" s="373"/>
      <c r="AB233" s="374"/>
      <c r="AC233" s="373"/>
      <c r="AD233" s="374"/>
      <c r="AE233" s="373"/>
      <c r="AF233" s="374"/>
      <c r="AG233" s="373"/>
      <c r="AH233" s="374"/>
      <c r="AI233" s="373"/>
      <c r="AJ233" s="374"/>
      <c r="AK233" s="373"/>
      <c r="AL233" s="373"/>
      <c r="AM233" s="373"/>
      <c r="AN233" s="373"/>
      <c r="AO233" s="373"/>
      <c r="AP233" s="376"/>
      <c r="AQ233" s="373"/>
    </row>
    <row r="234">
      <c r="A234" s="376" t="s">
        <v>4495</v>
      </c>
      <c r="B234" s="376" t="s">
        <v>4496</v>
      </c>
      <c r="C234" s="257" t="str">
        <f>VLOOKUP(A234,import!A:J,3,0)</f>
        <v>DOĞRU</v>
      </c>
      <c r="D234" s="376" t="s">
        <v>3713</v>
      </c>
      <c r="E234" s="257">
        <f>VLOOKUP(A234,import!A:J,5,0)</f>
        <v>10</v>
      </c>
      <c r="F234" s="257">
        <f>VLOOKUP(A234,import!A:J,6,0)</f>
        <v>6</v>
      </c>
      <c r="G234" s="257">
        <f>VLOOKUP(A234,import!A:J,7,0)</f>
        <v>0</v>
      </c>
      <c r="H234" s="257">
        <f>VLOOKUP(A234,import!A:J,8,0)</f>
        <v>20</v>
      </c>
      <c r="I234" s="257">
        <f>VLOOKUP(A234,import!A:J,9,0)</f>
        <v>20</v>
      </c>
      <c r="J234" s="369">
        <f>VLOOKUP(A234,import!A:J,10,0)</f>
        <v>0</v>
      </c>
      <c r="K234" s="376" t="s">
        <v>4497</v>
      </c>
      <c r="L234" s="376">
        <v>5.525286501E9</v>
      </c>
      <c r="M234" s="376" t="s">
        <v>286</v>
      </c>
      <c r="N234" s="376" t="s">
        <v>4143</v>
      </c>
      <c r="O234" s="376" t="s">
        <v>4498</v>
      </c>
      <c r="P234" s="370" t="str">
        <f>VLOOKUP(A234,import!A:P,16,0)</f>
        <v>Geleneksel</v>
      </c>
      <c r="Q234" s="370"/>
      <c r="R234" s="370" t="b">
        <v>0</v>
      </c>
      <c r="S234" s="370" t="b">
        <v>0</v>
      </c>
      <c r="T234" s="301"/>
      <c r="U234" s="301"/>
      <c r="V234" s="301"/>
      <c r="W234" s="301"/>
      <c r="X234" s="371"/>
      <c r="Y234" s="371"/>
      <c r="Z234" s="372"/>
      <c r="AA234" s="373"/>
      <c r="AB234" s="374"/>
      <c r="AC234" s="373"/>
      <c r="AD234" s="374"/>
      <c r="AE234" s="373"/>
      <c r="AF234" s="374"/>
      <c r="AG234" s="373"/>
      <c r="AH234" s="374"/>
      <c r="AI234" s="373"/>
      <c r="AJ234" s="374"/>
      <c r="AK234" s="373"/>
      <c r="AL234" s="373"/>
      <c r="AM234" s="373"/>
      <c r="AN234" s="373"/>
      <c r="AO234" s="373"/>
      <c r="AP234" s="376"/>
      <c r="AQ234" s="373"/>
    </row>
    <row r="235">
      <c r="A235" s="257" t="s">
        <v>4499</v>
      </c>
      <c r="B235" s="257" t="s">
        <v>4500</v>
      </c>
      <c r="C235" s="257" t="str">
        <f>VLOOKUP(A235,import!A:J,3,0)</f>
        <v>DOĞRU</v>
      </c>
      <c r="D235" s="257" t="s">
        <v>3878</v>
      </c>
      <c r="E235" s="257">
        <f>VLOOKUP(A235,import!A:J,5,0)</f>
        <v>265</v>
      </c>
      <c r="F235" s="257">
        <f>VLOOKUP(A235,import!A:J,6,0)</f>
        <v>15</v>
      </c>
      <c r="G235" s="257">
        <f>VLOOKUP(A235,import!A:J,7,0)</f>
        <v>0</v>
      </c>
      <c r="H235" s="257">
        <f>VLOOKUP(A235,import!A:J,8,0)</f>
        <v>40</v>
      </c>
      <c r="I235" s="257">
        <f>VLOOKUP(A235,import!A:J,9,0)</f>
        <v>40</v>
      </c>
      <c r="J235" s="369">
        <f>VLOOKUP(A235,import!A:J,10,0)</f>
        <v>0</v>
      </c>
      <c r="K235" s="257" t="s">
        <v>4501</v>
      </c>
      <c r="L235" s="257">
        <v>5.444581939E9</v>
      </c>
      <c r="M235" s="257" t="s">
        <v>286</v>
      </c>
      <c r="N235" s="257" t="s">
        <v>3737</v>
      </c>
      <c r="O235" s="257" t="s">
        <v>4502</v>
      </c>
      <c r="P235" s="370" t="str">
        <f>VLOOKUP(A235,import!A:P,16,0)</f>
        <v>Geleneksel</v>
      </c>
      <c r="Q235" s="370"/>
      <c r="R235" s="370" t="b">
        <v>1</v>
      </c>
      <c r="S235" s="370" t="b">
        <v>1</v>
      </c>
      <c r="T235" s="301"/>
      <c r="U235" s="379"/>
      <c r="V235" s="379"/>
      <c r="W235" s="301" t="s">
        <v>4503</v>
      </c>
      <c r="X235" s="381"/>
      <c r="Y235" s="381"/>
      <c r="Z235" s="372"/>
      <c r="AA235" s="373" t="s">
        <v>3682</v>
      </c>
      <c r="AB235" s="374">
        <v>44349.0</v>
      </c>
      <c r="AC235" s="373" t="s">
        <v>3682</v>
      </c>
      <c r="AD235" s="374">
        <v>44414.0</v>
      </c>
      <c r="AE235" s="373" t="s">
        <v>3682</v>
      </c>
      <c r="AF235" s="374">
        <v>44441.0</v>
      </c>
      <c r="AG235" s="373" t="s">
        <v>3695</v>
      </c>
      <c r="AH235" s="374">
        <v>44459.0</v>
      </c>
      <c r="AI235" s="373" t="s">
        <v>3695</v>
      </c>
      <c r="AJ235" s="374">
        <v>44519.0</v>
      </c>
      <c r="AK235" s="373" t="s">
        <v>3789</v>
      </c>
      <c r="AL235" s="373" t="s">
        <v>3729</v>
      </c>
      <c r="AM235" s="373" t="s">
        <v>2542</v>
      </c>
      <c r="AN235" s="373" t="s">
        <v>2542</v>
      </c>
      <c r="AO235" s="373" t="s">
        <v>3073</v>
      </c>
      <c r="AP235" s="376" t="s">
        <v>3683</v>
      </c>
      <c r="AQ235" s="373"/>
    </row>
    <row r="236">
      <c r="A236" s="257" t="s">
        <v>4504</v>
      </c>
      <c r="B236" s="257" t="s">
        <v>4505</v>
      </c>
      <c r="C236" s="257" t="str">
        <f>VLOOKUP(A236,import!A:J,3,0)</f>
        <v>DOĞRU</v>
      </c>
      <c r="D236" s="257" t="s">
        <v>4000</v>
      </c>
      <c r="E236" s="257">
        <f>VLOOKUP(A236,import!A:J,5,0)</f>
        <v>3002</v>
      </c>
      <c r="F236" s="257">
        <f>VLOOKUP(A236,import!A:J,6,0)</f>
        <v>102</v>
      </c>
      <c r="G236" s="257">
        <f>VLOOKUP(A236,import!A:J,7,0)</f>
        <v>0</v>
      </c>
      <c r="H236" s="257">
        <f>VLOOKUP(A236,import!A:J,8,0)</f>
        <v>57</v>
      </c>
      <c r="I236" s="257">
        <f>VLOOKUP(A236,import!A:J,9,0)</f>
        <v>57</v>
      </c>
      <c r="J236" s="369">
        <f>VLOOKUP(A236,import!A:J,10,0)</f>
        <v>0</v>
      </c>
      <c r="K236" s="257" t="s">
        <v>4506</v>
      </c>
      <c r="L236" s="257">
        <v>3.224593333E9</v>
      </c>
      <c r="M236" s="257" t="s">
        <v>286</v>
      </c>
      <c r="N236" s="257" t="s">
        <v>3737</v>
      </c>
      <c r="O236" s="257" t="s">
        <v>4507</v>
      </c>
      <c r="P236" s="370" t="str">
        <f>VLOOKUP(A236,import!A:P,16,0)</f>
        <v>Geleneksel</v>
      </c>
      <c r="Q236" s="370"/>
      <c r="R236" s="370" t="b">
        <v>1</v>
      </c>
      <c r="S236" s="370" t="b">
        <v>1</v>
      </c>
      <c r="T236" s="301"/>
      <c r="U236" s="379"/>
      <c r="V236" s="379"/>
      <c r="W236" s="301" t="s">
        <v>4508</v>
      </c>
      <c r="X236" s="381"/>
      <c r="Y236" s="381"/>
      <c r="Z236" s="372"/>
      <c r="AA236" s="373" t="s">
        <v>3682</v>
      </c>
      <c r="AB236" s="374">
        <v>44349.0</v>
      </c>
      <c r="AC236" s="373" t="s">
        <v>3682</v>
      </c>
      <c r="AD236" s="374">
        <v>44386.0</v>
      </c>
      <c r="AE236" s="373" t="s">
        <v>3682</v>
      </c>
      <c r="AF236" s="374">
        <v>44414.0</v>
      </c>
      <c r="AG236" s="373" t="s">
        <v>3682</v>
      </c>
      <c r="AH236" s="374">
        <v>44441.0</v>
      </c>
      <c r="AI236" s="373" t="s">
        <v>3682</v>
      </c>
      <c r="AJ236" s="374">
        <v>44519.0</v>
      </c>
      <c r="AK236" s="373" t="s">
        <v>3789</v>
      </c>
      <c r="AL236" s="373" t="s">
        <v>79</v>
      </c>
      <c r="AM236" s="373" t="s">
        <v>3729</v>
      </c>
      <c r="AN236" s="373" t="s">
        <v>2542</v>
      </c>
      <c r="AO236" s="373" t="s">
        <v>3073</v>
      </c>
      <c r="AP236" s="376" t="s">
        <v>3686</v>
      </c>
      <c r="AQ236" s="373"/>
    </row>
    <row r="237">
      <c r="A237" s="257" t="s">
        <v>4509</v>
      </c>
      <c r="B237" s="257" t="s">
        <v>4510</v>
      </c>
      <c r="C237" s="257" t="str">
        <f>VLOOKUP(A237,import!A:J,3,0)</f>
        <v>DOĞRU</v>
      </c>
      <c r="D237" s="257" t="s">
        <v>3699</v>
      </c>
      <c r="E237" s="257">
        <f>VLOOKUP(A237,import!A:J,5,0)</f>
        <v>2231</v>
      </c>
      <c r="F237" s="257">
        <f>VLOOKUP(A237,import!A:J,6,0)</f>
        <v>71</v>
      </c>
      <c r="G237" s="257">
        <f>VLOOKUP(A237,import!A:J,7,0)</f>
        <v>0</v>
      </c>
      <c r="H237" s="257">
        <f>VLOOKUP(A237,import!A:J,8,0)</f>
        <v>9</v>
      </c>
      <c r="I237" s="257">
        <f>VLOOKUP(A237,import!A:J,9,0)</f>
        <v>9</v>
      </c>
      <c r="J237" s="369">
        <f>VLOOKUP(A237,import!A:J,10,0)</f>
        <v>0</v>
      </c>
      <c r="K237" s="257" t="s">
        <v>4511</v>
      </c>
      <c r="L237" s="257">
        <v>3.229995439E9</v>
      </c>
      <c r="M237" s="257" t="s">
        <v>14</v>
      </c>
      <c r="N237" s="257" t="s">
        <v>3733</v>
      </c>
      <c r="O237" s="257" t="s">
        <v>4512</v>
      </c>
      <c r="P237" s="370" t="str">
        <f>VLOOKUP(A237,import!A:P,16,0)</f>
        <v>Geleneksel</v>
      </c>
      <c r="Q237" s="370"/>
      <c r="R237" s="370" t="b">
        <v>1</v>
      </c>
      <c r="S237" s="370" t="b">
        <v>1</v>
      </c>
      <c r="T237" s="301"/>
      <c r="U237" s="379"/>
      <c r="V237" s="379"/>
      <c r="W237" s="301" t="s">
        <v>4513</v>
      </c>
      <c r="X237" s="381"/>
      <c r="Y237" s="381"/>
      <c r="Z237" s="372"/>
      <c r="AA237" s="373" t="s">
        <v>3682</v>
      </c>
      <c r="AB237" s="374">
        <v>44383.0</v>
      </c>
      <c r="AC237" s="375"/>
      <c r="AD237" s="375"/>
      <c r="AE237" s="92"/>
      <c r="AF237" s="375"/>
      <c r="AG237" s="92"/>
      <c r="AH237" s="375"/>
      <c r="AI237" s="375"/>
      <c r="AJ237" s="375"/>
      <c r="AK237" s="373" t="s">
        <v>3974</v>
      </c>
      <c r="AL237" s="375"/>
      <c r="AM237" s="375"/>
      <c r="AN237" s="375"/>
      <c r="AO237" s="375"/>
      <c r="AP237" s="376" t="s">
        <v>3683</v>
      </c>
      <c r="AQ237" s="375"/>
    </row>
    <row r="238">
      <c r="A238" s="257" t="s">
        <v>2642</v>
      </c>
      <c r="B238" s="257" t="s">
        <v>2643</v>
      </c>
      <c r="C238" s="257" t="str">
        <f>VLOOKUP(A238,import!A:J,3,0)</f>
        <v>DOĞRU</v>
      </c>
      <c r="D238" s="257" t="s">
        <v>4000</v>
      </c>
      <c r="E238" s="257">
        <f>VLOOKUP(A238,import!A:J,5,0)</f>
        <v>786</v>
      </c>
      <c r="F238" s="257">
        <f>VLOOKUP(A238,import!A:J,6,0)</f>
        <v>32</v>
      </c>
      <c r="G238" s="257">
        <f>VLOOKUP(A238,import!A:J,7,0)</f>
        <v>11</v>
      </c>
      <c r="H238" s="257">
        <f>VLOOKUP(A238,import!A:J,8,0)</f>
        <v>22</v>
      </c>
      <c r="I238" s="257">
        <f>VLOOKUP(A238,import!A:J,9,0)</f>
        <v>33</v>
      </c>
      <c r="J238" s="369">
        <f>VLOOKUP(A238,import!A:J,10,0)</f>
        <v>0.33</v>
      </c>
      <c r="K238" s="257" t="s">
        <v>4514</v>
      </c>
      <c r="L238" s="257">
        <v>5.385448391E9</v>
      </c>
      <c r="M238" s="257" t="s">
        <v>14</v>
      </c>
      <c r="N238" s="257" t="s">
        <v>3733</v>
      </c>
      <c r="O238" s="257" t="s">
        <v>2646</v>
      </c>
      <c r="P238" s="370" t="str">
        <f>VLOOKUP(A238,import!A:P,16,0)</f>
        <v>Geleneksel</v>
      </c>
      <c r="Q238" s="370"/>
      <c r="R238" s="370" t="b">
        <v>1</v>
      </c>
      <c r="S238" s="370" t="b">
        <v>0</v>
      </c>
      <c r="T238" s="301" t="s">
        <v>3679</v>
      </c>
      <c r="U238" s="301" t="s">
        <v>2542</v>
      </c>
      <c r="V238" s="301" t="s">
        <v>78</v>
      </c>
      <c r="W238" s="301" t="s">
        <v>4515</v>
      </c>
      <c r="X238" s="371">
        <v>44466.0</v>
      </c>
      <c r="Y238" s="371">
        <v>44467.0</v>
      </c>
      <c r="Z238" s="372"/>
      <c r="AA238" s="373" t="s">
        <v>3682</v>
      </c>
      <c r="AB238" s="374">
        <v>44466.0</v>
      </c>
      <c r="AC238" s="373"/>
      <c r="AD238" s="374"/>
      <c r="AE238" s="373"/>
      <c r="AF238" s="374"/>
      <c r="AG238" s="92"/>
      <c r="AH238" s="375"/>
      <c r="AI238" s="375"/>
      <c r="AJ238" s="375"/>
      <c r="AK238" s="373" t="s">
        <v>2542</v>
      </c>
      <c r="AL238" s="375"/>
      <c r="AM238" s="375"/>
      <c r="AN238" s="375"/>
      <c r="AO238" s="375"/>
      <c r="AP238" s="376" t="s">
        <v>3683</v>
      </c>
      <c r="AQ238" s="375"/>
    </row>
    <row r="239">
      <c r="A239" s="257" t="s">
        <v>4516</v>
      </c>
      <c r="B239" s="257" t="s">
        <v>4517</v>
      </c>
      <c r="C239" s="257" t="str">
        <f>VLOOKUP(A239,import!A:J,3,0)</f>
        <v>DOĞRU</v>
      </c>
      <c r="D239" s="257" t="s">
        <v>3699</v>
      </c>
      <c r="E239" s="257">
        <f>VLOOKUP(A239,import!A:J,5,0)</f>
        <v>2466</v>
      </c>
      <c r="F239" s="257">
        <f>VLOOKUP(A239,import!A:J,6,0)</f>
        <v>93</v>
      </c>
      <c r="G239" s="257">
        <f>VLOOKUP(A239,import!A:J,7,0)</f>
        <v>0</v>
      </c>
      <c r="H239" s="257">
        <f>VLOOKUP(A239,import!A:J,8,0)</f>
        <v>65</v>
      </c>
      <c r="I239" s="257">
        <f>VLOOKUP(A239,import!A:J,9,0)</f>
        <v>65</v>
      </c>
      <c r="J239" s="369">
        <f>VLOOKUP(A239,import!A:J,10,0)</f>
        <v>0</v>
      </c>
      <c r="K239" s="257" t="s">
        <v>4518</v>
      </c>
      <c r="L239" s="257">
        <v>5.366082975E9</v>
      </c>
      <c r="M239" s="257" t="s">
        <v>286</v>
      </c>
      <c r="N239" s="257" t="s">
        <v>3782</v>
      </c>
      <c r="O239" s="257" t="s">
        <v>4519</v>
      </c>
      <c r="P239" s="370" t="str">
        <f>VLOOKUP(A239,import!A:P,16,0)</f>
        <v>Geleneksel</v>
      </c>
      <c r="Q239" s="370"/>
      <c r="R239" s="370" t="b">
        <v>1</v>
      </c>
      <c r="S239" s="370" t="b">
        <v>1</v>
      </c>
      <c r="T239" s="301"/>
      <c r="U239" s="301"/>
      <c r="V239" s="379"/>
      <c r="W239" s="301" t="s">
        <v>4520</v>
      </c>
      <c r="X239" s="371"/>
      <c r="Y239" s="371"/>
      <c r="Z239" s="377"/>
      <c r="AA239" s="373" t="s">
        <v>3682</v>
      </c>
      <c r="AB239" s="374">
        <v>44440.0</v>
      </c>
      <c r="AC239" s="373" t="s">
        <v>3696</v>
      </c>
      <c r="AD239" s="374">
        <v>44446.0</v>
      </c>
      <c r="AE239" s="373" t="s">
        <v>3682</v>
      </c>
      <c r="AF239" s="374">
        <v>44448.0</v>
      </c>
      <c r="AG239" s="373" t="s">
        <v>3448</v>
      </c>
      <c r="AH239" s="374">
        <v>44468.0</v>
      </c>
      <c r="AI239" s="373" t="s">
        <v>3682</v>
      </c>
      <c r="AJ239" s="374">
        <v>44498.0</v>
      </c>
      <c r="AK239" s="373" t="s">
        <v>2542</v>
      </c>
      <c r="AL239" s="373" t="s">
        <v>79</v>
      </c>
      <c r="AM239" s="373" t="s">
        <v>2542</v>
      </c>
      <c r="AN239" s="373" t="s">
        <v>2576</v>
      </c>
      <c r="AO239" s="373" t="s">
        <v>2542</v>
      </c>
      <c r="AP239" s="376" t="s">
        <v>3686</v>
      </c>
      <c r="AQ239" s="373"/>
    </row>
    <row r="240">
      <c r="A240" s="257" t="s">
        <v>4521</v>
      </c>
      <c r="B240" s="257" t="s">
        <v>4522</v>
      </c>
      <c r="C240" s="257" t="str">
        <f>VLOOKUP(A240,import!A:J,3,0)</f>
        <v>DOĞRU</v>
      </c>
      <c r="D240" s="257" t="s">
        <v>3713</v>
      </c>
      <c r="E240" s="257">
        <f>VLOOKUP(A240,import!A:J,5,0)</f>
        <v>3557</v>
      </c>
      <c r="F240" s="257">
        <f>VLOOKUP(A240,import!A:J,6,0)</f>
        <v>237</v>
      </c>
      <c r="G240" s="257">
        <f>VLOOKUP(A240,import!A:J,7,0)</f>
        <v>20</v>
      </c>
      <c r="H240" s="257">
        <f>VLOOKUP(A240,import!A:J,8,0)</f>
        <v>13</v>
      </c>
      <c r="I240" s="257">
        <f>VLOOKUP(A240,import!A:J,9,0)</f>
        <v>33</v>
      </c>
      <c r="J240" s="369">
        <f>VLOOKUP(A240,import!A:J,10,0)</f>
        <v>0.61</v>
      </c>
      <c r="K240" s="257" t="s">
        <v>4523</v>
      </c>
      <c r="L240" s="257">
        <v>3.222483354E9</v>
      </c>
      <c r="M240" s="257" t="s">
        <v>14</v>
      </c>
      <c r="N240" s="257" t="s">
        <v>3826</v>
      </c>
      <c r="O240" s="257" t="s">
        <v>4524</v>
      </c>
      <c r="P240" s="370" t="str">
        <f>VLOOKUP(A240,import!A:P,16,0)</f>
        <v>Geleneksel</v>
      </c>
      <c r="Q240" s="370"/>
      <c r="R240" s="370" t="b">
        <v>1</v>
      </c>
      <c r="S240" s="370" t="b">
        <v>1</v>
      </c>
      <c r="T240" s="301"/>
      <c r="U240" s="379"/>
      <c r="V240" s="379"/>
      <c r="W240" s="301" t="s">
        <v>4525</v>
      </c>
      <c r="X240" s="381"/>
      <c r="Y240" s="381"/>
      <c r="Z240" s="301" t="s">
        <v>3808</v>
      </c>
      <c r="AA240" s="373" t="s">
        <v>3682</v>
      </c>
      <c r="AB240" s="374">
        <v>44382.0</v>
      </c>
      <c r="AC240" s="375"/>
      <c r="AD240" s="375"/>
      <c r="AE240" s="373" t="s">
        <v>3682</v>
      </c>
      <c r="AF240" s="374">
        <v>44418.0</v>
      </c>
      <c r="AG240" s="92"/>
      <c r="AH240" s="375"/>
      <c r="AI240" s="375"/>
      <c r="AJ240" s="375"/>
      <c r="AK240" s="373" t="s">
        <v>3719</v>
      </c>
      <c r="AL240" s="375"/>
      <c r="AM240" s="373" t="s">
        <v>1953</v>
      </c>
      <c r="AN240" s="375"/>
      <c r="AO240" s="375"/>
      <c r="AP240" s="376" t="s">
        <v>3683</v>
      </c>
      <c r="AQ240" s="375"/>
    </row>
    <row r="241">
      <c r="A241" s="257" t="s">
        <v>4526</v>
      </c>
      <c r="B241" s="257" t="s">
        <v>4527</v>
      </c>
      <c r="C241" s="257" t="str">
        <f>VLOOKUP(A241,import!A:J,3,0)</f>
        <v>DOĞRU</v>
      </c>
      <c r="D241" s="257" t="s">
        <v>3883</v>
      </c>
      <c r="E241" s="257">
        <f>VLOOKUP(A241,import!A:J,5,0)</f>
        <v>41</v>
      </c>
      <c r="F241" s="257">
        <f>VLOOKUP(A241,import!A:J,6,0)</f>
        <v>18</v>
      </c>
      <c r="G241" s="257">
        <f>VLOOKUP(A241,import!A:J,7,0)</f>
        <v>1</v>
      </c>
      <c r="H241" s="257">
        <f>VLOOKUP(A241,import!A:J,8,0)</f>
        <v>10</v>
      </c>
      <c r="I241" s="257">
        <f>VLOOKUP(A241,import!A:J,9,0)</f>
        <v>11</v>
      </c>
      <c r="J241" s="369">
        <f>VLOOKUP(A241,import!A:J,10,0)</f>
        <v>0.09</v>
      </c>
      <c r="K241" s="257" t="s">
        <v>4528</v>
      </c>
      <c r="L241" s="257">
        <v>5.334496019E9</v>
      </c>
      <c r="M241" s="257" t="s">
        <v>14</v>
      </c>
      <c r="N241" s="257" t="s">
        <v>3797</v>
      </c>
      <c r="O241" s="257" t="s">
        <v>4529</v>
      </c>
      <c r="P241" s="370" t="str">
        <f>VLOOKUP(A241,import!A:P,16,0)</f>
        <v>Geleneksel</v>
      </c>
      <c r="Q241" s="370"/>
      <c r="R241" s="370" t="b">
        <v>0</v>
      </c>
      <c r="S241" s="370" t="b">
        <v>0</v>
      </c>
      <c r="T241" s="301"/>
      <c r="U241" s="301"/>
      <c r="V241" s="301"/>
      <c r="W241" s="301" t="s">
        <v>4530</v>
      </c>
      <c r="X241" s="371"/>
      <c r="Y241" s="371"/>
      <c r="Z241" s="372"/>
      <c r="AA241" s="373"/>
      <c r="AB241" s="374"/>
      <c r="AC241" s="373"/>
      <c r="AD241" s="374"/>
      <c r="AE241" s="373"/>
      <c r="AF241" s="374"/>
      <c r="AG241" s="373"/>
      <c r="AH241" s="374"/>
      <c r="AI241" s="373"/>
      <c r="AJ241" s="374"/>
      <c r="AK241" s="373"/>
      <c r="AL241" s="373"/>
      <c r="AM241" s="373"/>
      <c r="AN241" s="373"/>
      <c r="AO241" s="373"/>
      <c r="AP241" s="376"/>
      <c r="AQ241" s="373"/>
    </row>
    <row r="242">
      <c r="A242" s="257" t="s">
        <v>4531</v>
      </c>
      <c r="B242" s="257" t="s">
        <v>4532</v>
      </c>
      <c r="C242" s="257" t="str">
        <f>VLOOKUP(A242,import!A:J,3,0)</f>
        <v>DOĞRU</v>
      </c>
      <c r="D242" s="257" t="s">
        <v>3690</v>
      </c>
      <c r="E242" s="257">
        <f>VLOOKUP(A242,import!A:J,5,0)</f>
        <v>632</v>
      </c>
      <c r="F242" s="257">
        <f>VLOOKUP(A242,import!A:J,6,0)</f>
        <v>10</v>
      </c>
      <c r="G242" s="257">
        <f>VLOOKUP(A242,import!A:J,7,0)</f>
        <v>0</v>
      </c>
      <c r="H242" s="257">
        <f>VLOOKUP(A242,import!A:J,8,0)</f>
        <v>21</v>
      </c>
      <c r="I242" s="257">
        <f>VLOOKUP(A242,import!A:J,9,0)</f>
        <v>21</v>
      </c>
      <c r="J242" s="369">
        <f>VLOOKUP(A242,import!A:J,10,0)</f>
        <v>0</v>
      </c>
      <c r="K242" s="257" t="s">
        <v>4533</v>
      </c>
      <c r="L242" s="257">
        <v>5.412402012E9</v>
      </c>
      <c r="M242" s="257" t="s">
        <v>14</v>
      </c>
      <c r="N242" s="257" t="s">
        <v>3797</v>
      </c>
      <c r="O242" s="257" t="s">
        <v>4534</v>
      </c>
      <c r="P242" s="370" t="str">
        <f>VLOOKUP(A242,import!A:P,16,0)</f>
        <v>Geleneksel</v>
      </c>
      <c r="Q242" s="370"/>
      <c r="R242" s="370" t="b">
        <v>1</v>
      </c>
      <c r="S242" s="370" t="b">
        <v>1</v>
      </c>
      <c r="T242" s="301"/>
      <c r="U242" s="379"/>
      <c r="V242" s="379"/>
      <c r="W242" s="301" t="s">
        <v>4535</v>
      </c>
      <c r="X242" s="381"/>
      <c r="Y242" s="381"/>
      <c r="Z242" s="372"/>
      <c r="AA242" s="373" t="s">
        <v>3681</v>
      </c>
      <c r="AB242" s="374">
        <v>44375.0</v>
      </c>
      <c r="AC242" s="373" t="s">
        <v>3448</v>
      </c>
      <c r="AD242" s="374">
        <v>44382.0</v>
      </c>
      <c r="AE242" s="373" t="s">
        <v>3682</v>
      </c>
      <c r="AF242" s="374">
        <v>44383.0</v>
      </c>
      <c r="AG242" s="373" t="s">
        <v>3448</v>
      </c>
      <c r="AH242" s="374">
        <v>44391.0</v>
      </c>
      <c r="AI242" s="373" t="s">
        <v>3682</v>
      </c>
      <c r="AJ242" s="374">
        <v>44487.0</v>
      </c>
      <c r="AK242" s="373" t="s">
        <v>399</v>
      </c>
      <c r="AL242" s="373" t="s">
        <v>3719</v>
      </c>
      <c r="AM242" s="373" t="s">
        <v>79</v>
      </c>
      <c r="AN242" s="373" t="s">
        <v>4089</v>
      </c>
      <c r="AO242" s="373" t="s">
        <v>2542</v>
      </c>
      <c r="AP242" s="376" t="s">
        <v>3683</v>
      </c>
      <c r="AQ242" s="373"/>
    </row>
    <row r="243">
      <c r="A243" s="257" t="s">
        <v>4536</v>
      </c>
      <c r="B243" s="257" t="s">
        <v>4537</v>
      </c>
      <c r="C243" s="257" t="str">
        <f>VLOOKUP(A243,import!A:J,3,0)</f>
        <v>DOĞRU</v>
      </c>
      <c r="D243" s="257" t="s">
        <v>3822</v>
      </c>
      <c r="E243" s="257">
        <f>VLOOKUP(A243,import!A:J,5,0)</f>
        <v>868</v>
      </c>
      <c r="F243" s="257">
        <f>VLOOKUP(A243,import!A:J,6,0)</f>
        <v>130</v>
      </c>
      <c r="G243" s="257">
        <f>VLOOKUP(A243,import!A:J,7,0)</f>
        <v>0</v>
      </c>
      <c r="H243" s="257">
        <f>VLOOKUP(A243,import!A:J,8,0)</f>
        <v>27</v>
      </c>
      <c r="I243" s="257">
        <f>VLOOKUP(A243,import!A:J,9,0)</f>
        <v>27</v>
      </c>
      <c r="J243" s="369">
        <f>VLOOKUP(A243,import!A:J,10,0)</f>
        <v>0</v>
      </c>
      <c r="K243" s="257" t="s">
        <v>4538</v>
      </c>
      <c r="L243" s="257">
        <v>3.225162062E9</v>
      </c>
      <c r="M243" s="257" t="s">
        <v>3814</v>
      </c>
      <c r="N243" s="257" t="s">
        <v>4072</v>
      </c>
      <c r="O243" s="257" t="s">
        <v>4539</v>
      </c>
      <c r="P243" s="370" t="str">
        <f>VLOOKUP(A243,import!A:P,16,0)</f>
        <v>Geleneksel</v>
      </c>
      <c r="Q243" s="370"/>
      <c r="R243" s="370" t="b">
        <v>0</v>
      </c>
      <c r="S243" s="370" t="b">
        <v>0</v>
      </c>
      <c r="T243" s="301"/>
      <c r="U243" s="379"/>
      <c r="V243" s="379"/>
      <c r="W243" s="301"/>
      <c r="X243" s="381"/>
      <c r="Y243" s="381"/>
      <c r="Z243" s="372"/>
      <c r="AA243" s="373"/>
      <c r="AB243" s="374"/>
      <c r="AC243" s="373"/>
      <c r="AD243" s="374"/>
      <c r="AE243" s="373"/>
      <c r="AF243" s="374"/>
      <c r="AG243" s="373"/>
      <c r="AH243" s="374"/>
      <c r="AI243" s="375"/>
      <c r="AJ243" s="375"/>
      <c r="AK243" s="373"/>
      <c r="AL243" s="375"/>
      <c r="AM243" s="375"/>
      <c r="AN243" s="373"/>
      <c r="AO243" s="375"/>
      <c r="AP243" s="376"/>
      <c r="AQ243" s="375"/>
    </row>
    <row r="244">
      <c r="A244" s="257" t="s">
        <v>4540</v>
      </c>
      <c r="B244" s="257" t="s">
        <v>4541</v>
      </c>
      <c r="C244" s="257" t="str">
        <f>VLOOKUP(A244,import!A:J,3,0)</f>
        <v>DOĞRU</v>
      </c>
      <c r="D244" s="257" t="s">
        <v>3676</v>
      </c>
      <c r="E244" s="257">
        <f>VLOOKUP(A244,import!A:J,5,0)</f>
        <v>249</v>
      </c>
      <c r="F244" s="257">
        <f>VLOOKUP(A244,import!A:J,6,0)</f>
        <v>24</v>
      </c>
      <c r="G244" s="257">
        <f>VLOOKUP(A244,import!A:J,7,0)</f>
        <v>0</v>
      </c>
      <c r="H244" s="257">
        <f>VLOOKUP(A244,import!A:J,8,0)</f>
        <v>22</v>
      </c>
      <c r="I244" s="257">
        <f>VLOOKUP(A244,import!A:J,9,0)</f>
        <v>22</v>
      </c>
      <c r="J244" s="369">
        <f>VLOOKUP(A244,import!A:J,10,0)</f>
        <v>0</v>
      </c>
      <c r="K244" s="257" t="s">
        <v>4542</v>
      </c>
      <c r="L244" s="257">
        <v>3.222256666E9</v>
      </c>
      <c r="M244" s="257" t="s">
        <v>286</v>
      </c>
      <c r="N244" s="257" t="s">
        <v>4075</v>
      </c>
      <c r="O244" s="257" t="s">
        <v>4543</v>
      </c>
      <c r="P244" s="370" t="str">
        <f>VLOOKUP(A244,import!A:P,16,0)</f>
        <v>Geleneksel</v>
      </c>
      <c r="Q244" s="370"/>
      <c r="R244" s="370" t="b">
        <v>1</v>
      </c>
      <c r="S244" s="370" t="b">
        <v>0</v>
      </c>
      <c r="T244" s="301"/>
      <c r="U244" s="379"/>
      <c r="V244" s="379"/>
      <c r="W244" s="301" t="s">
        <v>4544</v>
      </c>
      <c r="X244" s="381"/>
      <c r="Y244" s="381"/>
      <c r="Z244" s="372"/>
      <c r="AA244" s="373"/>
      <c r="AB244" s="374"/>
      <c r="AC244" s="373"/>
      <c r="AD244" s="374"/>
      <c r="AE244" s="373"/>
      <c r="AF244" s="374"/>
      <c r="AG244" s="373"/>
      <c r="AH244" s="374"/>
      <c r="AI244" s="375"/>
      <c r="AJ244" s="375"/>
      <c r="AK244" s="373"/>
      <c r="AL244" s="375"/>
      <c r="AM244" s="375"/>
      <c r="AN244" s="373"/>
      <c r="AO244" s="375"/>
      <c r="AP244" s="376"/>
      <c r="AQ244" s="375"/>
    </row>
    <row r="245">
      <c r="A245" s="266" t="s">
        <v>1162</v>
      </c>
      <c r="B245" s="266" t="s">
        <v>1163</v>
      </c>
      <c r="C245" s="257" t="str">
        <f>VLOOKUP(A245,import!A:J,3,0)</f>
        <v>DOĞRU</v>
      </c>
      <c r="D245" s="266" t="s">
        <v>3676</v>
      </c>
      <c r="E245" s="257">
        <f>VLOOKUP(A245,import!A:J,5,0)</f>
        <v>4333</v>
      </c>
      <c r="F245" s="257">
        <f>VLOOKUP(A245,import!A:J,6,0)</f>
        <v>201</v>
      </c>
      <c r="G245" s="257">
        <f>VLOOKUP(A245,import!A:J,7,0)</f>
        <v>10</v>
      </c>
      <c r="H245" s="257">
        <f>VLOOKUP(A245,import!A:J,8,0)</f>
        <v>0</v>
      </c>
      <c r="I245" s="257">
        <f>VLOOKUP(A245,import!A:J,9,0)</f>
        <v>10</v>
      </c>
      <c r="J245" s="369">
        <f>VLOOKUP(A245,import!A:J,10,0)</f>
        <v>1</v>
      </c>
      <c r="K245" s="266" t="s">
        <v>4545</v>
      </c>
      <c r="L245" s="266">
        <v>3.223633282E9</v>
      </c>
      <c r="M245" s="266" t="s">
        <v>286</v>
      </c>
      <c r="N245" s="266" t="s">
        <v>4451</v>
      </c>
      <c r="O245" s="266" t="s">
        <v>1165</v>
      </c>
      <c r="P245" s="370" t="str">
        <f>VLOOKUP(A245,import!A:P,16,0)</f>
        <v>Geleneksel</v>
      </c>
      <c r="Q245" s="370"/>
      <c r="R245" s="370" t="b">
        <v>1</v>
      </c>
      <c r="S245" s="370" t="b">
        <v>0</v>
      </c>
      <c r="T245" s="301" t="s">
        <v>3679</v>
      </c>
      <c r="U245" s="301" t="s">
        <v>3729</v>
      </c>
      <c r="V245" s="301" t="s">
        <v>78</v>
      </c>
      <c r="W245" s="301" t="s">
        <v>4546</v>
      </c>
      <c r="X245" s="371">
        <v>44412.0</v>
      </c>
      <c r="Y245" s="371">
        <v>44417.0</v>
      </c>
      <c r="Z245" s="372"/>
      <c r="AA245" s="373" t="s">
        <v>3682</v>
      </c>
      <c r="AB245" s="374">
        <v>44372.0</v>
      </c>
      <c r="AC245" s="373" t="s">
        <v>3682</v>
      </c>
      <c r="AD245" s="374">
        <v>44406.0</v>
      </c>
      <c r="AE245" s="373" t="s">
        <v>3682</v>
      </c>
      <c r="AF245" s="374">
        <v>44412.0</v>
      </c>
      <c r="AG245" s="92"/>
      <c r="AH245" s="375"/>
      <c r="AI245" s="375"/>
      <c r="AJ245" s="375"/>
      <c r="AK245" s="373" t="s">
        <v>3719</v>
      </c>
      <c r="AL245" s="373" t="s">
        <v>79</v>
      </c>
      <c r="AM245" s="373" t="s">
        <v>3729</v>
      </c>
      <c r="AN245" s="375"/>
      <c r="AO245" s="375"/>
      <c r="AP245" s="376" t="s">
        <v>3686</v>
      </c>
      <c r="AQ245" s="375"/>
    </row>
    <row r="246">
      <c r="A246" s="257" t="s">
        <v>2904</v>
      </c>
      <c r="B246" s="257" t="s">
        <v>2905</v>
      </c>
      <c r="C246" s="257" t="str">
        <f>VLOOKUP(A246,import!A:J,3,0)</f>
        <v>DOĞRU</v>
      </c>
      <c r="D246" s="257" t="s">
        <v>3676</v>
      </c>
      <c r="E246" s="257">
        <f>VLOOKUP(A246,import!A:J,5,0)</f>
        <v>951</v>
      </c>
      <c r="F246" s="257">
        <f>VLOOKUP(A246,import!A:J,6,0)</f>
        <v>124</v>
      </c>
      <c r="G246" s="257">
        <f>VLOOKUP(A246,import!A:J,7,0)</f>
        <v>14</v>
      </c>
      <c r="H246" s="257">
        <f>VLOOKUP(A246,import!A:J,8,0)</f>
        <v>6</v>
      </c>
      <c r="I246" s="257">
        <f>VLOOKUP(A246,import!A:J,9,0)</f>
        <v>20</v>
      </c>
      <c r="J246" s="369">
        <f>VLOOKUP(A246,import!A:J,10,0)</f>
        <v>0.7</v>
      </c>
      <c r="K246" s="257" t="s">
        <v>4547</v>
      </c>
      <c r="L246" s="257">
        <v>5.356727336E9</v>
      </c>
      <c r="M246" s="257" t="s">
        <v>14</v>
      </c>
      <c r="N246" s="257" t="s">
        <v>3826</v>
      </c>
      <c r="O246" s="257" t="s">
        <v>2490</v>
      </c>
      <c r="P246" s="370" t="str">
        <f>VLOOKUP(A246,import!A:P,16,0)</f>
        <v>Geleneksel</v>
      </c>
      <c r="Q246" s="370"/>
      <c r="R246" s="370" t="b">
        <v>1</v>
      </c>
      <c r="S246" s="370" t="b">
        <v>0</v>
      </c>
      <c r="T246" s="301" t="s">
        <v>3679</v>
      </c>
      <c r="U246" s="301" t="s">
        <v>79</v>
      </c>
      <c r="V246" s="301" t="s">
        <v>78</v>
      </c>
      <c r="W246" s="301" t="s">
        <v>4548</v>
      </c>
      <c r="X246" s="371">
        <v>44489.0</v>
      </c>
      <c r="Y246" s="371">
        <v>44490.0</v>
      </c>
      <c r="Z246" s="372"/>
      <c r="AA246" s="373" t="s">
        <v>3448</v>
      </c>
      <c r="AB246" s="374">
        <v>44483.0</v>
      </c>
      <c r="AC246" s="373" t="s">
        <v>3695</v>
      </c>
      <c r="AD246" s="374">
        <v>44487.0</v>
      </c>
      <c r="AE246" s="373"/>
      <c r="AF246" s="374"/>
      <c r="AG246" s="373"/>
      <c r="AH246" s="374"/>
      <c r="AI246" s="375"/>
      <c r="AJ246" s="375"/>
      <c r="AK246" s="373" t="s">
        <v>2542</v>
      </c>
      <c r="AL246" s="373" t="s">
        <v>2542</v>
      </c>
      <c r="AM246" s="375"/>
      <c r="AN246" s="373"/>
      <c r="AO246" s="375"/>
      <c r="AP246" s="376" t="s">
        <v>3683</v>
      </c>
      <c r="AQ246" s="375"/>
    </row>
    <row r="247">
      <c r="A247" s="257" t="s">
        <v>2022</v>
      </c>
      <c r="B247" s="257" t="s">
        <v>2023</v>
      </c>
      <c r="C247" s="257" t="str">
        <f>VLOOKUP(A247,import!A:J,3,0)</f>
        <v>DOĞRU</v>
      </c>
      <c r="D247" s="257" t="s">
        <v>3676</v>
      </c>
      <c r="E247" s="257">
        <f>VLOOKUP(A247,import!A:J,5,0)</f>
        <v>4664</v>
      </c>
      <c r="F247" s="257">
        <f>VLOOKUP(A247,import!A:J,6,0)</f>
        <v>142</v>
      </c>
      <c r="G247" s="257">
        <f>VLOOKUP(A247,import!A:J,7,0)</f>
        <v>7</v>
      </c>
      <c r="H247" s="257">
        <f>VLOOKUP(A247,import!A:J,8,0)</f>
        <v>24</v>
      </c>
      <c r="I247" s="257">
        <f>VLOOKUP(A247,import!A:J,9,0)</f>
        <v>31</v>
      </c>
      <c r="J247" s="369">
        <f>VLOOKUP(A247,import!A:J,10,0)</f>
        <v>0.23</v>
      </c>
      <c r="K247" s="257" t="s">
        <v>4549</v>
      </c>
      <c r="L247" s="257">
        <v>5.54136716E9</v>
      </c>
      <c r="M247" s="257" t="s">
        <v>286</v>
      </c>
      <c r="N247" s="257" t="s">
        <v>4550</v>
      </c>
      <c r="O247" s="257" t="s">
        <v>2026</v>
      </c>
      <c r="P247" s="370" t="str">
        <f>VLOOKUP(A247,import!A:P,16,0)</f>
        <v>Geleneksel</v>
      </c>
      <c r="Q247" s="370"/>
      <c r="R247" s="370" t="b">
        <v>1</v>
      </c>
      <c r="S247" s="370" t="b">
        <v>0</v>
      </c>
      <c r="T247" s="301" t="s">
        <v>3679</v>
      </c>
      <c r="U247" s="301" t="s">
        <v>3723</v>
      </c>
      <c r="V247" s="301" t="s">
        <v>78</v>
      </c>
      <c r="W247" s="301" t="s">
        <v>4551</v>
      </c>
      <c r="X247" s="371">
        <v>44427.0</v>
      </c>
      <c r="Y247" s="371">
        <v>44431.0</v>
      </c>
      <c r="Z247" s="372"/>
      <c r="AA247" s="373" t="s">
        <v>3682</v>
      </c>
      <c r="AB247" s="374">
        <v>44348.0</v>
      </c>
      <c r="AC247" s="373" t="s">
        <v>3682</v>
      </c>
      <c r="AD247" s="374">
        <v>44385.0</v>
      </c>
      <c r="AE247" s="373" t="s">
        <v>3682</v>
      </c>
      <c r="AF247" s="374">
        <v>44390.0</v>
      </c>
      <c r="AG247" s="373" t="s">
        <v>3682</v>
      </c>
      <c r="AH247" s="374">
        <v>44427.0</v>
      </c>
      <c r="AI247" s="375"/>
      <c r="AJ247" s="375"/>
      <c r="AK247" s="373" t="s">
        <v>3916</v>
      </c>
      <c r="AL247" s="373" t="s">
        <v>3752</v>
      </c>
      <c r="AM247" s="375"/>
      <c r="AN247" s="373" t="s">
        <v>3723</v>
      </c>
      <c r="AO247" s="375"/>
      <c r="AP247" s="376" t="s">
        <v>3686</v>
      </c>
      <c r="AQ247" s="375"/>
    </row>
    <row r="248">
      <c r="A248" s="257" t="s">
        <v>1587</v>
      </c>
      <c r="B248" s="257" t="s">
        <v>1588</v>
      </c>
      <c r="C248" s="257" t="str">
        <f>VLOOKUP(A248,import!A:J,3,0)</f>
        <v>DOĞRU</v>
      </c>
      <c r="D248" s="257" t="s">
        <v>3676</v>
      </c>
      <c r="E248" s="257">
        <f>VLOOKUP(A248,import!A:J,5,0)</f>
        <v>8625</v>
      </c>
      <c r="F248" s="257">
        <f>VLOOKUP(A248,import!A:J,6,0)</f>
        <v>349</v>
      </c>
      <c r="G248" s="257">
        <f>VLOOKUP(A248,import!A:J,7,0)</f>
        <v>31</v>
      </c>
      <c r="H248" s="257">
        <f>VLOOKUP(A248,import!A:J,8,0)</f>
        <v>10</v>
      </c>
      <c r="I248" s="257">
        <f>VLOOKUP(A248,import!A:J,9,0)</f>
        <v>41</v>
      </c>
      <c r="J248" s="369">
        <f>VLOOKUP(A248,import!A:J,10,0)</f>
        <v>0.76</v>
      </c>
      <c r="K248" s="257" t="s">
        <v>4552</v>
      </c>
      <c r="L248" s="257">
        <v>3.223293857E9</v>
      </c>
      <c r="M248" s="257" t="s">
        <v>3707</v>
      </c>
      <c r="N248" s="257" t="s">
        <v>4553</v>
      </c>
      <c r="O248" s="257" t="s">
        <v>1591</v>
      </c>
      <c r="P248" s="370" t="str">
        <f>VLOOKUP(A248,import!A:P,16,0)</f>
        <v>Geleneksel</v>
      </c>
      <c r="Q248" s="370"/>
      <c r="R248" s="370" t="b">
        <v>1</v>
      </c>
      <c r="S248" s="370" t="b">
        <v>0</v>
      </c>
      <c r="T248" s="301" t="s">
        <v>3679</v>
      </c>
      <c r="U248" s="301" t="s">
        <v>2706</v>
      </c>
      <c r="V248" s="301" t="s">
        <v>78</v>
      </c>
      <c r="W248" s="301" t="s">
        <v>2936</v>
      </c>
      <c r="X248" s="371">
        <v>44504.0</v>
      </c>
      <c r="Y248" s="371">
        <v>44505.0</v>
      </c>
      <c r="Z248" s="377"/>
      <c r="AA248" s="373" t="s">
        <v>3681</v>
      </c>
      <c r="AB248" s="374">
        <v>44390.0</v>
      </c>
      <c r="AC248" s="373" t="s">
        <v>3448</v>
      </c>
      <c r="AD248" s="374">
        <v>44392.0</v>
      </c>
      <c r="AE248" s="373" t="s">
        <v>3682</v>
      </c>
      <c r="AF248" s="374">
        <v>44392.0</v>
      </c>
      <c r="AG248" s="373" t="s">
        <v>3682</v>
      </c>
      <c r="AH248" s="374">
        <v>44504.0</v>
      </c>
      <c r="AI248" s="375"/>
      <c r="AJ248" s="375"/>
      <c r="AK248" s="373" t="s">
        <v>79</v>
      </c>
      <c r="AL248" s="373" t="s">
        <v>3719</v>
      </c>
      <c r="AM248" s="373" t="s">
        <v>3719</v>
      </c>
      <c r="AN248" s="373" t="s">
        <v>2706</v>
      </c>
      <c r="AO248" s="375"/>
      <c r="AP248" s="376" t="s">
        <v>3686</v>
      </c>
      <c r="AQ248" s="375"/>
    </row>
    <row r="249">
      <c r="A249" s="257" t="s">
        <v>2445</v>
      </c>
      <c r="B249" s="257" t="s">
        <v>2446</v>
      </c>
      <c r="C249" s="257" t="str">
        <f>VLOOKUP(A249,import!A:J,3,0)</f>
        <v>DOĞRU</v>
      </c>
      <c r="D249" s="257" t="s">
        <v>3676</v>
      </c>
      <c r="E249" s="257">
        <f>VLOOKUP(A249,import!A:J,5,0)</f>
        <v>996</v>
      </c>
      <c r="F249" s="257">
        <f>VLOOKUP(A249,import!A:J,6,0)</f>
        <v>32</v>
      </c>
      <c r="G249" s="257">
        <f>VLOOKUP(A249,import!A:J,7,0)</f>
        <v>0</v>
      </c>
      <c r="H249" s="257">
        <f>VLOOKUP(A249,import!A:J,8,0)</f>
        <v>18</v>
      </c>
      <c r="I249" s="257">
        <f>VLOOKUP(A249,import!A:J,9,0)</f>
        <v>18</v>
      </c>
      <c r="J249" s="369">
        <f>VLOOKUP(A249,import!A:J,10,0)</f>
        <v>0</v>
      </c>
      <c r="K249" s="257" t="s">
        <v>4554</v>
      </c>
      <c r="L249" s="257">
        <v>3.222279E9</v>
      </c>
      <c r="M249" s="257" t="s">
        <v>14</v>
      </c>
      <c r="N249" s="257" t="s">
        <v>3767</v>
      </c>
      <c r="O249" s="257" t="s">
        <v>2448</v>
      </c>
      <c r="P249" s="370" t="str">
        <f>VLOOKUP(A249,import!A:P,16,0)</f>
        <v>Geleneksel</v>
      </c>
      <c r="Q249" s="370"/>
      <c r="R249" s="370" t="b">
        <v>1</v>
      </c>
      <c r="S249" s="370" t="b">
        <v>0</v>
      </c>
      <c r="T249" s="301" t="s">
        <v>3770</v>
      </c>
      <c r="U249" s="301" t="s">
        <v>2542</v>
      </c>
      <c r="V249" s="301" t="s">
        <v>78</v>
      </c>
      <c r="W249" s="301" t="s">
        <v>4555</v>
      </c>
      <c r="X249" s="371">
        <v>44453.0</v>
      </c>
      <c r="Y249" s="371">
        <v>44454.0</v>
      </c>
      <c r="Z249" s="372"/>
      <c r="AA249" s="373" t="s">
        <v>3682</v>
      </c>
      <c r="AB249" s="374">
        <v>44356.0</v>
      </c>
      <c r="AC249" s="373" t="s">
        <v>3696</v>
      </c>
      <c r="AD249" s="374">
        <v>44435.0</v>
      </c>
      <c r="AE249" s="373" t="s">
        <v>3682</v>
      </c>
      <c r="AF249" s="374">
        <v>44453.0</v>
      </c>
      <c r="AG249" s="373" t="s">
        <v>3696</v>
      </c>
      <c r="AH249" s="374">
        <v>44523.0</v>
      </c>
      <c r="AI249" s="375"/>
      <c r="AJ249" s="375"/>
      <c r="AK249" s="373" t="s">
        <v>2706</v>
      </c>
      <c r="AL249" s="373" t="s">
        <v>3723</v>
      </c>
      <c r="AM249" s="373" t="s">
        <v>2542</v>
      </c>
      <c r="AN249" s="373" t="s">
        <v>2941</v>
      </c>
      <c r="AO249" s="375"/>
      <c r="AP249" s="376" t="s">
        <v>3683</v>
      </c>
      <c r="AQ249" s="375"/>
    </row>
    <row r="250">
      <c r="A250" s="257" t="s">
        <v>4556</v>
      </c>
      <c r="B250" s="257" t="s">
        <v>4557</v>
      </c>
      <c r="C250" s="257" t="str">
        <f>VLOOKUP(A250,import!A:J,3,0)</f>
        <v>DOĞRU</v>
      </c>
      <c r="D250" s="257" t="s">
        <v>3676</v>
      </c>
      <c r="E250" s="257">
        <f>VLOOKUP(A250,import!A:J,5,0)</f>
        <v>2743</v>
      </c>
      <c r="F250" s="257">
        <f>VLOOKUP(A250,import!A:J,6,0)</f>
        <v>160</v>
      </c>
      <c r="G250" s="257">
        <f>VLOOKUP(A250,import!A:J,7,0)</f>
        <v>0</v>
      </c>
      <c r="H250" s="257">
        <f>VLOOKUP(A250,import!A:J,8,0)</f>
        <v>31</v>
      </c>
      <c r="I250" s="257">
        <f>VLOOKUP(A250,import!A:J,9,0)</f>
        <v>31</v>
      </c>
      <c r="J250" s="369">
        <f>VLOOKUP(A250,import!A:J,10,0)</f>
        <v>0</v>
      </c>
      <c r="K250" s="257" t="s">
        <v>4558</v>
      </c>
      <c r="L250" s="257">
        <v>5.445054581E9</v>
      </c>
      <c r="M250" s="257" t="s">
        <v>14</v>
      </c>
      <c r="N250" s="257" t="s">
        <v>3678</v>
      </c>
      <c r="O250" s="257" t="s">
        <v>4559</v>
      </c>
      <c r="P250" s="370" t="str">
        <f>VLOOKUP(A250,import!A:P,16,0)</f>
        <v>Geleneksel</v>
      </c>
      <c r="Q250" s="370"/>
      <c r="R250" s="370" t="b">
        <v>1</v>
      </c>
      <c r="S250" s="370" t="b">
        <v>0</v>
      </c>
      <c r="T250" s="301" t="s">
        <v>3770</v>
      </c>
      <c r="U250" s="379"/>
      <c r="V250" s="379"/>
      <c r="W250" s="301" t="s">
        <v>4560</v>
      </c>
      <c r="X250" s="381"/>
      <c r="Y250" s="381"/>
      <c r="Z250" s="372"/>
      <c r="AA250" s="373" t="s">
        <v>3695</v>
      </c>
      <c r="AB250" s="374">
        <v>44391.0</v>
      </c>
      <c r="AC250" s="373" t="s">
        <v>3695</v>
      </c>
      <c r="AD250" s="374">
        <v>44505.0</v>
      </c>
      <c r="AE250" s="92"/>
      <c r="AF250" s="375"/>
      <c r="AG250" s="92"/>
      <c r="AH250" s="375"/>
      <c r="AI250" s="375"/>
      <c r="AJ250" s="375"/>
      <c r="AK250" s="373" t="s">
        <v>4089</v>
      </c>
      <c r="AL250" s="373" t="s">
        <v>2542</v>
      </c>
      <c r="AM250" s="375"/>
      <c r="AN250" s="375"/>
      <c r="AO250" s="375"/>
      <c r="AP250" s="376" t="s">
        <v>3683</v>
      </c>
      <c r="AQ250" s="375"/>
    </row>
    <row r="251">
      <c r="A251" s="257" t="s">
        <v>3368</v>
      </c>
      <c r="B251" s="257" t="s">
        <v>3369</v>
      </c>
      <c r="C251" s="257" t="str">
        <f>VLOOKUP(A251,import!A:J,3,0)</f>
        <v>DOĞRU</v>
      </c>
      <c r="D251" s="257" t="s">
        <v>3676</v>
      </c>
      <c r="E251" s="257">
        <f>VLOOKUP(A251,import!A:J,5,0)</f>
        <v>640</v>
      </c>
      <c r="F251" s="257">
        <f>VLOOKUP(A251,import!A:J,6,0)</f>
        <v>149</v>
      </c>
      <c r="G251" s="257">
        <f>VLOOKUP(A251,import!A:J,7,0)</f>
        <v>0</v>
      </c>
      <c r="H251" s="257">
        <f>VLOOKUP(A251,import!A:J,8,0)</f>
        <v>20</v>
      </c>
      <c r="I251" s="257">
        <f>VLOOKUP(A251,import!A:J,9,0)</f>
        <v>20</v>
      </c>
      <c r="J251" s="369">
        <f>VLOOKUP(A251,import!A:J,10,0)</f>
        <v>0</v>
      </c>
      <c r="K251" s="257" t="s">
        <v>4561</v>
      </c>
      <c r="L251" s="257">
        <v>3.224587888E9</v>
      </c>
      <c r="M251" s="257" t="s">
        <v>286</v>
      </c>
      <c r="N251" s="257" t="s">
        <v>3806</v>
      </c>
      <c r="O251" s="257" t="s">
        <v>3371</v>
      </c>
      <c r="P251" s="370" t="str">
        <f>VLOOKUP(A251,import!A:P,16,0)</f>
        <v>Geleneksel</v>
      </c>
      <c r="Q251" s="370"/>
      <c r="R251" s="370" t="b">
        <v>1</v>
      </c>
      <c r="S251" s="370" t="b">
        <v>0</v>
      </c>
      <c r="T251" s="301" t="s">
        <v>3735</v>
      </c>
      <c r="U251" s="301" t="s">
        <v>2576</v>
      </c>
      <c r="V251" s="402" t="s">
        <v>3331</v>
      </c>
      <c r="W251" s="299">
        <v>5.45625986E9</v>
      </c>
      <c r="X251" s="371">
        <v>44620.0</v>
      </c>
      <c r="Y251" s="371">
        <v>44621.0</v>
      </c>
      <c r="Z251" s="372"/>
      <c r="AA251" s="373" t="s">
        <v>3682</v>
      </c>
      <c r="AB251" s="374">
        <v>44620.0</v>
      </c>
      <c r="AC251" s="373"/>
      <c r="AD251" s="374"/>
      <c r="AE251" s="373"/>
      <c r="AF251" s="374"/>
      <c r="AG251" s="373"/>
      <c r="AH251" s="374"/>
      <c r="AI251" s="375"/>
      <c r="AJ251" s="375"/>
      <c r="AK251" s="373" t="s">
        <v>2576</v>
      </c>
      <c r="AL251" s="375"/>
      <c r="AM251" s="375"/>
      <c r="AN251" s="373"/>
      <c r="AO251" s="375"/>
      <c r="AP251" s="376"/>
      <c r="AQ251" s="375"/>
    </row>
    <row r="252">
      <c r="A252" s="257" t="s">
        <v>3100</v>
      </c>
      <c r="B252" s="257" t="s">
        <v>3101</v>
      </c>
      <c r="C252" s="257" t="str">
        <f>VLOOKUP(A252,import!A:J,3,0)</f>
        <v>DOĞRU</v>
      </c>
      <c r="D252" s="257" t="s">
        <v>3676</v>
      </c>
      <c r="E252" s="257">
        <f>VLOOKUP(A252,import!A:J,5,0)</f>
        <v>1357</v>
      </c>
      <c r="F252" s="257">
        <f>VLOOKUP(A252,import!A:J,6,0)</f>
        <v>87</v>
      </c>
      <c r="G252" s="257">
        <f>VLOOKUP(A252,import!A:J,7,0)</f>
        <v>14</v>
      </c>
      <c r="H252" s="257">
        <f>VLOOKUP(A252,import!A:J,8,0)</f>
        <v>1</v>
      </c>
      <c r="I252" s="257">
        <f>VLOOKUP(A252,import!A:J,9,0)</f>
        <v>15</v>
      </c>
      <c r="J252" s="369">
        <f>VLOOKUP(A252,import!A:J,10,0)</f>
        <v>0.93</v>
      </c>
      <c r="K252" s="257" t="s">
        <v>4562</v>
      </c>
      <c r="L252" s="257">
        <v>5.431873301E9</v>
      </c>
      <c r="M252" s="257" t="s">
        <v>286</v>
      </c>
      <c r="N252" s="257" t="s">
        <v>3769</v>
      </c>
      <c r="O252" s="257" t="s">
        <v>3103</v>
      </c>
      <c r="P252" s="370" t="str">
        <f>VLOOKUP(A252,import!A:P,16,0)</f>
        <v>Geleneksel</v>
      </c>
      <c r="Q252" s="370"/>
      <c r="R252" s="370" t="b">
        <v>1</v>
      </c>
      <c r="S252" s="370" t="b">
        <v>0</v>
      </c>
      <c r="T252" s="301" t="s">
        <v>3679</v>
      </c>
      <c r="U252" s="301" t="s">
        <v>2542</v>
      </c>
      <c r="V252" s="301" t="s">
        <v>78</v>
      </c>
      <c r="W252" s="301"/>
      <c r="X252" s="371">
        <v>44515.0</v>
      </c>
      <c r="Y252" s="371">
        <v>44517.0</v>
      </c>
      <c r="Z252" s="372"/>
      <c r="AA252" s="373" t="s">
        <v>3682</v>
      </c>
      <c r="AB252" s="374">
        <v>44515.0</v>
      </c>
      <c r="AC252" s="373"/>
      <c r="AD252" s="374"/>
      <c r="AE252" s="373"/>
      <c r="AF252" s="374"/>
      <c r="AG252" s="373"/>
      <c r="AH252" s="374"/>
      <c r="AI252" s="375"/>
      <c r="AJ252" s="375"/>
      <c r="AK252" s="373" t="s">
        <v>2542</v>
      </c>
      <c r="AL252" s="375"/>
      <c r="AM252" s="375"/>
      <c r="AN252" s="373"/>
      <c r="AO252" s="375"/>
      <c r="AP252" s="376" t="s">
        <v>3686</v>
      </c>
      <c r="AQ252" s="375"/>
    </row>
    <row r="253">
      <c r="A253" s="257" t="s">
        <v>4563</v>
      </c>
      <c r="B253" s="257" t="s">
        <v>4564</v>
      </c>
      <c r="C253" s="257" t="str">
        <f>VLOOKUP(A253,import!A:J,3,0)</f>
        <v>DOĞRU</v>
      </c>
      <c r="D253" s="257" t="s">
        <v>3676</v>
      </c>
      <c r="E253" s="257">
        <f>VLOOKUP(A253,import!A:J,5,0)</f>
        <v>4205</v>
      </c>
      <c r="F253" s="257">
        <f>VLOOKUP(A253,import!A:J,6,0)</f>
        <v>151</v>
      </c>
      <c r="G253" s="257">
        <f>VLOOKUP(A253,import!A:J,7,0)</f>
        <v>0</v>
      </c>
      <c r="H253" s="257">
        <f>VLOOKUP(A253,import!A:J,8,0)</f>
        <v>7</v>
      </c>
      <c r="I253" s="257">
        <f>VLOOKUP(A253,import!A:J,9,0)</f>
        <v>7</v>
      </c>
      <c r="J253" s="369">
        <f>VLOOKUP(A253,import!A:J,10,0)</f>
        <v>0</v>
      </c>
      <c r="K253" s="257" t="s">
        <v>4565</v>
      </c>
      <c r="L253" s="257">
        <v>5.443852626E9</v>
      </c>
      <c r="M253" s="257" t="s">
        <v>3692</v>
      </c>
      <c r="N253" s="257" t="s">
        <v>3693</v>
      </c>
      <c r="O253" s="257" t="s">
        <v>4566</v>
      </c>
      <c r="P253" s="370" t="str">
        <f>VLOOKUP(A253,import!A:P,16,0)</f>
        <v>Geleneksel</v>
      </c>
      <c r="Q253" s="370"/>
      <c r="R253" s="370" t="b">
        <v>1</v>
      </c>
      <c r="S253" s="370" t="b">
        <v>1</v>
      </c>
      <c r="T253" s="301"/>
      <c r="U253" s="301"/>
      <c r="V253" s="379"/>
      <c r="W253" s="301" t="s">
        <v>4567</v>
      </c>
      <c r="X253" s="371"/>
      <c r="Y253" s="371"/>
      <c r="Z253" s="377"/>
      <c r="AA253" s="373" t="s">
        <v>3696</v>
      </c>
      <c r="AB253" s="374">
        <v>44455.0</v>
      </c>
      <c r="AC253" s="373" t="s">
        <v>3682</v>
      </c>
      <c r="AD253" s="374">
        <v>44459.0</v>
      </c>
      <c r="AE253" s="373" t="s">
        <v>3695</v>
      </c>
      <c r="AF253" s="374">
        <v>44470.0</v>
      </c>
      <c r="AG253" s="373" t="s">
        <v>3448</v>
      </c>
      <c r="AH253" s="374">
        <v>44475.0</v>
      </c>
      <c r="AI253" s="373" t="s">
        <v>3682</v>
      </c>
      <c r="AJ253" s="374">
        <v>44496.0</v>
      </c>
      <c r="AK253" s="373" t="s">
        <v>79</v>
      </c>
      <c r="AL253" s="373" t="s">
        <v>2542</v>
      </c>
      <c r="AM253" s="373" t="s">
        <v>79</v>
      </c>
      <c r="AN253" s="373" t="s">
        <v>399</v>
      </c>
      <c r="AO253" s="373" t="s">
        <v>2282</v>
      </c>
      <c r="AP253" s="376" t="s">
        <v>3686</v>
      </c>
      <c r="AQ253" s="373"/>
    </row>
    <row r="254">
      <c r="A254" s="257" t="s">
        <v>1685</v>
      </c>
      <c r="B254" s="257" t="s">
        <v>1686</v>
      </c>
      <c r="C254" s="257" t="str">
        <f>VLOOKUP(A254,import!A:J,3,0)</f>
        <v>DOĞRU</v>
      </c>
      <c r="D254" s="257" t="s">
        <v>3713</v>
      </c>
      <c r="E254" s="257">
        <f>VLOOKUP(A254,import!A:J,5,0)</f>
        <v>652</v>
      </c>
      <c r="F254" s="257">
        <f>VLOOKUP(A254,import!A:J,6,0)</f>
        <v>33</v>
      </c>
      <c r="G254" s="257">
        <f>VLOOKUP(A254,import!A:J,7,0)</f>
        <v>10</v>
      </c>
      <c r="H254" s="257">
        <f>VLOOKUP(A254,import!A:J,8,0)</f>
        <v>1</v>
      </c>
      <c r="I254" s="257">
        <f>VLOOKUP(A254,import!A:J,9,0)</f>
        <v>11</v>
      </c>
      <c r="J254" s="369">
        <f>VLOOKUP(A254,import!A:J,10,0)</f>
        <v>0.91</v>
      </c>
      <c r="K254" s="257" t="s">
        <v>4568</v>
      </c>
      <c r="L254" s="257">
        <v>5.453903078E9</v>
      </c>
      <c r="M254" s="257" t="s">
        <v>3692</v>
      </c>
      <c r="N254" s="257" t="s">
        <v>4156</v>
      </c>
      <c r="O254" s="257" t="s">
        <v>1689</v>
      </c>
      <c r="P254" s="370" t="str">
        <f>VLOOKUP(A254,import!A:P,16,0)</f>
        <v>Geleneksel</v>
      </c>
      <c r="Q254" s="370"/>
      <c r="R254" s="370" t="b">
        <v>1</v>
      </c>
      <c r="S254" s="370" t="b">
        <v>0</v>
      </c>
      <c r="T254" s="301" t="s">
        <v>3679</v>
      </c>
      <c r="U254" s="301" t="s">
        <v>1953</v>
      </c>
      <c r="V254" s="301" t="s">
        <v>78</v>
      </c>
      <c r="W254" s="301"/>
      <c r="X254" s="371">
        <v>44428.0</v>
      </c>
      <c r="Y254" s="371">
        <v>44433.0</v>
      </c>
      <c r="Z254" s="301" t="s">
        <v>3957</v>
      </c>
      <c r="AA254" s="373" t="s">
        <v>3682</v>
      </c>
      <c r="AB254" s="371">
        <v>44405.0</v>
      </c>
      <c r="AC254" s="373" t="s">
        <v>3682</v>
      </c>
      <c r="AD254" s="374">
        <v>44428.0</v>
      </c>
      <c r="AE254" s="92"/>
      <c r="AF254" s="375"/>
      <c r="AG254" s="92"/>
      <c r="AH254" s="375"/>
      <c r="AI254" s="375"/>
      <c r="AJ254" s="375"/>
      <c r="AK254" s="373" t="s">
        <v>3752</v>
      </c>
      <c r="AL254" s="373" t="s">
        <v>1953</v>
      </c>
      <c r="AM254" s="375"/>
      <c r="AN254" s="375"/>
      <c r="AO254" s="375"/>
      <c r="AP254" s="376" t="s">
        <v>3686</v>
      </c>
      <c r="AQ254" s="375"/>
    </row>
    <row r="255">
      <c r="A255" s="257" t="s">
        <v>3009</v>
      </c>
      <c r="B255" s="257" t="s">
        <v>3010</v>
      </c>
      <c r="C255" s="257" t="str">
        <f>VLOOKUP(A255,import!A:J,3,0)</f>
        <v>DOĞRU</v>
      </c>
      <c r="D255" s="257" t="s">
        <v>3994</v>
      </c>
      <c r="E255" s="257">
        <f>VLOOKUP(A255,import!A:J,5,0)</f>
        <v>723</v>
      </c>
      <c r="F255" s="257">
        <f>VLOOKUP(A255,import!A:J,6,0)</f>
        <v>31</v>
      </c>
      <c r="G255" s="257">
        <f>VLOOKUP(A255,import!A:J,7,0)</f>
        <v>6</v>
      </c>
      <c r="H255" s="257">
        <f>VLOOKUP(A255,import!A:J,8,0)</f>
        <v>8</v>
      </c>
      <c r="I255" s="257">
        <f>VLOOKUP(A255,import!A:J,9,0)</f>
        <v>14</v>
      </c>
      <c r="J255" s="369">
        <f>VLOOKUP(A255,import!A:J,10,0)</f>
        <v>0.43</v>
      </c>
      <c r="K255" s="257" t="s">
        <v>4569</v>
      </c>
      <c r="L255" s="257">
        <v>5.414020104E9</v>
      </c>
      <c r="M255" s="257" t="s">
        <v>3707</v>
      </c>
      <c r="N255" s="257" t="s">
        <v>4570</v>
      </c>
      <c r="O255" s="257" t="s">
        <v>3012</v>
      </c>
      <c r="P255" s="370" t="str">
        <f>VLOOKUP(A255,import!A:P,16,0)</f>
        <v>Geleneksel</v>
      </c>
      <c r="Q255" s="370"/>
      <c r="R255" s="370" t="b">
        <v>1</v>
      </c>
      <c r="S255" s="370" t="b">
        <v>0</v>
      </c>
      <c r="T255" s="301" t="s">
        <v>3679</v>
      </c>
      <c r="U255" s="301" t="s">
        <v>2706</v>
      </c>
      <c r="V255" s="301" t="s">
        <v>78</v>
      </c>
      <c r="W255" s="301" t="s">
        <v>4571</v>
      </c>
      <c r="X255" s="371">
        <v>44504.0</v>
      </c>
      <c r="Y255" s="371">
        <v>44505.0</v>
      </c>
      <c r="Z255" s="301" t="s">
        <v>3957</v>
      </c>
      <c r="AA255" s="373" t="s">
        <v>3682</v>
      </c>
      <c r="AB255" s="374">
        <v>44390.0</v>
      </c>
      <c r="AC255" s="373" t="s">
        <v>3682</v>
      </c>
      <c r="AD255" s="374">
        <v>44391.0</v>
      </c>
      <c r="AE255" s="373" t="s">
        <v>3682</v>
      </c>
      <c r="AF255" s="374">
        <v>44504.0</v>
      </c>
      <c r="AG255" s="373" t="s">
        <v>3682</v>
      </c>
      <c r="AH255" s="374">
        <v>44574.0</v>
      </c>
      <c r="AI255" s="375"/>
      <c r="AJ255" s="375"/>
      <c r="AK255" s="373" t="s">
        <v>3719</v>
      </c>
      <c r="AL255" s="373" t="s">
        <v>4089</v>
      </c>
      <c r="AM255" s="373" t="s">
        <v>2706</v>
      </c>
      <c r="AN255" s="373" t="s">
        <v>2706</v>
      </c>
      <c r="AO255" s="375"/>
      <c r="AP255" s="376" t="s">
        <v>3686</v>
      </c>
      <c r="AQ255" s="375"/>
    </row>
    <row r="256">
      <c r="A256" s="257" t="s">
        <v>2262</v>
      </c>
      <c r="B256" s="257" t="s">
        <v>2263</v>
      </c>
      <c r="C256" s="257" t="str">
        <f>VLOOKUP(A256,import!A:J,3,0)</f>
        <v>DOĞRU</v>
      </c>
      <c r="D256" s="257" t="s">
        <v>4572</v>
      </c>
      <c r="E256" s="257">
        <f>VLOOKUP(A256,import!A:J,5,0)</f>
        <v>3142</v>
      </c>
      <c r="F256" s="257">
        <f>VLOOKUP(A256,import!A:J,6,0)</f>
        <v>123</v>
      </c>
      <c r="G256" s="257">
        <f>VLOOKUP(A256,import!A:J,7,0)</f>
        <v>16</v>
      </c>
      <c r="H256" s="257">
        <f>VLOOKUP(A256,import!A:J,8,0)</f>
        <v>14</v>
      </c>
      <c r="I256" s="257">
        <f>VLOOKUP(A256,import!A:J,9,0)</f>
        <v>30</v>
      </c>
      <c r="J256" s="369">
        <f>VLOOKUP(A256,import!A:J,10,0)</f>
        <v>0.53</v>
      </c>
      <c r="K256" s="257" t="s">
        <v>4573</v>
      </c>
      <c r="L256" s="257">
        <v>5.075938347E9</v>
      </c>
      <c r="M256" s="257" t="s">
        <v>286</v>
      </c>
      <c r="N256" s="257" t="s">
        <v>4451</v>
      </c>
      <c r="O256" s="257" t="s">
        <v>2265</v>
      </c>
      <c r="P256" s="370" t="str">
        <f>VLOOKUP(A256,import!A:P,16,0)</f>
        <v>Geleneksel</v>
      </c>
      <c r="Q256" s="370"/>
      <c r="R256" s="370" t="b">
        <v>1</v>
      </c>
      <c r="S256" s="370" t="b">
        <v>0</v>
      </c>
      <c r="T256" s="301" t="s">
        <v>3679</v>
      </c>
      <c r="U256" s="301" t="s">
        <v>3073</v>
      </c>
      <c r="V256" s="301" t="s">
        <v>78</v>
      </c>
      <c r="W256" s="301" t="s">
        <v>4574</v>
      </c>
      <c r="X256" s="371">
        <v>44510.0</v>
      </c>
      <c r="Y256" s="371">
        <v>44512.0</v>
      </c>
      <c r="Z256" s="372"/>
      <c r="AA256" s="373" t="s">
        <v>3682</v>
      </c>
      <c r="AB256" s="374">
        <v>44386.0</v>
      </c>
      <c r="AC256" s="373" t="s">
        <v>3682</v>
      </c>
      <c r="AD256" s="374">
        <v>44418.0</v>
      </c>
      <c r="AE256" s="373" t="s">
        <v>3682</v>
      </c>
      <c r="AF256" s="374">
        <v>44441.0</v>
      </c>
      <c r="AG256" s="373" t="s">
        <v>3682</v>
      </c>
      <c r="AH256" s="374">
        <v>44510.0</v>
      </c>
      <c r="AI256" s="375"/>
      <c r="AJ256" s="375"/>
      <c r="AK256" s="373" t="s">
        <v>79</v>
      </c>
      <c r="AL256" s="373" t="s">
        <v>1953</v>
      </c>
      <c r="AM256" s="373" t="s">
        <v>2542</v>
      </c>
      <c r="AN256" s="373" t="s">
        <v>3073</v>
      </c>
      <c r="AO256" s="375"/>
      <c r="AP256" s="376" t="s">
        <v>3686</v>
      </c>
      <c r="AQ256" s="375"/>
    </row>
    <row r="257">
      <c r="A257" s="257" t="s">
        <v>4575</v>
      </c>
      <c r="B257" s="257" t="s">
        <v>4576</v>
      </c>
      <c r="C257" s="257" t="str">
        <f>VLOOKUP(A257,import!A:J,3,0)</f>
        <v>DOĞRU</v>
      </c>
      <c r="D257" s="257" t="s">
        <v>3676</v>
      </c>
      <c r="E257" s="257">
        <f>VLOOKUP(A257,import!A:J,5,0)</f>
        <v>8717</v>
      </c>
      <c r="F257" s="257">
        <f>VLOOKUP(A257,import!A:J,6,0)</f>
        <v>583</v>
      </c>
      <c r="G257" s="257">
        <f>VLOOKUP(A257,import!A:J,7,0)</f>
        <v>0</v>
      </c>
      <c r="H257" s="257">
        <f>VLOOKUP(A257,import!A:J,8,0)</f>
        <v>14</v>
      </c>
      <c r="I257" s="257">
        <f>VLOOKUP(A257,import!A:J,9,0)</f>
        <v>14</v>
      </c>
      <c r="J257" s="369">
        <f>VLOOKUP(A257,import!A:J,10,0)</f>
        <v>0</v>
      </c>
      <c r="K257" s="257" t="s">
        <v>4577</v>
      </c>
      <c r="L257" s="257">
        <v>3.222030505E9</v>
      </c>
      <c r="M257" s="257" t="s">
        <v>14</v>
      </c>
      <c r="N257" s="257" t="s">
        <v>3733</v>
      </c>
      <c r="O257" s="257" t="s">
        <v>4578</v>
      </c>
      <c r="P257" s="370" t="str">
        <f>VLOOKUP(A257,import!A:P,16,0)</f>
        <v>Geleneksel</v>
      </c>
      <c r="Q257" s="370"/>
      <c r="R257" s="370" t="b">
        <v>1</v>
      </c>
      <c r="S257" s="370" t="b">
        <v>1</v>
      </c>
      <c r="T257" s="301"/>
      <c r="U257" s="379"/>
      <c r="V257" s="379"/>
      <c r="W257" s="301" t="s">
        <v>4579</v>
      </c>
      <c r="X257" s="381"/>
      <c r="Y257" s="381"/>
      <c r="Z257" s="372"/>
      <c r="AA257" s="373" t="s">
        <v>3682</v>
      </c>
      <c r="AB257" s="374">
        <v>44418.0</v>
      </c>
      <c r="AC257" s="373" t="s">
        <v>3682</v>
      </c>
      <c r="AD257" s="374">
        <v>44440.0</v>
      </c>
      <c r="AE257" s="373" t="s">
        <v>3695</v>
      </c>
      <c r="AF257" s="374">
        <v>44505.0</v>
      </c>
      <c r="AG257" s="92"/>
      <c r="AH257" s="375"/>
      <c r="AI257" s="375"/>
      <c r="AJ257" s="375"/>
      <c r="AK257" s="373" t="s">
        <v>1953</v>
      </c>
      <c r="AL257" s="373" t="s">
        <v>2542</v>
      </c>
      <c r="AM257" s="373" t="s">
        <v>2542</v>
      </c>
      <c r="AN257" s="375"/>
      <c r="AO257" s="375"/>
      <c r="AP257" s="376" t="s">
        <v>3683</v>
      </c>
      <c r="AQ257" s="375"/>
    </row>
    <row r="258">
      <c r="A258" s="257" t="s">
        <v>1752</v>
      </c>
      <c r="B258" s="257" t="s">
        <v>1753</v>
      </c>
      <c r="C258" s="257" t="str">
        <f>VLOOKUP(A258,import!A:J,3,0)</f>
        <v>DOĞRU</v>
      </c>
      <c r="D258" s="257" t="s">
        <v>3801</v>
      </c>
      <c r="E258" s="257">
        <f>VLOOKUP(A258,import!A:J,5,0)</f>
        <v>1549</v>
      </c>
      <c r="F258" s="257">
        <f>VLOOKUP(A258,import!A:J,6,0)</f>
        <v>20</v>
      </c>
      <c r="G258" s="257">
        <f>VLOOKUP(A258,import!A:J,7,0)</f>
        <v>12</v>
      </c>
      <c r="H258" s="257">
        <f>VLOOKUP(A258,import!A:J,8,0)</f>
        <v>22</v>
      </c>
      <c r="I258" s="257">
        <f>VLOOKUP(A258,import!A:J,9,0)</f>
        <v>34</v>
      </c>
      <c r="J258" s="369">
        <f>VLOOKUP(A258,import!A:J,10,0)</f>
        <v>0.35</v>
      </c>
      <c r="K258" s="257" t="s">
        <v>4580</v>
      </c>
      <c r="L258" s="257">
        <v>5.364403889E9</v>
      </c>
      <c r="M258" s="257" t="s">
        <v>14</v>
      </c>
      <c r="N258" s="257" t="s">
        <v>3935</v>
      </c>
      <c r="O258" s="257" t="s">
        <v>1755</v>
      </c>
      <c r="P258" s="370" t="str">
        <f>VLOOKUP(A258,import!A:P,16,0)</f>
        <v>Geleneksel</v>
      </c>
      <c r="Q258" s="370"/>
      <c r="R258" s="370" t="b">
        <v>1</v>
      </c>
      <c r="S258" s="370" t="b">
        <v>0</v>
      </c>
      <c r="T258" s="300" t="s">
        <v>3735</v>
      </c>
      <c r="U258" s="301" t="s">
        <v>2576</v>
      </c>
      <c r="V258" s="380" t="s">
        <v>78</v>
      </c>
      <c r="W258" s="301" t="s">
        <v>4581</v>
      </c>
      <c r="X258" s="371">
        <v>44463.0</v>
      </c>
      <c r="Y258" s="371">
        <v>44466.0</v>
      </c>
      <c r="Z258" s="372"/>
      <c r="AA258" s="373" t="s">
        <v>3682</v>
      </c>
      <c r="AB258" s="374">
        <v>44412.0</v>
      </c>
      <c r="AC258" s="373" t="s">
        <v>3448</v>
      </c>
      <c r="AD258" s="374">
        <v>44436.0</v>
      </c>
      <c r="AE258" s="373" t="s">
        <v>3448</v>
      </c>
      <c r="AF258" s="374">
        <v>44453.0</v>
      </c>
      <c r="AG258" s="373" t="s">
        <v>3682</v>
      </c>
      <c r="AH258" s="374">
        <v>44463.0</v>
      </c>
      <c r="AI258" s="373" t="s">
        <v>3448</v>
      </c>
      <c r="AJ258" s="374">
        <v>44544.0</v>
      </c>
      <c r="AK258" s="373" t="s">
        <v>3723</v>
      </c>
      <c r="AL258" s="373" t="s">
        <v>3729</v>
      </c>
      <c r="AM258" s="373" t="s">
        <v>2542</v>
      </c>
      <c r="AN258" s="373" t="s">
        <v>2576</v>
      </c>
      <c r="AO258" s="373" t="s">
        <v>3073</v>
      </c>
      <c r="AP258" s="376" t="s">
        <v>3683</v>
      </c>
      <c r="AQ258" s="373"/>
    </row>
    <row r="259">
      <c r="A259" s="257" t="s">
        <v>4582</v>
      </c>
      <c r="B259" s="257" t="s">
        <v>4583</v>
      </c>
      <c r="C259" s="257" t="str">
        <f>VLOOKUP(A259,import!A:J,3,0)</f>
        <v>DOĞRU</v>
      </c>
      <c r="D259" s="257" t="s">
        <v>3801</v>
      </c>
      <c r="E259" s="257">
        <f>VLOOKUP(A259,import!A:J,5,0)</f>
        <v>998</v>
      </c>
      <c r="F259" s="257">
        <f>VLOOKUP(A259,import!A:J,6,0)</f>
        <v>32</v>
      </c>
      <c r="G259" s="257">
        <f>VLOOKUP(A259,import!A:J,7,0)</f>
        <v>8</v>
      </c>
      <c r="H259" s="257">
        <f>VLOOKUP(A259,import!A:J,8,0)</f>
        <v>14</v>
      </c>
      <c r="I259" s="257">
        <f>VLOOKUP(A259,import!A:J,9,0)</f>
        <v>22</v>
      </c>
      <c r="J259" s="369">
        <f>VLOOKUP(A259,import!A:J,10,0)</f>
        <v>0.36</v>
      </c>
      <c r="K259" s="257" t="s">
        <v>4584</v>
      </c>
      <c r="L259" s="257">
        <v>5.464493179E9</v>
      </c>
      <c r="M259" s="257" t="s">
        <v>14</v>
      </c>
      <c r="N259" s="257" t="s">
        <v>3733</v>
      </c>
      <c r="O259" s="257" t="s">
        <v>4585</v>
      </c>
      <c r="P259" s="370" t="str">
        <f>VLOOKUP(A259,import!A:P,16,0)</f>
        <v>Geleneksel</v>
      </c>
      <c r="Q259" s="370"/>
      <c r="R259" s="370" t="b">
        <v>1</v>
      </c>
      <c r="S259" s="370" t="b">
        <v>0</v>
      </c>
      <c r="T259" s="300" t="s">
        <v>3735</v>
      </c>
      <c r="U259" s="379"/>
      <c r="V259" s="379"/>
      <c r="W259" s="301" t="s">
        <v>4586</v>
      </c>
      <c r="X259" s="381"/>
      <c r="Y259" s="381"/>
      <c r="Z259" s="372"/>
      <c r="AA259" s="373" t="s">
        <v>3682</v>
      </c>
      <c r="AB259" s="374">
        <v>44469.0</v>
      </c>
      <c r="AC259" s="375"/>
      <c r="AD259" s="375"/>
      <c r="AE259" s="92"/>
      <c r="AF259" s="375"/>
      <c r="AG259" s="92"/>
      <c r="AH259" s="375"/>
      <c r="AI259" s="375"/>
      <c r="AJ259" s="375"/>
      <c r="AK259" s="373" t="s">
        <v>2282</v>
      </c>
      <c r="AL259" s="375"/>
      <c r="AM259" s="375"/>
      <c r="AN259" s="375"/>
      <c r="AO259" s="375"/>
      <c r="AP259" s="376" t="s">
        <v>3683</v>
      </c>
      <c r="AQ259" s="375"/>
    </row>
    <row r="260">
      <c r="A260" s="376" t="s">
        <v>4587</v>
      </c>
      <c r="B260" s="376" t="s">
        <v>4588</v>
      </c>
      <c r="C260" s="257" t="str">
        <f>VLOOKUP(A260,import!A:J,3,0)</f>
        <v>DOĞRU</v>
      </c>
      <c r="D260" s="376" t="s">
        <v>3801</v>
      </c>
      <c r="E260" s="257">
        <f>VLOOKUP(A260,import!A:J,5,0)</f>
        <v>1</v>
      </c>
      <c r="F260" s="257">
        <f>VLOOKUP(A260,import!A:J,6,0)</f>
        <v>1</v>
      </c>
      <c r="G260" s="257">
        <f>VLOOKUP(A260,import!A:J,7,0)</f>
        <v>0</v>
      </c>
      <c r="H260" s="257">
        <f>VLOOKUP(A260,import!A:J,8,0)</f>
        <v>17</v>
      </c>
      <c r="I260" s="257">
        <f>VLOOKUP(A260,import!A:J,9,0)</f>
        <v>17</v>
      </c>
      <c r="J260" s="369">
        <f>VLOOKUP(A260,import!A:J,10,0)</f>
        <v>0</v>
      </c>
      <c r="K260" s="376" t="s">
        <v>4589</v>
      </c>
      <c r="L260" s="376">
        <v>5.4242699E9</v>
      </c>
      <c r="M260" s="376" t="s">
        <v>14</v>
      </c>
      <c r="N260" s="376" t="s">
        <v>3797</v>
      </c>
      <c r="O260" s="376" t="s">
        <v>4590</v>
      </c>
      <c r="P260" s="370" t="str">
        <f>VLOOKUP(A260,import!A:P,16,0)</f>
        <v>Geleneksel</v>
      </c>
      <c r="Q260" s="370"/>
      <c r="R260" s="370" t="b">
        <v>0</v>
      </c>
      <c r="S260" s="370" t="b">
        <v>0</v>
      </c>
      <c r="T260" s="301"/>
      <c r="U260" s="301"/>
      <c r="V260" s="380"/>
      <c r="W260" s="301"/>
      <c r="X260" s="371"/>
      <c r="Y260" s="371"/>
      <c r="Z260" s="372"/>
      <c r="AA260" s="373"/>
      <c r="AB260" s="374"/>
      <c r="AC260" s="373"/>
      <c r="AD260" s="374"/>
      <c r="AE260" s="373"/>
      <c r="AF260" s="374"/>
      <c r="AG260" s="373"/>
      <c r="AH260" s="374"/>
      <c r="AI260" s="373"/>
      <c r="AJ260" s="374"/>
      <c r="AK260" s="373"/>
      <c r="AL260" s="373"/>
      <c r="AM260" s="373"/>
      <c r="AN260" s="373"/>
      <c r="AO260" s="373"/>
      <c r="AP260" s="376"/>
      <c r="AQ260" s="373"/>
    </row>
    <row r="261">
      <c r="A261" s="257" t="s">
        <v>2525</v>
      </c>
      <c r="B261" s="257" t="s">
        <v>2526</v>
      </c>
      <c r="C261" s="257" t="str">
        <f>VLOOKUP(A261,import!A:J,3,0)</f>
        <v>DOĞRU</v>
      </c>
      <c r="D261" s="257" t="s">
        <v>3801</v>
      </c>
      <c r="E261" s="257">
        <f>VLOOKUP(A261,import!A:J,5,0)</f>
        <v>1552</v>
      </c>
      <c r="F261" s="257">
        <f>VLOOKUP(A261,import!A:J,6,0)</f>
        <v>22</v>
      </c>
      <c r="G261" s="257">
        <f>VLOOKUP(A261,import!A:J,7,0)</f>
        <v>17</v>
      </c>
      <c r="H261" s="257">
        <f>VLOOKUP(A261,import!A:J,8,0)</f>
        <v>10</v>
      </c>
      <c r="I261" s="257">
        <f>VLOOKUP(A261,import!A:J,9,0)</f>
        <v>27</v>
      </c>
      <c r="J261" s="369">
        <f>VLOOKUP(A261,import!A:J,10,0)</f>
        <v>0.63</v>
      </c>
      <c r="K261" s="257" t="s">
        <v>4584</v>
      </c>
      <c r="L261" s="257">
        <v>3.222391019E9</v>
      </c>
      <c r="M261" s="257" t="s">
        <v>14</v>
      </c>
      <c r="N261" s="257" t="s">
        <v>3826</v>
      </c>
      <c r="O261" s="257" t="s">
        <v>2528</v>
      </c>
      <c r="P261" s="370" t="str">
        <f>VLOOKUP(A261,import!A:P,16,0)</f>
        <v>Geleneksel</v>
      </c>
      <c r="Q261" s="370"/>
      <c r="R261" s="370" t="b">
        <v>1</v>
      </c>
      <c r="S261" s="370" t="b">
        <v>0</v>
      </c>
      <c r="T261" s="301" t="s">
        <v>3679</v>
      </c>
      <c r="U261" s="301" t="s">
        <v>2282</v>
      </c>
      <c r="V261" s="36" t="s">
        <v>78</v>
      </c>
      <c r="W261" s="301">
        <v>5.464493179E9</v>
      </c>
      <c r="X261" s="371">
        <v>44455.0</v>
      </c>
      <c r="Y261" s="371">
        <v>44459.0</v>
      </c>
      <c r="Z261" s="372"/>
      <c r="AA261" s="375"/>
      <c r="AB261" s="375"/>
      <c r="AC261" s="375"/>
      <c r="AD261" s="375"/>
      <c r="AE261" s="92"/>
      <c r="AF261" s="375"/>
      <c r="AG261" s="92"/>
      <c r="AH261" s="375"/>
      <c r="AI261" s="375"/>
      <c r="AJ261" s="375"/>
      <c r="AK261" s="375"/>
      <c r="AL261" s="375"/>
      <c r="AM261" s="375"/>
      <c r="AN261" s="375"/>
      <c r="AO261" s="375"/>
      <c r="AP261" s="376" t="s">
        <v>3683</v>
      </c>
      <c r="AQ261" s="375"/>
    </row>
    <row r="262">
      <c r="A262" s="257" t="s">
        <v>152</v>
      </c>
      <c r="B262" s="257" t="s">
        <v>153</v>
      </c>
      <c r="C262" s="257" t="str">
        <f>VLOOKUP(A262,import!A:J,3,0)</f>
        <v>DOĞRU</v>
      </c>
      <c r="D262" s="257" t="s">
        <v>3801</v>
      </c>
      <c r="E262" s="257">
        <f>VLOOKUP(A262,import!A:J,5,0)</f>
        <v>2063</v>
      </c>
      <c r="F262" s="257">
        <f>VLOOKUP(A262,import!A:J,6,0)</f>
        <v>27</v>
      </c>
      <c r="G262" s="257">
        <f>VLOOKUP(A262,import!A:J,7,0)</f>
        <v>9</v>
      </c>
      <c r="H262" s="257">
        <f>VLOOKUP(A262,import!A:J,8,0)</f>
        <v>24</v>
      </c>
      <c r="I262" s="257">
        <f>VLOOKUP(A262,import!A:J,9,0)</f>
        <v>33</v>
      </c>
      <c r="J262" s="369">
        <f>VLOOKUP(A262,import!A:J,10,0)</f>
        <v>0.27</v>
      </c>
      <c r="K262" s="257" t="s">
        <v>4584</v>
      </c>
      <c r="L262" s="257">
        <v>5.464493179E9</v>
      </c>
      <c r="M262" s="257" t="s">
        <v>14</v>
      </c>
      <c r="N262" s="257" t="s">
        <v>3767</v>
      </c>
      <c r="O262" s="257" t="s">
        <v>155</v>
      </c>
      <c r="P262" s="370" t="str">
        <f>VLOOKUP(A262,import!A:P,16,0)</f>
        <v>Geleneksel</v>
      </c>
      <c r="Q262" s="370"/>
      <c r="R262" s="370" t="b">
        <v>1</v>
      </c>
      <c r="S262" s="370" t="b">
        <v>0</v>
      </c>
      <c r="T262" s="301" t="s">
        <v>3679</v>
      </c>
      <c r="U262" s="301" t="s">
        <v>131</v>
      </c>
      <c r="V262" s="301" t="s">
        <v>78</v>
      </c>
      <c r="W262" s="301"/>
      <c r="X262" s="371">
        <v>44293.0</v>
      </c>
      <c r="Y262" s="371">
        <v>44295.0</v>
      </c>
      <c r="Z262" s="377"/>
      <c r="AA262" s="375"/>
      <c r="AB262" s="375"/>
      <c r="AC262" s="375"/>
      <c r="AD262" s="375"/>
      <c r="AE262" s="92"/>
      <c r="AF262" s="375"/>
      <c r="AG262" s="92"/>
      <c r="AH262" s="375"/>
      <c r="AI262" s="375"/>
      <c r="AJ262" s="375"/>
      <c r="AK262" s="375"/>
      <c r="AL262" s="375"/>
      <c r="AM262" s="375"/>
      <c r="AN262" s="375"/>
      <c r="AO262" s="375"/>
      <c r="AP262" s="376" t="s">
        <v>3683</v>
      </c>
      <c r="AQ262" s="375"/>
    </row>
    <row r="263">
      <c r="A263" s="257" t="s">
        <v>4591</v>
      </c>
      <c r="B263" s="257" t="s">
        <v>4592</v>
      </c>
      <c r="C263" s="257" t="str">
        <f>VLOOKUP(A263,import!A:J,3,0)</f>
        <v>DOĞRU</v>
      </c>
      <c r="D263" s="257" t="s">
        <v>3801</v>
      </c>
      <c r="E263" s="257">
        <f>VLOOKUP(A263,import!A:J,5,0)</f>
        <v>1693</v>
      </c>
      <c r="F263" s="257">
        <f>VLOOKUP(A263,import!A:J,6,0)</f>
        <v>53</v>
      </c>
      <c r="G263" s="257">
        <f>VLOOKUP(A263,import!A:J,7,0)</f>
        <v>9</v>
      </c>
      <c r="H263" s="257">
        <f>VLOOKUP(A263,import!A:J,8,0)</f>
        <v>11</v>
      </c>
      <c r="I263" s="257">
        <f>VLOOKUP(A263,import!A:J,9,0)</f>
        <v>20</v>
      </c>
      <c r="J263" s="369">
        <f>VLOOKUP(A263,import!A:J,10,0)</f>
        <v>0.45</v>
      </c>
      <c r="K263" s="257" t="s">
        <v>4593</v>
      </c>
      <c r="L263" s="257">
        <v>5.434926455E9</v>
      </c>
      <c r="M263" s="257" t="s">
        <v>286</v>
      </c>
      <c r="N263" s="257" t="s">
        <v>3746</v>
      </c>
      <c r="O263" s="257" t="s">
        <v>4594</v>
      </c>
      <c r="P263" s="370" t="str">
        <f>VLOOKUP(A263,import!A:P,16,0)</f>
        <v>Geleneksel</v>
      </c>
      <c r="Q263" s="370"/>
      <c r="R263" s="370" t="b">
        <v>1</v>
      </c>
      <c r="S263" s="370" t="b">
        <v>0</v>
      </c>
      <c r="T263" s="300" t="s">
        <v>3735</v>
      </c>
      <c r="U263" s="379"/>
      <c r="V263" s="379"/>
      <c r="W263" s="301" t="s">
        <v>4595</v>
      </c>
      <c r="X263" s="381"/>
      <c r="Y263" s="381"/>
      <c r="Z263" s="372"/>
      <c r="AA263" s="373" t="s">
        <v>3682</v>
      </c>
      <c r="AB263" s="374">
        <v>44390.0</v>
      </c>
      <c r="AC263" s="373" t="s">
        <v>3682</v>
      </c>
      <c r="AD263" s="374">
        <v>44454.0</v>
      </c>
      <c r="AE263" s="373" t="s">
        <v>3682</v>
      </c>
      <c r="AF263" s="374">
        <v>44481.0</v>
      </c>
      <c r="AG263" s="92"/>
      <c r="AH263" s="375"/>
      <c r="AI263" s="375"/>
      <c r="AJ263" s="375"/>
      <c r="AK263" s="373" t="s">
        <v>3752</v>
      </c>
      <c r="AL263" s="373" t="s">
        <v>2542</v>
      </c>
      <c r="AM263" s="373" t="s">
        <v>2542</v>
      </c>
      <c r="AN263" s="375"/>
      <c r="AO263" s="375"/>
      <c r="AP263" s="376" t="s">
        <v>3686</v>
      </c>
      <c r="AQ263" s="375"/>
    </row>
    <row r="264">
      <c r="A264" s="266" t="s">
        <v>4596</v>
      </c>
      <c r="B264" s="266" t="s">
        <v>4597</v>
      </c>
      <c r="C264" s="257" t="str">
        <f>VLOOKUP(A264,import!A:J,3,0)</f>
        <v>DOĞRU</v>
      </c>
      <c r="D264" s="266" t="s">
        <v>3801</v>
      </c>
      <c r="E264" s="257">
        <f>VLOOKUP(A264,import!A:J,5,0)</f>
        <v>2280</v>
      </c>
      <c r="F264" s="257">
        <f>VLOOKUP(A264,import!A:J,6,0)</f>
        <v>38</v>
      </c>
      <c r="G264" s="257">
        <f>VLOOKUP(A264,import!A:J,7,0)</f>
        <v>13</v>
      </c>
      <c r="H264" s="257">
        <f>VLOOKUP(A264,import!A:J,8,0)</f>
        <v>2</v>
      </c>
      <c r="I264" s="257">
        <f>VLOOKUP(A264,import!A:J,9,0)</f>
        <v>15</v>
      </c>
      <c r="J264" s="369">
        <f>VLOOKUP(A264,import!A:J,10,0)</f>
        <v>0.87</v>
      </c>
      <c r="K264" s="266" t="s">
        <v>4598</v>
      </c>
      <c r="L264" s="266">
        <v>3.222241818E9</v>
      </c>
      <c r="M264" s="266" t="s">
        <v>286</v>
      </c>
      <c r="N264" s="266" t="s">
        <v>3961</v>
      </c>
      <c r="O264" s="266" t="s">
        <v>4599</v>
      </c>
      <c r="P264" s="370" t="str">
        <f>VLOOKUP(A264,import!A:P,16,0)</f>
        <v>Geleneksel</v>
      </c>
      <c r="Q264" s="370"/>
      <c r="R264" s="370" t="b">
        <v>1</v>
      </c>
      <c r="S264" s="370" t="b">
        <v>0</v>
      </c>
      <c r="T264" s="300" t="s">
        <v>3735</v>
      </c>
      <c r="U264" s="379"/>
      <c r="V264" s="379"/>
      <c r="W264" s="301" t="s">
        <v>4600</v>
      </c>
      <c r="X264" s="381"/>
      <c r="Y264" s="381"/>
      <c r="Z264" s="372"/>
      <c r="AA264" s="373" t="s">
        <v>3682</v>
      </c>
      <c r="AB264" s="374">
        <v>44390.0</v>
      </c>
      <c r="AC264" s="375"/>
      <c r="AD264" s="375"/>
      <c r="AE264" s="92"/>
      <c r="AF264" s="375"/>
      <c r="AG264" s="92"/>
      <c r="AH264" s="375"/>
      <c r="AI264" s="375"/>
      <c r="AJ264" s="375"/>
      <c r="AK264" s="373" t="s">
        <v>3752</v>
      </c>
      <c r="AL264" s="375"/>
      <c r="AM264" s="375"/>
      <c r="AN264" s="375"/>
      <c r="AO264" s="375"/>
      <c r="AP264" s="376" t="s">
        <v>3686</v>
      </c>
      <c r="AQ264" s="375"/>
    </row>
    <row r="265">
      <c r="A265" s="257" t="s">
        <v>1958</v>
      </c>
      <c r="B265" s="257" t="s">
        <v>1959</v>
      </c>
      <c r="C265" s="257" t="str">
        <f>VLOOKUP(A265,import!A:J,3,0)</f>
        <v>DOĞRU</v>
      </c>
      <c r="D265" s="257" t="s">
        <v>3801</v>
      </c>
      <c r="E265" s="257">
        <f>VLOOKUP(A265,import!A:J,5,0)</f>
        <v>1671</v>
      </c>
      <c r="F265" s="257">
        <f>VLOOKUP(A265,import!A:J,6,0)</f>
        <v>128</v>
      </c>
      <c r="G265" s="257">
        <f>VLOOKUP(A265,import!A:J,7,0)</f>
        <v>18</v>
      </c>
      <c r="H265" s="257">
        <f>VLOOKUP(A265,import!A:J,8,0)</f>
        <v>3</v>
      </c>
      <c r="I265" s="257">
        <f>VLOOKUP(A265,import!A:J,9,0)</f>
        <v>21</v>
      </c>
      <c r="J265" s="369">
        <f>VLOOKUP(A265,import!A:J,10,0)</f>
        <v>0.86</v>
      </c>
      <c r="K265" s="257" t="s">
        <v>4601</v>
      </c>
      <c r="L265" s="257">
        <v>3.229995252E9</v>
      </c>
      <c r="M265" s="257" t="s">
        <v>14</v>
      </c>
      <c r="N265" s="257" t="s">
        <v>3914</v>
      </c>
      <c r="O265" s="257" t="s">
        <v>1962</v>
      </c>
      <c r="P265" s="370" t="str">
        <f>VLOOKUP(A265,import!A:P,16,0)</f>
        <v>Geleneksel</v>
      </c>
      <c r="Q265" s="370"/>
      <c r="R265" s="370" t="b">
        <v>1</v>
      </c>
      <c r="S265" s="370" t="b">
        <v>0</v>
      </c>
      <c r="T265" s="301" t="s">
        <v>3679</v>
      </c>
      <c r="U265" s="301" t="s">
        <v>2192</v>
      </c>
      <c r="V265" s="301" t="s">
        <v>78</v>
      </c>
      <c r="W265" s="301" t="s">
        <v>4602</v>
      </c>
      <c r="X265" s="371">
        <v>44467.0</v>
      </c>
      <c r="Y265" s="371">
        <v>44468.0</v>
      </c>
      <c r="Z265" s="372"/>
      <c r="AA265" s="373" t="s">
        <v>3696</v>
      </c>
      <c r="AB265" s="374">
        <v>44383.0</v>
      </c>
      <c r="AC265" s="373" t="s">
        <v>3448</v>
      </c>
      <c r="AD265" s="374">
        <v>44406.0</v>
      </c>
      <c r="AE265" s="373" t="s">
        <v>3682</v>
      </c>
      <c r="AF265" s="374">
        <v>44424.0</v>
      </c>
      <c r="AG265" s="373" t="s">
        <v>3448</v>
      </c>
      <c r="AH265" s="374">
        <v>44453.0</v>
      </c>
      <c r="AI265" s="373" t="s">
        <v>3682</v>
      </c>
      <c r="AJ265" s="374">
        <v>44467.0</v>
      </c>
      <c r="AK265" s="373" t="s">
        <v>399</v>
      </c>
      <c r="AL265" s="373" t="s">
        <v>3719</v>
      </c>
      <c r="AM265" s="373" t="s">
        <v>3723</v>
      </c>
      <c r="AN265" s="373" t="s">
        <v>2542</v>
      </c>
      <c r="AO265" s="373" t="s">
        <v>2192</v>
      </c>
      <c r="AP265" s="376" t="s">
        <v>3683</v>
      </c>
      <c r="AQ265" s="373"/>
    </row>
    <row r="266">
      <c r="A266" s="257" t="s">
        <v>1078</v>
      </c>
      <c r="B266" s="257" t="s">
        <v>1079</v>
      </c>
      <c r="C266" s="257" t="str">
        <f>VLOOKUP(A266,import!A:J,3,0)</f>
        <v>DOĞRU</v>
      </c>
      <c r="D266" s="257" t="s">
        <v>3801</v>
      </c>
      <c r="E266" s="257">
        <f>VLOOKUP(A266,import!A:J,5,0)</f>
        <v>967</v>
      </c>
      <c r="F266" s="257">
        <f>VLOOKUP(A266,import!A:J,6,0)</f>
        <v>50</v>
      </c>
      <c r="G266" s="257">
        <f>VLOOKUP(A266,import!A:J,7,0)</f>
        <v>9</v>
      </c>
      <c r="H266" s="257">
        <f>VLOOKUP(A266,import!A:J,8,0)</f>
        <v>11</v>
      </c>
      <c r="I266" s="257">
        <f>VLOOKUP(A266,import!A:J,9,0)</f>
        <v>20</v>
      </c>
      <c r="J266" s="369">
        <f>VLOOKUP(A266,import!A:J,10,0)</f>
        <v>0.45</v>
      </c>
      <c r="K266" s="257" t="s">
        <v>4603</v>
      </c>
      <c r="L266" s="257">
        <v>5.45499485E9</v>
      </c>
      <c r="M266" s="257" t="s">
        <v>14</v>
      </c>
      <c r="N266" s="257" t="s">
        <v>3826</v>
      </c>
      <c r="O266" s="257" t="s">
        <v>1081</v>
      </c>
      <c r="P266" s="370" t="str">
        <f>VLOOKUP(A266,import!A:P,16,0)</f>
        <v>Geleneksel</v>
      </c>
      <c r="Q266" s="370"/>
      <c r="R266" s="370" t="b">
        <v>1</v>
      </c>
      <c r="S266" s="370" t="b">
        <v>0</v>
      </c>
      <c r="T266" s="301" t="s">
        <v>3735</v>
      </c>
      <c r="U266" s="301" t="s">
        <v>79</v>
      </c>
      <c r="V266" s="301" t="s">
        <v>78</v>
      </c>
      <c r="W266" s="301" t="s">
        <v>4604</v>
      </c>
      <c r="X266" s="371">
        <v>44363.0</v>
      </c>
      <c r="Y266" s="371">
        <v>44368.0</v>
      </c>
      <c r="Z266" s="372"/>
      <c r="AA266" s="373" t="s">
        <v>3682</v>
      </c>
      <c r="AB266" s="374">
        <v>44349.0</v>
      </c>
      <c r="AC266" s="373" t="s">
        <v>3682</v>
      </c>
      <c r="AD266" s="374">
        <v>44363.0</v>
      </c>
      <c r="AE266" s="92"/>
      <c r="AF266" s="375"/>
      <c r="AG266" s="92"/>
      <c r="AH266" s="375"/>
      <c r="AI266" s="375"/>
      <c r="AJ266" s="375"/>
      <c r="AK266" s="373" t="s">
        <v>111</v>
      </c>
      <c r="AL266" s="373" t="s">
        <v>79</v>
      </c>
      <c r="AM266" s="375"/>
      <c r="AN266" s="375"/>
      <c r="AO266" s="375"/>
      <c r="AP266" s="376" t="s">
        <v>3683</v>
      </c>
      <c r="AQ266" s="375"/>
    </row>
    <row r="267">
      <c r="A267" s="257" t="s">
        <v>4605</v>
      </c>
      <c r="B267" s="257" t="s">
        <v>4606</v>
      </c>
      <c r="C267" s="257" t="str">
        <f>VLOOKUP(A267,import!A:J,3,0)</f>
        <v>DOĞRU</v>
      </c>
      <c r="D267" s="257" t="s">
        <v>3801</v>
      </c>
      <c r="E267" s="257">
        <f>VLOOKUP(A267,import!A:J,5,0)</f>
        <v>10</v>
      </c>
      <c r="F267" s="257" t="str">
        <f>VLOOKUP(A267,import!A:J,6,0)</f>
        <v/>
      </c>
      <c r="G267" s="257">
        <f>VLOOKUP(A267,import!A:J,7,0)</f>
        <v>0</v>
      </c>
      <c r="H267" s="257">
        <f>VLOOKUP(A267,import!A:J,8,0)</f>
        <v>12</v>
      </c>
      <c r="I267" s="257">
        <f>VLOOKUP(A267,import!A:J,9,0)</f>
        <v>12</v>
      </c>
      <c r="J267" s="369">
        <f>VLOOKUP(A267,import!A:J,10,0)</f>
        <v>0</v>
      </c>
      <c r="K267" s="257" t="s">
        <v>4607</v>
      </c>
      <c r="L267" s="257">
        <v>5.52808363E9</v>
      </c>
      <c r="M267" s="257" t="s">
        <v>3692</v>
      </c>
      <c r="N267" s="257" t="s">
        <v>3721</v>
      </c>
      <c r="O267" s="257" t="s">
        <v>2059</v>
      </c>
      <c r="P267" s="370" t="str">
        <f>VLOOKUP(A267,import!A:P,16,0)</f>
        <v>Geleneksel</v>
      </c>
      <c r="Q267" s="370"/>
      <c r="R267" s="370" t="b">
        <v>0</v>
      </c>
      <c r="S267" s="370" t="b">
        <v>0</v>
      </c>
      <c r="T267" s="301"/>
      <c r="U267" s="379"/>
      <c r="V267" s="384"/>
      <c r="W267" s="301"/>
      <c r="X267" s="381"/>
      <c r="Y267" s="381"/>
      <c r="Z267" s="372"/>
      <c r="AA267" s="373"/>
      <c r="AB267" s="374"/>
      <c r="AC267" s="373"/>
      <c r="AD267" s="374"/>
      <c r="AE267" s="373"/>
      <c r="AF267" s="374"/>
      <c r="AG267" s="373"/>
      <c r="AH267" s="374"/>
      <c r="AI267" s="375"/>
      <c r="AJ267" s="375"/>
      <c r="AK267" s="373"/>
      <c r="AL267" s="375"/>
      <c r="AM267" s="375"/>
      <c r="AN267" s="373"/>
      <c r="AO267" s="375"/>
      <c r="AP267" s="376"/>
      <c r="AQ267" s="375"/>
    </row>
    <row r="268">
      <c r="A268" s="257" t="s">
        <v>4608</v>
      </c>
      <c r="B268" s="257" t="s">
        <v>4609</v>
      </c>
      <c r="C268" s="257" t="str">
        <f>VLOOKUP(A268,import!A:J,3,0)</f>
        <v>DOĞRU</v>
      </c>
      <c r="D268" s="257" t="s">
        <v>3801</v>
      </c>
      <c r="E268" s="257">
        <f>VLOOKUP(A268,import!A:J,5,0)</f>
        <v>1019</v>
      </c>
      <c r="F268" s="257">
        <f>VLOOKUP(A268,import!A:J,6,0)</f>
        <v>19</v>
      </c>
      <c r="G268" s="257">
        <f>VLOOKUP(A268,import!A:J,7,0)</f>
        <v>11</v>
      </c>
      <c r="H268" s="257">
        <f>VLOOKUP(A268,import!A:J,8,0)</f>
        <v>3</v>
      </c>
      <c r="I268" s="257">
        <f>VLOOKUP(A268,import!A:J,9,0)</f>
        <v>14</v>
      </c>
      <c r="J268" s="369">
        <f>VLOOKUP(A268,import!A:J,10,0)</f>
        <v>0.79</v>
      </c>
      <c r="K268" s="257" t="s">
        <v>4610</v>
      </c>
      <c r="L268" s="257">
        <v>5.4222401E9</v>
      </c>
      <c r="M268" s="257" t="s">
        <v>286</v>
      </c>
      <c r="N268" s="257" t="s">
        <v>4263</v>
      </c>
      <c r="O268" s="257" t="s">
        <v>4611</v>
      </c>
      <c r="P268" s="370" t="str">
        <f>VLOOKUP(A268,import!A:P,16,0)</f>
        <v>Geleneksel</v>
      </c>
      <c r="Q268" s="370"/>
      <c r="R268" s="370" t="b">
        <v>1</v>
      </c>
      <c r="S268" s="370" t="b">
        <v>0</v>
      </c>
      <c r="T268" s="300" t="s">
        <v>3735</v>
      </c>
      <c r="U268" s="301"/>
      <c r="V268" s="301"/>
      <c r="W268" s="301" t="s">
        <v>4612</v>
      </c>
      <c r="X268" s="371"/>
      <c r="Y268" s="371"/>
      <c r="Z268" s="377"/>
      <c r="AA268" s="373" t="s">
        <v>3448</v>
      </c>
      <c r="AB268" s="374">
        <v>44450.0</v>
      </c>
      <c r="AC268" s="375"/>
      <c r="AD268" s="375"/>
      <c r="AE268" s="92"/>
      <c r="AF268" s="375"/>
      <c r="AG268" s="92"/>
      <c r="AH268" s="375"/>
      <c r="AI268" s="375"/>
      <c r="AJ268" s="375"/>
      <c r="AK268" s="373" t="s">
        <v>2418</v>
      </c>
      <c r="AL268" s="375"/>
      <c r="AM268" s="375"/>
      <c r="AN268" s="375"/>
      <c r="AO268" s="375"/>
      <c r="AP268" s="376" t="s">
        <v>3686</v>
      </c>
      <c r="AQ268" s="375"/>
    </row>
    <row r="269">
      <c r="A269" s="257" t="s">
        <v>770</v>
      </c>
      <c r="B269" s="257" t="s">
        <v>771</v>
      </c>
      <c r="C269" s="257" t="str">
        <f>VLOOKUP(A269,import!A:J,3,0)</f>
        <v>DOĞRU</v>
      </c>
      <c r="D269" s="257" t="s">
        <v>3801</v>
      </c>
      <c r="E269" s="257">
        <f>VLOOKUP(A269,import!A:J,5,0)</f>
        <v>1159</v>
      </c>
      <c r="F269" s="257">
        <f>VLOOKUP(A269,import!A:J,6,0)</f>
        <v>76</v>
      </c>
      <c r="G269" s="257">
        <f>VLOOKUP(A269,import!A:J,7,0)</f>
        <v>9</v>
      </c>
      <c r="H269" s="257">
        <f>VLOOKUP(A269,import!A:J,8,0)</f>
        <v>6</v>
      </c>
      <c r="I269" s="257">
        <f>VLOOKUP(A269,import!A:J,9,0)</f>
        <v>15</v>
      </c>
      <c r="J269" s="369">
        <f>VLOOKUP(A269,import!A:J,10,0)</f>
        <v>0.6</v>
      </c>
      <c r="K269" s="257" t="s">
        <v>4613</v>
      </c>
      <c r="L269" s="257">
        <v>3.229995251E9</v>
      </c>
      <c r="M269" s="257" t="s">
        <v>14</v>
      </c>
      <c r="N269" s="257" t="s">
        <v>3718</v>
      </c>
      <c r="O269" s="257" t="s">
        <v>773</v>
      </c>
      <c r="P269" s="370" t="str">
        <f>VLOOKUP(A269,import!A:P,16,0)</f>
        <v>Geleneksel</v>
      </c>
      <c r="Q269" s="370"/>
      <c r="R269" s="370" t="b">
        <v>1</v>
      </c>
      <c r="S269" s="370" t="b">
        <v>0</v>
      </c>
      <c r="T269" s="389" t="s">
        <v>3735</v>
      </c>
      <c r="U269" s="389" t="s">
        <v>79</v>
      </c>
      <c r="V269" s="389" t="s">
        <v>78</v>
      </c>
      <c r="W269" s="389" t="s">
        <v>4614</v>
      </c>
      <c r="X269" s="390">
        <v>44342.0</v>
      </c>
      <c r="Y269" s="390">
        <v>44344.0</v>
      </c>
      <c r="Z269" s="391"/>
      <c r="AA269" s="375"/>
      <c r="AB269" s="375"/>
      <c r="AC269" s="375"/>
      <c r="AD269" s="375"/>
      <c r="AE269" s="92"/>
      <c r="AF269" s="375"/>
      <c r="AG269" s="92"/>
      <c r="AH269" s="375"/>
      <c r="AI269" s="375"/>
      <c r="AJ269" s="375"/>
      <c r="AK269" s="375"/>
      <c r="AL269" s="375"/>
      <c r="AM269" s="375"/>
      <c r="AN269" s="375"/>
      <c r="AO269" s="375"/>
      <c r="AP269" s="376" t="s">
        <v>3683</v>
      </c>
      <c r="AQ269" s="375"/>
    </row>
    <row r="270">
      <c r="A270" s="266" t="s">
        <v>4615</v>
      </c>
      <c r="B270" s="266" t="s">
        <v>4616</v>
      </c>
      <c r="C270" s="257" t="str">
        <f>VLOOKUP(A270,import!A:J,3,0)</f>
        <v>DOĞRU</v>
      </c>
      <c r="D270" s="266" t="s">
        <v>3801</v>
      </c>
      <c r="E270" s="257">
        <f>VLOOKUP(A270,import!A:J,5,0)</f>
        <v>600</v>
      </c>
      <c r="F270" s="257">
        <f>VLOOKUP(A270,import!A:J,6,0)</f>
        <v>17</v>
      </c>
      <c r="G270" s="257">
        <f>VLOOKUP(A270,import!A:J,7,0)</f>
        <v>14</v>
      </c>
      <c r="H270" s="257">
        <f>VLOOKUP(A270,import!A:J,8,0)</f>
        <v>2</v>
      </c>
      <c r="I270" s="257">
        <f>VLOOKUP(A270,import!A:J,9,0)</f>
        <v>16</v>
      </c>
      <c r="J270" s="369">
        <f>VLOOKUP(A270,import!A:J,10,0)</f>
        <v>0.88</v>
      </c>
      <c r="K270" s="266" t="s">
        <v>4617</v>
      </c>
      <c r="L270" s="266">
        <v>3.22323001E9</v>
      </c>
      <c r="M270" s="266" t="s">
        <v>3707</v>
      </c>
      <c r="N270" s="266" t="s">
        <v>4570</v>
      </c>
      <c r="O270" s="266" t="s">
        <v>4618</v>
      </c>
      <c r="P270" s="370" t="str">
        <f>VLOOKUP(A270,import!A:P,16,0)</f>
        <v>Geleneksel</v>
      </c>
      <c r="Q270" s="370"/>
      <c r="R270" s="370" t="b">
        <v>1</v>
      </c>
      <c r="S270" s="370" t="b">
        <v>0</v>
      </c>
      <c r="T270" s="300" t="s">
        <v>3735</v>
      </c>
      <c r="U270" s="379"/>
      <c r="V270" s="384"/>
      <c r="W270" s="301" t="s">
        <v>4619</v>
      </c>
      <c r="X270" s="381"/>
      <c r="Y270" s="381"/>
      <c r="Z270" s="372"/>
      <c r="AA270" s="373" t="s">
        <v>3695</v>
      </c>
      <c r="AB270" s="374">
        <v>44390.0</v>
      </c>
      <c r="AC270" s="373" t="s">
        <v>3682</v>
      </c>
      <c r="AD270" s="374">
        <v>44391.0</v>
      </c>
      <c r="AE270" s="92"/>
      <c r="AF270" s="375"/>
      <c r="AG270" s="92"/>
      <c r="AH270" s="375"/>
      <c r="AI270" s="375"/>
      <c r="AJ270" s="375"/>
      <c r="AK270" s="373" t="s">
        <v>3719</v>
      </c>
      <c r="AL270" s="373" t="s">
        <v>3752</v>
      </c>
      <c r="AM270" s="375"/>
      <c r="AN270" s="375"/>
      <c r="AO270" s="375"/>
      <c r="AP270" s="376" t="s">
        <v>3686</v>
      </c>
      <c r="AQ270" s="375"/>
    </row>
    <row r="271">
      <c r="A271" s="257" t="s">
        <v>1103</v>
      </c>
      <c r="B271" s="257" t="s">
        <v>1104</v>
      </c>
      <c r="C271" s="257" t="str">
        <f>VLOOKUP(A271,import!A:J,3,0)</f>
        <v>DOĞRU</v>
      </c>
      <c r="D271" s="257" t="s">
        <v>3801</v>
      </c>
      <c r="E271" s="257">
        <f>VLOOKUP(A271,import!A:J,5,0)</f>
        <v>1368</v>
      </c>
      <c r="F271" s="257">
        <f>VLOOKUP(A271,import!A:J,6,0)</f>
        <v>47</v>
      </c>
      <c r="G271" s="257">
        <f>VLOOKUP(A271,import!A:J,7,0)</f>
        <v>7</v>
      </c>
      <c r="H271" s="257">
        <f>VLOOKUP(A271,import!A:J,8,0)</f>
        <v>15</v>
      </c>
      <c r="I271" s="257">
        <f>VLOOKUP(A271,import!A:J,9,0)</f>
        <v>22</v>
      </c>
      <c r="J271" s="369">
        <f>VLOOKUP(A271,import!A:J,10,0)</f>
        <v>0.32</v>
      </c>
      <c r="K271" s="257" t="s">
        <v>4620</v>
      </c>
      <c r="L271" s="257">
        <v>3.228810181E9</v>
      </c>
      <c r="M271" s="257" t="s">
        <v>14</v>
      </c>
      <c r="N271" s="257" t="s">
        <v>3935</v>
      </c>
      <c r="O271" s="257" t="s">
        <v>1106</v>
      </c>
      <c r="P271" s="370" t="str">
        <f>VLOOKUP(A271,import!A:P,16,0)</f>
        <v>Geleneksel</v>
      </c>
      <c r="Q271" s="370"/>
      <c r="R271" s="370" t="b">
        <v>1</v>
      </c>
      <c r="S271" s="370" t="b">
        <v>0</v>
      </c>
      <c r="T271" s="300" t="s">
        <v>3735</v>
      </c>
      <c r="U271" s="301" t="s">
        <v>79</v>
      </c>
      <c r="V271" s="301" t="s">
        <v>78</v>
      </c>
      <c r="W271" s="301" t="s">
        <v>4621</v>
      </c>
      <c r="X271" s="371">
        <v>44365.0</v>
      </c>
      <c r="Y271" s="371">
        <v>44370.0</v>
      </c>
      <c r="Z271" s="372"/>
      <c r="AA271" s="373" t="s">
        <v>3448</v>
      </c>
      <c r="AB271" s="374">
        <v>44357.0</v>
      </c>
      <c r="AC271" s="373" t="s">
        <v>3682</v>
      </c>
      <c r="AD271" s="374">
        <v>44365.0</v>
      </c>
      <c r="AE271" s="92"/>
      <c r="AF271" s="375"/>
      <c r="AG271" s="92"/>
      <c r="AH271" s="375"/>
      <c r="AI271" s="375"/>
      <c r="AJ271" s="375"/>
      <c r="AK271" s="373" t="s">
        <v>3789</v>
      </c>
      <c r="AL271" s="373" t="s">
        <v>79</v>
      </c>
      <c r="AM271" s="375"/>
      <c r="AN271" s="375"/>
      <c r="AO271" s="375"/>
      <c r="AP271" s="376" t="s">
        <v>3683</v>
      </c>
      <c r="AQ271" s="375"/>
    </row>
    <row r="272">
      <c r="A272" s="257" t="s">
        <v>2076</v>
      </c>
      <c r="B272" s="257" t="s">
        <v>2077</v>
      </c>
      <c r="C272" s="257" t="str">
        <f>VLOOKUP(A272,import!A:J,3,0)</f>
        <v>DOĞRU</v>
      </c>
      <c r="D272" s="257" t="s">
        <v>3801</v>
      </c>
      <c r="E272" s="257">
        <f>VLOOKUP(A272,import!A:J,5,0)</f>
        <v>717</v>
      </c>
      <c r="F272" s="257">
        <f>VLOOKUP(A272,import!A:J,6,0)</f>
        <v>76</v>
      </c>
      <c r="G272" s="257">
        <f>VLOOKUP(A272,import!A:J,7,0)</f>
        <v>15</v>
      </c>
      <c r="H272" s="257">
        <f>VLOOKUP(A272,import!A:J,8,0)</f>
        <v>6</v>
      </c>
      <c r="I272" s="257">
        <f>VLOOKUP(A272,import!A:J,9,0)</f>
        <v>21</v>
      </c>
      <c r="J272" s="369">
        <f>VLOOKUP(A272,import!A:J,10,0)</f>
        <v>0.71</v>
      </c>
      <c r="K272" s="257" t="s">
        <v>4622</v>
      </c>
      <c r="L272" s="257">
        <v>3.225026461E9</v>
      </c>
      <c r="M272" s="257" t="s">
        <v>3692</v>
      </c>
      <c r="N272" s="257" t="s">
        <v>3721</v>
      </c>
      <c r="O272" s="257" t="s">
        <v>2079</v>
      </c>
      <c r="P272" s="370" t="str">
        <f>VLOOKUP(A272,import!A:P,16,0)</f>
        <v>Geleneksel</v>
      </c>
      <c r="Q272" s="370"/>
      <c r="R272" s="370" t="b">
        <v>1</v>
      </c>
      <c r="S272" s="370" t="b">
        <v>0</v>
      </c>
      <c r="T272" s="301" t="s">
        <v>3679</v>
      </c>
      <c r="U272" s="301" t="s">
        <v>1953</v>
      </c>
      <c r="V272" s="301" t="s">
        <v>78</v>
      </c>
      <c r="W272" s="301">
        <v>5.522997838E9</v>
      </c>
      <c r="X272" s="371">
        <v>44428.0</v>
      </c>
      <c r="Y272" s="371">
        <v>44434.0</v>
      </c>
      <c r="Z272" s="372"/>
      <c r="AA272" s="373" t="s">
        <v>3448</v>
      </c>
      <c r="AB272" s="374">
        <v>44407.0</v>
      </c>
      <c r="AC272" s="373" t="s">
        <v>3682</v>
      </c>
      <c r="AD272" s="374">
        <v>44428.0</v>
      </c>
      <c r="AE272" s="92"/>
      <c r="AF272" s="375"/>
      <c r="AG272" s="92"/>
      <c r="AH272" s="375"/>
      <c r="AI272" s="375"/>
      <c r="AJ272" s="375"/>
      <c r="AK272" s="373" t="s">
        <v>79</v>
      </c>
      <c r="AL272" s="373" t="s">
        <v>1953</v>
      </c>
      <c r="AM272" s="375"/>
      <c r="AN272" s="375"/>
      <c r="AO272" s="375"/>
      <c r="AP272" s="376" t="s">
        <v>3686</v>
      </c>
      <c r="AQ272" s="375"/>
    </row>
    <row r="273">
      <c r="A273" s="266" t="s">
        <v>1592</v>
      </c>
      <c r="B273" s="266" t="s">
        <v>1593</v>
      </c>
      <c r="C273" s="257" t="str">
        <f>VLOOKUP(A273,import!A:J,3,0)</f>
        <v>DOĞRU</v>
      </c>
      <c r="D273" s="266" t="s">
        <v>3801</v>
      </c>
      <c r="E273" s="257">
        <f>VLOOKUP(A273,import!A:J,5,0)</f>
        <v>1917</v>
      </c>
      <c r="F273" s="257">
        <f>VLOOKUP(A273,import!A:J,6,0)</f>
        <v>77</v>
      </c>
      <c r="G273" s="257">
        <f>VLOOKUP(A273,import!A:J,7,0)</f>
        <v>14</v>
      </c>
      <c r="H273" s="257">
        <f>VLOOKUP(A273,import!A:J,8,0)</f>
        <v>8</v>
      </c>
      <c r="I273" s="257">
        <f>VLOOKUP(A273,import!A:J,9,0)</f>
        <v>22</v>
      </c>
      <c r="J273" s="369">
        <f>VLOOKUP(A273,import!A:J,10,0)</f>
        <v>0.64</v>
      </c>
      <c r="K273" s="266" t="s">
        <v>4620</v>
      </c>
      <c r="L273" s="266">
        <v>3.2232816E8</v>
      </c>
      <c r="M273" s="266" t="s">
        <v>3707</v>
      </c>
      <c r="N273" s="266" t="s">
        <v>3761</v>
      </c>
      <c r="O273" s="266" t="s">
        <v>1596</v>
      </c>
      <c r="P273" s="370" t="str">
        <f>VLOOKUP(A273,import!A:P,16,0)</f>
        <v>Geleneksel</v>
      </c>
      <c r="Q273" s="370"/>
      <c r="R273" s="370" t="b">
        <v>1</v>
      </c>
      <c r="S273" s="370" t="b">
        <v>0</v>
      </c>
      <c r="T273" s="301" t="s">
        <v>3679</v>
      </c>
      <c r="U273" s="301" t="s">
        <v>3752</v>
      </c>
      <c r="V273" s="301" t="s">
        <v>78</v>
      </c>
      <c r="W273" s="301" t="s">
        <v>4623</v>
      </c>
      <c r="X273" s="371">
        <v>44403.0</v>
      </c>
      <c r="Y273" s="371">
        <v>44405.0</v>
      </c>
      <c r="Z273" s="372"/>
      <c r="AA273" s="373" t="s">
        <v>3681</v>
      </c>
      <c r="AB273" s="374">
        <v>44391.0</v>
      </c>
      <c r="AC273" s="375"/>
      <c r="AD273" s="375"/>
      <c r="AE273" s="92"/>
      <c r="AF273" s="375"/>
      <c r="AG273" s="92"/>
      <c r="AH273" s="375"/>
      <c r="AI273" s="375"/>
      <c r="AJ273" s="375"/>
      <c r="AK273" s="373" t="s">
        <v>3752</v>
      </c>
      <c r="AL273" s="375"/>
      <c r="AM273" s="375"/>
      <c r="AN273" s="375"/>
      <c r="AO273" s="375"/>
      <c r="AP273" s="376" t="s">
        <v>3686</v>
      </c>
      <c r="AQ273" s="375"/>
    </row>
    <row r="274">
      <c r="A274" s="257" t="s">
        <v>4624</v>
      </c>
      <c r="B274" s="257" t="s">
        <v>4625</v>
      </c>
      <c r="C274" s="257" t="str">
        <f>VLOOKUP(A274,import!A:J,3,0)</f>
        <v>YANLIŞ</v>
      </c>
      <c r="D274" s="257" t="s">
        <v>3801</v>
      </c>
      <c r="E274" s="257">
        <f>VLOOKUP(A274,import!A:J,5,0)</f>
        <v>92</v>
      </c>
      <c r="F274" s="257" t="str">
        <f>VLOOKUP(A274,import!A:J,6,0)</f>
        <v/>
      </c>
      <c r="G274" s="257">
        <f>VLOOKUP(A274,import!A:J,7,0)</f>
        <v>5</v>
      </c>
      <c r="H274" s="257">
        <f>VLOOKUP(A274,import!A:J,8,0)</f>
        <v>2</v>
      </c>
      <c r="I274" s="257">
        <f>VLOOKUP(A274,import!A:J,9,0)</f>
        <v>7</v>
      </c>
      <c r="J274" s="369">
        <f>VLOOKUP(A274,import!A:J,10,0)</f>
        <v>0.71</v>
      </c>
      <c r="K274" s="257" t="s">
        <v>4626</v>
      </c>
      <c r="L274" s="257">
        <v>5.549913304E9</v>
      </c>
      <c r="M274" s="257" t="s">
        <v>3707</v>
      </c>
      <c r="N274" s="257" t="s">
        <v>4627</v>
      </c>
      <c r="O274" s="257" t="s">
        <v>4628</v>
      </c>
      <c r="P274" s="370" t="str">
        <f>VLOOKUP(A274,import!A:P,16,0)</f>
        <v>Geleneksel</v>
      </c>
      <c r="Q274" s="370"/>
      <c r="R274" s="370" t="b">
        <v>1</v>
      </c>
      <c r="S274" s="370" t="b">
        <v>0</v>
      </c>
      <c r="T274" s="300" t="s">
        <v>3735</v>
      </c>
      <c r="U274" s="379"/>
      <c r="V274" s="379"/>
      <c r="W274" s="301" t="s">
        <v>4629</v>
      </c>
      <c r="X274" s="381"/>
      <c r="Y274" s="381"/>
      <c r="Z274" s="372"/>
      <c r="AA274" s="373" t="s">
        <v>3681</v>
      </c>
      <c r="AB274" s="374">
        <v>44432.0</v>
      </c>
      <c r="AC274" s="373" t="s">
        <v>3681</v>
      </c>
      <c r="AD274" s="374">
        <v>44462.0</v>
      </c>
      <c r="AE274" s="373" t="s">
        <v>3682</v>
      </c>
      <c r="AF274" s="374">
        <v>44491.0</v>
      </c>
      <c r="AG274" s="92"/>
      <c r="AH274" s="375"/>
      <c r="AI274" s="375"/>
      <c r="AJ274" s="375"/>
      <c r="AK274" s="375"/>
      <c r="AL274" s="373" t="s">
        <v>79</v>
      </c>
      <c r="AM274" s="373" t="s">
        <v>2542</v>
      </c>
      <c r="AN274" s="375"/>
      <c r="AO274" s="375"/>
      <c r="AP274" s="376" t="s">
        <v>3686</v>
      </c>
      <c r="AQ274" s="375"/>
    </row>
    <row r="275">
      <c r="A275" s="257" t="s">
        <v>2594</v>
      </c>
      <c r="B275" s="257" t="s">
        <v>2595</v>
      </c>
      <c r="C275" s="257" t="str">
        <f>VLOOKUP(A275,import!A:J,3,0)</f>
        <v>DOĞRU</v>
      </c>
      <c r="D275" s="257" t="s">
        <v>3801</v>
      </c>
      <c r="E275" s="257">
        <f>VLOOKUP(A275,import!A:J,5,0)</f>
        <v>272</v>
      </c>
      <c r="F275" s="257">
        <f>VLOOKUP(A275,import!A:J,6,0)</f>
        <v>14</v>
      </c>
      <c r="G275" s="257">
        <f>VLOOKUP(A275,import!A:J,7,0)</f>
        <v>7</v>
      </c>
      <c r="H275" s="257">
        <f>VLOOKUP(A275,import!A:J,8,0)</f>
        <v>15</v>
      </c>
      <c r="I275" s="257">
        <f>VLOOKUP(A275,import!A:J,9,0)</f>
        <v>22</v>
      </c>
      <c r="J275" s="369">
        <f>VLOOKUP(A275,import!A:J,10,0)</f>
        <v>0.32</v>
      </c>
      <c r="K275" s="257" t="s">
        <v>4630</v>
      </c>
      <c r="L275" s="257">
        <v>5.541112772E9</v>
      </c>
      <c r="M275" s="257" t="s">
        <v>3707</v>
      </c>
      <c r="N275" s="257" t="s">
        <v>4631</v>
      </c>
      <c r="O275" s="257" t="s">
        <v>2598</v>
      </c>
      <c r="P275" s="370" t="str">
        <f>VLOOKUP(A275,import!A:P,16,0)</f>
        <v>Geleneksel</v>
      </c>
      <c r="Q275" s="370"/>
      <c r="R275" s="370" t="b">
        <v>1</v>
      </c>
      <c r="S275" s="370" t="b">
        <v>0</v>
      </c>
      <c r="T275" s="300" t="s">
        <v>3735</v>
      </c>
      <c r="U275" s="379"/>
      <c r="V275" s="379"/>
      <c r="W275" s="301"/>
      <c r="X275" s="371">
        <v>44462.0</v>
      </c>
      <c r="Y275" s="371">
        <v>44463.0</v>
      </c>
      <c r="Z275" s="372"/>
      <c r="AA275" s="373" t="s">
        <v>3681</v>
      </c>
      <c r="AB275" s="374">
        <v>44412.0</v>
      </c>
      <c r="AC275" s="375"/>
      <c r="AD275" s="375"/>
      <c r="AE275" s="92"/>
      <c r="AF275" s="375"/>
      <c r="AG275" s="92"/>
      <c r="AH275" s="375"/>
      <c r="AI275" s="375"/>
      <c r="AJ275" s="375"/>
      <c r="AK275" s="373" t="s">
        <v>3729</v>
      </c>
      <c r="AL275" s="375"/>
      <c r="AM275" s="375"/>
      <c r="AN275" s="375"/>
      <c r="AO275" s="375"/>
      <c r="AP275" s="376" t="s">
        <v>3686</v>
      </c>
      <c r="AQ275" s="375"/>
    </row>
    <row r="276">
      <c r="A276" s="257" t="s">
        <v>1540</v>
      </c>
      <c r="B276" s="257" t="s">
        <v>1541</v>
      </c>
      <c r="C276" s="257" t="str">
        <f>VLOOKUP(A276,import!A:J,3,0)</f>
        <v>DOĞRU</v>
      </c>
      <c r="D276" s="257" t="s">
        <v>3801</v>
      </c>
      <c r="E276" s="257">
        <f>VLOOKUP(A276,import!A:J,5,0)</f>
        <v>764</v>
      </c>
      <c r="F276" s="257">
        <f>VLOOKUP(A276,import!A:J,6,0)</f>
        <v>35</v>
      </c>
      <c r="G276" s="257">
        <f>VLOOKUP(A276,import!A:J,7,0)</f>
        <v>11</v>
      </c>
      <c r="H276" s="257">
        <f>VLOOKUP(A276,import!A:J,8,0)</f>
        <v>5</v>
      </c>
      <c r="I276" s="257">
        <f>VLOOKUP(A276,import!A:J,9,0)</f>
        <v>16</v>
      </c>
      <c r="J276" s="369">
        <f>VLOOKUP(A276,import!A:J,10,0)</f>
        <v>0.69</v>
      </c>
      <c r="K276" s="257" t="s">
        <v>4632</v>
      </c>
      <c r="L276" s="257">
        <v>5.388448763E9</v>
      </c>
      <c r="M276" s="257" t="s">
        <v>3707</v>
      </c>
      <c r="N276" s="257" t="s">
        <v>3708</v>
      </c>
      <c r="O276" s="257" t="s">
        <v>4633</v>
      </c>
      <c r="P276" s="370" t="str">
        <f>VLOOKUP(A276,import!A:P,16,0)</f>
        <v>Geleneksel</v>
      </c>
      <c r="Q276" s="370"/>
      <c r="R276" s="370" t="b">
        <v>1</v>
      </c>
      <c r="S276" s="370" t="b">
        <v>0</v>
      </c>
      <c r="T276" s="301" t="s">
        <v>3679</v>
      </c>
      <c r="U276" s="301" t="s">
        <v>3719</v>
      </c>
      <c r="V276" s="301" t="s">
        <v>78</v>
      </c>
      <c r="W276" s="301" t="s">
        <v>4634</v>
      </c>
      <c r="X276" s="371">
        <v>44392.0</v>
      </c>
      <c r="Y276" s="371">
        <v>44403.0</v>
      </c>
      <c r="Z276" s="372"/>
      <c r="AA276" s="373" t="s">
        <v>3682</v>
      </c>
      <c r="AB276" s="374">
        <v>44392.0</v>
      </c>
      <c r="AC276" s="375"/>
      <c r="AD276" s="375"/>
      <c r="AE276" s="92"/>
      <c r="AF276" s="375"/>
      <c r="AG276" s="92"/>
      <c r="AH276" s="375"/>
      <c r="AI276" s="375"/>
      <c r="AJ276" s="375"/>
      <c r="AK276" s="373" t="s">
        <v>3719</v>
      </c>
      <c r="AL276" s="375"/>
      <c r="AM276" s="375"/>
      <c r="AN276" s="375"/>
      <c r="AO276" s="375"/>
      <c r="AP276" s="376" t="s">
        <v>3686</v>
      </c>
      <c r="AQ276" s="375"/>
    </row>
    <row r="277">
      <c r="A277" s="257" t="s">
        <v>4635</v>
      </c>
      <c r="B277" s="257" t="s">
        <v>4636</v>
      </c>
      <c r="C277" s="257" t="str">
        <f>VLOOKUP(A277,import!A:J,3,0)</f>
        <v>YANLIŞ</v>
      </c>
      <c r="D277" s="257" t="s">
        <v>3801</v>
      </c>
      <c r="E277" s="257">
        <f>VLOOKUP(A277,import!A:J,5,0)</f>
        <v>381</v>
      </c>
      <c r="F277" s="257" t="str">
        <f>VLOOKUP(A277,import!A:J,6,0)</f>
        <v/>
      </c>
      <c r="G277" s="257">
        <f>VLOOKUP(A277,import!A:J,7,0)</f>
        <v>0</v>
      </c>
      <c r="H277" s="257">
        <f>VLOOKUP(A277,import!A:J,8,0)</f>
        <v>5</v>
      </c>
      <c r="I277" s="257">
        <f>VLOOKUP(A277,import!A:J,9,0)</f>
        <v>5</v>
      </c>
      <c r="J277" s="369">
        <f>VLOOKUP(A277,import!A:J,10,0)</f>
        <v>0</v>
      </c>
      <c r="K277" s="257" t="s">
        <v>4637</v>
      </c>
      <c r="L277" s="257">
        <v>5.308208545E9</v>
      </c>
      <c r="M277" s="257" t="s">
        <v>3692</v>
      </c>
      <c r="N277" s="257" t="s">
        <v>4447</v>
      </c>
      <c r="O277" s="257" t="s">
        <v>4638</v>
      </c>
      <c r="P277" s="370" t="str">
        <f>VLOOKUP(A277,import!A:P,16,0)</f>
        <v>Geleneksel</v>
      </c>
      <c r="Q277" s="370"/>
      <c r="R277" s="370" t="b">
        <v>1</v>
      </c>
      <c r="S277" s="370" t="b">
        <v>0</v>
      </c>
      <c r="T277" s="301" t="s">
        <v>3770</v>
      </c>
      <c r="U277" s="379"/>
      <c r="V277" s="379"/>
      <c r="W277" s="301" t="s">
        <v>4639</v>
      </c>
      <c r="X277" s="381"/>
      <c r="Y277" s="381"/>
      <c r="Z277" s="372"/>
      <c r="AA277" s="373" t="s">
        <v>3696</v>
      </c>
      <c r="AB277" s="374">
        <v>44475.0</v>
      </c>
      <c r="AC277" s="373" t="s">
        <v>3681</v>
      </c>
      <c r="AD277" s="374">
        <v>44496.0</v>
      </c>
      <c r="AE277" s="373" t="s">
        <v>3448</v>
      </c>
      <c r="AF277" s="374">
        <v>44509.0</v>
      </c>
      <c r="AG277" s="373" t="s">
        <v>3682</v>
      </c>
      <c r="AH277" s="374">
        <v>44509.0</v>
      </c>
      <c r="AI277" s="375"/>
      <c r="AJ277" s="375"/>
      <c r="AK277" s="373" t="s">
        <v>2192</v>
      </c>
      <c r="AL277" s="373" t="s">
        <v>2282</v>
      </c>
      <c r="AM277" s="373" t="s">
        <v>2192</v>
      </c>
      <c r="AN277" s="373" t="s">
        <v>3127</v>
      </c>
      <c r="AO277" s="375"/>
      <c r="AP277" s="376" t="s">
        <v>3686</v>
      </c>
      <c r="AQ277" s="375"/>
    </row>
    <row r="278">
      <c r="A278" s="257" t="s">
        <v>4640</v>
      </c>
      <c r="B278" s="257" t="s">
        <v>4641</v>
      </c>
      <c r="C278" s="257" t="str">
        <f>VLOOKUP(A278,import!A:J,3,0)</f>
        <v>DOĞRU</v>
      </c>
      <c r="D278" s="257" t="s">
        <v>3801</v>
      </c>
      <c r="E278" s="257">
        <f>VLOOKUP(A278,import!A:J,5,0)</f>
        <v>647</v>
      </c>
      <c r="F278" s="257">
        <f>VLOOKUP(A278,import!A:J,6,0)</f>
        <v>23</v>
      </c>
      <c r="G278" s="257">
        <f>VLOOKUP(A278,import!A:J,7,0)</f>
        <v>1</v>
      </c>
      <c r="H278" s="257">
        <f>VLOOKUP(A278,import!A:J,8,0)</f>
        <v>13</v>
      </c>
      <c r="I278" s="257">
        <f>VLOOKUP(A278,import!A:J,9,0)</f>
        <v>14</v>
      </c>
      <c r="J278" s="369">
        <f>VLOOKUP(A278,import!A:J,10,0)</f>
        <v>0.07</v>
      </c>
      <c r="K278" s="257" t="s">
        <v>4642</v>
      </c>
      <c r="L278" s="257">
        <v>5.46663561E9</v>
      </c>
      <c r="M278" s="257" t="s">
        <v>3707</v>
      </c>
      <c r="N278" s="257" t="s">
        <v>4553</v>
      </c>
      <c r="O278" s="257" t="s">
        <v>4643</v>
      </c>
      <c r="P278" s="370" t="str">
        <f>VLOOKUP(A278,import!A:P,16,0)</f>
        <v>Geleneksel</v>
      </c>
      <c r="Q278" s="370"/>
      <c r="R278" s="370" t="b">
        <v>1</v>
      </c>
      <c r="S278" s="370" t="b">
        <v>0</v>
      </c>
      <c r="T278" s="301" t="s">
        <v>3770</v>
      </c>
      <c r="U278" s="379"/>
      <c r="V278" s="379"/>
      <c r="W278" s="301" t="s">
        <v>4644</v>
      </c>
      <c r="X278" s="381"/>
      <c r="Y278" s="381"/>
      <c r="Z278" s="372"/>
      <c r="AA278" s="373" t="s">
        <v>3682</v>
      </c>
      <c r="AB278" s="374">
        <v>44621.0</v>
      </c>
      <c r="AC278" s="373"/>
      <c r="AD278" s="374"/>
      <c r="AE278" s="373"/>
      <c r="AF278" s="374"/>
      <c r="AG278" s="373"/>
      <c r="AH278" s="374"/>
      <c r="AI278" s="375"/>
      <c r="AJ278" s="375"/>
      <c r="AK278" s="373" t="s">
        <v>2576</v>
      </c>
      <c r="AL278" s="375"/>
      <c r="AM278" s="375"/>
      <c r="AN278" s="373"/>
      <c r="AO278" s="375"/>
      <c r="AP278" s="376"/>
      <c r="AQ278" s="375"/>
    </row>
    <row r="279">
      <c r="A279" s="257" t="s">
        <v>565</v>
      </c>
      <c r="B279" s="257" t="s">
        <v>566</v>
      </c>
      <c r="C279" s="257" t="str">
        <f>VLOOKUP(A279,import!A:J,3,0)</f>
        <v>DOĞRU</v>
      </c>
      <c r="D279" s="257" t="s">
        <v>3801</v>
      </c>
      <c r="E279" s="257">
        <f>VLOOKUP(A279,import!A:J,5,0)</f>
        <v>7704</v>
      </c>
      <c r="F279" s="257">
        <f>VLOOKUP(A279,import!A:J,6,0)</f>
        <v>225</v>
      </c>
      <c r="G279" s="257">
        <f>VLOOKUP(A279,import!A:J,7,0)</f>
        <v>28</v>
      </c>
      <c r="H279" s="257">
        <f>VLOOKUP(A279,import!A:J,8,0)</f>
        <v>9</v>
      </c>
      <c r="I279" s="257">
        <f>VLOOKUP(A279,import!A:J,9,0)</f>
        <v>37</v>
      </c>
      <c r="J279" s="369">
        <f>VLOOKUP(A279,import!A:J,10,0)</f>
        <v>0.76</v>
      </c>
      <c r="K279" s="257" t="s">
        <v>4645</v>
      </c>
      <c r="L279" s="257">
        <v>5.449273756E9</v>
      </c>
      <c r="M279" s="257" t="s">
        <v>286</v>
      </c>
      <c r="N279" s="257" t="s">
        <v>3746</v>
      </c>
      <c r="O279" s="257" t="s">
        <v>570</v>
      </c>
      <c r="P279" s="370" t="str">
        <f>VLOOKUP(A279,import!A:P,16,0)</f>
        <v>Geleneksel</v>
      </c>
      <c r="Q279" s="370"/>
      <c r="R279" s="370" t="b">
        <v>1</v>
      </c>
      <c r="S279" s="370" t="b">
        <v>0</v>
      </c>
      <c r="T279" s="301" t="s">
        <v>3679</v>
      </c>
      <c r="U279" s="301" t="s">
        <v>3723</v>
      </c>
      <c r="V279" s="301" t="s">
        <v>78</v>
      </c>
      <c r="W279" s="301"/>
      <c r="X279" s="371">
        <v>44434.0</v>
      </c>
      <c r="Y279" s="371">
        <v>44438.0</v>
      </c>
      <c r="Z279" s="377"/>
      <c r="AA279" s="373" t="s">
        <v>3682</v>
      </c>
      <c r="AB279" s="374">
        <v>44386.0</v>
      </c>
      <c r="AC279" s="373" t="s">
        <v>3448</v>
      </c>
      <c r="AD279" s="374">
        <v>44390.0</v>
      </c>
      <c r="AE279" s="373" t="s">
        <v>3682</v>
      </c>
      <c r="AF279" s="374">
        <v>44393.0</v>
      </c>
      <c r="AG279" s="373" t="s">
        <v>3682</v>
      </c>
      <c r="AH279" s="374">
        <v>44434.0</v>
      </c>
      <c r="AI279" s="375"/>
      <c r="AJ279" s="375"/>
      <c r="AK279" s="373" t="s">
        <v>79</v>
      </c>
      <c r="AL279" s="373" t="s">
        <v>3719</v>
      </c>
      <c r="AM279" s="373" t="s">
        <v>3752</v>
      </c>
      <c r="AN279" s="375"/>
      <c r="AO279" s="375"/>
      <c r="AP279" s="376" t="s">
        <v>3686</v>
      </c>
      <c r="AQ279" s="375"/>
    </row>
    <row r="280">
      <c r="A280" s="257" t="s">
        <v>4646</v>
      </c>
      <c r="B280" s="257" t="s">
        <v>4647</v>
      </c>
      <c r="C280" s="257" t="str">
        <f>VLOOKUP(A280,import!A:J,3,0)</f>
        <v>DOĞRU</v>
      </c>
      <c r="D280" s="257" t="s">
        <v>3801</v>
      </c>
      <c r="E280" s="257">
        <f>VLOOKUP(A280,import!A:J,5,0)</f>
        <v>20</v>
      </c>
      <c r="F280" s="257">
        <f>VLOOKUP(A280,import!A:J,6,0)</f>
        <v>3</v>
      </c>
      <c r="G280" s="257">
        <f>VLOOKUP(A280,import!A:J,7,0)</f>
        <v>4</v>
      </c>
      <c r="H280" s="257">
        <f>VLOOKUP(A280,import!A:J,8,0)</f>
        <v>23</v>
      </c>
      <c r="I280" s="257">
        <f>VLOOKUP(A280,import!A:J,9,0)</f>
        <v>27</v>
      </c>
      <c r="J280" s="369">
        <f>VLOOKUP(A280,import!A:J,10,0)</f>
        <v>0.15</v>
      </c>
      <c r="K280" s="257" t="s">
        <v>4648</v>
      </c>
      <c r="L280" s="257">
        <v>5.356562284E9</v>
      </c>
      <c r="M280" s="257" t="s">
        <v>3692</v>
      </c>
      <c r="N280" s="257" t="s">
        <v>3693</v>
      </c>
      <c r="O280" s="257" t="s">
        <v>4649</v>
      </c>
      <c r="P280" s="370" t="str">
        <f>VLOOKUP(A280,import!A:P,16,0)</f>
        <v>Geleneksel</v>
      </c>
      <c r="Q280" s="370"/>
      <c r="R280" s="370" t="b">
        <v>0</v>
      </c>
      <c r="S280" s="370" t="b">
        <v>0</v>
      </c>
      <c r="T280" s="301"/>
      <c r="U280" s="301"/>
      <c r="V280" s="301"/>
      <c r="W280" s="301"/>
      <c r="X280" s="371"/>
      <c r="Y280" s="371"/>
      <c r="Z280" s="372"/>
      <c r="AA280" s="373"/>
      <c r="AB280" s="374"/>
      <c r="AC280" s="373"/>
      <c r="AD280" s="374"/>
      <c r="AE280" s="373"/>
      <c r="AF280" s="374"/>
      <c r="AG280" s="373"/>
      <c r="AH280" s="374"/>
      <c r="AI280" s="373"/>
      <c r="AJ280" s="374"/>
      <c r="AK280" s="373"/>
      <c r="AL280" s="373"/>
      <c r="AM280" s="373"/>
      <c r="AN280" s="373"/>
      <c r="AO280" s="373"/>
      <c r="AP280" s="376"/>
      <c r="AQ280" s="373"/>
    </row>
    <row r="281">
      <c r="A281" s="257" t="s">
        <v>2466</v>
      </c>
      <c r="B281" s="257" t="s">
        <v>2467</v>
      </c>
      <c r="C281" s="257" t="str">
        <f>VLOOKUP(A281,import!A:J,3,0)</f>
        <v>DOĞRU</v>
      </c>
      <c r="D281" s="257" t="s">
        <v>3801</v>
      </c>
      <c r="E281" s="257">
        <f>VLOOKUP(A281,import!A:J,5,0)</f>
        <v>254</v>
      </c>
      <c r="F281" s="257">
        <f>VLOOKUP(A281,import!A:J,6,0)</f>
        <v>21</v>
      </c>
      <c r="G281" s="257">
        <f>VLOOKUP(A281,import!A:J,7,0)</f>
        <v>7</v>
      </c>
      <c r="H281" s="257">
        <f>VLOOKUP(A281,import!A:J,8,0)</f>
        <v>13</v>
      </c>
      <c r="I281" s="257">
        <f>VLOOKUP(A281,import!A:J,9,0)</f>
        <v>20</v>
      </c>
      <c r="J281" s="369">
        <f>VLOOKUP(A281,import!A:J,10,0)</f>
        <v>0.35</v>
      </c>
      <c r="K281" s="257" t="s">
        <v>4650</v>
      </c>
      <c r="L281" s="257">
        <v>5.433956218E9</v>
      </c>
      <c r="M281" s="257" t="s">
        <v>286</v>
      </c>
      <c r="N281" s="257" t="s">
        <v>4420</v>
      </c>
      <c r="O281" s="257" t="s">
        <v>2469</v>
      </c>
      <c r="P281" s="370" t="str">
        <f>VLOOKUP(A281,import!A:P,16,0)</f>
        <v>Geleneksel</v>
      </c>
      <c r="Q281" s="370"/>
      <c r="R281" s="370" t="b">
        <v>1</v>
      </c>
      <c r="S281" s="370" t="b">
        <v>0</v>
      </c>
      <c r="T281" s="301" t="s">
        <v>3679</v>
      </c>
      <c r="U281" s="301" t="s">
        <v>2542</v>
      </c>
      <c r="V281" s="301" t="s">
        <v>78</v>
      </c>
      <c r="W281" s="301" t="s">
        <v>4651</v>
      </c>
      <c r="X281" s="381"/>
      <c r="Y281" s="381"/>
      <c r="Z281" s="372"/>
      <c r="AA281" s="373" t="s">
        <v>3681</v>
      </c>
      <c r="AB281" s="374">
        <v>44445.0</v>
      </c>
      <c r="AC281" s="373" t="s">
        <v>3682</v>
      </c>
      <c r="AD281" s="374">
        <v>44453.0</v>
      </c>
      <c r="AE281" s="92"/>
      <c r="AF281" s="375"/>
      <c r="AG281" s="92"/>
      <c r="AH281" s="375"/>
      <c r="AI281" s="375"/>
      <c r="AJ281" s="375"/>
      <c r="AK281" s="373" t="s">
        <v>79</v>
      </c>
      <c r="AL281" s="373" t="s">
        <v>2542</v>
      </c>
      <c r="AM281" s="375"/>
      <c r="AN281" s="375"/>
      <c r="AO281" s="375"/>
      <c r="AP281" s="376" t="s">
        <v>3686</v>
      </c>
      <c r="AQ281" s="375"/>
    </row>
    <row r="282">
      <c r="A282" s="257" t="s">
        <v>4652</v>
      </c>
      <c r="B282" s="257" t="s">
        <v>4653</v>
      </c>
      <c r="C282" s="257" t="str">
        <f>VLOOKUP(A282,import!A:J,3,0)</f>
        <v>DOĞRU</v>
      </c>
      <c r="D282" s="257" t="s">
        <v>3801</v>
      </c>
      <c r="E282" s="257">
        <f>VLOOKUP(A282,import!A:J,5,0)</f>
        <v>83</v>
      </c>
      <c r="F282" s="257">
        <f>VLOOKUP(A282,import!A:J,6,0)</f>
        <v>42</v>
      </c>
      <c r="G282" s="257">
        <f>VLOOKUP(A282,import!A:J,7,0)</f>
        <v>0</v>
      </c>
      <c r="H282" s="257">
        <f>VLOOKUP(A282,import!A:J,8,0)</f>
        <v>11</v>
      </c>
      <c r="I282" s="257">
        <f>VLOOKUP(A282,import!A:J,9,0)</f>
        <v>11</v>
      </c>
      <c r="J282" s="369">
        <f>VLOOKUP(A282,import!A:J,10,0)</f>
        <v>0</v>
      </c>
      <c r="K282" s="257" t="s">
        <v>4654</v>
      </c>
      <c r="L282" s="257">
        <v>5.076800877E9</v>
      </c>
      <c r="M282" s="257" t="s">
        <v>3707</v>
      </c>
      <c r="N282" s="257" t="s">
        <v>4376</v>
      </c>
      <c r="O282" s="257" t="s">
        <v>4655</v>
      </c>
      <c r="P282" s="370" t="str">
        <f>VLOOKUP(A282,import!A:P,16,0)</f>
        <v>Geleneksel</v>
      </c>
      <c r="Q282" s="370"/>
      <c r="R282" s="370" t="b">
        <v>0</v>
      </c>
      <c r="S282" s="370" t="b">
        <v>0</v>
      </c>
      <c r="T282" s="301"/>
      <c r="U282" s="301"/>
      <c r="V282" s="301"/>
      <c r="W282" s="301"/>
      <c r="X282" s="371"/>
      <c r="Y282" s="371"/>
      <c r="Z282" s="372"/>
      <c r="AA282" s="373"/>
      <c r="AB282" s="374"/>
      <c r="AC282" s="373"/>
      <c r="AD282" s="374"/>
      <c r="AE282" s="373"/>
      <c r="AF282" s="374"/>
      <c r="AG282" s="373"/>
      <c r="AH282" s="374"/>
      <c r="AI282" s="373"/>
      <c r="AJ282" s="374"/>
      <c r="AK282" s="373"/>
      <c r="AL282" s="373"/>
      <c r="AM282" s="373"/>
      <c r="AN282" s="373"/>
      <c r="AO282" s="373"/>
      <c r="AP282" s="376"/>
      <c r="AQ282" s="373"/>
    </row>
    <row r="283">
      <c r="A283" s="257" t="s">
        <v>4656</v>
      </c>
      <c r="B283" s="257" t="s">
        <v>4657</v>
      </c>
      <c r="C283" s="257" t="str">
        <f>VLOOKUP(A283,import!A:J,3,0)</f>
        <v>DOĞRU</v>
      </c>
      <c r="D283" s="257" t="s">
        <v>3801</v>
      </c>
      <c r="E283" s="257">
        <f>VLOOKUP(A283,import!A:J,5,0)</f>
        <v>3828</v>
      </c>
      <c r="F283" s="257">
        <f>VLOOKUP(A283,import!A:J,6,0)</f>
        <v>183</v>
      </c>
      <c r="G283" s="257">
        <f>VLOOKUP(A283,import!A:J,7,0)</f>
        <v>27</v>
      </c>
      <c r="H283" s="257">
        <f>VLOOKUP(A283,import!A:J,8,0)</f>
        <v>2</v>
      </c>
      <c r="I283" s="257">
        <f>VLOOKUP(A283,import!A:J,9,0)</f>
        <v>29</v>
      </c>
      <c r="J283" s="369">
        <f>VLOOKUP(A283,import!A:J,10,0)</f>
        <v>0.93</v>
      </c>
      <c r="K283" s="257" t="s">
        <v>4658</v>
      </c>
      <c r="L283" s="257">
        <v>5.059641491E9</v>
      </c>
      <c r="M283" s="257" t="s">
        <v>14</v>
      </c>
      <c r="N283" s="257" t="s">
        <v>3767</v>
      </c>
      <c r="O283" s="257" t="s">
        <v>4659</v>
      </c>
      <c r="P283" s="370" t="str">
        <f>VLOOKUP(A283,import!A:P,16,0)</f>
        <v>Key</v>
      </c>
      <c r="Q283" s="370"/>
      <c r="R283" s="370" t="b">
        <v>1</v>
      </c>
      <c r="S283" s="370" t="b">
        <v>1</v>
      </c>
      <c r="T283" s="379"/>
      <c r="U283" s="379"/>
      <c r="V283" s="379"/>
      <c r="W283" s="301" t="s">
        <v>4660</v>
      </c>
      <c r="X283" s="381"/>
      <c r="Y283" s="381"/>
      <c r="Z283" s="372"/>
      <c r="AA283" s="373" t="s">
        <v>3682</v>
      </c>
      <c r="AB283" s="374">
        <v>44355.0</v>
      </c>
      <c r="AC283" s="373" t="s">
        <v>3448</v>
      </c>
      <c r="AD283" s="374">
        <v>44382.0</v>
      </c>
      <c r="AE283" s="373" t="s">
        <v>3448</v>
      </c>
      <c r="AF283" s="374">
        <v>44440.0</v>
      </c>
      <c r="AG283" s="373" t="s">
        <v>3682</v>
      </c>
      <c r="AH283" s="374">
        <v>44487.0</v>
      </c>
      <c r="AI283" s="375"/>
      <c r="AJ283" s="375"/>
      <c r="AK283" s="373" t="s">
        <v>399</v>
      </c>
      <c r="AL283" s="373" t="s">
        <v>1014</v>
      </c>
      <c r="AM283" s="373" t="s">
        <v>2542</v>
      </c>
      <c r="AN283" s="373" t="s">
        <v>2542</v>
      </c>
      <c r="AO283" s="375"/>
      <c r="AP283" s="376" t="s">
        <v>4661</v>
      </c>
      <c r="AQ283" s="375"/>
    </row>
    <row r="284">
      <c r="A284" s="257" t="s">
        <v>826</v>
      </c>
      <c r="B284" s="257" t="s">
        <v>827</v>
      </c>
      <c r="C284" s="257" t="str">
        <f>VLOOKUP(A284,import!A:J,3,0)</f>
        <v>DOĞRU</v>
      </c>
      <c r="D284" s="257" t="s">
        <v>3676</v>
      </c>
      <c r="E284" s="257">
        <f>VLOOKUP(A284,import!A:J,5,0)</f>
        <v>776</v>
      </c>
      <c r="F284" s="257">
        <f>VLOOKUP(A284,import!A:J,6,0)</f>
        <v>34</v>
      </c>
      <c r="G284" s="257">
        <f>VLOOKUP(A284,import!A:J,7,0)</f>
        <v>8</v>
      </c>
      <c r="H284" s="257">
        <f>VLOOKUP(A284,import!A:J,8,0)</f>
        <v>3</v>
      </c>
      <c r="I284" s="257">
        <f>VLOOKUP(A284,import!A:J,9,0)</f>
        <v>11</v>
      </c>
      <c r="J284" s="369">
        <f>VLOOKUP(A284,import!A:J,10,0)</f>
        <v>0.73</v>
      </c>
      <c r="K284" s="257" t="s">
        <v>4662</v>
      </c>
      <c r="L284" s="257">
        <v>3.224597279E9</v>
      </c>
      <c r="M284" s="257" t="s">
        <v>286</v>
      </c>
      <c r="N284" s="257" t="s">
        <v>3737</v>
      </c>
      <c r="O284" s="257" t="s">
        <v>829</v>
      </c>
      <c r="P284" s="370" t="str">
        <f>VLOOKUP(A284,import!A:P,16,0)</f>
        <v>Geleneksel</v>
      </c>
      <c r="Q284" s="370"/>
      <c r="R284" s="370" t="b">
        <v>1</v>
      </c>
      <c r="S284" s="370" t="b">
        <v>0</v>
      </c>
      <c r="T284" s="301" t="s">
        <v>3679</v>
      </c>
      <c r="U284" s="301" t="s">
        <v>111</v>
      </c>
      <c r="V284" s="301" t="s">
        <v>78</v>
      </c>
      <c r="W284" s="301">
        <v>5.323470131E9</v>
      </c>
      <c r="X284" s="371">
        <v>44378.0</v>
      </c>
      <c r="Y284" s="371">
        <v>44382.0</v>
      </c>
      <c r="Z284" s="372"/>
      <c r="AA284" s="373" t="s">
        <v>3682</v>
      </c>
      <c r="AB284" s="374">
        <v>44378.0</v>
      </c>
      <c r="AC284" s="375"/>
      <c r="AD284" s="375"/>
      <c r="AE284" s="92"/>
      <c r="AF284" s="375"/>
      <c r="AG284" s="92"/>
      <c r="AH284" s="375"/>
      <c r="AI284" s="375"/>
      <c r="AJ284" s="375"/>
      <c r="AK284" s="373" t="s">
        <v>111</v>
      </c>
      <c r="AL284" s="375"/>
      <c r="AM284" s="375"/>
      <c r="AN284" s="375"/>
      <c r="AO284" s="375"/>
      <c r="AP284" s="376" t="s">
        <v>3683</v>
      </c>
      <c r="AQ284" s="375"/>
    </row>
    <row r="285">
      <c r="A285" s="257" t="s">
        <v>2215</v>
      </c>
      <c r="B285" s="257" t="s">
        <v>2216</v>
      </c>
      <c r="C285" s="257" t="str">
        <f>VLOOKUP(A285,import!A:J,3,0)</f>
        <v>DOĞRU</v>
      </c>
      <c r="D285" s="257" t="s">
        <v>3676</v>
      </c>
      <c r="E285" s="257">
        <f>VLOOKUP(A285,import!A:J,5,0)</f>
        <v>3689</v>
      </c>
      <c r="F285" s="257">
        <f>VLOOKUP(A285,import!A:J,6,0)</f>
        <v>275</v>
      </c>
      <c r="G285" s="257">
        <f>VLOOKUP(A285,import!A:J,7,0)</f>
        <v>25</v>
      </c>
      <c r="H285" s="257">
        <f>VLOOKUP(A285,import!A:J,8,0)</f>
        <v>6</v>
      </c>
      <c r="I285" s="257">
        <f>VLOOKUP(A285,import!A:J,9,0)</f>
        <v>31</v>
      </c>
      <c r="J285" s="369">
        <f>VLOOKUP(A285,import!A:J,10,0)</f>
        <v>0.81</v>
      </c>
      <c r="K285" s="257" t="s">
        <v>4663</v>
      </c>
      <c r="L285" s="257">
        <v>3.222471002E9</v>
      </c>
      <c r="M285" s="257" t="s">
        <v>14</v>
      </c>
      <c r="N285" s="257" t="s">
        <v>3718</v>
      </c>
      <c r="O285" s="257" t="s">
        <v>2218</v>
      </c>
      <c r="P285" s="370" t="str">
        <f>VLOOKUP(A285,import!A:P,16,0)</f>
        <v>Geleneksel</v>
      </c>
      <c r="Q285" s="370"/>
      <c r="R285" s="370" t="b">
        <v>1</v>
      </c>
      <c r="S285" s="370" t="b">
        <v>0</v>
      </c>
      <c r="T285" s="301" t="s">
        <v>3679</v>
      </c>
      <c r="U285" s="301" t="s">
        <v>2542</v>
      </c>
      <c r="V285" s="301" t="s">
        <v>78</v>
      </c>
      <c r="W285" s="301" t="s">
        <v>4664</v>
      </c>
      <c r="X285" s="371">
        <v>44440.0</v>
      </c>
      <c r="Y285" s="371">
        <v>44441.0</v>
      </c>
      <c r="Z285" s="372"/>
      <c r="AA285" s="373" t="s">
        <v>3682</v>
      </c>
      <c r="AB285" s="374">
        <v>44383.0</v>
      </c>
      <c r="AC285" s="373" t="s">
        <v>3682</v>
      </c>
      <c r="AD285" s="374">
        <v>44440.0</v>
      </c>
      <c r="AE285" s="92"/>
      <c r="AF285" s="375"/>
      <c r="AG285" s="92"/>
      <c r="AH285" s="375"/>
      <c r="AI285" s="375"/>
      <c r="AJ285" s="375"/>
      <c r="AK285" s="373" t="s">
        <v>3974</v>
      </c>
      <c r="AL285" s="373" t="s">
        <v>2542</v>
      </c>
      <c r="AM285" s="375"/>
      <c r="AN285" s="375"/>
      <c r="AO285" s="375"/>
      <c r="AP285" s="376" t="s">
        <v>3683</v>
      </c>
      <c r="AQ285" s="375"/>
    </row>
    <row r="286">
      <c r="A286" s="257" t="s">
        <v>4665</v>
      </c>
      <c r="B286" s="257" t="s">
        <v>4666</v>
      </c>
      <c r="C286" s="257" t="str">
        <f>VLOOKUP(A286,import!A:J,3,0)</f>
        <v>DOĞRU</v>
      </c>
      <c r="D286" s="257" t="s">
        <v>3759</v>
      </c>
      <c r="E286" s="257">
        <f>VLOOKUP(A286,import!A:J,5,0)</f>
        <v>122</v>
      </c>
      <c r="F286" s="257">
        <f>VLOOKUP(A286,import!A:J,6,0)</f>
        <v>106</v>
      </c>
      <c r="G286" s="257">
        <f>VLOOKUP(A286,import!A:J,7,0)</f>
        <v>0</v>
      </c>
      <c r="H286" s="257">
        <f>VLOOKUP(A286,import!A:J,8,0)</f>
        <v>29</v>
      </c>
      <c r="I286" s="257">
        <f>VLOOKUP(A286,import!A:J,9,0)</f>
        <v>29</v>
      </c>
      <c r="J286" s="369">
        <f>VLOOKUP(A286,import!A:J,10,0)</f>
        <v>0</v>
      </c>
      <c r="K286" s="257" t="s">
        <v>4667</v>
      </c>
      <c r="L286" s="257">
        <v>5.321382164E9</v>
      </c>
      <c r="M286" s="257" t="s">
        <v>14</v>
      </c>
      <c r="N286" s="257" t="s">
        <v>3797</v>
      </c>
      <c r="O286" s="257" t="s">
        <v>4668</v>
      </c>
      <c r="P286" s="370" t="str">
        <f>VLOOKUP(A286,import!A:P,16,0)</f>
        <v>Geleneksel</v>
      </c>
      <c r="Q286" s="370"/>
      <c r="R286" s="370" t="b">
        <v>0</v>
      </c>
      <c r="S286" s="370" t="b">
        <v>0</v>
      </c>
      <c r="T286" s="301"/>
      <c r="U286" s="301"/>
      <c r="V286" s="301"/>
      <c r="W286" s="301"/>
      <c r="X286" s="371"/>
      <c r="Y286" s="371"/>
      <c r="Z286" s="372"/>
      <c r="AA286" s="373"/>
      <c r="AB286" s="374"/>
      <c r="AC286" s="373"/>
      <c r="AD286" s="374"/>
      <c r="AE286" s="373"/>
      <c r="AF286" s="374"/>
      <c r="AG286" s="373"/>
      <c r="AH286" s="374"/>
      <c r="AI286" s="373"/>
      <c r="AJ286" s="374"/>
      <c r="AK286" s="373"/>
      <c r="AL286" s="373"/>
      <c r="AM286" s="373"/>
      <c r="AN286" s="373"/>
      <c r="AO286" s="373"/>
      <c r="AP286" s="376"/>
      <c r="AQ286" s="373"/>
    </row>
    <row r="287">
      <c r="A287" s="376" t="s">
        <v>4669</v>
      </c>
      <c r="B287" s="376" t="s">
        <v>4670</v>
      </c>
      <c r="C287" s="257" t="str">
        <f>VLOOKUP(A287,import!A:J,3,0)</f>
        <v>DOĞRU</v>
      </c>
      <c r="D287" s="376" t="s">
        <v>4671</v>
      </c>
      <c r="E287" s="257">
        <f>VLOOKUP(A287,import!A:J,5,0)</f>
        <v>1</v>
      </c>
      <c r="F287" s="257">
        <f>VLOOKUP(A287,import!A:J,6,0)</f>
        <v>1</v>
      </c>
      <c r="G287" s="257">
        <f>VLOOKUP(A287,import!A:J,7,0)</f>
        <v>0</v>
      </c>
      <c r="H287" s="257">
        <f>VLOOKUP(A287,import!A:J,8,0)</f>
        <v>3</v>
      </c>
      <c r="I287" s="257">
        <f>VLOOKUP(A287,import!A:J,9,0)</f>
        <v>3</v>
      </c>
      <c r="J287" s="369">
        <f>VLOOKUP(A287,import!A:J,10,0)</f>
        <v>0</v>
      </c>
      <c r="K287" s="376" t="s">
        <v>4672</v>
      </c>
      <c r="L287" s="376">
        <v>5.422344417E9</v>
      </c>
      <c r="M287" s="376" t="s">
        <v>286</v>
      </c>
      <c r="N287" s="376" t="s">
        <v>3737</v>
      </c>
      <c r="O287" s="376" t="s">
        <v>4673</v>
      </c>
      <c r="P287" s="370" t="str">
        <f>VLOOKUP(A287,import!A:P,16,0)</f>
        <v>Geleneksel</v>
      </c>
      <c r="Q287" s="370"/>
      <c r="R287" s="370" t="b">
        <v>0</v>
      </c>
      <c r="S287" s="370" t="b">
        <v>0</v>
      </c>
      <c r="T287" s="301"/>
      <c r="U287" s="301"/>
      <c r="V287" s="301"/>
      <c r="W287" s="301"/>
      <c r="X287" s="371"/>
      <c r="Y287" s="371"/>
      <c r="Z287" s="372"/>
      <c r="AA287" s="373"/>
      <c r="AB287" s="374"/>
      <c r="AC287" s="373"/>
      <c r="AD287" s="374"/>
      <c r="AE287" s="373"/>
      <c r="AF287" s="374"/>
      <c r="AG287" s="373"/>
      <c r="AH287" s="374"/>
      <c r="AI287" s="373"/>
      <c r="AJ287" s="374"/>
      <c r="AK287" s="373"/>
      <c r="AL287" s="373"/>
      <c r="AM287" s="373"/>
      <c r="AN287" s="373"/>
      <c r="AO287" s="373"/>
      <c r="AP287" s="376"/>
      <c r="AQ287" s="373"/>
    </row>
    <row r="288">
      <c r="A288" s="257" t="s">
        <v>2877</v>
      </c>
      <c r="B288" s="257" t="s">
        <v>2878</v>
      </c>
      <c r="C288" s="257" t="str">
        <f>VLOOKUP(A288,import!A:J,3,0)</f>
        <v>DOĞRU</v>
      </c>
      <c r="D288" s="257" t="s">
        <v>3699</v>
      </c>
      <c r="E288" s="257">
        <f>VLOOKUP(A288,import!A:J,5,0)</f>
        <v>544</v>
      </c>
      <c r="F288" s="257">
        <f>VLOOKUP(A288,import!A:J,6,0)</f>
        <v>52</v>
      </c>
      <c r="G288" s="257">
        <f>VLOOKUP(A288,import!A:J,7,0)</f>
        <v>7</v>
      </c>
      <c r="H288" s="257">
        <f>VLOOKUP(A288,import!A:J,8,0)</f>
        <v>1</v>
      </c>
      <c r="I288" s="257">
        <f>VLOOKUP(A288,import!A:J,9,0)</f>
        <v>8</v>
      </c>
      <c r="J288" s="369">
        <f>VLOOKUP(A288,import!A:J,10,0)</f>
        <v>0.88</v>
      </c>
      <c r="K288" s="257" t="s">
        <v>4674</v>
      </c>
      <c r="L288" s="257">
        <v>5.414119713E9</v>
      </c>
      <c r="M288" s="257" t="s">
        <v>14</v>
      </c>
      <c r="N288" s="257" t="s">
        <v>3797</v>
      </c>
      <c r="O288" s="257" t="s">
        <v>2880</v>
      </c>
      <c r="P288" s="370" t="str">
        <f>VLOOKUP(A288,import!A:P,16,0)</f>
        <v>Geleneksel</v>
      </c>
      <c r="Q288" s="370"/>
      <c r="R288" s="370" t="b">
        <v>1</v>
      </c>
      <c r="S288" s="370" t="b">
        <v>0</v>
      </c>
      <c r="T288" s="301" t="s">
        <v>3679</v>
      </c>
      <c r="U288" s="301" t="s">
        <v>2542</v>
      </c>
      <c r="V288" s="301" t="s">
        <v>78</v>
      </c>
      <c r="W288" s="301" t="s">
        <v>4675</v>
      </c>
      <c r="X288" s="371">
        <v>44487.0</v>
      </c>
      <c r="Y288" s="371">
        <v>44488.0</v>
      </c>
      <c r="Z288" s="372"/>
      <c r="AA288" s="373" t="s">
        <v>3681</v>
      </c>
      <c r="AB288" s="374">
        <v>44363.0</v>
      </c>
      <c r="AC288" s="373" t="s">
        <v>3448</v>
      </c>
      <c r="AD288" s="374">
        <v>44412.0</v>
      </c>
      <c r="AE288" s="373" t="s">
        <v>3448</v>
      </c>
      <c r="AF288" s="374">
        <v>44427.0</v>
      </c>
      <c r="AG288" s="373" t="s">
        <v>3448</v>
      </c>
      <c r="AH288" s="374">
        <v>44441.0</v>
      </c>
      <c r="AI288" s="373" t="s">
        <v>3682</v>
      </c>
      <c r="AJ288" s="374">
        <v>44487.0</v>
      </c>
      <c r="AK288" s="373" t="s">
        <v>399</v>
      </c>
      <c r="AL288" s="267" t="s">
        <v>4676</v>
      </c>
      <c r="AM288" s="373" t="s">
        <v>1947</v>
      </c>
      <c r="AN288" s="373" t="s">
        <v>2542</v>
      </c>
      <c r="AO288" s="373" t="s">
        <v>2542</v>
      </c>
      <c r="AP288" s="376" t="s">
        <v>3683</v>
      </c>
      <c r="AQ288" s="373"/>
    </row>
    <row r="289">
      <c r="A289" s="257" t="s">
        <v>4677</v>
      </c>
      <c r="B289" s="257" t="s">
        <v>4678</v>
      </c>
      <c r="C289" s="257" t="str">
        <f>VLOOKUP(A289,import!A:J,3,0)</f>
        <v>DOĞRU</v>
      </c>
      <c r="D289" s="257" t="s">
        <v>3878</v>
      </c>
      <c r="E289" s="257">
        <f>VLOOKUP(A289,import!A:J,5,0)</f>
        <v>533</v>
      </c>
      <c r="F289" s="257">
        <f>VLOOKUP(A289,import!A:J,6,0)</f>
        <v>14</v>
      </c>
      <c r="G289" s="257">
        <f>VLOOKUP(A289,import!A:J,7,0)</f>
        <v>0</v>
      </c>
      <c r="H289" s="257">
        <f>VLOOKUP(A289,import!A:J,8,0)</f>
        <v>32</v>
      </c>
      <c r="I289" s="257">
        <f>VLOOKUP(A289,import!A:J,9,0)</f>
        <v>32</v>
      </c>
      <c r="J289" s="369">
        <f>VLOOKUP(A289,import!A:J,10,0)</f>
        <v>0</v>
      </c>
      <c r="K289" s="257" t="s">
        <v>4679</v>
      </c>
      <c r="L289" s="257">
        <v>3.222397878E9</v>
      </c>
      <c r="M289" s="257" t="s">
        <v>286</v>
      </c>
      <c r="N289" s="257" t="s">
        <v>3688</v>
      </c>
      <c r="O289" s="257" t="s">
        <v>4680</v>
      </c>
      <c r="P289" s="370" t="str">
        <f>VLOOKUP(A289,import!A:P,16,0)</f>
        <v>Geleneksel</v>
      </c>
      <c r="Q289" s="370"/>
      <c r="R289" s="370" t="b">
        <v>1</v>
      </c>
      <c r="S289" s="370" t="b">
        <v>1</v>
      </c>
      <c r="T289" s="301"/>
      <c r="U289" s="379"/>
      <c r="V289" s="379"/>
      <c r="W289" s="301" t="s">
        <v>4681</v>
      </c>
      <c r="X289" s="381"/>
      <c r="Y289" s="381"/>
      <c r="Z289" s="372"/>
      <c r="AA289" s="373" t="s">
        <v>3682</v>
      </c>
      <c r="AB289" s="374">
        <v>44379.0</v>
      </c>
      <c r="AC289" s="373" t="s">
        <v>3682</v>
      </c>
      <c r="AD289" s="374">
        <v>44441.0</v>
      </c>
      <c r="AE289" s="373" t="s">
        <v>3682</v>
      </c>
      <c r="AF289" s="374">
        <v>44463.0</v>
      </c>
      <c r="AG289" s="92"/>
      <c r="AH289" s="375"/>
      <c r="AI289" s="375"/>
      <c r="AJ289" s="375"/>
      <c r="AK289" s="373" t="s">
        <v>1014</v>
      </c>
      <c r="AL289" s="373" t="s">
        <v>2542</v>
      </c>
      <c r="AM289" s="373" t="s">
        <v>2542</v>
      </c>
      <c r="AN289" s="375"/>
      <c r="AO289" s="375"/>
      <c r="AP289" s="376" t="s">
        <v>3686</v>
      </c>
      <c r="AQ289" s="375"/>
    </row>
    <row r="290">
      <c r="A290" s="257" t="s">
        <v>4682</v>
      </c>
      <c r="B290" s="257" t="s">
        <v>4683</v>
      </c>
      <c r="C290" s="257" t="str">
        <f>VLOOKUP(A290,import!A:J,3,0)</f>
        <v>DOĞRU</v>
      </c>
      <c r="D290" s="257" t="s">
        <v>3713</v>
      </c>
      <c r="E290" s="257">
        <f>VLOOKUP(A290,import!A:J,5,0)</f>
        <v>1997</v>
      </c>
      <c r="F290" s="257">
        <f>VLOOKUP(A290,import!A:J,6,0)</f>
        <v>49</v>
      </c>
      <c r="G290" s="257">
        <f>VLOOKUP(A290,import!A:J,7,0)</f>
        <v>1</v>
      </c>
      <c r="H290" s="257">
        <f>VLOOKUP(A290,import!A:J,8,0)</f>
        <v>25</v>
      </c>
      <c r="I290" s="257">
        <f>VLOOKUP(A290,import!A:J,9,0)</f>
        <v>26</v>
      </c>
      <c r="J290" s="369">
        <f>VLOOKUP(A290,import!A:J,10,0)</f>
        <v>0.04</v>
      </c>
      <c r="K290" s="257" t="s">
        <v>4684</v>
      </c>
      <c r="L290" s="257">
        <v>3.226111126E9</v>
      </c>
      <c r="M290" s="257" t="s">
        <v>3701</v>
      </c>
      <c r="N290" s="257" t="s">
        <v>4685</v>
      </c>
      <c r="O290" s="257" t="s">
        <v>4686</v>
      </c>
      <c r="P290" s="370" t="str">
        <f>VLOOKUP(A290,import!A:P,16,0)</f>
        <v>Geleneksel</v>
      </c>
      <c r="Q290" s="370"/>
      <c r="R290" s="370" t="b">
        <v>0</v>
      </c>
      <c r="S290" s="370" t="b">
        <v>0</v>
      </c>
      <c r="T290" s="301" t="s">
        <v>3862</v>
      </c>
      <c r="U290" s="379"/>
      <c r="V290" s="379"/>
      <c r="W290" s="301"/>
      <c r="X290" s="381"/>
      <c r="Y290" s="381"/>
      <c r="Z290" s="301" t="s">
        <v>3957</v>
      </c>
      <c r="AA290" s="375"/>
      <c r="AB290" s="375"/>
      <c r="AC290" s="375"/>
      <c r="AD290" s="375"/>
      <c r="AE290" s="92"/>
      <c r="AF290" s="375"/>
      <c r="AG290" s="92"/>
      <c r="AH290" s="375"/>
      <c r="AI290" s="375"/>
      <c r="AJ290" s="375"/>
      <c r="AK290" s="375"/>
      <c r="AL290" s="375"/>
      <c r="AM290" s="375"/>
      <c r="AN290" s="375"/>
      <c r="AO290" s="375"/>
      <c r="AP290" s="376" t="s">
        <v>3686</v>
      </c>
      <c r="AQ290" s="375"/>
    </row>
    <row r="291">
      <c r="A291" s="257" t="s">
        <v>1287</v>
      </c>
      <c r="B291" s="257" t="s">
        <v>1288</v>
      </c>
      <c r="C291" s="257" t="str">
        <f>VLOOKUP(A291,import!A:J,3,0)</f>
        <v>DOĞRU</v>
      </c>
      <c r="D291" s="257" t="s">
        <v>3699</v>
      </c>
      <c r="E291" s="257">
        <f>VLOOKUP(A291,import!A:J,5,0)</f>
        <v>1537</v>
      </c>
      <c r="F291" s="257">
        <f>VLOOKUP(A291,import!A:J,6,0)</f>
        <v>167</v>
      </c>
      <c r="G291" s="257">
        <f>VLOOKUP(A291,import!A:J,7,0)</f>
        <v>16</v>
      </c>
      <c r="H291" s="257">
        <f>VLOOKUP(A291,import!A:J,8,0)</f>
        <v>5</v>
      </c>
      <c r="I291" s="257">
        <f>VLOOKUP(A291,import!A:J,9,0)</f>
        <v>21</v>
      </c>
      <c r="J291" s="369">
        <f>VLOOKUP(A291,import!A:J,10,0)</f>
        <v>0.76</v>
      </c>
      <c r="K291" s="257" t="s">
        <v>4687</v>
      </c>
      <c r="L291" s="257">
        <v>3.22261313E9</v>
      </c>
      <c r="M291" s="257" t="s">
        <v>286</v>
      </c>
      <c r="N291" s="257" t="s">
        <v>3769</v>
      </c>
      <c r="O291" s="257" t="s">
        <v>1290</v>
      </c>
      <c r="P291" s="370" t="str">
        <f>VLOOKUP(A291,import!A:P,16,0)</f>
        <v>Geleneksel</v>
      </c>
      <c r="Q291" s="370"/>
      <c r="R291" s="370" t="b">
        <v>1</v>
      </c>
      <c r="S291" s="370" t="b">
        <v>0</v>
      </c>
      <c r="T291" s="301" t="s">
        <v>3679</v>
      </c>
      <c r="U291" s="301" t="s">
        <v>2706</v>
      </c>
      <c r="V291" s="301" t="s">
        <v>78</v>
      </c>
      <c r="W291" s="301">
        <v>5.365474377E9</v>
      </c>
      <c r="X291" s="371">
        <v>44503.0</v>
      </c>
      <c r="Y291" s="371">
        <v>44504.0</v>
      </c>
      <c r="Z291" s="372"/>
      <c r="AA291" s="373" t="s">
        <v>3682</v>
      </c>
      <c r="AB291" s="374">
        <v>44384.0</v>
      </c>
      <c r="AC291" s="373" t="s">
        <v>3682</v>
      </c>
      <c r="AD291" s="374">
        <v>44503.0</v>
      </c>
      <c r="AE291" s="92"/>
      <c r="AF291" s="375"/>
      <c r="AG291" s="92"/>
      <c r="AH291" s="375"/>
      <c r="AI291" s="375"/>
      <c r="AJ291" s="375"/>
      <c r="AK291" s="373" t="s">
        <v>1014</v>
      </c>
      <c r="AL291" s="373" t="s">
        <v>2706</v>
      </c>
      <c r="AM291" s="375"/>
      <c r="AN291" s="375"/>
      <c r="AO291" s="375"/>
      <c r="AP291" s="376" t="s">
        <v>3686</v>
      </c>
      <c r="AQ291" s="375"/>
    </row>
    <row r="292">
      <c r="A292" s="257" t="s">
        <v>4688</v>
      </c>
      <c r="B292" s="257" t="s">
        <v>4689</v>
      </c>
      <c r="C292" s="257" t="str">
        <f>VLOOKUP(A292,import!A:J,3,0)</f>
        <v>DOĞRU</v>
      </c>
      <c r="D292" s="257" t="s">
        <v>3676</v>
      </c>
      <c r="E292" s="257">
        <f>VLOOKUP(A292,import!A:J,5,0)</f>
        <v>1756</v>
      </c>
      <c r="F292" s="257">
        <f>VLOOKUP(A292,import!A:J,6,0)</f>
        <v>49</v>
      </c>
      <c r="G292" s="257">
        <f>VLOOKUP(A292,import!A:J,7,0)</f>
        <v>0</v>
      </c>
      <c r="H292" s="257">
        <f>VLOOKUP(A292,import!A:J,8,0)</f>
        <v>41</v>
      </c>
      <c r="I292" s="257">
        <f>VLOOKUP(A292,import!A:J,9,0)</f>
        <v>41</v>
      </c>
      <c r="J292" s="369">
        <f>VLOOKUP(A292,import!A:J,10,0)</f>
        <v>0</v>
      </c>
      <c r="K292" s="257" t="s">
        <v>4690</v>
      </c>
      <c r="L292" s="257">
        <v>5.32540434E9</v>
      </c>
      <c r="M292" s="257" t="s">
        <v>14</v>
      </c>
      <c r="N292" s="257" t="s">
        <v>3797</v>
      </c>
      <c r="O292" s="257" t="s">
        <v>4691</v>
      </c>
      <c r="P292" s="370" t="str">
        <f>VLOOKUP(A292,import!A:P,16,0)</f>
        <v>Geleneksel</v>
      </c>
      <c r="Q292" s="370"/>
      <c r="R292" s="370" t="b">
        <v>1</v>
      </c>
      <c r="S292" s="370" t="b">
        <v>1</v>
      </c>
      <c r="T292" s="301"/>
      <c r="U292" s="301"/>
      <c r="V292" s="301"/>
      <c r="W292" s="301" t="s">
        <v>4692</v>
      </c>
      <c r="X292" s="371"/>
      <c r="Y292" s="371"/>
      <c r="Z292" s="301" t="s">
        <v>3957</v>
      </c>
      <c r="AA292" s="373" t="s">
        <v>3682</v>
      </c>
      <c r="AB292" s="374">
        <v>44363.0</v>
      </c>
      <c r="AC292" s="373" t="s">
        <v>3448</v>
      </c>
      <c r="AD292" s="374">
        <v>44412.0</v>
      </c>
      <c r="AE292" s="373" t="s">
        <v>3682</v>
      </c>
      <c r="AF292" s="374">
        <v>44441.0</v>
      </c>
      <c r="AG292" s="373" t="s">
        <v>3448</v>
      </c>
      <c r="AH292" s="374">
        <v>44480.0</v>
      </c>
      <c r="AI292" s="373" t="s">
        <v>3448</v>
      </c>
      <c r="AJ292" s="374">
        <v>44519.0</v>
      </c>
      <c r="AK292" s="373" t="s">
        <v>399</v>
      </c>
      <c r="AL292" s="373" t="s">
        <v>3723</v>
      </c>
      <c r="AM292" s="373" t="s">
        <v>2542</v>
      </c>
      <c r="AN292" s="373" t="s">
        <v>2542</v>
      </c>
      <c r="AO292" s="373" t="s">
        <v>3073</v>
      </c>
      <c r="AP292" s="376" t="s">
        <v>3683</v>
      </c>
      <c r="AQ292" s="373"/>
    </row>
    <row r="293">
      <c r="A293" s="376" t="s">
        <v>4693</v>
      </c>
      <c r="B293" s="376" t="s">
        <v>4694</v>
      </c>
      <c r="C293" s="257" t="str">
        <f>VLOOKUP(A293,import!A:J,3,0)</f>
        <v>DOĞRU</v>
      </c>
      <c r="D293" s="376" t="s">
        <v>3842</v>
      </c>
      <c r="E293" s="257">
        <f>VLOOKUP(A293,import!A:J,5,0)</f>
        <v>40</v>
      </c>
      <c r="F293" s="257">
        <f>VLOOKUP(A293,import!A:J,6,0)</f>
        <v>40</v>
      </c>
      <c r="G293" s="257">
        <f>VLOOKUP(A293,import!A:J,7,0)</f>
        <v>0</v>
      </c>
      <c r="H293" s="257">
        <f>VLOOKUP(A293,import!A:J,8,0)</f>
        <v>66</v>
      </c>
      <c r="I293" s="257">
        <f>VLOOKUP(A293,import!A:J,9,0)</f>
        <v>66</v>
      </c>
      <c r="J293" s="369">
        <f>VLOOKUP(A293,import!A:J,10,0)</f>
        <v>0</v>
      </c>
      <c r="K293" s="376" t="s">
        <v>4695</v>
      </c>
      <c r="L293" s="376">
        <v>5.39310404E9</v>
      </c>
      <c r="M293" s="376" t="s">
        <v>14</v>
      </c>
      <c r="N293" s="376" t="s">
        <v>3767</v>
      </c>
      <c r="O293" s="376" t="s">
        <v>4696</v>
      </c>
      <c r="P293" s="370" t="str">
        <f>VLOOKUP(A293,import!A:P,16,0)</f>
        <v>Geleneksel</v>
      </c>
      <c r="Q293" s="370"/>
      <c r="R293" s="370" t="b">
        <v>0</v>
      </c>
      <c r="S293" s="370" t="b">
        <v>0</v>
      </c>
      <c r="T293" s="301"/>
      <c r="U293" s="301"/>
      <c r="V293" s="301"/>
      <c r="W293" s="301"/>
      <c r="X293" s="371"/>
      <c r="Y293" s="371"/>
      <c r="Z293" s="372"/>
      <c r="AA293" s="373"/>
      <c r="AB293" s="374"/>
      <c r="AC293" s="373"/>
      <c r="AD293" s="374"/>
      <c r="AE293" s="373"/>
      <c r="AF293" s="374"/>
      <c r="AG293" s="373"/>
      <c r="AH293" s="374"/>
      <c r="AI293" s="373"/>
      <c r="AJ293" s="374"/>
      <c r="AK293" s="373"/>
      <c r="AL293" s="373"/>
      <c r="AM293" s="373"/>
      <c r="AN293" s="373"/>
      <c r="AO293" s="373"/>
      <c r="AP293" s="376"/>
      <c r="AQ293" s="373"/>
    </row>
    <row r="294">
      <c r="A294" s="257" t="s">
        <v>1408</v>
      </c>
      <c r="B294" s="257" t="s">
        <v>1409</v>
      </c>
      <c r="C294" s="257" t="str">
        <f>VLOOKUP(A294,import!A:J,3,0)</f>
        <v>DOĞRU</v>
      </c>
      <c r="D294" s="257" t="s">
        <v>3676</v>
      </c>
      <c r="E294" s="257">
        <f>VLOOKUP(A294,import!A:J,5,0)</f>
        <v>2762</v>
      </c>
      <c r="F294" s="257" t="str">
        <f>VLOOKUP(A294,import!A:J,6,0)</f>
        <v/>
      </c>
      <c r="G294" s="257">
        <f>VLOOKUP(A294,import!A:J,7,0)</f>
        <v>17</v>
      </c>
      <c r="H294" s="257">
        <f>VLOOKUP(A294,import!A:J,8,0)</f>
        <v>4</v>
      </c>
      <c r="I294" s="257">
        <f>VLOOKUP(A294,import!A:J,9,0)</f>
        <v>21</v>
      </c>
      <c r="J294" s="369">
        <f>VLOOKUP(A294,import!A:J,10,0)</f>
        <v>0.81</v>
      </c>
      <c r="K294" s="257" t="s">
        <v>4697</v>
      </c>
      <c r="L294" s="257">
        <v>5.345768601E9</v>
      </c>
      <c r="M294" s="257" t="s">
        <v>286</v>
      </c>
      <c r="N294" s="257" t="s">
        <v>4420</v>
      </c>
      <c r="O294" s="257" t="s">
        <v>1412</v>
      </c>
      <c r="P294" s="370" t="str">
        <f>VLOOKUP(A294,import!A:P,16,0)</f>
        <v>Geleneksel</v>
      </c>
      <c r="Q294" s="370"/>
      <c r="R294" s="370" t="b">
        <v>1</v>
      </c>
      <c r="S294" s="370" t="b">
        <v>0</v>
      </c>
      <c r="T294" s="301" t="s">
        <v>3679</v>
      </c>
      <c r="U294" s="301" t="s">
        <v>79</v>
      </c>
      <c r="V294" s="301" t="s">
        <v>78</v>
      </c>
      <c r="W294" s="301">
        <v>5.367980149E9</v>
      </c>
      <c r="X294" s="371">
        <v>44460.0</v>
      </c>
      <c r="Y294" s="371">
        <v>44461.0</v>
      </c>
      <c r="Z294" s="372"/>
      <c r="AA294" s="373" t="s">
        <v>3695</v>
      </c>
      <c r="AB294" s="374">
        <v>44389.0</v>
      </c>
      <c r="AC294" s="373" t="s">
        <v>3682</v>
      </c>
      <c r="AD294" s="374">
        <v>44389.0</v>
      </c>
      <c r="AE294" s="373" t="s">
        <v>3696</v>
      </c>
      <c r="AF294" s="374">
        <v>44421.0</v>
      </c>
      <c r="AG294" s="92"/>
      <c r="AH294" s="375"/>
      <c r="AI294" s="375"/>
      <c r="AJ294" s="375"/>
      <c r="AK294" s="373" t="s">
        <v>79</v>
      </c>
      <c r="AL294" s="373" t="s">
        <v>4089</v>
      </c>
      <c r="AM294" s="373" t="s">
        <v>3729</v>
      </c>
      <c r="AN294" s="375"/>
      <c r="AO294" s="375"/>
      <c r="AP294" s="376" t="s">
        <v>3686</v>
      </c>
      <c r="AQ294" s="375"/>
    </row>
    <row r="295">
      <c r="A295" s="257" t="s">
        <v>4698</v>
      </c>
      <c r="B295" s="257" t="s">
        <v>4699</v>
      </c>
      <c r="C295" s="257" t="str">
        <f>VLOOKUP(A295,import!A:J,3,0)</f>
        <v>DOĞRU</v>
      </c>
      <c r="D295" s="257" t="s">
        <v>3713</v>
      </c>
      <c r="E295" s="257">
        <f>VLOOKUP(A295,import!A:J,5,0)</f>
        <v>6596</v>
      </c>
      <c r="F295" s="257">
        <f>VLOOKUP(A295,import!A:J,6,0)</f>
        <v>288</v>
      </c>
      <c r="G295" s="257">
        <f>VLOOKUP(A295,import!A:J,7,0)</f>
        <v>0</v>
      </c>
      <c r="H295" s="257">
        <f>VLOOKUP(A295,import!A:J,8,0)</f>
        <v>42</v>
      </c>
      <c r="I295" s="257">
        <f>VLOOKUP(A295,import!A:J,9,0)</f>
        <v>42</v>
      </c>
      <c r="J295" s="369">
        <f>VLOOKUP(A295,import!A:J,10,0)</f>
        <v>0</v>
      </c>
      <c r="K295" s="257" t="s">
        <v>4700</v>
      </c>
      <c r="L295" s="257">
        <v>3.223271701E9</v>
      </c>
      <c r="M295" s="257" t="s">
        <v>3707</v>
      </c>
      <c r="N295" s="257" t="s">
        <v>3815</v>
      </c>
      <c r="O295" s="257" t="s">
        <v>4701</v>
      </c>
      <c r="P295" s="370" t="str">
        <f>VLOOKUP(A295,import!A:P,16,0)</f>
        <v>Geleneksel</v>
      </c>
      <c r="Q295" s="370"/>
      <c r="R295" s="370" t="b">
        <v>1</v>
      </c>
      <c r="S295" s="370" t="b">
        <v>1</v>
      </c>
      <c r="T295" s="301"/>
      <c r="U295" s="301"/>
      <c r="V295" s="301"/>
      <c r="W295" s="301" t="s">
        <v>4702</v>
      </c>
      <c r="X295" s="371"/>
      <c r="Y295" s="371"/>
      <c r="Z295" s="377"/>
      <c r="AA295" s="373" t="s">
        <v>3682</v>
      </c>
      <c r="AB295" s="374">
        <v>44390.0</v>
      </c>
      <c r="AC295" s="373" t="s">
        <v>3682</v>
      </c>
      <c r="AD295" s="374">
        <v>44463.0</v>
      </c>
      <c r="AE295" s="92"/>
      <c r="AF295" s="375"/>
      <c r="AG295" s="92"/>
      <c r="AH295" s="375"/>
      <c r="AI295" s="375"/>
      <c r="AJ295" s="375"/>
      <c r="AK295" s="373" t="s">
        <v>3719</v>
      </c>
      <c r="AL295" s="373" t="s">
        <v>2542</v>
      </c>
      <c r="AM295" s="375"/>
      <c r="AN295" s="375"/>
      <c r="AO295" s="375"/>
      <c r="AP295" s="376" t="s">
        <v>3686</v>
      </c>
      <c r="AQ295" s="375"/>
    </row>
    <row r="296">
      <c r="A296" s="257" t="s">
        <v>370</v>
      </c>
      <c r="B296" s="257" t="s">
        <v>371</v>
      </c>
      <c r="C296" s="257" t="str">
        <f>VLOOKUP(A296,import!A:J,3,0)</f>
        <v>DOĞRU</v>
      </c>
      <c r="D296" s="257" t="s">
        <v>3822</v>
      </c>
      <c r="E296" s="257">
        <f>VLOOKUP(A296,import!A:J,5,0)</f>
        <v>1982</v>
      </c>
      <c r="F296" s="257">
        <f>VLOOKUP(A296,import!A:J,6,0)</f>
        <v>43</v>
      </c>
      <c r="G296" s="257">
        <f>VLOOKUP(A296,import!A:J,7,0)</f>
        <v>34</v>
      </c>
      <c r="H296" s="257">
        <f>VLOOKUP(A296,import!A:J,8,0)</f>
        <v>31</v>
      </c>
      <c r="I296" s="257">
        <f>VLOOKUP(A296,import!A:J,9,0)</f>
        <v>65</v>
      </c>
      <c r="J296" s="369">
        <f>VLOOKUP(A296,import!A:J,10,0)</f>
        <v>0.52</v>
      </c>
      <c r="K296" s="257" t="s">
        <v>4703</v>
      </c>
      <c r="L296" s="257">
        <v>3.222613008E9</v>
      </c>
      <c r="M296" s="257" t="s">
        <v>286</v>
      </c>
      <c r="N296" s="257" t="s">
        <v>3855</v>
      </c>
      <c r="O296" s="257" t="s">
        <v>373</v>
      </c>
      <c r="P296" s="370" t="str">
        <f>VLOOKUP(A296,import!A:P,16,0)</f>
        <v>Geleneksel</v>
      </c>
      <c r="Q296" s="370"/>
      <c r="R296" s="370" t="b">
        <v>1</v>
      </c>
      <c r="S296" s="370" t="b">
        <v>0</v>
      </c>
      <c r="T296" s="301" t="s">
        <v>3679</v>
      </c>
      <c r="U296" s="301" t="s">
        <v>79</v>
      </c>
      <c r="V296" s="301" t="s">
        <v>4704</v>
      </c>
      <c r="W296" s="301" t="s">
        <v>4705</v>
      </c>
      <c r="X296" s="371">
        <v>44306.0</v>
      </c>
      <c r="Y296" s="371">
        <v>44307.0</v>
      </c>
      <c r="Z296" s="377"/>
      <c r="AA296" s="373" t="s">
        <v>3682</v>
      </c>
      <c r="AB296" s="374">
        <v>44503.0</v>
      </c>
      <c r="AC296" s="375"/>
      <c r="AD296" s="375"/>
      <c r="AE296" s="92"/>
      <c r="AF296" s="375"/>
      <c r="AG296" s="92"/>
      <c r="AH296" s="375"/>
      <c r="AI296" s="375"/>
      <c r="AJ296" s="375"/>
      <c r="AK296" s="375"/>
      <c r="AL296" s="375"/>
      <c r="AM296" s="375"/>
      <c r="AN296" s="375"/>
      <c r="AO296" s="375"/>
      <c r="AP296" s="376" t="s">
        <v>3686</v>
      </c>
      <c r="AQ296" s="375"/>
    </row>
    <row r="297">
      <c r="A297" s="257" t="s">
        <v>4706</v>
      </c>
      <c r="B297" s="257" t="s">
        <v>4707</v>
      </c>
      <c r="C297" s="257" t="str">
        <f>VLOOKUP(A297,import!A:J,3,0)</f>
        <v>DOĞRU</v>
      </c>
      <c r="D297" s="257" t="s">
        <v>3842</v>
      </c>
      <c r="E297" s="257">
        <f>VLOOKUP(A297,import!A:J,5,0)</f>
        <v>90</v>
      </c>
      <c r="F297" s="257">
        <f>VLOOKUP(A297,import!A:J,6,0)</f>
        <v>27</v>
      </c>
      <c r="G297" s="257">
        <f>VLOOKUP(A297,import!A:J,7,0)</f>
        <v>0</v>
      </c>
      <c r="H297" s="257">
        <f>VLOOKUP(A297,import!A:J,8,0)</f>
        <v>9</v>
      </c>
      <c r="I297" s="257">
        <f>VLOOKUP(A297,import!A:J,9,0)</f>
        <v>9</v>
      </c>
      <c r="J297" s="369">
        <f>VLOOKUP(A297,import!A:J,10,0)</f>
        <v>0</v>
      </c>
      <c r="K297" s="257" t="s">
        <v>4708</v>
      </c>
      <c r="L297" s="257">
        <v>5.532102388E9</v>
      </c>
      <c r="M297" s="257" t="s">
        <v>3701</v>
      </c>
      <c r="N297" s="257" t="s">
        <v>3935</v>
      </c>
      <c r="O297" s="257" t="s">
        <v>4709</v>
      </c>
      <c r="P297" s="370" t="str">
        <f>VLOOKUP(A297,import!A:P,16,0)</f>
        <v>Geleneksel</v>
      </c>
      <c r="Q297" s="370"/>
      <c r="R297" s="370" t="b">
        <v>0</v>
      </c>
      <c r="S297" s="370" t="b">
        <v>0</v>
      </c>
      <c r="T297" s="301"/>
      <c r="U297" s="301"/>
      <c r="V297" s="301"/>
      <c r="W297" s="301"/>
      <c r="X297" s="371"/>
      <c r="Y297" s="371"/>
      <c r="Z297" s="372"/>
      <c r="AA297" s="373"/>
      <c r="AB297" s="374"/>
      <c r="AC297" s="373"/>
      <c r="AD297" s="374"/>
      <c r="AE297" s="373"/>
      <c r="AF297" s="374"/>
      <c r="AG297" s="373"/>
      <c r="AH297" s="374"/>
      <c r="AI297" s="373"/>
      <c r="AJ297" s="374"/>
      <c r="AK297" s="373"/>
      <c r="AL297" s="373"/>
      <c r="AM297" s="373"/>
      <c r="AN297" s="373"/>
      <c r="AO297" s="373"/>
      <c r="AP297" s="376"/>
      <c r="AQ297" s="373"/>
    </row>
    <row r="298">
      <c r="A298" s="376" t="s">
        <v>4710</v>
      </c>
      <c r="B298" s="376" t="s">
        <v>4711</v>
      </c>
      <c r="C298" s="257" t="str">
        <f>VLOOKUP(A298,import!A:J,3,0)</f>
        <v>DOĞRU</v>
      </c>
      <c r="D298" s="376" t="s">
        <v>3994</v>
      </c>
      <c r="E298" s="257">
        <f>VLOOKUP(A298,import!A:J,5,0)</f>
        <v>36</v>
      </c>
      <c r="F298" s="257">
        <f>VLOOKUP(A298,import!A:J,6,0)</f>
        <v>24</v>
      </c>
      <c r="G298" s="257">
        <f>VLOOKUP(A298,import!A:J,7,0)</f>
        <v>0</v>
      </c>
      <c r="H298" s="257">
        <f>VLOOKUP(A298,import!A:J,8,0)</f>
        <v>53</v>
      </c>
      <c r="I298" s="257">
        <f>VLOOKUP(A298,import!A:J,9,0)</f>
        <v>53</v>
      </c>
      <c r="J298" s="369">
        <f>VLOOKUP(A298,import!A:J,10,0)</f>
        <v>0</v>
      </c>
      <c r="K298" s="376" t="s">
        <v>4712</v>
      </c>
      <c r="L298" s="376">
        <v>5.539481768E9</v>
      </c>
      <c r="M298" s="376" t="s">
        <v>286</v>
      </c>
      <c r="N298" s="376" t="s">
        <v>4713</v>
      </c>
      <c r="O298" s="376" t="s">
        <v>4714</v>
      </c>
      <c r="P298" s="370" t="str">
        <f>VLOOKUP(A298,import!A:P,16,0)</f>
        <v>Geleneksel</v>
      </c>
      <c r="Q298" s="370"/>
      <c r="R298" s="370" t="b">
        <v>0</v>
      </c>
      <c r="S298" s="370" t="b">
        <v>0</v>
      </c>
      <c r="T298" s="301"/>
      <c r="U298" s="301"/>
      <c r="V298" s="301"/>
      <c r="W298" s="301"/>
      <c r="X298" s="371"/>
      <c r="Y298" s="371"/>
      <c r="Z298" s="372"/>
      <c r="AA298" s="373"/>
      <c r="AB298" s="374"/>
      <c r="AC298" s="373"/>
      <c r="AD298" s="374"/>
      <c r="AE298" s="373"/>
      <c r="AF298" s="374"/>
      <c r="AG298" s="373"/>
      <c r="AH298" s="374"/>
      <c r="AI298" s="373"/>
      <c r="AJ298" s="374"/>
      <c r="AK298" s="373"/>
      <c r="AL298" s="373"/>
      <c r="AM298" s="373"/>
      <c r="AN298" s="373"/>
      <c r="AO298" s="373"/>
      <c r="AP298" s="376"/>
      <c r="AQ298" s="373"/>
    </row>
    <row r="299">
      <c r="A299" s="257" t="s">
        <v>4715</v>
      </c>
      <c r="B299" s="257" t="s">
        <v>4716</v>
      </c>
      <c r="C299" s="257" t="str">
        <f>VLOOKUP(A299,import!A:J,3,0)</f>
        <v>DOĞRU</v>
      </c>
      <c r="D299" s="257" t="s">
        <v>3676</v>
      </c>
      <c r="E299" s="257">
        <f>VLOOKUP(A299,import!A:J,5,0)</f>
        <v>835</v>
      </c>
      <c r="F299" s="257">
        <f>VLOOKUP(A299,import!A:J,6,0)</f>
        <v>60</v>
      </c>
      <c r="G299" s="257">
        <f>VLOOKUP(A299,import!A:J,7,0)</f>
        <v>0</v>
      </c>
      <c r="H299" s="257">
        <f>VLOOKUP(A299,import!A:J,8,0)</f>
        <v>25</v>
      </c>
      <c r="I299" s="257">
        <f>VLOOKUP(A299,import!A:J,9,0)</f>
        <v>25</v>
      </c>
      <c r="J299" s="369">
        <f>VLOOKUP(A299,import!A:J,10,0)</f>
        <v>0</v>
      </c>
      <c r="K299" s="257" t="s">
        <v>4717</v>
      </c>
      <c r="L299" s="257">
        <v>5.384908098E9</v>
      </c>
      <c r="M299" s="257" t="s">
        <v>286</v>
      </c>
      <c r="N299" s="257" t="s">
        <v>3806</v>
      </c>
      <c r="O299" s="257" t="s">
        <v>4718</v>
      </c>
      <c r="P299" s="370" t="str">
        <f>VLOOKUP(A299,import!A:P,16,0)</f>
        <v>Geleneksel</v>
      </c>
      <c r="Q299" s="370"/>
      <c r="R299" s="370" t="b">
        <v>1</v>
      </c>
      <c r="S299" s="370" t="b">
        <v>0</v>
      </c>
      <c r="T299" s="301" t="s">
        <v>4065</v>
      </c>
      <c r="U299" s="301"/>
      <c r="V299" s="301"/>
      <c r="W299" s="301" t="s">
        <v>4719</v>
      </c>
      <c r="X299" s="371"/>
      <c r="Y299" s="371"/>
      <c r="Z299" s="377"/>
      <c r="AA299" s="375"/>
      <c r="AB299" s="375"/>
      <c r="AC299" s="375"/>
      <c r="AD299" s="375"/>
      <c r="AE299" s="92"/>
      <c r="AF299" s="375"/>
      <c r="AG299" s="92"/>
      <c r="AH299" s="375"/>
      <c r="AI299" s="375"/>
      <c r="AJ299" s="375"/>
      <c r="AK299" s="375"/>
      <c r="AL299" s="375"/>
      <c r="AM299" s="375"/>
      <c r="AN299" s="375"/>
      <c r="AO299" s="375"/>
      <c r="AP299" s="376" t="s">
        <v>3686</v>
      </c>
      <c r="AQ299" s="375"/>
    </row>
    <row r="300">
      <c r="A300" s="376" t="s">
        <v>4720</v>
      </c>
      <c r="B300" s="376" t="s">
        <v>4721</v>
      </c>
      <c r="C300" s="257" t="str">
        <f>VLOOKUP(A300,import!A:J,3,0)</f>
        <v>DOĞRU</v>
      </c>
      <c r="D300" s="376" t="s">
        <v>3912</v>
      </c>
      <c r="E300" s="257">
        <f>VLOOKUP(A300,import!A:J,5,0)</f>
        <v>22</v>
      </c>
      <c r="F300" s="257">
        <f>VLOOKUP(A300,import!A:J,6,0)</f>
        <v>22</v>
      </c>
      <c r="G300" s="257">
        <f>VLOOKUP(A300,import!A:J,7,0)</f>
        <v>0</v>
      </c>
      <c r="H300" s="257">
        <f>VLOOKUP(A300,import!A:J,8,0)</f>
        <v>15</v>
      </c>
      <c r="I300" s="257">
        <f>VLOOKUP(A300,import!A:J,9,0)</f>
        <v>15</v>
      </c>
      <c r="J300" s="369">
        <f>VLOOKUP(A300,import!A:J,10,0)</f>
        <v>0</v>
      </c>
      <c r="K300" s="376" t="s">
        <v>4722</v>
      </c>
      <c r="L300" s="376">
        <v>3.222346702E9</v>
      </c>
      <c r="M300" s="376" t="s">
        <v>14</v>
      </c>
      <c r="N300" s="376" t="s">
        <v>3767</v>
      </c>
      <c r="O300" s="376" t="s">
        <v>4723</v>
      </c>
      <c r="P300" s="370" t="str">
        <f>VLOOKUP(A300,import!A:P,16,0)</f>
        <v>Geleneksel</v>
      </c>
      <c r="Q300" s="370"/>
      <c r="R300" s="370" t="b">
        <v>0</v>
      </c>
      <c r="S300" s="370" t="b">
        <v>0</v>
      </c>
      <c r="T300" s="301"/>
      <c r="U300" s="301"/>
      <c r="V300" s="301"/>
      <c r="W300" s="301"/>
      <c r="X300" s="371"/>
      <c r="Y300" s="371"/>
      <c r="Z300" s="372"/>
      <c r="AA300" s="373"/>
      <c r="AB300" s="374"/>
      <c r="AC300" s="373"/>
      <c r="AD300" s="374"/>
      <c r="AE300" s="373"/>
      <c r="AF300" s="374"/>
      <c r="AG300" s="373"/>
      <c r="AH300" s="374"/>
      <c r="AI300" s="373"/>
      <c r="AJ300" s="374"/>
      <c r="AK300" s="373"/>
      <c r="AL300" s="373"/>
      <c r="AM300" s="373"/>
      <c r="AN300" s="373"/>
      <c r="AO300" s="373"/>
      <c r="AP300" s="376"/>
      <c r="AQ300" s="373"/>
    </row>
    <row r="301">
      <c r="A301" s="257" t="s">
        <v>4724</v>
      </c>
      <c r="B301" s="257" t="s">
        <v>4725</v>
      </c>
      <c r="C301" s="257" t="str">
        <f>VLOOKUP(A301,import!A:J,3,0)</f>
        <v>YANLIŞ</v>
      </c>
      <c r="D301" s="257" t="s">
        <v>3699</v>
      </c>
      <c r="E301" s="257" t="str">
        <f>VLOOKUP(A301,import!A:J,5,0)</f>
        <v/>
      </c>
      <c r="F301" s="257" t="str">
        <f>VLOOKUP(A301,import!A:J,6,0)</f>
        <v/>
      </c>
      <c r="G301" s="257">
        <f>VLOOKUP(A301,import!A:J,7,0)</f>
        <v>0</v>
      </c>
      <c r="H301" s="257">
        <f>VLOOKUP(A301,import!A:J,8,0)</f>
        <v>112</v>
      </c>
      <c r="I301" s="257">
        <f>VLOOKUP(A301,import!A:J,9,0)</f>
        <v>112</v>
      </c>
      <c r="J301" s="369">
        <f>VLOOKUP(A301,import!A:J,10,0)</f>
        <v>0</v>
      </c>
      <c r="K301" s="257" t="s">
        <v>4726</v>
      </c>
      <c r="L301" s="257">
        <v>5.323997992E9</v>
      </c>
      <c r="M301" s="257" t="s">
        <v>286</v>
      </c>
      <c r="N301" s="257" t="s">
        <v>3855</v>
      </c>
      <c r="O301" s="257" t="s">
        <v>4727</v>
      </c>
      <c r="P301" s="370" t="str">
        <f>VLOOKUP(A301,import!A:P,16,0)</f>
        <v>Geleneksel</v>
      </c>
      <c r="Q301" s="370"/>
      <c r="R301" s="370" t="b">
        <v>1</v>
      </c>
      <c r="S301" s="370" t="b">
        <v>0</v>
      </c>
      <c r="T301" s="301" t="s">
        <v>3696</v>
      </c>
      <c r="U301" s="379"/>
      <c r="V301" s="379"/>
      <c r="W301" s="301" t="s">
        <v>4728</v>
      </c>
      <c r="X301" s="381"/>
      <c r="Y301" s="381"/>
      <c r="Z301" s="372"/>
      <c r="AA301" s="373" t="s">
        <v>3448</v>
      </c>
      <c r="AB301" s="374">
        <v>44389.0</v>
      </c>
      <c r="AC301" s="373" t="s">
        <v>3681</v>
      </c>
      <c r="AD301" s="374">
        <v>44390.0</v>
      </c>
      <c r="AE301" s="373" t="s">
        <v>3682</v>
      </c>
      <c r="AF301" s="374">
        <v>44427.0</v>
      </c>
      <c r="AG301" s="373" t="s">
        <v>3696</v>
      </c>
      <c r="AH301" s="374">
        <v>44433.0</v>
      </c>
      <c r="AI301" s="375"/>
      <c r="AJ301" s="375"/>
      <c r="AK301" s="373" t="s">
        <v>4088</v>
      </c>
      <c r="AL301" s="373" t="s">
        <v>3752</v>
      </c>
      <c r="AM301" s="373" t="s">
        <v>1953</v>
      </c>
      <c r="AN301" s="375"/>
      <c r="AO301" s="375"/>
      <c r="AP301" s="376" t="s">
        <v>3686</v>
      </c>
      <c r="AQ301" s="375"/>
    </row>
    <row r="302">
      <c r="A302" s="257" t="s">
        <v>4729</v>
      </c>
      <c r="B302" s="257" t="s">
        <v>4730</v>
      </c>
      <c r="C302" s="257" t="str">
        <f>VLOOKUP(A302,import!A:J,3,0)</f>
        <v>YANLIŞ</v>
      </c>
      <c r="D302" s="257" t="s">
        <v>3699</v>
      </c>
      <c r="E302" s="257" t="str">
        <f>VLOOKUP(A302,import!A:J,5,0)</f>
        <v/>
      </c>
      <c r="F302" s="257" t="str">
        <f>VLOOKUP(A302,import!A:J,6,0)</f>
        <v/>
      </c>
      <c r="G302" s="257">
        <f>VLOOKUP(A302,import!A:J,7,0)</f>
        <v>0</v>
      </c>
      <c r="H302" s="257">
        <f>VLOOKUP(A302,import!A:J,8,0)</f>
        <v>112</v>
      </c>
      <c r="I302" s="257">
        <f>VLOOKUP(A302,import!A:J,9,0)</f>
        <v>112</v>
      </c>
      <c r="J302" s="369">
        <f>VLOOKUP(A302,import!A:J,10,0)</f>
        <v>0</v>
      </c>
      <c r="K302" s="257" t="s">
        <v>4726</v>
      </c>
      <c r="L302" s="257">
        <v>5.323997992E9</v>
      </c>
      <c r="M302" s="257" t="s">
        <v>286</v>
      </c>
      <c r="N302" s="257" t="s">
        <v>3746</v>
      </c>
      <c r="O302" s="257" t="s">
        <v>4731</v>
      </c>
      <c r="P302" s="370" t="str">
        <f>VLOOKUP(A302,import!A:P,16,0)</f>
        <v>Geleneksel</v>
      </c>
      <c r="Q302" s="370"/>
      <c r="R302" s="370" t="b">
        <v>1</v>
      </c>
      <c r="S302" s="370" t="b">
        <v>0</v>
      </c>
      <c r="T302" s="301" t="s">
        <v>3448</v>
      </c>
      <c r="U302" s="379"/>
      <c r="V302" s="379"/>
      <c r="W302" s="301" t="s">
        <v>3689</v>
      </c>
      <c r="X302" s="381"/>
      <c r="Y302" s="381"/>
      <c r="Z302" s="372"/>
      <c r="AA302" s="373" t="s">
        <v>3448</v>
      </c>
      <c r="AB302" s="374">
        <v>44389.0</v>
      </c>
      <c r="AC302" s="375"/>
      <c r="AD302" s="375"/>
      <c r="AE302" s="92"/>
      <c r="AF302" s="375"/>
      <c r="AG302" s="92"/>
      <c r="AH302" s="375"/>
      <c r="AI302" s="375"/>
      <c r="AJ302" s="375"/>
      <c r="AK302" s="373" t="s">
        <v>4088</v>
      </c>
      <c r="AL302" s="375"/>
      <c r="AM302" s="375"/>
      <c r="AN302" s="375"/>
      <c r="AO302" s="375"/>
      <c r="AP302" s="376" t="s">
        <v>3686</v>
      </c>
      <c r="AQ302" s="375"/>
    </row>
    <row r="303">
      <c r="A303" s="376" t="s">
        <v>4732</v>
      </c>
      <c r="B303" s="376" t="s">
        <v>4733</v>
      </c>
      <c r="C303" s="257" t="str">
        <f>VLOOKUP(A303,import!A:J,3,0)</f>
        <v>DOĞRU</v>
      </c>
      <c r="D303" s="376" t="s">
        <v>3699</v>
      </c>
      <c r="E303" s="257" t="str">
        <f>VLOOKUP(A303,import!A:J,5,0)</f>
        <v/>
      </c>
      <c r="F303" s="257" t="str">
        <f>VLOOKUP(A303,import!A:J,6,0)</f>
        <v/>
      </c>
      <c r="G303" s="257">
        <f>VLOOKUP(A303,import!A:J,7,0)</f>
        <v>0</v>
      </c>
      <c r="H303" s="257">
        <f>VLOOKUP(A303,import!A:J,8,0)</f>
        <v>198</v>
      </c>
      <c r="I303" s="257">
        <f>VLOOKUP(A303,import!A:J,9,0)</f>
        <v>198</v>
      </c>
      <c r="J303" s="369">
        <f>VLOOKUP(A303,import!A:J,10,0)</f>
        <v>0</v>
      </c>
      <c r="K303" s="376" t="s">
        <v>4734</v>
      </c>
      <c r="L303" s="376">
        <v>5.325965456E9</v>
      </c>
      <c r="M303" s="376" t="s">
        <v>14</v>
      </c>
      <c r="N303" s="376" t="s">
        <v>3826</v>
      </c>
      <c r="O303" s="376" t="s">
        <v>4735</v>
      </c>
      <c r="P303" s="370" t="str">
        <f>VLOOKUP(A303,import!A:P,16,0)</f>
        <v>Geleneksel</v>
      </c>
      <c r="Q303" s="370"/>
      <c r="R303" s="370" t="b">
        <v>0</v>
      </c>
      <c r="S303" s="370" t="b">
        <v>0</v>
      </c>
      <c r="T303" s="301"/>
      <c r="U303" s="301"/>
      <c r="V303" s="301"/>
      <c r="W303" s="301"/>
      <c r="X303" s="371"/>
      <c r="Y303" s="371"/>
      <c r="Z303" s="372"/>
      <c r="AA303" s="373"/>
      <c r="AB303" s="374"/>
      <c r="AC303" s="373"/>
      <c r="AD303" s="374"/>
      <c r="AE303" s="373"/>
      <c r="AF303" s="374"/>
      <c r="AG303" s="373"/>
      <c r="AH303" s="374"/>
      <c r="AI303" s="373"/>
      <c r="AJ303" s="374"/>
      <c r="AK303" s="373"/>
      <c r="AL303" s="373"/>
      <c r="AM303" s="373"/>
      <c r="AN303" s="373"/>
      <c r="AO303" s="373"/>
      <c r="AP303" s="376"/>
      <c r="AQ303" s="373"/>
    </row>
    <row r="304">
      <c r="A304" s="257" t="s">
        <v>1853</v>
      </c>
      <c r="B304" s="257" t="s">
        <v>1854</v>
      </c>
      <c r="C304" s="257" t="str">
        <f>VLOOKUP(A304,import!A:J,3,0)</f>
        <v>DOĞRU</v>
      </c>
      <c r="D304" s="257" t="s">
        <v>4671</v>
      </c>
      <c r="E304" s="257">
        <f>VLOOKUP(A304,import!A:J,5,0)</f>
        <v>445</v>
      </c>
      <c r="F304" s="257">
        <f>VLOOKUP(A304,import!A:J,6,0)</f>
        <v>25</v>
      </c>
      <c r="G304" s="257">
        <f>VLOOKUP(A304,import!A:J,7,0)</f>
        <v>0</v>
      </c>
      <c r="H304" s="257">
        <f>VLOOKUP(A304,import!A:J,8,0)</f>
        <v>1</v>
      </c>
      <c r="I304" s="257">
        <f>VLOOKUP(A304,import!A:J,9,0)</f>
        <v>1</v>
      </c>
      <c r="J304" s="369">
        <f>VLOOKUP(A304,import!A:J,10,0)</f>
        <v>0</v>
      </c>
      <c r="K304" s="257" t="s">
        <v>4736</v>
      </c>
      <c r="L304" s="257">
        <v>5.433623122E9</v>
      </c>
      <c r="M304" s="257" t="s">
        <v>14</v>
      </c>
      <c r="N304" s="257" t="s">
        <v>3826</v>
      </c>
      <c r="O304" s="257" t="s">
        <v>4737</v>
      </c>
      <c r="P304" s="370" t="str">
        <f>VLOOKUP(A304,import!A:P,16,0)</f>
        <v>Geleneksel</v>
      </c>
      <c r="Q304" s="370"/>
      <c r="R304" s="370" t="b">
        <v>1</v>
      </c>
      <c r="S304" s="370" t="b">
        <v>0</v>
      </c>
      <c r="T304" s="301" t="s">
        <v>3679</v>
      </c>
      <c r="U304" s="379"/>
      <c r="V304" s="379"/>
      <c r="W304" s="301" t="s">
        <v>4738</v>
      </c>
      <c r="X304" s="371">
        <v>44414.0</v>
      </c>
      <c r="Y304" s="371">
        <v>44420.0</v>
      </c>
      <c r="Z304" s="372"/>
      <c r="AA304" s="373" t="s">
        <v>3682</v>
      </c>
      <c r="AB304" s="374">
        <v>44414.0</v>
      </c>
      <c r="AC304" s="375"/>
      <c r="AD304" s="375"/>
      <c r="AE304" s="92"/>
      <c r="AF304" s="375"/>
      <c r="AG304" s="92"/>
      <c r="AH304" s="375"/>
      <c r="AI304" s="375"/>
      <c r="AJ304" s="375"/>
      <c r="AK304" s="373" t="s">
        <v>3723</v>
      </c>
      <c r="AL304" s="375"/>
      <c r="AM304" s="375"/>
      <c r="AN304" s="375"/>
      <c r="AO304" s="375"/>
      <c r="AP304" s="376" t="s">
        <v>3683</v>
      </c>
      <c r="AQ304" s="375"/>
    </row>
    <row r="305">
      <c r="A305" s="257" t="s">
        <v>2909</v>
      </c>
      <c r="B305" s="257" t="s">
        <v>2910</v>
      </c>
      <c r="C305" s="257" t="str">
        <f>VLOOKUP(A305,import!A:J,3,0)</f>
        <v>DOĞRU</v>
      </c>
      <c r="D305" s="257" t="s">
        <v>4671</v>
      </c>
      <c r="E305" s="257">
        <f>VLOOKUP(A305,import!A:J,5,0)</f>
        <v>292</v>
      </c>
      <c r="F305" s="257">
        <f>VLOOKUP(A305,import!A:J,6,0)</f>
        <v>8</v>
      </c>
      <c r="G305" s="257">
        <f>VLOOKUP(A305,import!A:J,7,0)</f>
        <v>0</v>
      </c>
      <c r="H305" s="257">
        <f>VLOOKUP(A305,import!A:J,8,0)</f>
        <v>1</v>
      </c>
      <c r="I305" s="257">
        <f>VLOOKUP(A305,import!A:J,9,0)</f>
        <v>1</v>
      </c>
      <c r="J305" s="369">
        <f>VLOOKUP(A305,import!A:J,10,0)</f>
        <v>0</v>
      </c>
      <c r="K305" s="257" t="s">
        <v>4736</v>
      </c>
      <c r="L305" s="257">
        <v>5.433623122E9</v>
      </c>
      <c r="M305" s="257" t="s">
        <v>286</v>
      </c>
      <c r="N305" s="257" t="s">
        <v>3737</v>
      </c>
      <c r="O305" s="257" t="s">
        <v>4739</v>
      </c>
      <c r="P305" s="370" t="str">
        <f>VLOOKUP(A305,import!A:P,16,0)</f>
        <v>Geleneksel</v>
      </c>
      <c r="Q305" s="370"/>
      <c r="R305" s="370" t="b">
        <v>1</v>
      </c>
      <c r="S305" s="370" t="b">
        <v>0</v>
      </c>
      <c r="T305" s="301" t="s">
        <v>3679</v>
      </c>
      <c r="U305" s="301" t="s">
        <v>2542</v>
      </c>
      <c r="V305" s="301" t="s">
        <v>78</v>
      </c>
      <c r="W305" s="301" t="s">
        <v>4740</v>
      </c>
      <c r="X305" s="371">
        <v>44490.0</v>
      </c>
      <c r="Y305" s="371">
        <v>44491.0</v>
      </c>
      <c r="Z305" s="372"/>
      <c r="AA305" s="373" t="s">
        <v>3682</v>
      </c>
      <c r="AB305" s="374">
        <v>44490.0</v>
      </c>
      <c r="AC305" s="373" t="s">
        <v>3682</v>
      </c>
      <c r="AD305" s="374">
        <v>44574.0</v>
      </c>
      <c r="AE305" s="92"/>
      <c r="AF305" s="375"/>
      <c r="AG305" s="92"/>
      <c r="AH305" s="375"/>
      <c r="AI305" s="375"/>
      <c r="AJ305" s="375"/>
      <c r="AK305" s="373" t="s">
        <v>2542</v>
      </c>
      <c r="AL305" s="373" t="s">
        <v>2706</v>
      </c>
      <c r="AM305" s="375"/>
      <c r="AN305" s="375"/>
      <c r="AO305" s="375"/>
      <c r="AP305" s="376" t="s">
        <v>3683</v>
      </c>
      <c r="AQ305" s="375"/>
    </row>
    <row r="306">
      <c r="A306" s="257" t="s">
        <v>4741</v>
      </c>
      <c r="B306" s="257" t="s">
        <v>4742</v>
      </c>
      <c r="C306" s="257" t="str">
        <f>VLOOKUP(A306,import!A:J,3,0)</f>
        <v>DOĞRU</v>
      </c>
      <c r="D306" s="257" t="s">
        <v>4671</v>
      </c>
      <c r="E306" s="257">
        <f>VLOOKUP(A306,import!A:J,5,0)</f>
        <v>62</v>
      </c>
      <c r="F306" s="257" t="str">
        <f>VLOOKUP(A306,import!A:J,6,0)</f>
        <v/>
      </c>
      <c r="G306" s="257">
        <f>VLOOKUP(A306,import!A:J,7,0)</f>
        <v>0</v>
      </c>
      <c r="H306" s="257">
        <f>VLOOKUP(A306,import!A:J,8,0)</f>
        <v>1</v>
      </c>
      <c r="I306" s="257">
        <f>VLOOKUP(A306,import!A:J,9,0)</f>
        <v>1</v>
      </c>
      <c r="J306" s="369">
        <f>VLOOKUP(A306,import!A:J,10,0)</f>
        <v>0</v>
      </c>
      <c r="K306" s="257" t="s">
        <v>4736</v>
      </c>
      <c r="L306" s="257">
        <v>5.433623122E9</v>
      </c>
      <c r="M306" s="257" t="s">
        <v>286</v>
      </c>
      <c r="N306" s="257" t="s">
        <v>3855</v>
      </c>
      <c r="O306" s="257" t="s">
        <v>4743</v>
      </c>
      <c r="P306" s="370" t="str">
        <f>VLOOKUP(A306,import!A:P,16,0)</f>
        <v>Geleneksel</v>
      </c>
      <c r="Q306" s="370"/>
      <c r="R306" s="370" t="b">
        <v>1</v>
      </c>
      <c r="S306" s="370" t="b">
        <v>1</v>
      </c>
      <c r="T306" s="301"/>
      <c r="U306" s="379"/>
      <c r="V306" s="379"/>
      <c r="W306" s="301" t="s">
        <v>4744</v>
      </c>
      <c r="X306" s="381"/>
      <c r="Y306" s="381"/>
      <c r="Z306" s="372"/>
      <c r="AA306" s="375"/>
      <c r="AB306" s="375"/>
      <c r="AC306" s="375"/>
      <c r="AD306" s="375"/>
      <c r="AE306" s="92"/>
      <c r="AF306" s="375"/>
      <c r="AG306" s="92"/>
      <c r="AH306" s="375"/>
      <c r="AI306" s="375"/>
      <c r="AJ306" s="375"/>
      <c r="AK306" s="375"/>
      <c r="AL306" s="375"/>
      <c r="AM306" s="375"/>
      <c r="AN306" s="375"/>
      <c r="AO306" s="375"/>
      <c r="AP306" s="376" t="s">
        <v>3686</v>
      </c>
      <c r="AQ306" s="375"/>
    </row>
    <row r="307">
      <c r="A307" s="257" t="s">
        <v>2227</v>
      </c>
      <c r="B307" s="257" t="s">
        <v>2228</v>
      </c>
      <c r="C307" s="257" t="str">
        <f>VLOOKUP(A307,import!A:J,3,0)</f>
        <v>DOĞRU</v>
      </c>
      <c r="D307" s="257" t="s">
        <v>3912</v>
      </c>
      <c r="E307" s="257">
        <f>VLOOKUP(A307,import!A:J,5,0)</f>
        <v>410</v>
      </c>
      <c r="F307" s="257">
        <f>VLOOKUP(A307,import!A:J,6,0)</f>
        <v>9</v>
      </c>
      <c r="G307" s="257">
        <f>VLOOKUP(A307,import!A:J,7,0)</f>
        <v>9</v>
      </c>
      <c r="H307" s="257">
        <f>VLOOKUP(A307,import!A:J,8,0)</f>
        <v>23</v>
      </c>
      <c r="I307" s="257">
        <f>VLOOKUP(A307,import!A:J,9,0)</f>
        <v>32</v>
      </c>
      <c r="J307" s="369">
        <f>VLOOKUP(A307,import!A:J,10,0)</f>
        <v>0.28</v>
      </c>
      <c r="K307" s="257" t="s">
        <v>4745</v>
      </c>
      <c r="L307" s="257">
        <v>5.326593191E9</v>
      </c>
      <c r="M307" s="257" t="s">
        <v>286</v>
      </c>
      <c r="N307" s="257" t="s">
        <v>3688</v>
      </c>
      <c r="O307" s="257" t="s">
        <v>2230</v>
      </c>
      <c r="P307" s="370" t="str">
        <f>VLOOKUP(A307,import!A:P,16,0)</f>
        <v>Geleneksel</v>
      </c>
      <c r="Q307" s="370"/>
      <c r="R307" s="370" t="b">
        <v>1</v>
      </c>
      <c r="S307" s="370" t="b">
        <v>0</v>
      </c>
      <c r="T307" s="301" t="s">
        <v>3679</v>
      </c>
      <c r="U307" s="301" t="s">
        <v>2542</v>
      </c>
      <c r="V307" s="301" t="s">
        <v>78</v>
      </c>
      <c r="W307" s="301" t="s">
        <v>4746</v>
      </c>
      <c r="X307" s="371">
        <v>44440.0</v>
      </c>
      <c r="Y307" s="371">
        <v>44441.0</v>
      </c>
      <c r="Z307" s="372"/>
      <c r="AA307" s="373" t="s">
        <v>3682</v>
      </c>
      <c r="AB307" s="374">
        <v>44440.0</v>
      </c>
      <c r="AC307" s="373" t="s">
        <v>3682</v>
      </c>
      <c r="AD307" s="374">
        <v>44503.0</v>
      </c>
      <c r="AE307" s="373"/>
      <c r="AF307" s="374"/>
      <c r="AG307" s="92"/>
      <c r="AH307" s="375"/>
      <c r="AI307" s="375"/>
      <c r="AJ307" s="375"/>
      <c r="AK307" s="373" t="s">
        <v>2542</v>
      </c>
      <c r="AL307" s="373" t="s">
        <v>2418</v>
      </c>
      <c r="AM307" s="375"/>
      <c r="AN307" s="375"/>
      <c r="AO307" s="375"/>
      <c r="AP307" s="376" t="s">
        <v>3683</v>
      </c>
      <c r="AQ307" s="375"/>
    </row>
    <row r="308">
      <c r="A308" s="257" t="s">
        <v>1185</v>
      </c>
      <c r="B308" s="257" t="s">
        <v>1186</v>
      </c>
      <c r="C308" s="257" t="str">
        <f>VLOOKUP(A308,import!A:J,3,0)</f>
        <v>DOĞRU</v>
      </c>
      <c r="D308" s="257" t="s">
        <v>3749</v>
      </c>
      <c r="E308" s="257">
        <f>VLOOKUP(A308,import!A:J,5,0)</f>
        <v>345</v>
      </c>
      <c r="F308" s="257">
        <f>VLOOKUP(A308,import!A:J,6,0)</f>
        <v>11</v>
      </c>
      <c r="G308" s="257">
        <f>VLOOKUP(A308,import!A:J,7,0)</f>
        <v>0</v>
      </c>
      <c r="H308" s="257">
        <f>VLOOKUP(A308,import!A:J,8,0)</f>
        <v>24</v>
      </c>
      <c r="I308" s="257">
        <f>VLOOKUP(A308,import!A:J,9,0)</f>
        <v>24</v>
      </c>
      <c r="J308" s="369">
        <f>VLOOKUP(A308,import!A:J,10,0)</f>
        <v>0</v>
      </c>
      <c r="K308" s="257" t="s">
        <v>4747</v>
      </c>
      <c r="L308" s="257">
        <v>5.343934669E9</v>
      </c>
      <c r="M308" s="257" t="s">
        <v>14</v>
      </c>
      <c r="N308" s="257" t="s">
        <v>3797</v>
      </c>
      <c r="O308" s="257" t="s">
        <v>1188</v>
      </c>
      <c r="P308" s="370" t="str">
        <f>VLOOKUP(A308,import!A:P,16,0)</f>
        <v>Geleneksel</v>
      </c>
      <c r="Q308" s="370"/>
      <c r="R308" s="370" t="b">
        <v>1</v>
      </c>
      <c r="S308" s="370" t="b">
        <v>0</v>
      </c>
      <c r="T308" s="301" t="s">
        <v>3679</v>
      </c>
      <c r="U308" s="301" t="s">
        <v>399</v>
      </c>
      <c r="V308" s="301" t="s">
        <v>78</v>
      </c>
      <c r="W308" s="301" t="s">
        <v>4748</v>
      </c>
      <c r="X308" s="371">
        <v>44375.0</v>
      </c>
      <c r="Y308" s="371">
        <v>44377.0</v>
      </c>
      <c r="Z308" s="372"/>
      <c r="AA308" s="373" t="s">
        <v>3682</v>
      </c>
      <c r="AB308" s="374">
        <v>44375.0</v>
      </c>
      <c r="AC308" s="373" t="s">
        <v>3682</v>
      </c>
      <c r="AD308" s="374">
        <v>44574.0</v>
      </c>
      <c r="AE308" s="92"/>
      <c r="AF308" s="375"/>
      <c r="AG308" s="92"/>
      <c r="AH308" s="375"/>
      <c r="AI308" s="375"/>
      <c r="AJ308" s="375"/>
      <c r="AK308" s="373" t="s">
        <v>399</v>
      </c>
      <c r="AL308" s="373" t="s">
        <v>2706</v>
      </c>
      <c r="AM308" s="375"/>
      <c r="AN308" s="375"/>
      <c r="AO308" s="375"/>
      <c r="AP308" s="376" t="s">
        <v>3683</v>
      </c>
      <c r="AQ308" s="375"/>
    </row>
    <row r="309">
      <c r="A309" s="257" t="s">
        <v>513</v>
      </c>
      <c r="B309" s="257" t="s">
        <v>514</v>
      </c>
      <c r="C309" s="257" t="str">
        <f>VLOOKUP(A309,import!A:J,3,0)</f>
        <v>DOĞRU</v>
      </c>
      <c r="D309" s="257" t="s">
        <v>3749</v>
      </c>
      <c r="E309" s="257">
        <f>VLOOKUP(A309,import!A:J,5,0)</f>
        <v>3055</v>
      </c>
      <c r="F309" s="257">
        <f>VLOOKUP(A309,import!A:J,6,0)</f>
        <v>86</v>
      </c>
      <c r="G309" s="257">
        <f>VLOOKUP(A309,import!A:J,7,0)</f>
        <v>13</v>
      </c>
      <c r="H309" s="257">
        <f>VLOOKUP(A309,import!A:J,8,0)</f>
        <v>42</v>
      </c>
      <c r="I309" s="257">
        <f>VLOOKUP(A309,import!A:J,9,0)</f>
        <v>55</v>
      </c>
      <c r="J309" s="369">
        <f>VLOOKUP(A309,import!A:J,10,0)</f>
        <v>0.24</v>
      </c>
      <c r="K309" s="257" t="s">
        <v>4749</v>
      </c>
      <c r="L309" s="257">
        <v>3.228880809E9</v>
      </c>
      <c r="M309" s="257" t="s">
        <v>286</v>
      </c>
      <c r="N309" s="257" t="s">
        <v>3737</v>
      </c>
      <c r="O309" s="257" t="s">
        <v>516</v>
      </c>
      <c r="P309" s="370" t="str">
        <f>VLOOKUP(A309,import!A:P,16,0)</f>
        <v>Geleneksel</v>
      </c>
      <c r="Q309" s="370"/>
      <c r="R309" s="370" t="b">
        <v>1</v>
      </c>
      <c r="S309" s="370" t="b">
        <v>0</v>
      </c>
      <c r="T309" s="301" t="s">
        <v>3679</v>
      </c>
      <c r="U309" s="301" t="s">
        <v>79</v>
      </c>
      <c r="V309" s="301" t="s">
        <v>78</v>
      </c>
      <c r="W309" s="301" t="s">
        <v>4750</v>
      </c>
      <c r="X309" s="371">
        <v>44406.0</v>
      </c>
      <c r="Y309" s="371">
        <v>44410.0</v>
      </c>
      <c r="Z309" s="377"/>
      <c r="AA309" s="373" t="s">
        <v>3682</v>
      </c>
      <c r="AB309" s="374">
        <v>44349.0</v>
      </c>
      <c r="AC309" s="373" t="s">
        <v>3695</v>
      </c>
      <c r="AD309" s="374">
        <v>44377.0</v>
      </c>
      <c r="AE309" s="373" t="s">
        <v>3682</v>
      </c>
      <c r="AF309" s="374">
        <v>44385.0</v>
      </c>
      <c r="AG309" s="373" t="s">
        <v>3448</v>
      </c>
      <c r="AH309" s="374">
        <v>44390.0</v>
      </c>
      <c r="AI309" s="373" t="s">
        <v>3682</v>
      </c>
      <c r="AJ309" s="374">
        <v>44406.0</v>
      </c>
      <c r="AK309" s="373" t="s">
        <v>3789</v>
      </c>
      <c r="AL309" s="373" t="s">
        <v>79</v>
      </c>
      <c r="AM309" s="373" t="s">
        <v>79</v>
      </c>
      <c r="AN309" s="373" t="s">
        <v>3719</v>
      </c>
      <c r="AO309" s="373" t="s">
        <v>3752</v>
      </c>
      <c r="AP309" s="376" t="s">
        <v>3683</v>
      </c>
      <c r="AQ309" s="373"/>
    </row>
    <row r="310">
      <c r="A310" s="257" t="s">
        <v>3315</v>
      </c>
      <c r="B310" s="257" t="s">
        <v>3316</v>
      </c>
      <c r="C310" s="257" t="str">
        <f>VLOOKUP(A310,import!A:J,3,0)</f>
        <v>DOĞRU</v>
      </c>
      <c r="D310" s="257" t="s">
        <v>3912</v>
      </c>
      <c r="E310" s="257" t="str">
        <f>VLOOKUP(A310,import!A:J,5,0)</f>
        <v/>
      </c>
      <c r="F310" s="257" t="str">
        <f>VLOOKUP(A310,import!A:J,6,0)</f>
        <v/>
      </c>
      <c r="G310" s="257">
        <f>VLOOKUP(A310,import!A:J,7,0)</f>
        <v>16</v>
      </c>
      <c r="H310" s="257">
        <f>VLOOKUP(A310,import!A:J,8,0)</f>
        <v>4</v>
      </c>
      <c r="I310" s="257">
        <f>VLOOKUP(A310,import!A:J,9,0)</f>
        <v>20</v>
      </c>
      <c r="J310" s="369">
        <f>VLOOKUP(A310,import!A:J,10,0)</f>
        <v>0.8</v>
      </c>
      <c r="K310" s="257" t="s">
        <v>4751</v>
      </c>
      <c r="L310" s="257">
        <v>5.365107781E9</v>
      </c>
      <c r="M310" s="257" t="s">
        <v>286</v>
      </c>
      <c r="N310" s="257" t="s">
        <v>4550</v>
      </c>
      <c r="O310" s="257" t="s">
        <v>3319</v>
      </c>
      <c r="P310" s="370" t="str">
        <f>VLOOKUP(A310,import!A:P,16,0)</f>
        <v>Geleneksel</v>
      </c>
      <c r="Q310" s="370"/>
      <c r="R310" s="370" t="b">
        <v>1</v>
      </c>
      <c r="S310" s="370" t="b">
        <v>0</v>
      </c>
      <c r="T310" s="301" t="s">
        <v>3679</v>
      </c>
      <c r="U310" s="301" t="s">
        <v>2192</v>
      </c>
      <c r="V310" s="80" t="s">
        <v>78</v>
      </c>
      <c r="W310" s="301" t="s">
        <v>4157</v>
      </c>
      <c r="X310" s="371">
        <v>44566.0</v>
      </c>
      <c r="Y310" s="371">
        <v>44567.0</v>
      </c>
      <c r="Z310" s="372"/>
      <c r="AA310" s="373" t="s">
        <v>3682</v>
      </c>
      <c r="AB310" s="374">
        <v>44566.0</v>
      </c>
      <c r="AC310" s="373"/>
      <c r="AD310" s="374"/>
      <c r="AE310" s="373"/>
      <c r="AF310" s="374"/>
      <c r="AG310" s="373"/>
      <c r="AH310" s="374"/>
      <c r="AI310" s="375"/>
      <c r="AJ310" s="375"/>
      <c r="AK310" s="373" t="s">
        <v>2192</v>
      </c>
      <c r="AL310" s="375"/>
      <c r="AM310" s="375"/>
      <c r="AN310" s="373"/>
      <c r="AO310" s="375"/>
      <c r="AP310" s="376"/>
      <c r="AQ310" s="375"/>
    </row>
    <row r="311">
      <c r="A311" s="266" t="s">
        <v>4752</v>
      </c>
      <c r="B311" s="266" t="s">
        <v>4753</v>
      </c>
      <c r="C311" s="257" t="str">
        <f>VLOOKUP(A311,import!A:J,3,0)</f>
        <v>DOĞRU</v>
      </c>
      <c r="D311" s="266" t="s">
        <v>3883</v>
      </c>
      <c r="E311" s="257">
        <f>VLOOKUP(A311,import!A:J,5,0)</f>
        <v>992</v>
      </c>
      <c r="F311" s="257">
        <f>VLOOKUP(A311,import!A:J,6,0)</f>
        <v>11</v>
      </c>
      <c r="G311" s="257">
        <f>VLOOKUP(A311,import!A:J,7,0)</f>
        <v>0</v>
      </c>
      <c r="H311" s="257">
        <f>VLOOKUP(A311,import!A:J,8,0)</f>
        <v>32</v>
      </c>
      <c r="I311" s="257">
        <f>VLOOKUP(A311,import!A:J,9,0)</f>
        <v>32</v>
      </c>
      <c r="J311" s="369">
        <f>VLOOKUP(A311,import!A:J,10,0)</f>
        <v>0</v>
      </c>
      <c r="K311" s="266" t="s">
        <v>4754</v>
      </c>
      <c r="L311" s="266">
        <v>5.3021107E9</v>
      </c>
      <c r="M311" s="266" t="s">
        <v>286</v>
      </c>
      <c r="N311" s="266" t="s">
        <v>4451</v>
      </c>
      <c r="O311" s="266" t="s">
        <v>4755</v>
      </c>
      <c r="P311" s="370" t="str">
        <f>VLOOKUP(A311,import!A:P,16,0)</f>
        <v>Geleneksel</v>
      </c>
      <c r="Q311" s="370"/>
      <c r="R311" s="370" t="b">
        <v>1</v>
      </c>
      <c r="S311" s="370" t="b">
        <v>1</v>
      </c>
      <c r="T311" s="301" t="s">
        <v>3735</v>
      </c>
      <c r="U311" s="379"/>
      <c r="V311" s="379"/>
      <c r="W311" s="301" t="s">
        <v>4756</v>
      </c>
      <c r="X311" s="381"/>
      <c r="Y311" s="381"/>
      <c r="Z311" s="301" t="s">
        <v>3808</v>
      </c>
      <c r="AA311" s="373" t="s">
        <v>3682</v>
      </c>
      <c r="AB311" s="374">
        <v>44392.0</v>
      </c>
      <c r="AC311" s="373" t="s">
        <v>3448</v>
      </c>
      <c r="AD311" s="374">
        <v>44440.0</v>
      </c>
      <c r="AE311" s="373" t="s">
        <v>3682</v>
      </c>
      <c r="AF311" s="374">
        <v>44441.0</v>
      </c>
      <c r="AG311" s="373" t="s">
        <v>3682</v>
      </c>
      <c r="AH311" s="374">
        <v>44502.0</v>
      </c>
      <c r="AI311" s="373" t="s">
        <v>3682</v>
      </c>
      <c r="AJ311" s="374">
        <v>44641.0</v>
      </c>
      <c r="AK311" s="373" t="s">
        <v>4089</v>
      </c>
      <c r="AL311" s="373" t="s">
        <v>2542</v>
      </c>
      <c r="AM311" s="373" t="s">
        <v>2542</v>
      </c>
      <c r="AN311" s="373" t="s">
        <v>2542</v>
      </c>
      <c r="AO311" s="373" t="s">
        <v>2542</v>
      </c>
      <c r="AP311" s="376" t="s">
        <v>3686</v>
      </c>
      <c r="AQ311" s="375"/>
    </row>
    <row r="312">
      <c r="A312" s="257" t="s">
        <v>4757</v>
      </c>
      <c r="B312" s="257" t="s">
        <v>4758</v>
      </c>
      <c r="C312" s="257" t="str">
        <f>VLOOKUP(A312,import!A:J,3,0)</f>
        <v>DOĞRU</v>
      </c>
      <c r="D312" s="257" t="s">
        <v>3801</v>
      </c>
      <c r="E312" s="257">
        <f>VLOOKUP(A312,import!A:J,5,0)</f>
        <v>188</v>
      </c>
      <c r="F312" s="257">
        <f>VLOOKUP(A312,import!A:J,6,0)</f>
        <v>36</v>
      </c>
      <c r="G312" s="257">
        <f>VLOOKUP(A312,import!A:J,7,0)</f>
        <v>0</v>
      </c>
      <c r="H312" s="257">
        <f>VLOOKUP(A312,import!A:J,8,0)</f>
        <v>7</v>
      </c>
      <c r="I312" s="257">
        <f>VLOOKUP(A312,import!A:J,9,0)</f>
        <v>7</v>
      </c>
      <c r="J312" s="369">
        <f>VLOOKUP(A312,import!A:J,10,0)</f>
        <v>0</v>
      </c>
      <c r="K312" s="257" t="s">
        <v>4759</v>
      </c>
      <c r="L312" s="257">
        <v>3.224363612E9</v>
      </c>
      <c r="M312" s="257" t="s">
        <v>286</v>
      </c>
      <c r="N312" s="257" t="s">
        <v>4760</v>
      </c>
      <c r="O312" s="257" t="s">
        <v>4761</v>
      </c>
      <c r="P312" s="370" t="str">
        <f>VLOOKUP(A312,import!A:P,16,0)</f>
        <v>Geleneksel</v>
      </c>
      <c r="Q312" s="370"/>
      <c r="R312" s="370" t="b">
        <v>1</v>
      </c>
      <c r="S312" s="370" t="b">
        <v>0</v>
      </c>
      <c r="T312" s="301" t="s">
        <v>3448</v>
      </c>
      <c r="U312" s="379"/>
      <c r="V312" s="379"/>
      <c r="W312" s="301" t="s">
        <v>4762</v>
      </c>
      <c r="X312" s="381"/>
      <c r="Y312" s="381"/>
      <c r="Z312" s="372"/>
      <c r="AA312" s="373" t="s">
        <v>3448</v>
      </c>
      <c r="AB312" s="374">
        <v>44621.0</v>
      </c>
      <c r="AC312" s="373"/>
      <c r="AD312" s="374"/>
      <c r="AE312" s="373"/>
      <c r="AF312" s="374"/>
      <c r="AG312" s="373"/>
      <c r="AH312" s="374"/>
      <c r="AI312" s="375"/>
      <c r="AJ312" s="375"/>
      <c r="AK312" s="373" t="s">
        <v>2576</v>
      </c>
      <c r="AL312" s="375"/>
      <c r="AM312" s="375"/>
      <c r="AN312" s="373"/>
      <c r="AO312" s="375"/>
      <c r="AP312" s="376"/>
      <c r="AQ312" s="375"/>
    </row>
    <row r="313">
      <c r="A313" s="257" t="s">
        <v>3342</v>
      </c>
      <c r="B313" s="257" t="s">
        <v>3343</v>
      </c>
      <c r="C313" s="257" t="str">
        <f>VLOOKUP(A313,import!A:J,3,0)</f>
        <v>DOĞRU</v>
      </c>
      <c r="D313" s="257" t="s">
        <v>3759</v>
      </c>
      <c r="E313" s="257">
        <f>VLOOKUP(A313,import!A:J,5,0)</f>
        <v>302</v>
      </c>
      <c r="F313" s="257" t="str">
        <f>VLOOKUP(A313,import!A:J,6,0)</f>
        <v/>
      </c>
      <c r="G313" s="257">
        <f>VLOOKUP(A313,import!A:J,7,0)</f>
        <v>9</v>
      </c>
      <c r="H313" s="257">
        <f>VLOOKUP(A313,import!A:J,8,0)</f>
        <v>3</v>
      </c>
      <c r="I313" s="257">
        <f>VLOOKUP(A313,import!A:J,9,0)</f>
        <v>12</v>
      </c>
      <c r="J313" s="369">
        <f>VLOOKUP(A313,import!A:J,10,0)</f>
        <v>0.75</v>
      </c>
      <c r="K313" s="257" t="s">
        <v>4763</v>
      </c>
      <c r="L313" s="257">
        <v>3.223220509E9</v>
      </c>
      <c r="M313" s="257" t="s">
        <v>3707</v>
      </c>
      <c r="N313" s="257" t="s">
        <v>4631</v>
      </c>
      <c r="O313" s="257" t="s">
        <v>3346</v>
      </c>
      <c r="P313" s="386" t="str">
        <f>VLOOKUP(A313,import!A:P,16,0)</f>
        <v>Geleneksel</v>
      </c>
      <c r="Q313" s="370"/>
      <c r="R313" s="370" t="b">
        <v>1</v>
      </c>
      <c r="S313" s="370" t="b">
        <v>0</v>
      </c>
      <c r="T313" s="301" t="s">
        <v>3679</v>
      </c>
      <c r="U313" s="301" t="s">
        <v>2576</v>
      </c>
      <c r="V313" s="301" t="s">
        <v>3331</v>
      </c>
      <c r="W313" s="301">
        <v>5.336314701E9</v>
      </c>
      <c r="X313" s="371">
        <v>44617.0</v>
      </c>
      <c r="Y313" s="371">
        <v>44620.0</v>
      </c>
      <c r="Z313" s="372"/>
      <c r="AA313" s="373" t="s">
        <v>3682</v>
      </c>
      <c r="AB313" s="374">
        <v>44617.0</v>
      </c>
      <c r="AC313" s="373"/>
      <c r="AD313" s="374"/>
      <c r="AE313" s="373"/>
      <c r="AF313" s="374"/>
      <c r="AG313" s="373"/>
      <c r="AH313" s="374"/>
      <c r="AI313" s="375"/>
      <c r="AJ313" s="375"/>
      <c r="AK313" s="373" t="s">
        <v>2576</v>
      </c>
      <c r="AL313" s="375"/>
      <c r="AM313" s="375"/>
      <c r="AN313" s="373"/>
      <c r="AO313" s="375"/>
      <c r="AP313" s="376"/>
      <c r="AQ313" s="375"/>
    </row>
    <row r="314">
      <c r="A314" s="257" t="s">
        <v>1674</v>
      </c>
      <c r="B314" s="257" t="s">
        <v>1675</v>
      </c>
      <c r="C314" s="257" t="str">
        <f>VLOOKUP(A314,import!A:J,3,0)</f>
        <v>DOĞRU</v>
      </c>
      <c r="D314" s="257" t="s">
        <v>3676</v>
      </c>
      <c r="E314" s="257">
        <f>VLOOKUP(A314,import!A:J,5,0)</f>
        <v>251</v>
      </c>
      <c r="F314" s="257">
        <f>VLOOKUP(A314,import!A:J,6,0)</f>
        <v>4</v>
      </c>
      <c r="G314" s="257">
        <f>VLOOKUP(A314,import!A:J,7,0)</f>
        <v>0</v>
      </c>
      <c r="H314" s="257">
        <f>VLOOKUP(A314,import!A:J,8,0)</f>
        <v>45</v>
      </c>
      <c r="I314" s="257">
        <f>VLOOKUP(A314,import!A:J,9,0)</f>
        <v>45</v>
      </c>
      <c r="J314" s="369">
        <f>VLOOKUP(A314,import!A:J,10,0)</f>
        <v>0</v>
      </c>
      <c r="K314" s="257" t="s">
        <v>4764</v>
      </c>
      <c r="L314" s="257">
        <v>3.2223949E9</v>
      </c>
      <c r="M314" s="257" t="s">
        <v>14</v>
      </c>
      <c r="N314" s="257" t="s">
        <v>3718</v>
      </c>
      <c r="O314" s="257" t="s">
        <v>1677</v>
      </c>
      <c r="P314" s="370" t="str">
        <f>VLOOKUP(A314,import!A:P,16,0)</f>
        <v>Geleneksel</v>
      </c>
      <c r="Q314" s="370"/>
      <c r="R314" s="370" t="b">
        <v>1</v>
      </c>
      <c r="S314" s="370" t="b">
        <v>0</v>
      </c>
      <c r="T314" s="301" t="s">
        <v>4765</v>
      </c>
      <c r="U314" s="301" t="s">
        <v>2542</v>
      </c>
      <c r="V314" s="301" t="s">
        <v>78</v>
      </c>
      <c r="W314" s="301" t="s">
        <v>4766</v>
      </c>
      <c r="X314" s="371">
        <v>44539.0</v>
      </c>
      <c r="Y314" s="371">
        <v>44546.0</v>
      </c>
      <c r="Z314" s="372"/>
      <c r="AA314" s="373" t="s">
        <v>3682</v>
      </c>
      <c r="AB314" s="374">
        <v>44382.0</v>
      </c>
      <c r="AC314" s="373" t="s">
        <v>3695</v>
      </c>
      <c r="AD314" s="374">
        <v>44383.0</v>
      </c>
      <c r="AE314" s="373" t="s">
        <v>3448</v>
      </c>
      <c r="AF314" s="374">
        <v>44390.0</v>
      </c>
      <c r="AG314" s="373" t="s">
        <v>3448</v>
      </c>
      <c r="AH314" s="374">
        <v>44391.0</v>
      </c>
      <c r="AI314" s="373" t="s">
        <v>3682</v>
      </c>
      <c r="AJ314" s="374">
        <v>44539.0</v>
      </c>
      <c r="AK314" s="373" t="s">
        <v>3974</v>
      </c>
      <c r="AL314" s="373" t="s">
        <v>79</v>
      </c>
      <c r="AM314" s="373" t="s">
        <v>111</v>
      </c>
      <c r="AN314" s="373" t="s">
        <v>4089</v>
      </c>
      <c r="AO314" s="373" t="s">
        <v>2542</v>
      </c>
      <c r="AP314" s="376" t="s">
        <v>3683</v>
      </c>
      <c r="AQ314" s="373"/>
    </row>
    <row r="315">
      <c r="A315" s="257" t="s">
        <v>4767</v>
      </c>
      <c r="B315" s="257" t="s">
        <v>4768</v>
      </c>
      <c r="C315" s="257" t="str">
        <f>VLOOKUP(A315,import!A:J,3,0)</f>
        <v>DOĞRU</v>
      </c>
      <c r="D315" s="257" t="s">
        <v>3676</v>
      </c>
      <c r="E315" s="257">
        <f>VLOOKUP(A315,import!A:J,5,0)</f>
        <v>277</v>
      </c>
      <c r="F315" s="257">
        <f>VLOOKUP(A315,import!A:J,6,0)</f>
        <v>25</v>
      </c>
      <c r="G315" s="257">
        <f>VLOOKUP(A315,import!A:J,7,0)</f>
        <v>0</v>
      </c>
      <c r="H315" s="257">
        <f>VLOOKUP(A315,import!A:J,8,0)</f>
        <v>9</v>
      </c>
      <c r="I315" s="257">
        <f>VLOOKUP(A315,import!A:J,9,0)</f>
        <v>9</v>
      </c>
      <c r="J315" s="369">
        <f>VLOOKUP(A315,import!A:J,10,0)</f>
        <v>0</v>
      </c>
      <c r="K315" s="257" t="s">
        <v>4769</v>
      </c>
      <c r="L315" s="257">
        <v>5.52354512E9</v>
      </c>
      <c r="M315" s="257" t="s">
        <v>3692</v>
      </c>
      <c r="N315" s="257" t="s">
        <v>3721</v>
      </c>
      <c r="O315" s="257" t="s">
        <v>4770</v>
      </c>
      <c r="P315" s="370" t="str">
        <f>VLOOKUP(A315,import!A:P,16,0)</f>
        <v>Geleneksel</v>
      </c>
      <c r="Q315" s="370"/>
      <c r="R315" s="370" t="b">
        <v>0</v>
      </c>
      <c r="S315" s="370" t="b">
        <v>0</v>
      </c>
      <c r="T315" s="301"/>
      <c r="U315" s="379"/>
      <c r="V315" s="379"/>
      <c r="W315" s="301"/>
      <c r="X315" s="381"/>
      <c r="Y315" s="381"/>
      <c r="Z315" s="372"/>
      <c r="AA315" s="373"/>
      <c r="AB315" s="374"/>
      <c r="AC315" s="373"/>
      <c r="AD315" s="374"/>
      <c r="AE315" s="373"/>
      <c r="AF315" s="374"/>
      <c r="AG315" s="373"/>
      <c r="AH315" s="374"/>
      <c r="AI315" s="375"/>
      <c r="AJ315" s="375"/>
      <c r="AK315" s="373"/>
      <c r="AL315" s="375"/>
      <c r="AM315" s="375"/>
      <c r="AN315" s="373"/>
      <c r="AO315" s="375"/>
      <c r="AP315" s="376"/>
      <c r="AQ315" s="375"/>
    </row>
    <row r="316">
      <c r="A316" s="257" t="s">
        <v>4771</v>
      </c>
      <c r="B316" s="257" t="s">
        <v>4772</v>
      </c>
      <c r="C316" s="257" t="str">
        <f>VLOOKUP(A316,import!A:J,3,0)</f>
        <v>DOĞRU</v>
      </c>
      <c r="D316" s="257" t="s">
        <v>3676</v>
      </c>
      <c r="E316" s="257">
        <f>VLOOKUP(A316,import!A:J,5,0)</f>
        <v>497</v>
      </c>
      <c r="F316" s="257">
        <f>VLOOKUP(A316,import!A:J,6,0)</f>
        <v>250</v>
      </c>
      <c r="G316" s="257">
        <f>VLOOKUP(A316,import!A:J,7,0)</f>
        <v>0</v>
      </c>
      <c r="H316" s="257">
        <f>VLOOKUP(A316,import!A:J,8,0)</f>
        <v>5</v>
      </c>
      <c r="I316" s="257">
        <f>VLOOKUP(A316,import!A:J,9,0)</f>
        <v>5</v>
      </c>
      <c r="J316" s="369">
        <f>VLOOKUP(A316,import!A:J,10,0)</f>
        <v>0</v>
      </c>
      <c r="K316" s="257" t="s">
        <v>4773</v>
      </c>
      <c r="L316" s="257">
        <v>3.226124222E9</v>
      </c>
      <c r="M316" s="257" t="s">
        <v>3701</v>
      </c>
      <c r="N316" s="257" t="s">
        <v>4342</v>
      </c>
      <c r="O316" s="257" t="s">
        <v>4774</v>
      </c>
      <c r="P316" s="370" t="str">
        <f>VLOOKUP(A316,import!A:P,16,0)</f>
        <v>Geleneksel</v>
      </c>
      <c r="Q316" s="370"/>
      <c r="R316" s="370" t="b">
        <v>0</v>
      </c>
      <c r="S316" s="370" t="b">
        <v>0</v>
      </c>
      <c r="T316" s="301"/>
      <c r="U316" s="301"/>
      <c r="V316" s="301"/>
      <c r="W316" s="301"/>
      <c r="X316" s="371"/>
      <c r="Y316" s="371"/>
      <c r="Z316" s="372"/>
      <c r="AA316" s="373"/>
      <c r="AB316" s="374"/>
      <c r="AC316" s="373"/>
      <c r="AD316" s="374"/>
      <c r="AE316" s="373"/>
      <c r="AF316" s="374"/>
      <c r="AG316" s="373"/>
      <c r="AH316" s="374"/>
      <c r="AI316" s="373"/>
      <c r="AJ316" s="374"/>
      <c r="AK316" s="373"/>
      <c r="AL316" s="373"/>
      <c r="AM316" s="373"/>
      <c r="AN316" s="373"/>
      <c r="AO316" s="373"/>
      <c r="AP316" s="376"/>
      <c r="AQ316" s="373"/>
    </row>
    <row r="317">
      <c r="A317" s="257" t="s">
        <v>4775</v>
      </c>
      <c r="B317" s="257" t="s">
        <v>4776</v>
      </c>
      <c r="C317" s="257" t="str">
        <f>VLOOKUP(A317,import!A:J,3,0)</f>
        <v>DOĞRU</v>
      </c>
      <c r="D317" s="257" t="s">
        <v>3676</v>
      </c>
      <c r="E317" s="257">
        <f>VLOOKUP(A317,import!A:J,5,0)</f>
        <v>28</v>
      </c>
      <c r="F317" s="257">
        <f>VLOOKUP(A317,import!A:J,6,0)</f>
        <v>18</v>
      </c>
      <c r="G317" s="257">
        <f>VLOOKUP(A317,import!A:J,7,0)</f>
        <v>0</v>
      </c>
      <c r="H317" s="257">
        <f>VLOOKUP(A317,import!A:J,8,0)</f>
        <v>19</v>
      </c>
      <c r="I317" s="257">
        <f>VLOOKUP(A317,import!A:J,9,0)</f>
        <v>19</v>
      </c>
      <c r="J317" s="369">
        <f>VLOOKUP(A317,import!A:J,10,0)</f>
        <v>0</v>
      </c>
      <c r="K317" s="257" t="s">
        <v>4777</v>
      </c>
      <c r="L317" s="257">
        <v>5.428220156E9</v>
      </c>
      <c r="M317" s="257" t="s">
        <v>14</v>
      </c>
      <c r="N317" s="257" t="s">
        <v>3935</v>
      </c>
      <c r="O317" s="257" t="s">
        <v>4778</v>
      </c>
      <c r="P317" s="370" t="str">
        <f>VLOOKUP(A317,import!A:P,16,0)</f>
        <v>Geleneksel</v>
      </c>
      <c r="Q317" s="370"/>
      <c r="R317" s="370" t="b">
        <v>0</v>
      </c>
      <c r="S317" s="370" t="b">
        <v>0</v>
      </c>
      <c r="T317" s="301"/>
      <c r="U317" s="301"/>
      <c r="V317" s="301"/>
      <c r="W317" s="301"/>
      <c r="X317" s="371"/>
      <c r="Y317" s="371"/>
      <c r="Z317" s="372"/>
      <c r="AA317" s="373"/>
      <c r="AB317" s="374"/>
      <c r="AC317" s="373"/>
      <c r="AD317" s="374"/>
      <c r="AE317" s="373"/>
      <c r="AF317" s="374"/>
      <c r="AG317" s="373"/>
      <c r="AH317" s="374"/>
      <c r="AI317" s="373"/>
      <c r="AJ317" s="374"/>
      <c r="AK317" s="373"/>
      <c r="AL317" s="373"/>
      <c r="AM317" s="373"/>
      <c r="AN317" s="373"/>
      <c r="AO317" s="373"/>
      <c r="AP317" s="376"/>
      <c r="AQ317" s="373"/>
    </row>
    <row r="318">
      <c r="A318" s="257" t="s">
        <v>1636</v>
      </c>
      <c r="B318" s="257" t="s">
        <v>1637</v>
      </c>
      <c r="C318" s="257" t="str">
        <f>VLOOKUP(A318,import!A:J,3,0)</f>
        <v>DOĞRU</v>
      </c>
      <c r="D318" s="257" t="s">
        <v>3676</v>
      </c>
      <c r="E318" s="257">
        <f>VLOOKUP(A318,import!A:J,5,0)</f>
        <v>473</v>
      </c>
      <c r="F318" s="257">
        <f>VLOOKUP(A318,import!A:J,6,0)</f>
        <v>15</v>
      </c>
      <c r="G318" s="257">
        <f>VLOOKUP(A318,import!A:J,7,0)</f>
        <v>9</v>
      </c>
      <c r="H318" s="257">
        <f>VLOOKUP(A318,import!A:J,8,0)</f>
        <v>6</v>
      </c>
      <c r="I318" s="257">
        <f>VLOOKUP(A318,import!A:J,9,0)</f>
        <v>15</v>
      </c>
      <c r="J318" s="369">
        <f>VLOOKUP(A318,import!A:J,10,0)</f>
        <v>0.6</v>
      </c>
      <c r="K318" s="257" t="s">
        <v>4779</v>
      </c>
      <c r="L318" s="257">
        <v>5.55097175E9</v>
      </c>
      <c r="M318" s="257" t="s">
        <v>3692</v>
      </c>
      <c r="N318" s="257" t="s">
        <v>3721</v>
      </c>
      <c r="O318" s="257" t="s">
        <v>1640</v>
      </c>
      <c r="P318" s="370" t="str">
        <f>VLOOKUP(A318,import!A:P,16,0)</f>
        <v>Geleneksel</v>
      </c>
      <c r="Q318" s="370"/>
      <c r="R318" s="370" t="b">
        <v>1</v>
      </c>
      <c r="S318" s="370" t="b">
        <v>0</v>
      </c>
      <c r="T318" s="301" t="s">
        <v>3679</v>
      </c>
      <c r="U318" s="301" t="s">
        <v>79</v>
      </c>
      <c r="V318" s="301" t="s">
        <v>78</v>
      </c>
      <c r="W318" s="301"/>
      <c r="X318" s="371">
        <v>44470.0</v>
      </c>
      <c r="Y318" s="371">
        <v>44473.0</v>
      </c>
      <c r="Z318" s="301" t="s">
        <v>3957</v>
      </c>
      <c r="AA318" s="373" t="s">
        <v>3448</v>
      </c>
      <c r="AB318" s="371">
        <v>44407.0</v>
      </c>
      <c r="AC318" s="373" t="s">
        <v>3448</v>
      </c>
      <c r="AD318" s="375"/>
      <c r="AE318" s="373" t="s">
        <v>3682</v>
      </c>
      <c r="AF318" s="374">
        <v>44470.0</v>
      </c>
      <c r="AG318" s="92"/>
      <c r="AH318" s="375"/>
      <c r="AI318" s="375"/>
      <c r="AJ318" s="375"/>
      <c r="AK318" s="373" t="s">
        <v>3752</v>
      </c>
      <c r="AL318" s="375"/>
      <c r="AM318" s="373" t="s">
        <v>79</v>
      </c>
      <c r="AN318" s="375"/>
      <c r="AO318" s="375"/>
      <c r="AP318" s="376" t="s">
        <v>3686</v>
      </c>
      <c r="AQ318" s="375"/>
    </row>
    <row r="319">
      <c r="A319" s="257" t="s">
        <v>1054</v>
      </c>
      <c r="B319" s="257" t="s">
        <v>1055</v>
      </c>
      <c r="C319" s="257" t="str">
        <f>VLOOKUP(A319,import!A:J,3,0)</f>
        <v>YANLIŞ</v>
      </c>
      <c r="D319" s="257" t="s">
        <v>3676</v>
      </c>
      <c r="E319" s="257">
        <f>VLOOKUP(A319,import!A:J,5,0)</f>
        <v>186</v>
      </c>
      <c r="F319" s="257" t="str">
        <f>VLOOKUP(A319,import!A:J,6,0)</f>
        <v/>
      </c>
      <c r="G319" s="257">
        <f>VLOOKUP(A319,import!A:J,7,0)</f>
        <v>3</v>
      </c>
      <c r="H319" s="257">
        <f>VLOOKUP(A319,import!A:J,8,0)</f>
        <v>1</v>
      </c>
      <c r="I319" s="257">
        <f>VLOOKUP(A319,import!A:J,9,0)</f>
        <v>4</v>
      </c>
      <c r="J319" s="369">
        <f>VLOOKUP(A319,import!A:J,10,0)</f>
        <v>0.75</v>
      </c>
      <c r="K319" s="257" t="s">
        <v>4780</v>
      </c>
      <c r="L319" s="257">
        <v>5.526615101E9</v>
      </c>
      <c r="M319" s="257" t="s">
        <v>286</v>
      </c>
      <c r="N319" s="257" t="s">
        <v>3754</v>
      </c>
      <c r="O319" s="257" t="s">
        <v>1053</v>
      </c>
      <c r="P319" s="370" t="str">
        <f>VLOOKUP(A319,import!A:P,16,0)</f>
        <v>Geleneksel</v>
      </c>
      <c r="Q319" s="370"/>
      <c r="R319" s="370" t="b">
        <v>1</v>
      </c>
      <c r="S319" s="370" t="b">
        <v>0</v>
      </c>
      <c r="T319" s="301" t="s">
        <v>3679</v>
      </c>
      <c r="U319" s="301" t="s">
        <v>1953</v>
      </c>
      <c r="V319" s="301" t="s">
        <v>78</v>
      </c>
      <c r="W319" s="301">
        <v>5.323617055E9</v>
      </c>
      <c r="X319" s="371">
        <v>44428.0</v>
      </c>
      <c r="Y319" s="371">
        <v>44432.0</v>
      </c>
      <c r="Z319" s="372"/>
      <c r="AA319" s="373" t="s">
        <v>3682</v>
      </c>
      <c r="AB319" s="374">
        <v>44358.0</v>
      </c>
      <c r="AC319" s="373" t="s">
        <v>3682</v>
      </c>
      <c r="AD319" s="374">
        <v>44432.0</v>
      </c>
      <c r="AE319" s="92"/>
      <c r="AF319" s="375"/>
      <c r="AG319" s="92"/>
      <c r="AH319" s="375"/>
      <c r="AI319" s="375"/>
      <c r="AJ319" s="375"/>
      <c r="AK319" s="373" t="s">
        <v>399</v>
      </c>
      <c r="AL319" s="373" t="s">
        <v>1953</v>
      </c>
      <c r="AM319" s="375"/>
      <c r="AN319" s="375"/>
      <c r="AO319" s="375"/>
      <c r="AP319" s="376" t="s">
        <v>3686</v>
      </c>
      <c r="AQ319" s="375"/>
    </row>
    <row r="320">
      <c r="A320" s="257" t="s">
        <v>3162</v>
      </c>
      <c r="B320" s="257" t="s">
        <v>3163</v>
      </c>
      <c r="C320" s="257" t="str">
        <f>VLOOKUP(A320,import!A:J,3,0)</f>
        <v>YANLIŞ</v>
      </c>
      <c r="D320" s="257" t="s">
        <v>3676</v>
      </c>
      <c r="E320" s="257">
        <f>VLOOKUP(A320,import!A:J,5,0)</f>
        <v>50</v>
      </c>
      <c r="F320" s="257" t="str">
        <f>VLOOKUP(A320,import!A:J,6,0)</f>
        <v/>
      </c>
      <c r="G320" s="257">
        <f>VLOOKUP(A320,import!A:J,7,0)</f>
        <v>8</v>
      </c>
      <c r="H320" s="257">
        <f>VLOOKUP(A320,import!A:J,8,0)</f>
        <v>4</v>
      </c>
      <c r="I320" s="257">
        <f>VLOOKUP(A320,import!A:J,9,0)</f>
        <v>12</v>
      </c>
      <c r="J320" s="369">
        <f>VLOOKUP(A320,import!A:J,10,0)</f>
        <v>0.67</v>
      </c>
      <c r="K320" s="257" t="s">
        <v>4781</v>
      </c>
      <c r="L320" s="257">
        <v>5.306338107E9</v>
      </c>
      <c r="M320" s="257" t="s">
        <v>286</v>
      </c>
      <c r="N320" s="257" t="s">
        <v>3782</v>
      </c>
      <c r="O320" s="257" t="s">
        <v>3165</v>
      </c>
      <c r="P320" s="370" t="str">
        <f>VLOOKUP(A320,import!A:P,16,0)</f>
        <v>Geleneksel</v>
      </c>
      <c r="Q320" s="370"/>
      <c r="R320" s="370" t="b">
        <v>1</v>
      </c>
      <c r="S320" s="370" t="b">
        <v>0</v>
      </c>
      <c r="T320" s="301" t="s">
        <v>3679</v>
      </c>
      <c r="U320" s="301" t="s">
        <v>2941</v>
      </c>
      <c r="V320" s="301" t="s">
        <v>78</v>
      </c>
      <c r="W320" s="301"/>
      <c r="X320" s="371">
        <v>44530.0</v>
      </c>
      <c r="Y320" s="371">
        <v>44531.0</v>
      </c>
      <c r="Z320" s="372"/>
      <c r="AA320" s="373" t="s">
        <v>3682</v>
      </c>
      <c r="AB320" s="374">
        <v>44530.0</v>
      </c>
      <c r="AC320" s="373"/>
      <c r="AD320" s="374"/>
      <c r="AE320" s="373"/>
      <c r="AF320" s="374"/>
      <c r="AG320" s="373"/>
      <c r="AH320" s="374"/>
      <c r="AI320" s="375"/>
      <c r="AJ320" s="375"/>
      <c r="AK320" s="373" t="s">
        <v>2941</v>
      </c>
      <c r="AL320" s="375"/>
      <c r="AM320" s="375"/>
      <c r="AN320" s="373"/>
      <c r="AO320" s="375"/>
      <c r="AP320" s="376" t="s">
        <v>3686</v>
      </c>
      <c r="AQ320" s="375"/>
    </row>
    <row r="321">
      <c r="A321" s="257" t="s">
        <v>4782</v>
      </c>
      <c r="B321" s="257" t="s">
        <v>4783</v>
      </c>
      <c r="C321" s="257" t="str">
        <f>VLOOKUP(A321,import!A:J,3,0)</f>
        <v>DOĞRU</v>
      </c>
      <c r="D321" s="257" t="s">
        <v>3676</v>
      </c>
      <c r="E321" s="257">
        <f>VLOOKUP(A321,import!A:J,5,0)</f>
        <v>304</v>
      </c>
      <c r="F321" s="257" t="str">
        <f>VLOOKUP(A321,import!A:J,6,0)</f>
        <v/>
      </c>
      <c r="G321" s="257">
        <f>VLOOKUP(A321,import!A:J,7,0)</f>
        <v>0</v>
      </c>
      <c r="H321" s="257">
        <f>VLOOKUP(A321,import!A:J,8,0)</f>
        <v>9</v>
      </c>
      <c r="I321" s="257">
        <f>VLOOKUP(A321,import!A:J,9,0)</f>
        <v>9</v>
      </c>
      <c r="J321" s="369">
        <f>VLOOKUP(A321,import!A:J,10,0)</f>
        <v>0</v>
      </c>
      <c r="K321" s="257" t="s">
        <v>4784</v>
      </c>
      <c r="L321" s="257">
        <v>5.42323909E9</v>
      </c>
      <c r="M321" s="257" t="s">
        <v>3707</v>
      </c>
      <c r="N321" s="257" t="s">
        <v>4627</v>
      </c>
      <c r="O321" s="257" t="s">
        <v>4785</v>
      </c>
      <c r="P321" s="370" t="str">
        <f>VLOOKUP(A321,import!A:P,16,0)</f>
        <v>Geleneksel</v>
      </c>
      <c r="Q321" s="370"/>
      <c r="R321" s="370" t="b">
        <v>1</v>
      </c>
      <c r="S321" s="370" t="b">
        <v>0</v>
      </c>
      <c r="T321" s="301" t="s">
        <v>3710</v>
      </c>
      <c r="U321" s="301"/>
      <c r="V321" s="378"/>
      <c r="W321" s="301" t="s">
        <v>4786</v>
      </c>
      <c r="X321" s="371"/>
      <c r="Y321" s="371"/>
      <c r="Z321" s="372"/>
      <c r="AA321" s="373" t="s">
        <v>3682</v>
      </c>
      <c r="AB321" s="371">
        <v>44622.0</v>
      </c>
      <c r="AC321" s="373"/>
      <c r="AD321" s="374"/>
      <c r="AE321" s="373"/>
      <c r="AF321" s="374"/>
      <c r="AG321" s="373"/>
      <c r="AH321" s="374"/>
      <c r="AI321" s="375"/>
      <c r="AJ321" s="375"/>
      <c r="AK321" s="373" t="s">
        <v>2542</v>
      </c>
      <c r="AL321" s="375"/>
      <c r="AM321" s="375"/>
      <c r="AN321" s="373"/>
      <c r="AO321" s="375"/>
      <c r="AP321" s="376"/>
      <c r="AQ321" s="375"/>
    </row>
    <row r="322">
      <c r="A322" s="257" t="s">
        <v>638</v>
      </c>
      <c r="B322" s="257" t="s">
        <v>639</v>
      </c>
      <c r="C322" s="257" t="str">
        <f>VLOOKUP(A322,import!A:J,3,0)</f>
        <v>DOĞRU</v>
      </c>
      <c r="D322" s="257" t="s">
        <v>3676</v>
      </c>
      <c r="E322" s="257">
        <f>VLOOKUP(A322,import!A:J,5,0)</f>
        <v>2558</v>
      </c>
      <c r="F322" s="257">
        <f>VLOOKUP(A322,import!A:J,6,0)</f>
        <v>67</v>
      </c>
      <c r="G322" s="257">
        <f>VLOOKUP(A322,import!A:J,7,0)</f>
        <v>6</v>
      </c>
      <c r="H322" s="257">
        <f>VLOOKUP(A322,import!A:J,8,0)</f>
        <v>12</v>
      </c>
      <c r="I322" s="257">
        <f>VLOOKUP(A322,import!A:J,9,0)</f>
        <v>18</v>
      </c>
      <c r="J322" s="369">
        <f>VLOOKUP(A322,import!A:J,10,0)</f>
        <v>0.33</v>
      </c>
      <c r="K322" s="257" t="s">
        <v>4787</v>
      </c>
      <c r="L322" s="257">
        <v>3.224333636E9</v>
      </c>
      <c r="M322" s="257" t="s">
        <v>286</v>
      </c>
      <c r="N322" s="257" t="s">
        <v>4760</v>
      </c>
      <c r="O322" s="257" t="s">
        <v>641</v>
      </c>
      <c r="P322" s="370" t="str">
        <f>VLOOKUP(A322,import!A:P,16,0)</f>
        <v>Geleneksel</v>
      </c>
      <c r="Q322" s="370"/>
      <c r="R322" s="370" t="b">
        <v>1</v>
      </c>
      <c r="S322" s="370" t="b">
        <v>0</v>
      </c>
      <c r="T322" s="301" t="s">
        <v>3679</v>
      </c>
      <c r="U322" s="301" t="s">
        <v>606</v>
      </c>
      <c r="V322" s="301" t="s">
        <v>4054</v>
      </c>
      <c r="W322" s="301">
        <v>5.335936822E9</v>
      </c>
      <c r="X322" s="371">
        <v>44336.0</v>
      </c>
      <c r="Y322" s="371">
        <v>44340.0</v>
      </c>
      <c r="Z322" s="377"/>
      <c r="AA322" s="375"/>
      <c r="AB322" s="375"/>
      <c r="AC322" s="375"/>
      <c r="AD322" s="375"/>
      <c r="AE322" s="92"/>
      <c r="AF322" s="375"/>
      <c r="AG322" s="92"/>
      <c r="AH322" s="375"/>
      <c r="AI322" s="375"/>
      <c r="AJ322" s="375"/>
      <c r="AK322" s="375"/>
      <c r="AL322" s="375"/>
      <c r="AM322" s="375"/>
      <c r="AN322" s="375"/>
      <c r="AO322" s="375"/>
      <c r="AP322" s="376" t="s">
        <v>3686</v>
      </c>
      <c r="AQ322" s="375"/>
    </row>
    <row r="323">
      <c r="A323" s="257" t="s">
        <v>4788</v>
      </c>
      <c r="B323" s="257" t="s">
        <v>4789</v>
      </c>
      <c r="C323" s="257" t="str">
        <f>VLOOKUP(A323,import!A:J,3,0)</f>
        <v>DOĞRU</v>
      </c>
      <c r="D323" s="257" t="s">
        <v>3676</v>
      </c>
      <c r="E323" s="257">
        <f>VLOOKUP(A323,import!A:J,5,0)</f>
        <v>1823</v>
      </c>
      <c r="F323" s="257">
        <f>VLOOKUP(A323,import!A:J,6,0)</f>
        <v>12</v>
      </c>
      <c r="G323" s="257">
        <f>VLOOKUP(A323,import!A:J,7,0)</f>
        <v>0</v>
      </c>
      <c r="H323" s="257">
        <f>VLOOKUP(A323,import!A:J,8,0)</f>
        <v>11</v>
      </c>
      <c r="I323" s="257">
        <f>VLOOKUP(A323,import!A:J,9,0)</f>
        <v>11</v>
      </c>
      <c r="J323" s="369">
        <f>VLOOKUP(A323,import!A:J,10,0)</f>
        <v>0</v>
      </c>
      <c r="K323" s="257" t="s">
        <v>4790</v>
      </c>
      <c r="L323" s="257">
        <v>3.222270055E9</v>
      </c>
      <c r="M323" s="257" t="s">
        <v>286</v>
      </c>
      <c r="N323" s="257" t="s">
        <v>3769</v>
      </c>
      <c r="O323" s="257" t="s">
        <v>4791</v>
      </c>
      <c r="P323" s="370" t="str">
        <f>VLOOKUP(A323,import!A:P,16,0)</f>
        <v>Geleneksel</v>
      </c>
      <c r="Q323" s="370"/>
      <c r="R323" s="370" t="b">
        <v>1</v>
      </c>
      <c r="S323" s="370" t="b">
        <v>1</v>
      </c>
      <c r="T323" s="301" t="s">
        <v>3770</v>
      </c>
      <c r="U323" s="379"/>
      <c r="V323" s="379"/>
      <c r="W323" s="301" t="s">
        <v>4792</v>
      </c>
      <c r="X323" s="381"/>
      <c r="Y323" s="381"/>
      <c r="Z323" s="372"/>
      <c r="AA323" s="373" t="s">
        <v>3682</v>
      </c>
      <c r="AB323" s="374">
        <v>44377.0</v>
      </c>
      <c r="AC323" s="373" t="s">
        <v>3448</v>
      </c>
      <c r="AD323" s="374">
        <v>44442.0</v>
      </c>
      <c r="AE323" s="373" t="s">
        <v>3682</v>
      </c>
      <c r="AF323" s="374">
        <v>44459.0</v>
      </c>
      <c r="AG323" s="373" t="s">
        <v>3448</v>
      </c>
      <c r="AH323" s="374">
        <v>44461.0</v>
      </c>
      <c r="AI323" s="373" t="s">
        <v>3682</v>
      </c>
      <c r="AJ323" s="374">
        <v>44519.0</v>
      </c>
      <c r="AK323" s="373" t="s">
        <v>399</v>
      </c>
      <c r="AL323" s="373" t="s">
        <v>399</v>
      </c>
      <c r="AM323" s="373" t="s">
        <v>2542</v>
      </c>
      <c r="AN323" s="373" t="s">
        <v>2542</v>
      </c>
      <c r="AO323" s="373" t="s">
        <v>3073</v>
      </c>
      <c r="AP323" s="376" t="s">
        <v>3686</v>
      </c>
      <c r="AQ323" s="373"/>
    </row>
    <row r="324">
      <c r="A324" s="376" t="s">
        <v>4793</v>
      </c>
      <c r="B324" s="376" t="s">
        <v>4794</v>
      </c>
      <c r="C324" s="257" t="str">
        <f>VLOOKUP(A324,import!A:J,3,0)</f>
        <v>DOĞRU</v>
      </c>
      <c r="D324" s="376" t="s">
        <v>3842</v>
      </c>
      <c r="E324" s="257">
        <f>VLOOKUP(A324,import!A:J,5,0)</f>
        <v>11</v>
      </c>
      <c r="F324" s="257">
        <f>VLOOKUP(A324,import!A:J,6,0)</f>
        <v>11</v>
      </c>
      <c r="G324" s="257">
        <f>VLOOKUP(A324,import!A:J,7,0)</f>
        <v>0</v>
      </c>
      <c r="H324" s="257">
        <f>VLOOKUP(A324,import!A:J,8,0)</f>
        <v>7</v>
      </c>
      <c r="I324" s="257">
        <f>VLOOKUP(A324,import!A:J,9,0)</f>
        <v>7</v>
      </c>
      <c r="J324" s="369">
        <f>VLOOKUP(A324,import!A:J,10,0)</f>
        <v>0</v>
      </c>
      <c r="K324" s="376" t="s">
        <v>4795</v>
      </c>
      <c r="L324" s="376">
        <v>5.45425034E9</v>
      </c>
      <c r="M324" s="376" t="s">
        <v>14</v>
      </c>
      <c r="N324" s="376" t="s">
        <v>3826</v>
      </c>
      <c r="O324" s="376" t="s">
        <v>4796</v>
      </c>
      <c r="P324" s="370" t="str">
        <f>VLOOKUP(A324,import!A:P,16,0)</f>
        <v>Geleneksel</v>
      </c>
      <c r="Q324" s="370"/>
      <c r="R324" s="370" t="b">
        <v>0</v>
      </c>
      <c r="S324" s="370" t="b">
        <v>0</v>
      </c>
      <c r="T324" s="301"/>
      <c r="U324" s="301"/>
      <c r="V324" s="301"/>
      <c r="W324" s="301"/>
      <c r="X324" s="371"/>
      <c r="Y324" s="371"/>
      <c r="Z324" s="372"/>
      <c r="AA324" s="373"/>
      <c r="AB324" s="374"/>
      <c r="AC324" s="373"/>
      <c r="AD324" s="374"/>
      <c r="AE324" s="373"/>
      <c r="AF324" s="374"/>
      <c r="AG324" s="373"/>
      <c r="AH324" s="374"/>
      <c r="AI324" s="373"/>
      <c r="AJ324" s="374"/>
      <c r="AK324" s="373"/>
      <c r="AL324" s="373"/>
      <c r="AM324" s="373"/>
      <c r="AN324" s="373"/>
      <c r="AO324" s="373"/>
      <c r="AP324" s="376"/>
      <c r="AQ324" s="373"/>
    </row>
    <row r="325">
      <c r="A325" s="257" t="s">
        <v>1403</v>
      </c>
      <c r="B325" s="257" t="s">
        <v>1404</v>
      </c>
      <c r="C325" s="257" t="str">
        <f>VLOOKUP(A325,import!A:J,3,0)</f>
        <v>DOĞRU</v>
      </c>
      <c r="D325" s="257" t="s">
        <v>3676</v>
      </c>
      <c r="E325" s="257">
        <f>VLOOKUP(A325,import!A:J,5,0)</f>
        <v>1648</v>
      </c>
      <c r="F325" s="257">
        <f>VLOOKUP(A325,import!A:J,6,0)</f>
        <v>37</v>
      </c>
      <c r="G325" s="257">
        <f>VLOOKUP(A325,import!A:J,7,0)</f>
        <v>13</v>
      </c>
      <c r="H325" s="257">
        <f>VLOOKUP(A325,import!A:J,8,0)</f>
        <v>3</v>
      </c>
      <c r="I325" s="257">
        <f>VLOOKUP(A325,import!A:J,9,0)</f>
        <v>16</v>
      </c>
      <c r="J325" s="369">
        <f>VLOOKUP(A325,import!A:J,10,0)</f>
        <v>0.81</v>
      </c>
      <c r="K325" s="257" t="s">
        <v>4797</v>
      </c>
      <c r="L325" s="257">
        <v>5.435444525E9</v>
      </c>
      <c r="M325" s="257" t="s">
        <v>286</v>
      </c>
      <c r="N325" s="257" t="s">
        <v>4798</v>
      </c>
      <c r="O325" s="257" t="s">
        <v>1407</v>
      </c>
      <c r="P325" s="370" t="str">
        <f>VLOOKUP(A325,import!A:P,16,0)</f>
        <v>Geleneksel</v>
      </c>
      <c r="Q325" s="370"/>
      <c r="R325" s="370" t="b">
        <v>1</v>
      </c>
      <c r="S325" s="370" t="b">
        <v>0</v>
      </c>
      <c r="T325" s="301" t="s">
        <v>3679</v>
      </c>
      <c r="U325" s="301" t="s">
        <v>3719</v>
      </c>
      <c r="V325" s="301" t="s">
        <v>78</v>
      </c>
      <c r="W325" s="301" t="s">
        <v>4799</v>
      </c>
      <c r="X325" s="371">
        <v>44390.0</v>
      </c>
      <c r="Y325" s="371">
        <v>44390.0</v>
      </c>
      <c r="Z325" s="372"/>
      <c r="AA325" s="373" t="s">
        <v>3682</v>
      </c>
      <c r="AB325" s="374">
        <v>44390.0</v>
      </c>
      <c r="AC325" s="375"/>
      <c r="AD325" s="375"/>
      <c r="AE325" s="92"/>
      <c r="AF325" s="375"/>
      <c r="AG325" s="92"/>
      <c r="AH325" s="375"/>
      <c r="AI325" s="375"/>
      <c r="AJ325" s="375"/>
      <c r="AK325" s="373" t="s">
        <v>3719</v>
      </c>
      <c r="AL325" s="375"/>
      <c r="AM325" s="375"/>
      <c r="AN325" s="375"/>
      <c r="AO325" s="375"/>
      <c r="AP325" s="376" t="s">
        <v>3686</v>
      </c>
      <c r="AQ325" s="375"/>
    </row>
    <row r="326">
      <c r="A326" s="257" t="s">
        <v>4800</v>
      </c>
      <c r="B326" s="257" t="s">
        <v>4801</v>
      </c>
      <c r="C326" s="257" t="str">
        <f>VLOOKUP(A326,import!A:J,3,0)</f>
        <v>DOĞRU</v>
      </c>
      <c r="D326" s="257" t="s">
        <v>3842</v>
      </c>
      <c r="E326" s="257">
        <f>VLOOKUP(A326,import!A:J,5,0)</f>
        <v>8</v>
      </c>
      <c r="F326" s="257">
        <f>VLOOKUP(A326,import!A:J,6,0)</f>
        <v>6</v>
      </c>
      <c r="G326" s="257">
        <f>VLOOKUP(A326,import!A:J,7,0)</f>
        <v>0</v>
      </c>
      <c r="H326" s="257">
        <f>VLOOKUP(A326,import!A:J,8,0)</f>
        <v>10</v>
      </c>
      <c r="I326" s="257">
        <f>VLOOKUP(A326,import!A:J,9,0)</f>
        <v>10</v>
      </c>
      <c r="J326" s="369">
        <f>VLOOKUP(A326,import!A:J,10,0)</f>
        <v>0</v>
      </c>
      <c r="K326" s="257" t="s">
        <v>4802</v>
      </c>
      <c r="L326" s="257">
        <v>3.223633363E9</v>
      </c>
      <c r="M326" s="257" t="s">
        <v>286</v>
      </c>
      <c r="N326" s="257" t="s">
        <v>3751</v>
      </c>
      <c r="O326" s="257" t="s">
        <v>4803</v>
      </c>
      <c r="P326" s="370" t="str">
        <f>VLOOKUP(A326,import!A:P,16,0)</f>
        <v>Geleneksel</v>
      </c>
      <c r="Q326" s="370"/>
      <c r="R326" s="370" t="b">
        <v>0</v>
      </c>
      <c r="S326" s="370" t="b">
        <v>0</v>
      </c>
      <c r="T326" s="301"/>
      <c r="U326" s="301"/>
      <c r="V326" s="301"/>
      <c r="W326" s="301"/>
      <c r="X326" s="371"/>
      <c r="Y326" s="371"/>
      <c r="Z326" s="372"/>
      <c r="AA326" s="373"/>
      <c r="AB326" s="374"/>
      <c r="AC326" s="373"/>
      <c r="AD326" s="374"/>
      <c r="AE326" s="373"/>
      <c r="AF326" s="374"/>
      <c r="AG326" s="373"/>
      <c r="AH326" s="374"/>
      <c r="AI326" s="373"/>
      <c r="AJ326" s="374"/>
      <c r="AK326" s="373"/>
      <c r="AL326" s="373"/>
      <c r="AM326" s="373"/>
      <c r="AN326" s="373"/>
      <c r="AO326" s="373"/>
      <c r="AP326" s="376"/>
      <c r="AQ326" s="373"/>
    </row>
    <row r="327">
      <c r="A327" s="257" t="s">
        <v>1996</v>
      </c>
      <c r="B327" s="257" t="s">
        <v>1997</v>
      </c>
      <c r="C327" s="257" t="str">
        <f>VLOOKUP(A327,import!A:J,3,0)</f>
        <v>DOĞRU</v>
      </c>
      <c r="D327" s="257" t="s">
        <v>4000</v>
      </c>
      <c r="E327" s="257">
        <f>VLOOKUP(A327,import!A:J,5,0)</f>
        <v>1678</v>
      </c>
      <c r="F327" s="257">
        <f>VLOOKUP(A327,import!A:J,6,0)</f>
        <v>64</v>
      </c>
      <c r="G327" s="257">
        <f>VLOOKUP(A327,import!A:J,7,0)</f>
        <v>5</v>
      </c>
      <c r="H327" s="257">
        <f>VLOOKUP(A327,import!A:J,8,0)</f>
        <v>23</v>
      </c>
      <c r="I327" s="257">
        <f>VLOOKUP(A327,import!A:J,9,0)</f>
        <v>28</v>
      </c>
      <c r="J327" s="369">
        <f>VLOOKUP(A327,import!A:J,10,0)</f>
        <v>0.18</v>
      </c>
      <c r="K327" s="257" t="s">
        <v>4804</v>
      </c>
      <c r="L327" s="257">
        <v>5.426969856E9</v>
      </c>
      <c r="M327" s="257" t="s">
        <v>14</v>
      </c>
      <c r="N327" s="257" t="s">
        <v>3718</v>
      </c>
      <c r="O327" s="257" t="s">
        <v>2000</v>
      </c>
      <c r="P327" s="370" t="str">
        <f>VLOOKUP(A327,import!A:P,16,0)</f>
        <v>Geleneksel</v>
      </c>
      <c r="Q327" s="370"/>
      <c r="R327" s="370" t="b">
        <v>1</v>
      </c>
      <c r="S327" s="370" t="b">
        <v>0</v>
      </c>
      <c r="T327" s="301" t="s">
        <v>3679</v>
      </c>
      <c r="U327" s="301" t="s">
        <v>3723</v>
      </c>
      <c r="V327" s="301" t="s">
        <v>78</v>
      </c>
      <c r="W327" s="301" t="s">
        <v>4805</v>
      </c>
      <c r="X327" s="371">
        <v>44427.0</v>
      </c>
      <c r="Y327" s="371">
        <v>44431.0</v>
      </c>
      <c r="Z327" s="372"/>
      <c r="AA327" s="373" t="s">
        <v>3682</v>
      </c>
      <c r="AB327" s="374">
        <v>44363.0</v>
      </c>
      <c r="AC327" s="373" t="s">
        <v>3682</v>
      </c>
      <c r="AD327" s="374">
        <v>44427.0</v>
      </c>
      <c r="AE327" s="92"/>
      <c r="AF327" s="375"/>
      <c r="AG327" s="92"/>
      <c r="AH327" s="375"/>
      <c r="AI327" s="375"/>
      <c r="AJ327" s="375"/>
      <c r="AK327" s="373" t="s">
        <v>79</v>
      </c>
      <c r="AL327" s="373" t="s">
        <v>3723</v>
      </c>
      <c r="AM327" s="375"/>
      <c r="AN327" s="375"/>
      <c r="AO327" s="375"/>
      <c r="AP327" s="376" t="s">
        <v>3683</v>
      </c>
      <c r="AQ327" s="375"/>
    </row>
    <row r="328">
      <c r="A328" s="257" t="s">
        <v>4806</v>
      </c>
      <c r="B328" s="257" t="s">
        <v>4807</v>
      </c>
      <c r="C328" s="257" t="str">
        <f>VLOOKUP(A328,import!A:J,3,0)</f>
        <v>YANLIŞ</v>
      </c>
      <c r="D328" s="257" t="s">
        <v>3878</v>
      </c>
      <c r="E328" s="257">
        <f>VLOOKUP(A328,import!A:J,5,0)</f>
        <v>342</v>
      </c>
      <c r="F328" s="257" t="str">
        <f>VLOOKUP(A328,import!A:J,6,0)</f>
        <v/>
      </c>
      <c r="G328" s="257">
        <f>VLOOKUP(A328,import!A:J,7,0)</f>
        <v>6</v>
      </c>
      <c r="H328" s="257">
        <f>VLOOKUP(A328,import!A:J,8,0)</f>
        <v>20</v>
      </c>
      <c r="I328" s="257">
        <f>VLOOKUP(A328,import!A:J,9,0)</f>
        <v>26</v>
      </c>
      <c r="J328" s="369">
        <f>VLOOKUP(A328,import!A:J,10,0)</f>
        <v>0.23</v>
      </c>
      <c r="K328" s="257" t="s">
        <v>4808</v>
      </c>
      <c r="L328" s="257">
        <v>3.229998498E9</v>
      </c>
      <c r="M328" s="257" t="s">
        <v>14</v>
      </c>
      <c r="N328" s="257" t="s">
        <v>3914</v>
      </c>
      <c r="O328" s="257" t="s">
        <v>4809</v>
      </c>
      <c r="P328" s="370" t="str">
        <f>VLOOKUP(A328,import!A:P,16,0)</f>
        <v>Geleneksel</v>
      </c>
      <c r="Q328" s="370"/>
      <c r="R328" s="370" t="b">
        <v>1</v>
      </c>
      <c r="S328" s="370" t="b">
        <v>1</v>
      </c>
      <c r="T328" s="301"/>
      <c r="U328" s="301"/>
      <c r="V328" s="301"/>
      <c r="W328" s="301" t="s">
        <v>4810</v>
      </c>
      <c r="X328" s="371"/>
      <c r="Y328" s="371"/>
      <c r="Z328" s="377"/>
      <c r="AA328" s="373" t="s">
        <v>3681</v>
      </c>
      <c r="AB328" s="374">
        <v>44348.0</v>
      </c>
      <c r="AC328" s="373" t="s">
        <v>3681</v>
      </c>
      <c r="AD328" s="374">
        <v>44356.0</v>
      </c>
      <c r="AE328" s="373" t="s">
        <v>3448</v>
      </c>
      <c r="AF328" s="374">
        <v>44362.0</v>
      </c>
      <c r="AG328" s="373" t="s">
        <v>3682</v>
      </c>
      <c r="AH328" s="374">
        <v>44379.0</v>
      </c>
      <c r="AI328" s="373" t="s">
        <v>3682</v>
      </c>
      <c r="AJ328" s="374">
        <v>44441.0</v>
      </c>
      <c r="AK328" s="373" t="s">
        <v>79</v>
      </c>
      <c r="AL328" s="373" t="s">
        <v>2706</v>
      </c>
      <c r="AM328" s="373" t="s">
        <v>3916</v>
      </c>
      <c r="AN328" s="373" t="s">
        <v>1014</v>
      </c>
      <c r="AO328" s="373" t="s">
        <v>2542</v>
      </c>
      <c r="AP328" s="376" t="s">
        <v>3683</v>
      </c>
      <c r="AQ328" s="373"/>
    </row>
    <row r="329">
      <c r="A329" s="257" t="s">
        <v>468</v>
      </c>
      <c r="B329" s="257" t="s">
        <v>469</v>
      </c>
      <c r="C329" s="257" t="str">
        <f>VLOOKUP(A329,import!A:J,3,0)</f>
        <v>DOĞRU</v>
      </c>
      <c r="D329" s="257" t="s">
        <v>3994</v>
      </c>
      <c r="E329" s="257">
        <f>VLOOKUP(A329,import!A:J,5,0)</f>
        <v>5284</v>
      </c>
      <c r="F329" s="257">
        <f>VLOOKUP(A329,import!A:J,6,0)</f>
        <v>114</v>
      </c>
      <c r="G329" s="257">
        <f>VLOOKUP(A329,import!A:J,7,0)</f>
        <v>0</v>
      </c>
      <c r="H329" s="257">
        <f>VLOOKUP(A329,import!A:J,8,0)</f>
        <v>22</v>
      </c>
      <c r="I329" s="257">
        <f>VLOOKUP(A329,import!A:J,9,0)</f>
        <v>22</v>
      </c>
      <c r="J329" s="369">
        <f>VLOOKUP(A329,import!A:J,10,0)</f>
        <v>0</v>
      </c>
      <c r="K329" s="257" t="s">
        <v>4811</v>
      </c>
      <c r="L329" s="257">
        <v>5.528864601E9</v>
      </c>
      <c r="M329" s="257" t="s">
        <v>286</v>
      </c>
      <c r="N329" s="257" t="s">
        <v>3754</v>
      </c>
      <c r="O329" s="257" t="s">
        <v>1449</v>
      </c>
      <c r="P329" s="370" t="str">
        <f>VLOOKUP(A329,import!A:P,16,0)</f>
        <v>Geleneksel</v>
      </c>
      <c r="Q329" s="370"/>
      <c r="R329" s="370" t="b">
        <v>1</v>
      </c>
      <c r="S329" s="370" t="b">
        <v>0</v>
      </c>
      <c r="T329" s="301"/>
      <c r="U329" s="301" t="s">
        <v>79</v>
      </c>
      <c r="V329" s="301" t="s">
        <v>78</v>
      </c>
      <c r="W329" s="301" t="s">
        <v>4812</v>
      </c>
      <c r="X329" s="371">
        <v>44390.0</v>
      </c>
      <c r="Y329" s="371">
        <v>44392.0</v>
      </c>
      <c r="Z329" s="377"/>
      <c r="AA329" s="373" t="s">
        <v>3695</v>
      </c>
      <c r="AB329" s="374">
        <v>44358.0</v>
      </c>
      <c r="AC329" s="373" t="s">
        <v>3682</v>
      </c>
      <c r="AD329" s="374">
        <v>44377.0</v>
      </c>
      <c r="AE329" s="373" t="s">
        <v>3695</v>
      </c>
      <c r="AF329" s="374">
        <v>44428.0</v>
      </c>
      <c r="AG329" s="373" t="s">
        <v>3682</v>
      </c>
      <c r="AH329" s="374">
        <v>44434.0</v>
      </c>
      <c r="AI329" s="373" t="s">
        <v>3448</v>
      </c>
      <c r="AJ329" s="374">
        <v>44457.0</v>
      </c>
      <c r="AK329" s="373" t="s">
        <v>399</v>
      </c>
      <c r="AL329" s="373" t="s">
        <v>79</v>
      </c>
      <c r="AM329" s="373" t="s">
        <v>1953</v>
      </c>
      <c r="AN329" s="373" t="s">
        <v>1953</v>
      </c>
      <c r="AO329" s="373" t="s">
        <v>79</v>
      </c>
      <c r="AP329" s="376" t="s">
        <v>3686</v>
      </c>
      <c r="AQ329" s="373"/>
    </row>
    <row r="330">
      <c r="A330" s="257" t="s">
        <v>1017</v>
      </c>
      <c r="B330" s="257" t="s">
        <v>1018</v>
      </c>
      <c r="C330" s="257" t="str">
        <f>VLOOKUP(A330,import!A:J,3,0)</f>
        <v>DOĞRU</v>
      </c>
      <c r="D330" s="257" t="s">
        <v>3994</v>
      </c>
      <c r="E330" s="257">
        <f>VLOOKUP(A330,import!A:J,5,0)</f>
        <v>643</v>
      </c>
      <c r="F330" s="257">
        <f>VLOOKUP(A330,import!A:J,6,0)</f>
        <v>30</v>
      </c>
      <c r="G330" s="257">
        <f>VLOOKUP(A330,import!A:J,7,0)</f>
        <v>44</v>
      </c>
      <c r="H330" s="257">
        <f>VLOOKUP(A330,import!A:J,8,0)</f>
        <v>42</v>
      </c>
      <c r="I330" s="257">
        <f>VLOOKUP(A330,import!A:J,9,0)</f>
        <v>86</v>
      </c>
      <c r="J330" s="369">
        <f>VLOOKUP(A330,import!A:J,10,0)</f>
        <v>0.51</v>
      </c>
      <c r="K330" s="257" t="s">
        <v>4813</v>
      </c>
      <c r="L330" s="257">
        <v>3.22247202E9</v>
      </c>
      <c r="M330" s="257" t="s">
        <v>14</v>
      </c>
      <c r="N330" s="257" t="s">
        <v>3935</v>
      </c>
      <c r="O330" s="257" t="s">
        <v>1020</v>
      </c>
      <c r="P330" s="370" t="str">
        <f>VLOOKUP(A330,import!A:P,16,0)</f>
        <v>Geleneksel</v>
      </c>
      <c r="Q330" s="370"/>
      <c r="R330" s="370" t="b">
        <v>1</v>
      </c>
      <c r="S330" s="370" t="b">
        <v>0</v>
      </c>
      <c r="T330" s="301" t="s">
        <v>3679</v>
      </c>
      <c r="U330" s="301" t="s">
        <v>79</v>
      </c>
      <c r="V330" s="301" t="s">
        <v>78</v>
      </c>
      <c r="W330" s="301" t="s">
        <v>4814</v>
      </c>
      <c r="X330" s="371">
        <v>44489.0</v>
      </c>
      <c r="Y330" s="371">
        <v>44490.0</v>
      </c>
      <c r="Z330" s="372"/>
      <c r="AA330" s="373" t="s">
        <v>3682</v>
      </c>
      <c r="AB330" s="374">
        <v>44357.0</v>
      </c>
      <c r="AC330" s="373" t="s">
        <v>3682</v>
      </c>
      <c r="AD330" s="374">
        <v>44371.0</v>
      </c>
      <c r="AE330" s="373" t="s">
        <v>3682</v>
      </c>
      <c r="AF330" s="374">
        <v>44425.0</v>
      </c>
      <c r="AG330" s="373" t="s">
        <v>3681</v>
      </c>
      <c r="AH330" s="374">
        <v>44445.0</v>
      </c>
      <c r="AI330" s="375"/>
      <c r="AJ330" s="375"/>
      <c r="AK330" s="373" t="s">
        <v>3789</v>
      </c>
      <c r="AL330" s="373" t="s">
        <v>111</v>
      </c>
      <c r="AM330" s="375"/>
      <c r="AN330" s="373" t="s">
        <v>79</v>
      </c>
      <c r="AO330" s="375"/>
      <c r="AP330" s="376" t="s">
        <v>3683</v>
      </c>
      <c r="AQ330" s="375"/>
    </row>
    <row r="331">
      <c r="A331" s="257" t="s">
        <v>4815</v>
      </c>
      <c r="B331" s="257" t="s">
        <v>4816</v>
      </c>
      <c r="C331" s="257" t="str">
        <f>VLOOKUP(A331,import!A:J,3,0)</f>
        <v>DOĞRU</v>
      </c>
      <c r="D331" s="257" t="s">
        <v>3676</v>
      </c>
      <c r="E331" s="257">
        <f>VLOOKUP(A331,import!A:J,5,0)</f>
        <v>1410</v>
      </c>
      <c r="F331" s="257">
        <f>VLOOKUP(A331,import!A:J,6,0)</f>
        <v>89</v>
      </c>
      <c r="G331" s="257">
        <f>VLOOKUP(A331,import!A:J,7,0)</f>
        <v>7</v>
      </c>
      <c r="H331" s="257">
        <f>VLOOKUP(A331,import!A:J,8,0)</f>
        <v>26</v>
      </c>
      <c r="I331" s="257">
        <f>VLOOKUP(A331,import!A:J,9,0)</f>
        <v>33</v>
      </c>
      <c r="J331" s="369">
        <f>VLOOKUP(A331,import!A:J,10,0)</f>
        <v>0.21</v>
      </c>
      <c r="K331" s="257" t="s">
        <v>3784</v>
      </c>
      <c r="L331" s="257">
        <v>5.013240555E9</v>
      </c>
      <c r="M331" s="257" t="s">
        <v>14</v>
      </c>
      <c r="N331" s="257" t="s">
        <v>3767</v>
      </c>
      <c r="O331" s="257" t="s">
        <v>4817</v>
      </c>
      <c r="P331" s="370" t="str">
        <f>VLOOKUP(A331,import!A:P,16,0)</f>
        <v>Geleneksel</v>
      </c>
      <c r="Q331" s="370"/>
      <c r="R331" s="370" t="b">
        <v>1</v>
      </c>
      <c r="S331" s="370" t="b">
        <v>0</v>
      </c>
      <c r="T331" s="301"/>
      <c r="U331" s="379"/>
      <c r="V331" s="379"/>
      <c r="W331" s="301" t="s">
        <v>4818</v>
      </c>
      <c r="X331" s="381"/>
      <c r="Y331" s="381"/>
      <c r="Z331" s="372"/>
      <c r="AA331" s="373" t="s">
        <v>3682</v>
      </c>
      <c r="AB331" s="374">
        <v>44382.0</v>
      </c>
      <c r="AC331" s="373" t="s">
        <v>3448</v>
      </c>
      <c r="AD331" s="374">
        <v>44565.0</v>
      </c>
      <c r="AE331" s="92"/>
      <c r="AF331" s="375"/>
      <c r="AG331" s="92"/>
      <c r="AH331" s="375"/>
      <c r="AI331" s="375"/>
      <c r="AJ331" s="375"/>
      <c r="AK331" s="373" t="s">
        <v>1014</v>
      </c>
      <c r="AL331" s="373" t="s">
        <v>2424</v>
      </c>
      <c r="AM331" s="375"/>
      <c r="AN331" s="375"/>
      <c r="AO331" s="375"/>
      <c r="AP331" s="376" t="s">
        <v>3683</v>
      </c>
      <c r="AQ331" s="375"/>
    </row>
    <row r="332">
      <c r="A332" s="257" t="s">
        <v>727</v>
      </c>
      <c r="B332" s="257" t="s">
        <v>728</v>
      </c>
      <c r="C332" s="257" t="str">
        <f>VLOOKUP(A332,import!A:J,3,0)</f>
        <v>DOĞRU</v>
      </c>
      <c r="D332" s="257" t="s">
        <v>3713</v>
      </c>
      <c r="E332" s="257">
        <f>VLOOKUP(A332,import!A:J,5,0)</f>
        <v>1928</v>
      </c>
      <c r="F332" s="257">
        <f>VLOOKUP(A332,import!A:J,6,0)</f>
        <v>122</v>
      </c>
      <c r="G332" s="257">
        <f>VLOOKUP(A332,import!A:J,7,0)</f>
        <v>0</v>
      </c>
      <c r="H332" s="257">
        <f>VLOOKUP(A332,import!A:J,8,0)</f>
        <v>15</v>
      </c>
      <c r="I332" s="257">
        <f>VLOOKUP(A332,import!A:J,9,0)</f>
        <v>15</v>
      </c>
      <c r="J332" s="369">
        <f>VLOOKUP(A332,import!A:J,10,0)</f>
        <v>0</v>
      </c>
      <c r="K332" s="257" t="s">
        <v>4819</v>
      </c>
      <c r="L332" s="257">
        <v>3.222273575E9</v>
      </c>
      <c r="M332" s="257" t="s">
        <v>286</v>
      </c>
      <c r="N332" s="257" t="s">
        <v>3754</v>
      </c>
      <c r="O332" s="257" t="s">
        <v>730</v>
      </c>
      <c r="P332" s="370" t="str">
        <f>VLOOKUP(A332,import!A:P,16,0)</f>
        <v>Geleneksel</v>
      </c>
      <c r="Q332" s="370"/>
      <c r="R332" s="370" t="b">
        <v>1</v>
      </c>
      <c r="S332" s="370" t="b">
        <v>0</v>
      </c>
      <c r="T332" s="301" t="s">
        <v>3787</v>
      </c>
      <c r="U332" s="301" t="s">
        <v>2941</v>
      </c>
      <c r="V332" s="301" t="s">
        <v>78</v>
      </c>
      <c r="W332" s="301" t="s">
        <v>4820</v>
      </c>
      <c r="X332" s="371">
        <v>44511.0</v>
      </c>
      <c r="Y332" s="371">
        <v>44517.0</v>
      </c>
      <c r="Z332" s="377"/>
      <c r="AA332" s="373" t="s">
        <v>3695</v>
      </c>
      <c r="AB332" s="374">
        <v>44358.0</v>
      </c>
      <c r="AC332" s="373" t="s">
        <v>3682</v>
      </c>
      <c r="AD332" s="374">
        <v>44377.0</v>
      </c>
      <c r="AE332" s="373" t="s">
        <v>3696</v>
      </c>
      <c r="AF332" s="374">
        <v>44406.0</v>
      </c>
      <c r="AG332" s="373" t="s">
        <v>3682</v>
      </c>
      <c r="AH332" s="374">
        <v>44447.0</v>
      </c>
      <c r="AI332" s="373" t="s">
        <v>3682</v>
      </c>
      <c r="AJ332" s="374">
        <v>44511.0</v>
      </c>
      <c r="AK332" s="373" t="s">
        <v>79</v>
      </c>
      <c r="AL332" s="375"/>
      <c r="AM332" s="373" t="s">
        <v>79</v>
      </c>
      <c r="AN332" s="373" t="s">
        <v>2542</v>
      </c>
      <c r="AO332" s="373" t="s">
        <v>2941</v>
      </c>
      <c r="AP332" s="376" t="s">
        <v>3686</v>
      </c>
      <c r="AQ332" s="373"/>
    </row>
    <row r="333">
      <c r="A333" s="257" t="s">
        <v>1082</v>
      </c>
      <c r="B333" s="257" t="s">
        <v>1083</v>
      </c>
      <c r="C333" s="257" t="str">
        <f>VLOOKUP(A333,import!A:J,3,0)</f>
        <v>DOĞRU</v>
      </c>
      <c r="D333" s="257" t="s">
        <v>3713</v>
      </c>
      <c r="E333" s="257">
        <f>VLOOKUP(A333,import!A:J,5,0)</f>
        <v>2135</v>
      </c>
      <c r="F333" s="257">
        <f>VLOOKUP(A333,import!A:J,6,0)</f>
        <v>37</v>
      </c>
      <c r="G333" s="257">
        <f>VLOOKUP(A333,import!A:J,7,0)</f>
        <v>2</v>
      </c>
      <c r="H333" s="257">
        <f>VLOOKUP(A333,import!A:J,8,0)</f>
        <v>2</v>
      </c>
      <c r="I333" s="257">
        <f>VLOOKUP(A333,import!A:J,9,0)</f>
        <v>4</v>
      </c>
      <c r="J333" s="369">
        <f>VLOOKUP(A333,import!A:J,10,0)</f>
        <v>0.5</v>
      </c>
      <c r="K333" s="257" t="s">
        <v>4821</v>
      </c>
      <c r="L333" s="257">
        <v>3.229992224E9</v>
      </c>
      <c r="M333" s="257" t="s">
        <v>14</v>
      </c>
      <c r="N333" s="257" t="s">
        <v>3797</v>
      </c>
      <c r="O333" s="257" t="s">
        <v>1085</v>
      </c>
      <c r="P333" s="370" t="str">
        <f>VLOOKUP(A333,import!A:P,16,0)</f>
        <v>Geleneksel</v>
      </c>
      <c r="Q333" s="370"/>
      <c r="R333" s="370" t="b">
        <v>1</v>
      </c>
      <c r="S333" s="370" t="b">
        <v>0</v>
      </c>
      <c r="T333" s="301" t="s">
        <v>3679</v>
      </c>
      <c r="U333" s="301" t="s">
        <v>399</v>
      </c>
      <c r="V333" s="301" t="s">
        <v>78</v>
      </c>
      <c r="W333" s="301">
        <v>5.308796159E9</v>
      </c>
      <c r="X333" s="371">
        <v>44363.0</v>
      </c>
      <c r="Y333" s="371">
        <v>44368.0</v>
      </c>
      <c r="Z333" s="377"/>
      <c r="AA333" s="373" t="s">
        <v>3682</v>
      </c>
      <c r="AB333" s="374">
        <v>44363.0</v>
      </c>
      <c r="AC333" s="375"/>
      <c r="AD333" s="375"/>
      <c r="AE333" s="92"/>
      <c r="AF333" s="375"/>
      <c r="AG333" s="92"/>
      <c r="AH333" s="375"/>
      <c r="AI333" s="375"/>
      <c r="AJ333" s="375"/>
      <c r="AK333" s="373" t="s">
        <v>399</v>
      </c>
      <c r="AL333" s="375"/>
      <c r="AM333" s="375"/>
      <c r="AN333" s="375"/>
      <c r="AO333" s="375"/>
      <c r="AP333" s="376" t="s">
        <v>3683</v>
      </c>
      <c r="AQ333" s="375"/>
    </row>
    <row r="334">
      <c r="A334" s="257" t="s">
        <v>3600</v>
      </c>
      <c r="B334" s="257" t="s">
        <v>3601</v>
      </c>
      <c r="C334" s="257" t="str">
        <f>VLOOKUP(A334,import!A:J,3,0)</f>
        <v>DOĞRU</v>
      </c>
      <c r="D334" s="257" t="s">
        <v>3676</v>
      </c>
      <c r="E334" s="257">
        <f>VLOOKUP(A334,import!A:J,5,0)</f>
        <v>86</v>
      </c>
      <c r="F334" s="257">
        <f>VLOOKUP(A334,import!A:J,6,0)</f>
        <v>6</v>
      </c>
      <c r="G334" s="257">
        <f>VLOOKUP(A334,import!A:J,7,0)</f>
        <v>0</v>
      </c>
      <c r="H334" s="257">
        <f>VLOOKUP(A334,import!A:J,8,0)</f>
        <v>25</v>
      </c>
      <c r="I334" s="257">
        <f>VLOOKUP(A334,import!A:J,9,0)</f>
        <v>25</v>
      </c>
      <c r="J334" s="369">
        <f>VLOOKUP(A334,import!A:J,10,0)</f>
        <v>0</v>
      </c>
      <c r="K334" s="257" t="s">
        <v>4822</v>
      </c>
      <c r="L334" s="257">
        <v>3.222710808E9</v>
      </c>
      <c r="M334" s="257" t="s">
        <v>286</v>
      </c>
      <c r="N334" s="257" t="s">
        <v>4235</v>
      </c>
      <c r="O334" s="257" t="s">
        <v>4823</v>
      </c>
      <c r="P334" s="370" t="str">
        <f>VLOOKUP(A334,import!A:P,16,0)</f>
        <v>Geleneksel</v>
      </c>
      <c r="Q334" s="370"/>
      <c r="R334" s="370" t="b">
        <v>1</v>
      </c>
      <c r="S334" s="370" t="b">
        <v>0</v>
      </c>
      <c r="T334" s="301" t="s">
        <v>3679</v>
      </c>
      <c r="U334" s="301" t="s">
        <v>2542</v>
      </c>
      <c r="V334" s="394" t="s">
        <v>3331</v>
      </c>
      <c r="W334" s="301" t="s">
        <v>4824</v>
      </c>
      <c r="X334" s="371">
        <v>44638.0</v>
      </c>
      <c r="Y334" s="371">
        <v>44641.0</v>
      </c>
      <c r="Z334" s="372"/>
      <c r="AA334" s="373" t="s">
        <v>3682</v>
      </c>
      <c r="AB334" s="371">
        <v>44638.0</v>
      </c>
      <c r="AC334" s="373"/>
      <c r="AD334" s="374"/>
      <c r="AE334" s="373"/>
      <c r="AF334" s="374"/>
      <c r="AG334" s="373"/>
      <c r="AH334" s="374"/>
      <c r="AI334" s="375"/>
      <c r="AJ334" s="375"/>
      <c r="AK334" s="373" t="s">
        <v>2542</v>
      </c>
      <c r="AL334" s="375"/>
      <c r="AM334" s="375"/>
      <c r="AN334" s="373"/>
      <c r="AO334" s="375"/>
      <c r="AP334" s="376" t="s">
        <v>3686</v>
      </c>
      <c r="AQ334" s="375"/>
    </row>
    <row r="335">
      <c r="A335" s="257" t="s">
        <v>3208</v>
      </c>
      <c r="B335" s="257" t="s">
        <v>3209</v>
      </c>
      <c r="C335" s="257" t="str">
        <f>VLOOKUP(A335,import!A:J,3,0)</f>
        <v>DOĞRU</v>
      </c>
      <c r="D335" s="257" t="s">
        <v>3699</v>
      </c>
      <c r="E335" s="257">
        <f>VLOOKUP(A335,import!A:J,5,0)</f>
        <v>865</v>
      </c>
      <c r="F335" s="257">
        <f>VLOOKUP(A335,import!A:J,6,0)</f>
        <v>107</v>
      </c>
      <c r="G335" s="257">
        <f>VLOOKUP(A335,import!A:J,7,0)</f>
        <v>48</v>
      </c>
      <c r="H335" s="257">
        <f>VLOOKUP(A335,import!A:J,8,0)</f>
        <v>23</v>
      </c>
      <c r="I335" s="257">
        <f>VLOOKUP(A335,import!A:J,9,0)</f>
        <v>71</v>
      </c>
      <c r="J335" s="369">
        <f>VLOOKUP(A335,import!A:J,10,0)</f>
        <v>0.68</v>
      </c>
      <c r="K335" s="257" t="s">
        <v>4825</v>
      </c>
      <c r="L335" s="257">
        <v>5.335120969E9</v>
      </c>
      <c r="M335" s="257" t="s">
        <v>14</v>
      </c>
      <c r="N335" s="257" t="s">
        <v>3797</v>
      </c>
      <c r="O335" s="257" t="s">
        <v>3211</v>
      </c>
      <c r="P335" s="370" t="str">
        <f>VLOOKUP(A335,import!A:P,16,0)</f>
        <v>Geleneksel</v>
      </c>
      <c r="Q335" s="370"/>
      <c r="R335" s="370" t="b">
        <v>1</v>
      </c>
      <c r="S335" s="370" t="b">
        <v>0</v>
      </c>
      <c r="T335" s="301" t="s">
        <v>3679</v>
      </c>
      <c r="U335" s="301" t="s">
        <v>3213</v>
      </c>
      <c r="V335" s="403" t="s">
        <v>78</v>
      </c>
      <c r="W335" s="301"/>
      <c r="X335" s="371">
        <v>44550.0</v>
      </c>
      <c r="Y335" s="371">
        <v>44552.0</v>
      </c>
      <c r="Z335" s="372"/>
      <c r="AA335" s="373" t="s">
        <v>3682</v>
      </c>
      <c r="AB335" s="374">
        <v>44536.0</v>
      </c>
      <c r="AC335" s="373"/>
      <c r="AD335" s="374"/>
      <c r="AE335" s="373"/>
      <c r="AF335" s="374"/>
      <c r="AG335" s="373"/>
      <c r="AH335" s="374"/>
      <c r="AI335" s="375"/>
      <c r="AJ335" s="375"/>
      <c r="AK335" s="373" t="s">
        <v>2192</v>
      </c>
      <c r="AL335" s="373" t="s">
        <v>3213</v>
      </c>
      <c r="AM335" s="375"/>
      <c r="AN335" s="373"/>
      <c r="AO335" s="375"/>
      <c r="AP335" s="376" t="s">
        <v>3683</v>
      </c>
      <c r="AQ335" s="375"/>
    </row>
    <row r="336">
      <c r="A336" s="257" t="s">
        <v>378</v>
      </c>
      <c r="B336" s="257" t="s">
        <v>379</v>
      </c>
      <c r="C336" s="257" t="str">
        <f>VLOOKUP(A336,import!A:J,3,0)</f>
        <v>DOĞRU</v>
      </c>
      <c r="D336" s="257" t="s">
        <v>3676</v>
      </c>
      <c r="E336" s="257">
        <f>VLOOKUP(A336,import!A:J,5,0)</f>
        <v>3488</v>
      </c>
      <c r="F336" s="257">
        <f>VLOOKUP(A336,import!A:J,6,0)</f>
        <v>166</v>
      </c>
      <c r="G336" s="257">
        <f>VLOOKUP(A336,import!A:J,7,0)</f>
        <v>18</v>
      </c>
      <c r="H336" s="257">
        <f>VLOOKUP(A336,import!A:J,8,0)</f>
        <v>11</v>
      </c>
      <c r="I336" s="257">
        <f>VLOOKUP(A336,import!A:J,9,0)</f>
        <v>29</v>
      </c>
      <c r="J336" s="369">
        <f>VLOOKUP(A336,import!A:J,10,0)</f>
        <v>0.62</v>
      </c>
      <c r="K336" s="257" t="s">
        <v>4826</v>
      </c>
      <c r="L336" s="257">
        <v>3.22232103E9</v>
      </c>
      <c r="M336" s="257" t="s">
        <v>14</v>
      </c>
      <c r="N336" s="257" t="s">
        <v>3767</v>
      </c>
      <c r="O336" s="257" t="s">
        <v>4827</v>
      </c>
      <c r="P336" s="370" t="str">
        <f>VLOOKUP(A336,import!A:P,16,0)</f>
        <v>Geleneksel</v>
      </c>
      <c r="Q336" s="370"/>
      <c r="R336" s="370" t="b">
        <v>1</v>
      </c>
      <c r="S336" s="370" t="b">
        <v>0</v>
      </c>
      <c r="T336" s="301" t="s">
        <v>3735</v>
      </c>
      <c r="U336" s="301" t="s">
        <v>145</v>
      </c>
      <c r="V336" s="301" t="s">
        <v>78</v>
      </c>
      <c r="W336" s="301" t="s">
        <v>4828</v>
      </c>
      <c r="X336" s="371">
        <v>44307.0</v>
      </c>
      <c r="Y336" s="371">
        <v>44308.0</v>
      </c>
      <c r="Z336" s="377"/>
      <c r="AA336" s="375"/>
      <c r="AB336" s="375"/>
      <c r="AC336" s="375"/>
      <c r="AD336" s="375"/>
      <c r="AE336" s="92"/>
      <c r="AF336" s="375"/>
      <c r="AG336" s="92"/>
      <c r="AH336" s="375"/>
      <c r="AI336" s="375"/>
      <c r="AJ336" s="375"/>
      <c r="AK336" s="375"/>
      <c r="AL336" s="375"/>
      <c r="AM336" s="375"/>
      <c r="AN336" s="375"/>
      <c r="AO336" s="375"/>
      <c r="AP336" s="376" t="s">
        <v>3683</v>
      </c>
      <c r="AQ336" s="375"/>
    </row>
    <row r="337">
      <c r="A337" s="257" t="s">
        <v>821</v>
      </c>
      <c r="B337" s="257" t="s">
        <v>822</v>
      </c>
      <c r="C337" s="257" t="str">
        <f>VLOOKUP(A337,import!A:J,3,0)</f>
        <v>DOĞRU</v>
      </c>
      <c r="D337" s="257" t="s">
        <v>3713</v>
      </c>
      <c r="E337" s="257">
        <f>VLOOKUP(A337,import!A:J,5,0)</f>
        <v>203</v>
      </c>
      <c r="F337" s="257">
        <f>VLOOKUP(A337,import!A:J,6,0)</f>
        <v>16</v>
      </c>
      <c r="G337" s="257">
        <f>VLOOKUP(A337,import!A:J,7,0)</f>
        <v>11</v>
      </c>
      <c r="H337" s="257">
        <f>VLOOKUP(A337,import!A:J,8,0)</f>
        <v>3</v>
      </c>
      <c r="I337" s="257">
        <f>VLOOKUP(A337,import!A:J,9,0)</f>
        <v>14</v>
      </c>
      <c r="J337" s="369">
        <f>VLOOKUP(A337,import!A:J,10,0)</f>
        <v>0.79</v>
      </c>
      <c r="K337" s="257" t="s">
        <v>4829</v>
      </c>
      <c r="L337" s="257">
        <v>5.434573628E9</v>
      </c>
      <c r="M337" s="257" t="s">
        <v>286</v>
      </c>
      <c r="N337" s="257" t="s">
        <v>3737</v>
      </c>
      <c r="O337" s="257" t="s">
        <v>824</v>
      </c>
      <c r="P337" s="370" t="str">
        <f>VLOOKUP(A337,import!A:P,16,0)</f>
        <v>Geleneksel</v>
      </c>
      <c r="Q337" s="370"/>
      <c r="R337" s="370" t="b">
        <v>1</v>
      </c>
      <c r="S337" s="370" t="b">
        <v>0</v>
      </c>
      <c r="T337" s="301" t="s">
        <v>3679</v>
      </c>
      <c r="U337" s="301" t="s">
        <v>2542</v>
      </c>
      <c r="V337" s="301" t="s">
        <v>78</v>
      </c>
      <c r="W337" s="301" t="s">
        <v>4830</v>
      </c>
      <c r="X337" s="371">
        <v>44502.0</v>
      </c>
      <c r="Y337" s="371">
        <v>44503.0</v>
      </c>
      <c r="Z337" s="372"/>
      <c r="AA337" s="373" t="s">
        <v>3681</v>
      </c>
      <c r="AB337" s="374">
        <v>44410.0</v>
      </c>
      <c r="AC337" s="373" t="s">
        <v>3682</v>
      </c>
      <c r="AD337" s="374">
        <v>44413.0</v>
      </c>
      <c r="AE337" s="373" t="s">
        <v>3682</v>
      </c>
      <c r="AF337" s="374">
        <v>44447.0</v>
      </c>
      <c r="AG337" s="373" t="s">
        <v>3682</v>
      </c>
      <c r="AH337" s="374">
        <v>44452.0</v>
      </c>
      <c r="AI337" s="373" t="s">
        <v>3682</v>
      </c>
      <c r="AJ337" s="374">
        <v>44502.0</v>
      </c>
      <c r="AK337" s="373" t="s">
        <v>3719</v>
      </c>
      <c r="AL337" s="373" t="s">
        <v>3729</v>
      </c>
      <c r="AM337" s="373" t="s">
        <v>2542</v>
      </c>
      <c r="AN337" s="373" t="s">
        <v>2542</v>
      </c>
      <c r="AO337" s="373" t="s">
        <v>2542</v>
      </c>
      <c r="AP337" s="376" t="s">
        <v>3683</v>
      </c>
      <c r="AQ337" s="373"/>
    </row>
    <row r="338">
      <c r="A338" s="257" t="s">
        <v>857</v>
      </c>
      <c r="B338" s="257" t="s">
        <v>858</v>
      </c>
      <c r="C338" s="257" t="str">
        <f>VLOOKUP(A338,import!A:J,3,0)</f>
        <v>DOĞRU</v>
      </c>
      <c r="D338" s="257" t="s">
        <v>3676</v>
      </c>
      <c r="E338" s="257">
        <f>VLOOKUP(A338,import!A:J,5,0)</f>
        <v>886</v>
      </c>
      <c r="F338" s="257">
        <f>VLOOKUP(A338,import!A:J,6,0)</f>
        <v>51</v>
      </c>
      <c r="G338" s="257">
        <f>VLOOKUP(A338,import!A:J,7,0)</f>
        <v>14</v>
      </c>
      <c r="H338" s="257">
        <f>VLOOKUP(A338,import!A:J,8,0)</f>
        <v>14</v>
      </c>
      <c r="I338" s="257">
        <f>VLOOKUP(A338,import!A:J,9,0)</f>
        <v>28</v>
      </c>
      <c r="J338" s="369">
        <f>VLOOKUP(A338,import!A:J,10,0)</f>
        <v>0.5</v>
      </c>
      <c r="K338" s="257" t="s">
        <v>4831</v>
      </c>
      <c r="L338" s="257">
        <v>3.222358168E9</v>
      </c>
      <c r="M338" s="257" t="s">
        <v>14</v>
      </c>
      <c r="N338" s="257" t="s">
        <v>3767</v>
      </c>
      <c r="O338" s="257" t="s">
        <v>860</v>
      </c>
      <c r="P338" s="370" t="str">
        <f>VLOOKUP(A338,import!A:P,16,0)</f>
        <v>Geleneksel</v>
      </c>
      <c r="Q338" s="370"/>
      <c r="R338" s="370" t="b">
        <v>1</v>
      </c>
      <c r="S338" s="370" t="b">
        <v>0</v>
      </c>
      <c r="T338" s="301" t="s">
        <v>3679</v>
      </c>
      <c r="U338" s="301" t="s">
        <v>79</v>
      </c>
      <c r="V338" s="301" t="s">
        <v>78</v>
      </c>
      <c r="W338" s="301"/>
      <c r="X338" s="371">
        <v>44348.0</v>
      </c>
      <c r="Y338" s="371">
        <v>44350.0</v>
      </c>
      <c r="Z338" s="372"/>
      <c r="AA338" s="373" t="s">
        <v>3682</v>
      </c>
      <c r="AB338" s="374">
        <v>44348.0</v>
      </c>
      <c r="AC338" s="375"/>
      <c r="AD338" s="375"/>
      <c r="AE338" s="92"/>
      <c r="AF338" s="375"/>
      <c r="AG338" s="92"/>
      <c r="AH338" s="375"/>
      <c r="AI338" s="375"/>
      <c r="AJ338" s="375"/>
      <c r="AK338" s="373" t="s">
        <v>79</v>
      </c>
      <c r="AL338" s="375"/>
      <c r="AM338" s="375"/>
      <c r="AN338" s="375"/>
      <c r="AO338" s="375"/>
      <c r="AP338" s="376" t="s">
        <v>3683</v>
      </c>
      <c r="AQ338" s="375"/>
    </row>
    <row r="339">
      <c r="A339" s="257" t="s">
        <v>4832</v>
      </c>
      <c r="B339" s="257" t="s">
        <v>4833</v>
      </c>
      <c r="C339" s="257" t="str">
        <f>VLOOKUP(A339,import!A:J,3,0)</f>
        <v>DOĞRU</v>
      </c>
      <c r="D339" s="257" t="s">
        <v>3676</v>
      </c>
      <c r="E339" s="257">
        <f>VLOOKUP(A339,import!A:J,5,0)</f>
        <v>1197</v>
      </c>
      <c r="F339" s="257">
        <f>VLOOKUP(A339,import!A:J,6,0)</f>
        <v>54</v>
      </c>
      <c r="G339" s="257">
        <f>VLOOKUP(A339,import!A:J,7,0)</f>
        <v>15</v>
      </c>
      <c r="H339" s="257">
        <f>VLOOKUP(A339,import!A:J,8,0)</f>
        <v>10</v>
      </c>
      <c r="I339" s="257">
        <f>VLOOKUP(A339,import!A:J,9,0)</f>
        <v>25</v>
      </c>
      <c r="J339" s="369">
        <f>VLOOKUP(A339,import!A:J,10,0)</f>
        <v>0.6</v>
      </c>
      <c r="K339" s="257" t="s">
        <v>4834</v>
      </c>
      <c r="L339" s="257">
        <v>3.222323232E9</v>
      </c>
      <c r="M339" s="257" t="s">
        <v>14</v>
      </c>
      <c r="N339" s="257" t="s">
        <v>3797</v>
      </c>
      <c r="O339" s="257" t="s">
        <v>4835</v>
      </c>
      <c r="P339" s="370" t="str">
        <f>VLOOKUP(A339,import!A:P,16,0)</f>
        <v>Geleneksel</v>
      </c>
      <c r="Q339" s="370"/>
      <c r="R339" s="370" t="b">
        <v>1</v>
      </c>
      <c r="S339" s="370" t="b">
        <v>0</v>
      </c>
      <c r="T339" s="300" t="s">
        <v>3735</v>
      </c>
      <c r="U339" s="379"/>
      <c r="V339" s="379"/>
      <c r="W339" s="301" t="s">
        <v>4836</v>
      </c>
      <c r="X339" s="381"/>
      <c r="Y339" s="381"/>
      <c r="Z339" s="372"/>
      <c r="AA339" s="373" t="s">
        <v>3682</v>
      </c>
      <c r="AB339" s="374">
        <v>44442.0</v>
      </c>
      <c r="AC339" s="375"/>
      <c r="AD339" s="375"/>
      <c r="AE339" s="92"/>
      <c r="AF339" s="375"/>
      <c r="AG339" s="92"/>
      <c r="AH339" s="375"/>
      <c r="AI339" s="375"/>
      <c r="AJ339" s="375"/>
      <c r="AK339" s="373" t="s">
        <v>399</v>
      </c>
      <c r="AL339" s="375"/>
      <c r="AM339" s="375"/>
      <c r="AN339" s="375"/>
      <c r="AO339" s="375"/>
      <c r="AP339" s="376" t="s">
        <v>3683</v>
      </c>
      <c r="AQ339" s="375"/>
    </row>
    <row r="340">
      <c r="A340" s="257" t="s">
        <v>4837</v>
      </c>
      <c r="B340" s="257" t="s">
        <v>4838</v>
      </c>
      <c r="C340" s="257" t="str">
        <f>VLOOKUP(A340,import!A:J,3,0)</f>
        <v>DOĞRU</v>
      </c>
      <c r="D340" s="257" t="s">
        <v>3676</v>
      </c>
      <c r="E340" s="257">
        <f>VLOOKUP(A340,import!A:J,5,0)</f>
        <v>1388</v>
      </c>
      <c r="F340" s="257">
        <f>VLOOKUP(A340,import!A:J,6,0)</f>
        <v>88</v>
      </c>
      <c r="G340" s="257">
        <f>VLOOKUP(A340,import!A:J,7,0)</f>
        <v>17</v>
      </c>
      <c r="H340" s="257">
        <f>VLOOKUP(A340,import!A:J,8,0)</f>
        <v>7</v>
      </c>
      <c r="I340" s="257">
        <f>VLOOKUP(A340,import!A:J,9,0)</f>
        <v>24</v>
      </c>
      <c r="J340" s="369">
        <f>VLOOKUP(A340,import!A:J,10,0)</f>
        <v>0.71</v>
      </c>
      <c r="K340" s="257" t="s">
        <v>4839</v>
      </c>
      <c r="L340" s="257">
        <v>5.305849901E9</v>
      </c>
      <c r="M340" s="257" t="s">
        <v>286</v>
      </c>
      <c r="N340" s="257" t="s">
        <v>3746</v>
      </c>
      <c r="O340" s="257" t="s">
        <v>4840</v>
      </c>
      <c r="P340" s="370" t="str">
        <f>VLOOKUP(A340,import!A:P,16,0)</f>
        <v>Geleneksel</v>
      </c>
      <c r="Q340" s="370"/>
      <c r="R340" s="370" t="b">
        <v>1</v>
      </c>
      <c r="S340" s="370" t="b">
        <v>1</v>
      </c>
      <c r="T340" s="300" t="s">
        <v>3735</v>
      </c>
      <c r="U340" s="379"/>
      <c r="V340" s="379"/>
      <c r="W340" s="301" t="s">
        <v>4841</v>
      </c>
      <c r="X340" s="381"/>
      <c r="Y340" s="381"/>
      <c r="Z340" s="372"/>
      <c r="AA340" s="373" t="s">
        <v>3682</v>
      </c>
      <c r="AB340" s="374">
        <v>44466.0</v>
      </c>
      <c r="AC340" s="373"/>
      <c r="AD340" s="374"/>
      <c r="AE340" s="373"/>
      <c r="AF340" s="374"/>
      <c r="AG340" s="92"/>
      <c r="AH340" s="375"/>
      <c r="AI340" s="375"/>
      <c r="AJ340" s="375"/>
      <c r="AK340" s="373" t="s">
        <v>2542</v>
      </c>
      <c r="AL340" s="375"/>
      <c r="AM340" s="375"/>
      <c r="AN340" s="375"/>
      <c r="AO340" s="375"/>
      <c r="AP340" s="376" t="s">
        <v>3686</v>
      </c>
      <c r="AQ340" s="375"/>
    </row>
    <row r="341">
      <c r="A341" s="257" t="s">
        <v>3404</v>
      </c>
      <c r="B341" s="257" t="s">
        <v>3405</v>
      </c>
      <c r="C341" s="257" t="str">
        <f>VLOOKUP(A341,import!A:J,3,0)</f>
        <v>DOĞRU</v>
      </c>
      <c r="D341" s="257" t="s">
        <v>3676</v>
      </c>
      <c r="E341" s="257">
        <f>VLOOKUP(A341,import!A:J,5,0)</f>
        <v>109</v>
      </c>
      <c r="F341" s="257">
        <f>VLOOKUP(A341,import!A:J,6,0)</f>
        <v>34</v>
      </c>
      <c r="G341" s="257">
        <f>VLOOKUP(A341,import!A:J,7,0)</f>
        <v>28</v>
      </c>
      <c r="H341" s="257">
        <f>VLOOKUP(A341,import!A:J,8,0)</f>
        <v>5</v>
      </c>
      <c r="I341" s="257">
        <f>VLOOKUP(A341,import!A:J,9,0)</f>
        <v>33</v>
      </c>
      <c r="J341" s="369">
        <f>VLOOKUP(A341,import!A:J,10,0)</f>
        <v>0.85</v>
      </c>
      <c r="K341" s="257" t="s">
        <v>4842</v>
      </c>
      <c r="L341" s="257">
        <v>3.222261006E9</v>
      </c>
      <c r="M341" s="257" t="s">
        <v>286</v>
      </c>
      <c r="N341" s="257" t="s">
        <v>3754</v>
      </c>
      <c r="O341" s="257" t="s">
        <v>3407</v>
      </c>
      <c r="P341" s="370" t="str">
        <f>VLOOKUP(A341,import!A:P,16,0)</f>
        <v>Geleneksel</v>
      </c>
      <c r="Q341" s="370"/>
      <c r="R341" s="370" t="b">
        <v>1</v>
      </c>
      <c r="S341" s="370" t="b">
        <v>0</v>
      </c>
      <c r="T341" s="301" t="s">
        <v>3679</v>
      </c>
      <c r="U341" s="301" t="s">
        <v>2576</v>
      </c>
      <c r="V341" s="301" t="s">
        <v>3331</v>
      </c>
      <c r="W341" s="301">
        <v>5.364000969E9</v>
      </c>
      <c r="X341" s="371">
        <v>44621.0</v>
      </c>
      <c r="Y341" s="371">
        <v>44622.0</v>
      </c>
      <c r="Z341" s="372"/>
      <c r="AA341" s="373" t="s">
        <v>3682</v>
      </c>
      <c r="AB341" s="374">
        <v>44621.0</v>
      </c>
      <c r="AC341" s="373"/>
      <c r="AD341" s="374"/>
      <c r="AE341" s="373"/>
      <c r="AF341" s="374"/>
      <c r="AG341" s="373"/>
      <c r="AH341" s="374"/>
      <c r="AI341" s="373"/>
      <c r="AJ341" s="374"/>
      <c r="AK341" s="373" t="s">
        <v>2576</v>
      </c>
      <c r="AL341" s="373"/>
      <c r="AM341" s="373"/>
      <c r="AN341" s="373"/>
      <c r="AO341" s="373"/>
      <c r="AP341" s="376"/>
      <c r="AQ341" s="373"/>
    </row>
    <row r="342">
      <c r="A342" s="257" t="s">
        <v>952</v>
      </c>
      <c r="B342" s="257" t="s">
        <v>953</v>
      </c>
      <c r="C342" s="257" t="str">
        <f>VLOOKUP(A342,import!A:J,3,0)</f>
        <v>YANLIŞ</v>
      </c>
      <c r="D342" s="257" t="s">
        <v>3994</v>
      </c>
      <c r="E342" s="257">
        <f>VLOOKUP(A342,import!A:J,5,0)</f>
        <v>220</v>
      </c>
      <c r="F342" s="257" t="str">
        <f>VLOOKUP(A342,import!A:J,6,0)</f>
        <v/>
      </c>
      <c r="G342" s="257">
        <f>VLOOKUP(A342,import!A:J,7,0)</f>
        <v>25</v>
      </c>
      <c r="H342" s="257">
        <f>VLOOKUP(A342,import!A:J,8,0)</f>
        <v>54</v>
      </c>
      <c r="I342" s="257">
        <f>VLOOKUP(A342,import!A:J,9,0)</f>
        <v>79</v>
      </c>
      <c r="J342" s="369">
        <f>VLOOKUP(A342,import!A:J,10,0)</f>
        <v>0.32</v>
      </c>
      <c r="K342" s="257" t="s">
        <v>4843</v>
      </c>
      <c r="L342" s="257">
        <v>3.222710404E9</v>
      </c>
      <c r="M342" s="257" t="s">
        <v>286</v>
      </c>
      <c r="N342" s="257" t="s">
        <v>3737</v>
      </c>
      <c r="O342" s="257" t="s">
        <v>955</v>
      </c>
      <c r="P342" s="370" t="str">
        <f>VLOOKUP(A342,import!A:P,16,0)</f>
        <v>Geleneksel</v>
      </c>
      <c r="Q342" s="370"/>
      <c r="R342" s="370" t="b">
        <v>1</v>
      </c>
      <c r="S342" s="370" t="b">
        <v>0</v>
      </c>
      <c r="T342" s="301" t="s">
        <v>3679</v>
      </c>
      <c r="U342" s="301" t="s">
        <v>111</v>
      </c>
      <c r="V342" s="301" t="s">
        <v>78</v>
      </c>
      <c r="W342" s="301" t="s">
        <v>4844</v>
      </c>
      <c r="X342" s="371">
        <v>44386.0</v>
      </c>
      <c r="Y342" s="371">
        <v>44390.0</v>
      </c>
      <c r="Z342" s="372"/>
      <c r="AA342" s="373" t="s">
        <v>3682</v>
      </c>
      <c r="AB342" s="374">
        <v>44349.0</v>
      </c>
      <c r="AC342" s="373" t="s">
        <v>3682</v>
      </c>
      <c r="AD342" s="374">
        <v>44386.0</v>
      </c>
      <c r="AE342" s="373" t="s">
        <v>3682</v>
      </c>
      <c r="AF342" s="374">
        <v>44428.0</v>
      </c>
      <c r="AG342" s="373" t="s">
        <v>3448</v>
      </c>
      <c r="AH342" s="374">
        <v>44510.0</v>
      </c>
      <c r="AI342" s="375"/>
      <c r="AJ342" s="375"/>
      <c r="AK342" s="373" t="s">
        <v>3789</v>
      </c>
      <c r="AL342" s="373" t="s">
        <v>111</v>
      </c>
      <c r="AM342" s="373" t="s">
        <v>1947</v>
      </c>
      <c r="AN342" s="373" t="s">
        <v>3073</v>
      </c>
      <c r="AO342" s="375"/>
      <c r="AP342" s="376" t="s">
        <v>3686</v>
      </c>
      <c r="AQ342" s="375"/>
    </row>
    <row r="343">
      <c r="A343" s="266" t="s">
        <v>1602</v>
      </c>
      <c r="B343" s="266" t="s">
        <v>1603</v>
      </c>
      <c r="C343" s="257" t="str">
        <f>VLOOKUP(A343,import!A:J,3,0)</f>
        <v>DOĞRU</v>
      </c>
      <c r="D343" s="266" t="s">
        <v>3676</v>
      </c>
      <c r="E343" s="257">
        <f>VLOOKUP(A343,import!A:J,5,0)</f>
        <v>1372</v>
      </c>
      <c r="F343" s="257">
        <f>VLOOKUP(A343,import!A:J,6,0)</f>
        <v>42</v>
      </c>
      <c r="G343" s="257">
        <f>VLOOKUP(A343,import!A:J,7,0)</f>
        <v>22</v>
      </c>
      <c r="H343" s="257">
        <f>VLOOKUP(A343,import!A:J,8,0)</f>
        <v>12</v>
      </c>
      <c r="I343" s="257">
        <f>VLOOKUP(A343,import!A:J,9,0)</f>
        <v>34</v>
      </c>
      <c r="J343" s="369">
        <f>VLOOKUP(A343,import!A:J,10,0)</f>
        <v>0.65</v>
      </c>
      <c r="K343" s="266" t="s">
        <v>4845</v>
      </c>
      <c r="L343" s="266">
        <v>5.525300528E9</v>
      </c>
      <c r="M343" s="266" t="s">
        <v>3707</v>
      </c>
      <c r="N343" s="266" t="s">
        <v>4570</v>
      </c>
      <c r="O343" s="266" t="s">
        <v>1606</v>
      </c>
      <c r="P343" s="370" t="str">
        <f>VLOOKUP(A343,import!A:P,16,0)</f>
        <v>Geleneksel</v>
      </c>
      <c r="Q343" s="370"/>
      <c r="R343" s="370" t="b">
        <v>1</v>
      </c>
      <c r="S343" s="370" t="b">
        <v>0</v>
      </c>
      <c r="T343" s="301" t="s">
        <v>3679</v>
      </c>
      <c r="U343" s="301" t="s">
        <v>3752</v>
      </c>
      <c r="V343" s="301" t="s">
        <v>78</v>
      </c>
      <c r="W343" s="301" t="s">
        <v>4846</v>
      </c>
      <c r="X343" s="371">
        <v>44403.0</v>
      </c>
      <c r="Y343" s="371">
        <v>44405.0</v>
      </c>
      <c r="Z343" s="372"/>
      <c r="AA343" s="373" t="s">
        <v>3696</v>
      </c>
      <c r="AB343" s="374">
        <v>44390.0</v>
      </c>
      <c r="AC343" s="373" t="s">
        <v>3681</v>
      </c>
      <c r="AD343" s="374">
        <v>44392.0</v>
      </c>
      <c r="AE343" s="373" t="s">
        <v>3682</v>
      </c>
      <c r="AF343" s="374">
        <v>44403.0</v>
      </c>
      <c r="AG343" s="92"/>
      <c r="AH343" s="375"/>
      <c r="AI343" s="375"/>
      <c r="AJ343" s="375"/>
      <c r="AK343" s="373" t="s">
        <v>3719</v>
      </c>
      <c r="AL343" s="373" t="s">
        <v>1014</v>
      </c>
      <c r="AM343" s="373" t="s">
        <v>3752</v>
      </c>
      <c r="AN343" s="375"/>
      <c r="AO343" s="375"/>
      <c r="AP343" s="376" t="s">
        <v>3686</v>
      </c>
      <c r="AQ343" s="375"/>
    </row>
    <row r="344">
      <c r="A344" s="257" t="s">
        <v>4847</v>
      </c>
      <c r="B344" s="257" t="s">
        <v>4848</v>
      </c>
      <c r="C344" s="257" t="str">
        <f>VLOOKUP(A344,import!A:J,3,0)</f>
        <v>YANLIŞ</v>
      </c>
      <c r="D344" s="257" t="s">
        <v>3676</v>
      </c>
      <c r="E344" s="257">
        <f>VLOOKUP(A344,import!A:J,5,0)</f>
        <v>90</v>
      </c>
      <c r="F344" s="257" t="str">
        <f>VLOOKUP(A344,import!A:J,6,0)</f>
        <v/>
      </c>
      <c r="G344" s="257">
        <f>VLOOKUP(A344,import!A:J,7,0)</f>
        <v>0</v>
      </c>
      <c r="H344" s="257">
        <f>VLOOKUP(A344,import!A:J,8,0)</f>
        <v>9</v>
      </c>
      <c r="I344" s="257">
        <f>VLOOKUP(A344,import!A:J,9,0)</f>
        <v>9</v>
      </c>
      <c r="J344" s="369">
        <f>VLOOKUP(A344,import!A:J,10,0)</f>
        <v>0</v>
      </c>
      <c r="K344" s="257" t="s">
        <v>4849</v>
      </c>
      <c r="L344" s="257">
        <v>3.223210486E9</v>
      </c>
      <c r="M344" s="257" t="s">
        <v>3707</v>
      </c>
      <c r="N344" s="257" t="s">
        <v>3692</v>
      </c>
      <c r="O344" s="257" t="s">
        <v>4850</v>
      </c>
      <c r="P344" s="370" t="str">
        <f>VLOOKUP(A344,import!A:P,16,0)</f>
        <v>Geleneksel</v>
      </c>
      <c r="Q344" s="370"/>
      <c r="R344" s="370" t="b">
        <v>0</v>
      </c>
      <c r="S344" s="370" t="b">
        <v>0</v>
      </c>
      <c r="T344" s="301"/>
      <c r="U344" s="379"/>
      <c r="V344" s="379"/>
      <c r="W344" s="301"/>
      <c r="X344" s="381"/>
      <c r="Y344" s="381"/>
      <c r="Z344" s="372"/>
      <c r="AA344" s="373"/>
      <c r="AB344" s="374"/>
      <c r="AC344" s="373"/>
      <c r="AD344" s="374"/>
      <c r="AE344" s="373"/>
      <c r="AF344" s="374"/>
      <c r="AG344" s="373"/>
      <c r="AH344" s="374"/>
      <c r="AI344" s="375"/>
      <c r="AJ344" s="375"/>
      <c r="AK344" s="373"/>
      <c r="AL344" s="375"/>
      <c r="AM344" s="375"/>
      <c r="AN344" s="373"/>
      <c r="AO344" s="375"/>
      <c r="AP344" s="376" t="s">
        <v>3686</v>
      </c>
      <c r="AQ344" s="375"/>
    </row>
    <row r="345">
      <c r="A345" s="257" t="s">
        <v>4851</v>
      </c>
      <c r="B345" s="257" t="s">
        <v>4852</v>
      </c>
      <c r="C345" s="257" t="str">
        <f>VLOOKUP(A345,import!A:J,3,0)</f>
        <v>DOĞRU</v>
      </c>
      <c r="D345" s="257" t="s">
        <v>3713</v>
      </c>
      <c r="E345" s="257">
        <f>VLOOKUP(A345,import!A:J,5,0)</f>
        <v>311</v>
      </c>
      <c r="F345" s="257">
        <f>VLOOKUP(A345,import!A:J,6,0)</f>
        <v>10</v>
      </c>
      <c r="G345" s="257">
        <f>VLOOKUP(A345,import!A:J,7,0)</f>
        <v>0</v>
      </c>
      <c r="H345" s="257">
        <f>VLOOKUP(A345,import!A:J,8,0)</f>
        <v>26</v>
      </c>
      <c r="I345" s="257">
        <f>VLOOKUP(A345,import!A:J,9,0)</f>
        <v>26</v>
      </c>
      <c r="J345" s="369">
        <f>VLOOKUP(A345,import!A:J,10,0)</f>
        <v>0</v>
      </c>
      <c r="K345" s="257" t="s">
        <v>4853</v>
      </c>
      <c r="L345" s="257">
        <v>5.422211671E9</v>
      </c>
      <c r="M345" s="257" t="s">
        <v>14</v>
      </c>
      <c r="N345" s="257" t="s">
        <v>3797</v>
      </c>
      <c r="O345" s="257" t="s">
        <v>4854</v>
      </c>
      <c r="P345" s="370" t="str">
        <f>VLOOKUP(A345,import!A:P,16,0)</f>
        <v>Geleneksel</v>
      </c>
      <c r="Q345" s="370"/>
      <c r="R345" s="370" t="b">
        <v>1</v>
      </c>
      <c r="S345" s="370" t="b">
        <v>1</v>
      </c>
      <c r="T345" s="301"/>
      <c r="U345" s="379"/>
      <c r="V345" s="379"/>
      <c r="W345" s="301" t="s">
        <v>4855</v>
      </c>
      <c r="X345" s="381"/>
      <c r="Y345" s="381"/>
      <c r="Z345" s="372"/>
      <c r="AA345" s="373" t="s">
        <v>3682</v>
      </c>
      <c r="AB345" s="374">
        <v>44412.0</v>
      </c>
      <c r="AC345" s="373" t="s">
        <v>3682</v>
      </c>
      <c r="AD345" s="374">
        <v>44440.0</v>
      </c>
      <c r="AE345" s="373" t="s">
        <v>3695</v>
      </c>
      <c r="AF345" s="374">
        <v>44459.0</v>
      </c>
      <c r="AG345" s="373" t="s">
        <v>3682</v>
      </c>
      <c r="AH345" s="374">
        <v>44480.0</v>
      </c>
      <c r="AI345" s="373" t="s">
        <v>3448</v>
      </c>
      <c r="AJ345" s="374">
        <v>44495.0</v>
      </c>
      <c r="AK345" s="373" t="s">
        <v>3723</v>
      </c>
      <c r="AL345" s="373" t="s">
        <v>2542</v>
      </c>
      <c r="AM345" s="373" t="s">
        <v>2542</v>
      </c>
      <c r="AN345" s="373" t="s">
        <v>2542</v>
      </c>
      <c r="AO345" s="373" t="s">
        <v>2542</v>
      </c>
      <c r="AP345" s="376" t="s">
        <v>3683</v>
      </c>
      <c r="AQ345" s="373"/>
    </row>
    <row r="346">
      <c r="A346" s="257" t="s">
        <v>3457</v>
      </c>
      <c r="B346" s="257" t="s">
        <v>3458</v>
      </c>
      <c r="C346" s="257" t="str">
        <f>VLOOKUP(A346,import!A:J,3,0)</f>
        <v>DOĞRU</v>
      </c>
      <c r="D346" s="257" t="s">
        <v>3699</v>
      </c>
      <c r="E346" s="257">
        <f>VLOOKUP(A346,import!A:J,5,0)</f>
        <v>160</v>
      </c>
      <c r="F346" s="257">
        <f>VLOOKUP(A346,import!A:J,6,0)</f>
        <v>26</v>
      </c>
      <c r="G346" s="257">
        <f>VLOOKUP(A346,import!A:J,7,0)</f>
        <v>33</v>
      </c>
      <c r="H346" s="257">
        <f>VLOOKUP(A346,import!A:J,8,0)</f>
        <v>35</v>
      </c>
      <c r="I346" s="257">
        <f>VLOOKUP(A346,import!A:J,9,0)</f>
        <v>68</v>
      </c>
      <c r="J346" s="369">
        <f>VLOOKUP(A346,import!A:J,10,0)</f>
        <v>0.49</v>
      </c>
      <c r="K346" s="257" t="s">
        <v>4856</v>
      </c>
      <c r="L346" s="257">
        <v>5.443125823E9</v>
      </c>
      <c r="M346" s="257" t="s">
        <v>14</v>
      </c>
      <c r="N346" s="257" t="s">
        <v>3733</v>
      </c>
      <c r="O346" s="257" t="s">
        <v>3461</v>
      </c>
      <c r="P346" s="370" t="str">
        <f>VLOOKUP(A346,import!A:P,16,0)</f>
        <v>Geleneksel</v>
      </c>
      <c r="Q346" s="370"/>
      <c r="R346" s="370" t="b">
        <v>1</v>
      </c>
      <c r="S346" s="370" t="b">
        <v>0</v>
      </c>
      <c r="T346" s="301" t="s">
        <v>3679</v>
      </c>
      <c r="U346" s="301" t="s">
        <v>2576</v>
      </c>
      <c r="V346" s="301" t="s">
        <v>3331</v>
      </c>
      <c r="X346" s="371">
        <v>44630.0</v>
      </c>
      <c r="Y346" s="371">
        <v>44631.0</v>
      </c>
      <c r="Z346" s="372"/>
      <c r="AA346" s="373" t="s">
        <v>3682</v>
      </c>
      <c r="AB346" s="374">
        <v>44630.0</v>
      </c>
      <c r="AC346" s="373"/>
      <c r="AD346" s="374"/>
      <c r="AE346" s="373"/>
      <c r="AF346" s="374"/>
      <c r="AG346" s="373"/>
      <c r="AH346" s="374"/>
      <c r="AI346" s="375"/>
      <c r="AJ346" s="375"/>
      <c r="AK346" s="373" t="s">
        <v>2576</v>
      </c>
      <c r="AL346" s="375"/>
      <c r="AM346" s="375"/>
      <c r="AN346" s="373"/>
      <c r="AO346" s="375"/>
      <c r="AP346" s="376"/>
      <c r="AQ346" s="375"/>
    </row>
    <row r="347">
      <c r="A347" s="257" t="s">
        <v>4857</v>
      </c>
      <c r="B347" s="257" t="s">
        <v>4858</v>
      </c>
      <c r="C347" s="257" t="str">
        <f>VLOOKUP(A347,import!A:J,3,0)</f>
        <v>DOĞRU</v>
      </c>
      <c r="D347" s="257" t="s">
        <v>3699</v>
      </c>
      <c r="E347" s="257">
        <f>VLOOKUP(A347,import!A:J,5,0)</f>
        <v>1630</v>
      </c>
      <c r="F347" s="257">
        <f>VLOOKUP(A347,import!A:J,6,0)</f>
        <v>121</v>
      </c>
      <c r="G347" s="257">
        <f>VLOOKUP(A347,import!A:J,7,0)</f>
        <v>0</v>
      </c>
      <c r="H347" s="257">
        <f>VLOOKUP(A347,import!A:J,8,0)</f>
        <v>67</v>
      </c>
      <c r="I347" s="257">
        <f>VLOOKUP(A347,import!A:J,9,0)</f>
        <v>67</v>
      </c>
      <c r="J347" s="369">
        <f>VLOOKUP(A347,import!A:J,10,0)</f>
        <v>0</v>
      </c>
      <c r="K347" s="257" t="s">
        <v>4859</v>
      </c>
      <c r="L347" s="257">
        <v>5.443125833E9</v>
      </c>
      <c r="M347" s="257" t="s">
        <v>286</v>
      </c>
      <c r="N347" s="257" t="s">
        <v>3737</v>
      </c>
      <c r="O347" s="257" t="s">
        <v>4860</v>
      </c>
      <c r="P347" s="370" t="str">
        <f>VLOOKUP(A347,import!A:P,16,0)</f>
        <v>Geleneksel</v>
      </c>
      <c r="Q347" s="370"/>
      <c r="R347" s="370" t="b">
        <v>1</v>
      </c>
      <c r="S347" s="370" t="b">
        <v>0</v>
      </c>
      <c r="T347" s="301" t="s">
        <v>3448</v>
      </c>
      <c r="U347" s="379"/>
      <c r="V347" s="15"/>
      <c r="W347" s="404" t="s">
        <v>4861</v>
      </c>
      <c r="X347" s="381"/>
      <c r="Y347" s="381"/>
      <c r="Z347" s="372"/>
      <c r="AA347" s="373" t="s">
        <v>3448</v>
      </c>
      <c r="AB347" s="374">
        <v>44442.0</v>
      </c>
      <c r="AC347" s="373" t="s">
        <v>3448</v>
      </c>
      <c r="AD347" s="374">
        <v>44447.0</v>
      </c>
      <c r="AE347" s="373" t="s">
        <v>3448</v>
      </c>
      <c r="AF347" s="374">
        <v>44498.0</v>
      </c>
      <c r="AG347" s="92"/>
      <c r="AH347" s="375"/>
      <c r="AI347" s="375"/>
      <c r="AJ347" s="375"/>
      <c r="AK347" s="373" t="s">
        <v>399</v>
      </c>
      <c r="AL347" s="373" t="s">
        <v>2542</v>
      </c>
      <c r="AM347" s="373" t="s">
        <v>2542</v>
      </c>
      <c r="AN347" s="375"/>
      <c r="AO347" s="375"/>
      <c r="AP347" s="376" t="s">
        <v>3683</v>
      </c>
      <c r="AQ347" s="375"/>
    </row>
    <row r="348">
      <c r="A348" s="257" t="s">
        <v>3320</v>
      </c>
      <c r="B348" s="257" t="s">
        <v>3321</v>
      </c>
      <c r="C348" s="257" t="str">
        <f>VLOOKUP(A348,import!A:J,3,0)</f>
        <v>DOĞRU</v>
      </c>
      <c r="D348" s="257" t="s">
        <v>3801</v>
      </c>
      <c r="E348" s="257">
        <f>VLOOKUP(A348,import!A:J,5,0)</f>
        <v>880</v>
      </c>
      <c r="F348" s="257">
        <f>VLOOKUP(A348,import!A:J,6,0)</f>
        <v>163</v>
      </c>
      <c r="G348" s="257">
        <f>VLOOKUP(A348,import!A:J,7,0)</f>
        <v>13</v>
      </c>
      <c r="H348" s="257">
        <f>VLOOKUP(A348,import!A:J,8,0)</f>
        <v>6</v>
      </c>
      <c r="I348" s="257">
        <f>VLOOKUP(A348,import!A:J,9,0)</f>
        <v>19</v>
      </c>
      <c r="J348" s="369">
        <f>VLOOKUP(A348,import!A:J,10,0)</f>
        <v>0.68</v>
      </c>
      <c r="K348" s="257" t="s">
        <v>4862</v>
      </c>
      <c r="L348" s="257">
        <v>5.331528808E9</v>
      </c>
      <c r="M348" s="257" t="s">
        <v>286</v>
      </c>
      <c r="N348" s="257" t="s">
        <v>3961</v>
      </c>
      <c r="O348" s="257" t="s">
        <v>3323</v>
      </c>
      <c r="P348" s="370" t="str">
        <f>VLOOKUP(A348,import!A:P,16,0)</f>
        <v>Geleneksel</v>
      </c>
      <c r="Q348" s="370"/>
      <c r="R348" s="370" t="b">
        <v>1</v>
      </c>
      <c r="S348" s="370" t="b">
        <v>0</v>
      </c>
      <c r="T348" s="301" t="s">
        <v>3679</v>
      </c>
      <c r="U348" s="301" t="s">
        <v>2192</v>
      </c>
      <c r="V348" s="355" t="s">
        <v>78</v>
      </c>
      <c r="W348" s="301"/>
      <c r="X348" s="371">
        <v>44566.0</v>
      </c>
      <c r="Y348" s="371">
        <v>44567.0</v>
      </c>
      <c r="Z348" s="372"/>
      <c r="AA348" s="373" t="s">
        <v>3681</v>
      </c>
      <c r="AB348" s="374">
        <v>44566.0</v>
      </c>
      <c r="AC348" s="373" t="s">
        <v>3682</v>
      </c>
      <c r="AD348" s="374">
        <v>44566.0</v>
      </c>
      <c r="AE348" s="373"/>
      <c r="AF348" s="374"/>
      <c r="AG348" s="373"/>
      <c r="AH348" s="374"/>
      <c r="AI348" s="375"/>
      <c r="AJ348" s="375"/>
      <c r="AK348" s="373" t="s">
        <v>2542</v>
      </c>
      <c r="AL348" s="373" t="s">
        <v>2192</v>
      </c>
      <c r="AM348" s="375"/>
      <c r="AN348" s="373"/>
      <c r="AO348" s="375"/>
      <c r="AP348" s="376"/>
      <c r="AQ348" s="375"/>
    </row>
    <row r="349">
      <c r="A349" s="257" t="s">
        <v>3384</v>
      </c>
      <c r="B349" s="257" t="s">
        <v>3385</v>
      </c>
      <c r="C349" s="257" t="str">
        <f>VLOOKUP(A349,import!A:J,3,0)</f>
        <v>DOĞRU</v>
      </c>
      <c r="D349" s="257" t="s">
        <v>3713</v>
      </c>
      <c r="E349" s="257">
        <f>VLOOKUP(A349,import!A:J,5,0)</f>
        <v>400</v>
      </c>
      <c r="F349" s="257">
        <f>VLOOKUP(A349,import!A:J,6,0)</f>
        <v>26</v>
      </c>
      <c r="G349" s="257">
        <f>VLOOKUP(A349,import!A:J,7,0)</f>
        <v>9</v>
      </c>
      <c r="H349" s="257">
        <f>VLOOKUP(A349,import!A:J,8,0)</f>
        <v>2</v>
      </c>
      <c r="I349" s="257">
        <f>VLOOKUP(A349,import!A:J,9,0)</f>
        <v>11</v>
      </c>
      <c r="J349" s="369">
        <f>VLOOKUP(A349,import!A:J,10,0)</f>
        <v>0.82</v>
      </c>
      <c r="K349" s="257" t="s">
        <v>4863</v>
      </c>
      <c r="L349" s="257">
        <v>3.224331414E9</v>
      </c>
      <c r="M349" s="257" t="s">
        <v>286</v>
      </c>
      <c r="N349" s="257" t="s">
        <v>4217</v>
      </c>
      <c r="O349" s="257" t="s">
        <v>3388</v>
      </c>
      <c r="P349" s="370" t="str">
        <f>VLOOKUP(A349,import!A:P,16,0)</f>
        <v>Geleneksel</v>
      </c>
      <c r="Q349" s="370"/>
      <c r="R349" s="370" t="b">
        <v>1</v>
      </c>
      <c r="S349" s="370" t="b">
        <v>0</v>
      </c>
      <c r="T349" s="301" t="s">
        <v>3679</v>
      </c>
      <c r="U349" s="301" t="s">
        <v>2576</v>
      </c>
      <c r="V349" s="402" t="s">
        <v>3331</v>
      </c>
      <c r="W349" s="301">
        <v>5.43350939E9</v>
      </c>
      <c r="X349" s="371">
        <v>44621.0</v>
      </c>
      <c r="Y349" s="371">
        <v>44622.0</v>
      </c>
      <c r="Z349" s="372"/>
      <c r="AA349" s="373" t="s">
        <v>3682</v>
      </c>
      <c r="AB349" s="374">
        <v>44621.0</v>
      </c>
      <c r="AC349" s="373"/>
      <c r="AD349" s="374"/>
      <c r="AE349" s="373"/>
      <c r="AF349" s="374"/>
      <c r="AG349" s="373"/>
      <c r="AH349" s="374"/>
      <c r="AI349" s="375"/>
      <c r="AJ349" s="375"/>
      <c r="AK349" s="373" t="s">
        <v>2576</v>
      </c>
      <c r="AL349" s="375"/>
      <c r="AM349" s="375"/>
      <c r="AN349" s="373"/>
      <c r="AO349" s="375"/>
      <c r="AP349" s="376"/>
      <c r="AQ349" s="375"/>
    </row>
    <row r="350">
      <c r="A350" s="257" t="s">
        <v>324</v>
      </c>
      <c r="B350" s="257" t="s">
        <v>325</v>
      </c>
      <c r="C350" s="257" t="str">
        <f>VLOOKUP(A350,import!A:J,3,0)</f>
        <v>DOĞRU</v>
      </c>
      <c r="D350" s="257" t="s">
        <v>3713</v>
      </c>
      <c r="E350" s="257">
        <f>VLOOKUP(A350,import!A:J,5,0)</f>
        <v>1315</v>
      </c>
      <c r="F350" s="257">
        <f>VLOOKUP(A350,import!A:J,6,0)</f>
        <v>41</v>
      </c>
      <c r="G350" s="257">
        <f>VLOOKUP(A350,import!A:J,7,0)</f>
        <v>13</v>
      </c>
      <c r="H350" s="257">
        <f>VLOOKUP(A350,import!A:J,8,0)</f>
        <v>8</v>
      </c>
      <c r="I350" s="257">
        <f>VLOOKUP(A350,import!A:J,9,0)</f>
        <v>21</v>
      </c>
      <c r="J350" s="369">
        <f>VLOOKUP(A350,import!A:J,10,0)</f>
        <v>0.62</v>
      </c>
      <c r="K350" s="257" t="s">
        <v>4864</v>
      </c>
      <c r="L350" s="257">
        <v>5.447491034E9</v>
      </c>
      <c r="M350" s="257" t="s">
        <v>286</v>
      </c>
      <c r="N350" s="257" t="s">
        <v>3764</v>
      </c>
      <c r="O350" s="257" t="s">
        <v>4865</v>
      </c>
      <c r="P350" s="370" t="str">
        <f>VLOOKUP(A350,import!A:P,16,0)</f>
        <v>Geleneksel</v>
      </c>
      <c r="Q350" s="370"/>
      <c r="R350" s="370" t="b">
        <v>1</v>
      </c>
      <c r="S350" s="370" t="b">
        <v>0</v>
      </c>
      <c r="T350" s="301" t="s">
        <v>3679</v>
      </c>
      <c r="U350" s="301" t="s">
        <v>79</v>
      </c>
      <c r="V350" s="301" t="s">
        <v>4866</v>
      </c>
      <c r="W350" s="379"/>
      <c r="X350" s="371">
        <v>44302.0</v>
      </c>
      <c r="Y350" s="371">
        <v>44306.0</v>
      </c>
      <c r="Z350" s="377"/>
      <c r="AA350" s="375"/>
      <c r="AB350" s="375"/>
      <c r="AC350" s="375"/>
      <c r="AD350" s="375"/>
      <c r="AE350" s="92"/>
      <c r="AF350" s="375"/>
      <c r="AG350" s="92"/>
      <c r="AH350" s="375"/>
      <c r="AI350" s="375"/>
      <c r="AJ350" s="375"/>
      <c r="AK350" s="375"/>
      <c r="AL350" s="375"/>
      <c r="AM350" s="375"/>
      <c r="AN350" s="375"/>
      <c r="AO350" s="375"/>
      <c r="AP350" s="376" t="s">
        <v>3686</v>
      </c>
      <c r="AQ350" s="375"/>
    </row>
    <row r="351">
      <c r="A351" s="257" t="s">
        <v>670</v>
      </c>
      <c r="B351" s="257" t="s">
        <v>671</v>
      </c>
      <c r="C351" s="257" t="str">
        <f>VLOOKUP(A351,import!A:J,3,0)</f>
        <v>DOĞRU</v>
      </c>
      <c r="D351" s="257" t="s">
        <v>3713</v>
      </c>
      <c r="E351" s="257">
        <f>VLOOKUP(A351,import!A:J,5,0)</f>
        <v>2631</v>
      </c>
      <c r="F351" s="257">
        <f>VLOOKUP(A351,import!A:J,6,0)</f>
        <v>19</v>
      </c>
      <c r="G351" s="257">
        <f>VLOOKUP(A351,import!A:J,7,0)</f>
        <v>13</v>
      </c>
      <c r="H351" s="257">
        <f>VLOOKUP(A351,import!A:J,8,0)</f>
        <v>1</v>
      </c>
      <c r="I351" s="257">
        <f>VLOOKUP(A351,import!A:J,9,0)</f>
        <v>14</v>
      </c>
      <c r="J351" s="369">
        <f>VLOOKUP(A351,import!A:J,10,0)</f>
        <v>0.93</v>
      </c>
      <c r="K351" s="257" t="s">
        <v>4867</v>
      </c>
      <c r="L351" s="257">
        <v>5.432078889E9</v>
      </c>
      <c r="M351" s="257" t="s">
        <v>286</v>
      </c>
      <c r="N351" s="257" t="s">
        <v>3806</v>
      </c>
      <c r="O351" s="257" t="s">
        <v>674</v>
      </c>
      <c r="P351" s="370" t="str">
        <f>VLOOKUP(A351,import!A:P,16,0)</f>
        <v>Geleneksel</v>
      </c>
      <c r="Q351" s="370"/>
      <c r="R351" s="370" t="b">
        <v>1</v>
      </c>
      <c r="S351" s="370" t="b">
        <v>0</v>
      </c>
      <c r="T351" s="301" t="s">
        <v>3679</v>
      </c>
      <c r="U351" s="301" t="s">
        <v>3752</v>
      </c>
      <c r="V351" s="301" t="s">
        <v>78</v>
      </c>
      <c r="W351" s="301" t="s">
        <v>4868</v>
      </c>
      <c r="X351" s="371">
        <v>44390.0</v>
      </c>
      <c r="Y351" s="371">
        <v>44393.0</v>
      </c>
      <c r="Z351" s="377"/>
      <c r="AA351" s="373" t="s">
        <v>3682</v>
      </c>
      <c r="AB351" s="374">
        <v>44377.0</v>
      </c>
      <c r="AC351" s="373" t="s">
        <v>3448</v>
      </c>
      <c r="AD351" s="374">
        <v>44385.0</v>
      </c>
      <c r="AE351" s="373" t="s">
        <v>3448</v>
      </c>
      <c r="AF351" s="374">
        <v>44386.0</v>
      </c>
      <c r="AG351" s="373" t="s">
        <v>3448</v>
      </c>
      <c r="AH351" s="374">
        <v>44389.0</v>
      </c>
      <c r="AI351" s="373" t="s">
        <v>3682</v>
      </c>
      <c r="AJ351" s="374">
        <v>44390.0</v>
      </c>
      <c r="AK351" s="373" t="s">
        <v>79</v>
      </c>
      <c r="AL351" s="373" t="s">
        <v>79</v>
      </c>
      <c r="AM351" s="373" t="s">
        <v>399</v>
      </c>
      <c r="AN351" s="373" t="s">
        <v>79</v>
      </c>
      <c r="AO351" s="373" t="s">
        <v>3752</v>
      </c>
      <c r="AP351" s="376" t="s">
        <v>3686</v>
      </c>
      <c r="AQ351" s="373"/>
    </row>
    <row r="352">
      <c r="A352" s="257" t="s">
        <v>231</v>
      </c>
      <c r="B352" s="257" t="s">
        <v>232</v>
      </c>
      <c r="C352" s="257" t="str">
        <f>VLOOKUP(A352,import!A:J,3,0)</f>
        <v>DOĞRU</v>
      </c>
      <c r="D352" s="257" t="s">
        <v>3699</v>
      </c>
      <c r="E352" s="257">
        <f>VLOOKUP(A352,import!A:J,5,0)</f>
        <v>4777</v>
      </c>
      <c r="F352" s="257">
        <f>VLOOKUP(A352,import!A:J,6,0)</f>
        <v>210</v>
      </c>
      <c r="G352" s="257">
        <f>VLOOKUP(A352,import!A:J,7,0)</f>
        <v>19</v>
      </c>
      <c r="H352" s="257">
        <f>VLOOKUP(A352,import!A:J,8,0)</f>
        <v>47</v>
      </c>
      <c r="I352" s="257">
        <f>VLOOKUP(A352,import!A:J,9,0)</f>
        <v>66</v>
      </c>
      <c r="J352" s="369">
        <f>VLOOKUP(A352,import!A:J,10,0)</f>
        <v>0.29</v>
      </c>
      <c r="K352" s="257" t="s">
        <v>4869</v>
      </c>
      <c r="L352" s="257">
        <v>5.376237336E9</v>
      </c>
      <c r="M352" s="257" t="s">
        <v>14</v>
      </c>
      <c r="N352" s="257" t="s">
        <v>3718</v>
      </c>
      <c r="O352" s="257" t="s">
        <v>235</v>
      </c>
      <c r="P352" s="370" t="str">
        <f>VLOOKUP(A352,import!A:P,16,0)</f>
        <v>Geleneksel</v>
      </c>
      <c r="Q352" s="370"/>
      <c r="R352" s="370" t="b">
        <v>1</v>
      </c>
      <c r="S352" s="370" t="b">
        <v>0</v>
      </c>
      <c r="T352" s="301" t="s">
        <v>3679</v>
      </c>
      <c r="U352" s="301" t="s">
        <v>208</v>
      </c>
      <c r="V352" s="301" t="s">
        <v>78</v>
      </c>
      <c r="W352" s="301" t="s">
        <v>4870</v>
      </c>
      <c r="X352" s="371">
        <v>44299.0</v>
      </c>
      <c r="Y352" s="371">
        <v>44301.0</v>
      </c>
      <c r="Z352" s="377"/>
      <c r="AA352" s="373" t="s">
        <v>3695</v>
      </c>
      <c r="AB352" s="374">
        <v>44406.0</v>
      </c>
      <c r="AC352" s="373" t="s">
        <v>3682</v>
      </c>
      <c r="AD352" s="374">
        <v>44425.0</v>
      </c>
      <c r="AE352" s="373" t="s">
        <v>3682</v>
      </c>
      <c r="AF352" s="374">
        <v>44428.0</v>
      </c>
      <c r="AG352" s="373" t="s">
        <v>3682</v>
      </c>
      <c r="AH352" s="374">
        <v>44442.0</v>
      </c>
      <c r="AI352" s="373" t="s">
        <v>3682</v>
      </c>
      <c r="AJ352" s="374">
        <v>44464.0</v>
      </c>
      <c r="AK352" s="373" t="s">
        <v>3719</v>
      </c>
      <c r="AL352" s="373"/>
      <c r="AM352" s="373" t="s">
        <v>1947</v>
      </c>
      <c r="AN352" s="373" t="s">
        <v>399</v>
      </c>
      <c r="AO352" s="373" t="s">
        <v>2576</v>
      </c>
      <c r="AP352" s="376" t="s">
        <v>3683</v>
      </c>
      <c r="AQ352" s="373"/>
    </row>
    <row r="353">
      <c r="A353" s="257" t="s">
        <v>4871</v>
      </c>
      <c r="B353" s="257" t="s">
        <v>4872</v>
      </c>
      <c r="C353" s="257" t="str">
        <f>VLOOKUP(A353,import!A:J,3,0)</f>
        <v>DOĞRU</v>
      </c>
      <c r="D353" s="257" t="s">
        <v>3759</v>
      </c>
      <c r="E353" s="257">
        <f>VLOOKUP(A353,import!A:J,5,0)</f>
        <v>106</v>
      </c>
      <c r="F353" s="257">
        <f>VLOOKUP(A353,import!A:J,6,0)</f>
        <v>8</v>
      </c>
      <c r="G353" s="257">
        <f>VLOOKUP(A353,import!A:J,7,0)</f>
        <v>0</v>
      </c>
      <c r="H353" s="257">
        <f>VLOOKUP(A353,import!A:J,8,0)</f>
        <v>9</v>
      </c>
      <c r="I353" s="257">
        <f>VLOOKUP(A353,import!A:J,9,0)</f>
        <v>9</v>
      </c>
      <c r="J353" s="369">
        <f>VLOOKUP(A353,import!A:J,10,0)</f>
        <v>0</v>
      </c>
      <c r="K353" s="257" t="s">
        <v>4873</v>
      </c>
      <c r="L353" s="257">
        <v>5.421944001E9</v>
      </c>
      <c r="M353" s="257" t="s">
        <v>286</v>
      </c>
      <c r="N353" s="257" t="s">
        <v>4874</v>
      </c>
      <c r="O353" s="257" t="s">
        <v>4875</v>
      </c>
      <c r="P353" s="370" t="str">
        <f>VLOOKUP(A353,import!A:P,16,0)</f>
        <v>Geleneksel</v>
      </c>
      <c r="Q353" s="370"/>
      <c r="R353" s="370" t="b">
        <v>0</v>
      </c>
      <c r="S353" s="370" t="b">
        <v>0</v>
      </c>
      <c r="T353" s="301"/>
      <c r="U353" s="379"/>
      <c r="V353" s="379"/>
      <c r="W353" s="301" t="s">
        <v>4876</v>
      </c>
      <c r="X353" s="381"/>
      <c r="Y353" s="381"/>
      <c r="Z353" s="372"/>
      <c r="AA353" s="373"/>
      <c r="AB353" s="374"/>
      <c r="AC353" s="373"/>
      <c r="AD353" s="374"/>
      <c r="AE353" s="373"/>
      <c r="AF353" s="374"/>
      <c r="AG353" s="373"/>
      <c r="AH353" s="374"/>
      <c r="AI353" s="375"/>
      <c r="AJ353" s="375"/>
      <c r="AK353" s="373"/>
      <c r="AL353" s="375"/>
      <c r="AM353" s="375"/>
      <c r="AN353" s="373"/>
      <c r="AO353" s="375"/>
      <c r="AP353" s="376"/>
      <c r="AQ353" s="375"/>
    </row>
    <row r="354">
      <c r="A354" s="257" t="s">
        <v>1464</v>
      </c>
      <c r="B354" s="257" t="s">
        <v>1465</v>
      </c>
      <c r="C354" s="257" t="str">
        <f>VLOOKUP(A354,import!A:J,3,0)</f>
        <v>DOĞRU</v>
      </c>
      <c r="D354" s="257" t="s">
        <v>3713</v>
      </c>
      <c r="E354" s="257">
        <f>VLOOKUP(A354,import!A:J,5,0)</f>
        <v>2532</v>
      </c>
      <c r="F354" s="257">
        <f>VLOOKUP(A354,import!A:J,6,0)</f>
        <v>80</v>
      </c>
      <c r="G354" s="257">
        <f>VLOOKUP(A354,import!A:J,7,0)</f>
        <v>24</v>
      </c>
      <c r="H354" s="257">
        <f>VLOOKUP(A354,import!A:J,8,0)</f>
        <v>1</v>
      </c>
      <c r="I354" s="257">
        <f>VLOOKUP(A354,import!A:J,9,0)</f>
        <v>25</v>
      </c>
      <c r="J354" s="369">
        <f>VLOOKUP(A354,import!A:J,10,0)</f>
        <v>0.96</v>
      </c>
      <c r="K354" s="257" t="s">
        <v>4877</v>
      </c>
      <c r="L354" s="257">
        <v>3.223463617E9</v>
      </c>
      <c r="M354" s="257" t="s">
        <v>3707</v>
      </c>
      <c r="N354" s="257" t="s">
        <v>4432</v>
      </c>
      <c r="O354" s="257" t="s">
        <v>1468</v>
      </c>
      <c r="P354" s="370" t="str">
        <f>VLOOKUP(A354,import!A:P,16,0)</f>
        <v>Geleneksel</v>
      </c>
      <c r="Q354" s="370"/>
      <c r="R354" s="370" t="b">
        <v>1</v>
      </c>
      <c r="S354" s="370" t="b">
        <v>0</v>
      </c>
      <c r="T354" s="301" t="s">
        <v>3679</v>
      </c>
      <c r="U354" s="301" t="s">
        <v>2706</v>
      </c>
      <c r="V354" s="301" t="s">
        <v>78</v>
      </c>
      <c r="W354" s="301" t="s">
        <v>4878</v>
      </c>
      <c r="X354" s="371">
        <v>44504.0</v>
      </c>
      <c r="Y354" s="371">
        <v>44505.0</v>
      </c>
      <c r="Z354" s="301" t="s">
        <v>3957</v>
      </c>
      <c r="AA354" s="373" t="s">
        <v>3682</v>
      </c>
      <c r="AB354" s="374">
        <v>44391.0</v>
      </c>
      <c r="AC354" s="373" t="s">
        <v>3695</v>
      </c>
      <c r="AD354" s="374">
        <v>44496.0</v>
      </c>
      <c r="AE354" s="373" t="s">
        <v>3682</v>
      </c>
      <c r="AF354" s="374">
        <v>44504.0</v>
      </c>
      <c r="AG354" s="92"/>
      <c r="AH354" s="375"/>
      <c r="AI354" s="375"/>
      <c r="AJ354" s="375"/>
      <c r="AK354" s="373" t="s">
        <v>3752</v>
      </c>
      <c r="AL354" s="373" t="s">
        <v>2282</v>
      </c>
      <c r="AM354" s="373" t="s">
        <v>2706</v>
      </c>
      <c r="AN354" s="375"/>
      <c r="AO354" s="375"/>
      <c r="AP354" s="376" t="s">
        <v>3686</v>
      </c>
      <c r="AQ354" s="375"/>
    </row>
    <row r="355">
      <c r="A355" s="257" t="s">
        <v>2666</v>
      </c>
      <c r="B355" s="257" t="s">
        <v>2667</v>
      </c>
      <c r="C355" s="257" t="str">
        <f>VLOOKUP(A355,import!A:J,3,0)</f>
        <v>YANLIŞ</v>
      </c>
      <c r="D355" s="257" t="s">
        <v>3676</v>
      </c>
      <c r="E355" s="257">
        <f>VLOOKUP(A355,import!A:J,5,0)</f>
        <v>106</v>
      </c>
      <c r="F355" s="257" t="str">
        <f>VLOOKUP(A355,import!A:J,6,0)</f>
        <v/>
      </c>
      <c r="G355" s="257">
        <f>VLOOKUP(A355,import!A:J,7,0)</f>
        <v>9</v>
      </c>
      <c r="H355" s="257">
        <f>VLOOKUP(A355,import!A:J,8,0)</f>
        <v>0</v>
      </c>
      <c r="I355" s="257">
        <f>VLOOKUP(A355,import!A:J,9,0)</f>
        <v>9</v>
      </c>
      <c r="J355" s="369">
        <f>VLOOKUP(A355,import!A:J,10,0)</f>
        <v>1</v>
      </c>
      <c r="K355" s="257" t="s">
        <v>4879</v>
      </c>
      <c r="L355" s="257">
        <v>3.222610162E9</v>
      </c>
      <c r="M355" s="257" t="s">
        <v>286</v>
      </c>
      <c r="N355" s="257" t="s">
        <v>3746</v>
      </c>
      <c r="O355" s="257" t="s">
        <v>2670</v>
      </c>
      <c r="P355" s="370" t="str">
        <f>VLOOKUP(A355,import!A:P,16,0)</f>
        <v>Geleneksel</v>
      </c>
      <c r="Q355" s="370"/>
      <c r="R355" s="370" t="b">
        <v>1</v>
      </c>
      <c r="S355" s="370" t="b">
        <v>0</v>
      </c>
      <c r="T355" s="301" t="s">
        <v>3679</v>
      </c>
      <c r="U355" s="301" t="s">
        <v>2542</v>
      </c>
      <c r="V355" s="301" t="s">
        <v>78</v>
      </c>
      <c r="W355" s="301"/>
      <c r="X355" s="371">
        <v>44466.0</v>
      </c>
      <c r="Y355" s="371">
        <v>44468.0</v>
      </c>
      <c r="Z355" s="372"/>
      <c r="AA355" s="373" t="s">
        <v>3682</v>
      </c>
      <c r="AB355" s="374">
        <v>44466.0</v>
      </c>
      <c r="AC355" s="373"/>
      <c r="AD355" s="374"/>
      <c r="AE355" s="373"/>
      <c r="AF355" s="374"/>
      <c r="AG355" s="92"/>
      <c r="AH355" s="375"/>
      <c r="AI355" s="375"/>
      <c r="AJ355" s="375"/>
      <c r="AK355" s="373" t="s">
        <v>2542</v>
      </c>
      <c r="AL355" s="375"/>
      <c r="AM355" s="375"/>
      <c r="AN355" s="375"/>
      <c r="AO355" s="375"/>
      <c r="AP355" s="376" t="s">
        <v>3686</v>
      </c>
      <c r="AQ355" s="375"/>
    </row>
    <row r="356">
      <c r="A356" s="257" t="s">
        <v>1417</v>
      </c>
      <c r="B356" s="257" t="s">
        <v>1418</v>
      </c>
      <c r="C356" s="257" t="str">
        <f>VLOOKUP(A356,import!A:J,3,0)</f>
        <v>DOĞRU</v>
      </c>
      <c r="D356" s="257" t="s">
        <v>3822</v>
      </c>
      <c r="E356" s="257">
        <f>VLOOKUP(A356,import!A:J,5,0)</f>
        <v>59</v>
      </c>
      <c r="F356" s="257" t="str">
        <f>VLOOKUP(A356,import!A:J,6,0)</f>
        <v/>
      </c>
      <c r="G356" s="257">
        <f>VLOOKUP(A356,import!A:J,7,0)</f>
        <v>3</v>
      </c>
      <c r="H356" s="257">
        <f>VLOOKUP(A356,import!A:J,8,0)</f>
        <v>2</v>
      </c>
      <c r="I356" s="257">
        <f>VLOOKUP(A356,import!A:J,9,0)</f>
        <v>5</v>
      </c>
      <c r="J356" s="369">
        <f>VLOOKUP(A356,import!A:J,10,0)</f>
        <v>0.6</v>
      </c>
      <c r="K356" s="257" t="s">
        <v>4880</v>
      </c>
      <c r="L356" s="257">
        <v>5.535913791E9</v>
      </c>
      <c r="M356" s="257" t="s">
        <v>286</v>
      </c>
      <c r="N356" s="257" t="s">
        <v>3855</v>
      </c>
      <c r="O356" s="257" t="s">
        <v>1421</v>
      </c>
      <c r="P356" s="370" t="str">
        <f>VLOOKUP(A356,import!A:P,16,0)</f>
        <v>Geleneksel</v>
      </c>
      <c r="Q356" s="370"/>
      <c r="R356" s="370" t="b">
        <v>1</v>
      </c>
      <c r="S356" s="370" t="b">
        <v>0</v>
      </c>
      <c r="T356" s="301" t="s">
        <v>3679</v>
      </c>
      <c r="U356" s="379"/>
      <c r="V356" s="379"/>
      <c r="W356" s="301"/>
      <c r="X356" s="371">
        <v>44389.0</v>
      </c>
      <c r="Y356" s="371">
        <v>44391.0</v>
      </c>
      <c r="Z356" s="372"/>
      <c r="AA356" s="373" t="s">
        <v>3682</v>
      </c>
      <c r="AB356" s="374">
        <v>44389.0</v>
      </c>
      <c r="AC356" s="375"/>
      <c r="AD356" s="375"/>
      <c r="AE356" s="92"/>
      <c r="AF356" s="375"/>
      <c r="AG356" s="92"/>
      <c r="AH356" s="375"/>
      <c r="AI356" s="375"/>
      <c r="AJ356" s="375"/>
      <c r="AK356" s="373" t="s">
        <v>79</v>
      </c>
      <c r="AL356" s="375"/>
      <c r="AM356" s="375"/>
      <c r="AN356" s="375"/>
      <c r="AO356" s="375"/>
      <c r="AP356" s="376" t="s">
        <v>3686</v>
      </c>
      <c r="AQ356" s="375"/>
    </row>
    <row r="357">
      <c r="A357" s="257" t="s">
        <v>4881</v>
      </c>
      <c r="B357" s="257" t="s">
        <v>4882</v>
      </c>
      <c r="C357" s="257" t="str">
        <f>VLOOKUP(A357,import!A:J,3,0)</f>
        <v>DOĞRU</v>
      </c>
      <c r="D357" s="257" t="s">
        <v>3801</v>
      </c>
      <c r="E357" s="257">
        <f>VLOOKUP(A357,import!A:J,5,0)</f>
        <v>780</v>
      </c>
      <c r="F357" s="257">
        <f>VLOOKUP(A357,import!A:J,6,0)</f>
        <v>48</v>
      </c>
      <c r="G357" s="257">
        <f>VLOOKUP(A357,import!A:J,7,0)</f>
        <v>0</v>
      </c>
      <c r="H357" s="257">
        <f>VLOOKUP(A357,import!A:J,8,0)</f>
        <v>7</v>
      </c>
      <c r="I357" s="257">
        <f>VLOOKUP(A357,import!A:J,9,0)</f>
        <v>7</v>
      </c>
      <c r="J357" s="369">
        <f>VLOOKUP(A357,import!A:J,10,0)</f>
        <v>0</v>
      </c>
      <c r="K357" s="257" t="s">
        <v>4883</v>
      </c>
      <c r="L357" s="257">
        <v>5.526349152E9</v>
      </c>
      <c r="M357" s="257" t="s">
        <v>286</v>
      </c>
      <c r="N357" s="257" t="s">
        <v>4884</v>
      </c>
      <c r="O357" s="257" t="s">
        <v>4885</v>
      </c>
      <c r="P357" s="370" t="str">
        <f>VLOOKUP(A357,import!A:P,16,0)</f>
        <v>Geleneksel</v>
      </c>
      <c r="Q357" s="370"/>
      <c r="R357" s="370" t="b">
        <v>1</v>
      </c>
      <c r="S357" s="370" t="b">
        <v>0</v>
      </c>
      <c r="T357" s="301" t="s">
        <v>3770</v>
      </c>
      <c r="U357" s="379"/>
      <c r="V357" s="379"/>
      <c r="W357" s="301" t="s">
        <v>4886</v>
      </c>
      <c r="X357" s="381"/>
      <c r="Y357" s="381"/>
      <c r="Z357" s="372"/>
      <c r="AA357" s="373" t="s">
        <v>3682</v>
      </c>
      <c r="AB357" s="374">
        <v>44446.0</v>
      </c>
      <c r="AC357" s="375"/>
      <c r="AD357" s="375"/>
      <c r="AE357" s="92"/>
      <c r="AF357" s="375"/>
      <c r="AG357" s="92"/>
      <c r="AH357" s="375"/>
      <c r="AI357" s="375"/>
      <c r="AJ357" s="375"/>
      <c r="AK357" s="373" t="s">
        <v>79</v>
      </c>
      <c r="AL357" s="375"/>
      <c r="AM357" s="375"/>
      <c r="AN357" s="375"/>
      <c r="AO357" s="375"/>
      <c r="AP357" s="376" t="s">
        <v>3686</v>
      </c>
      <c r="AQ357" s="375"/>
    </row>
    <row r="358">
      <c r="A358" s="257" t="s">
        <v>214</v>
      </c>
      <c r="B358" s="257" t="s">
        <v>215</v>
      </c>
      <c r="C358" s="257" t="str">
        <f>VLOOKUP(A358,import!A:J,3,0)</f>
        <v>DOĞRU</v>
      </c>
      <c r="D358" s="257" t="s">
        <v>3883</v>
      </c>
      <c r="E358" s="257">
        <f>VLOOKUP(A358,import!A:J,5,0)</f>
        <v>2052</v>
      </c>
      <c r="F358" s="257">
        <f>VLOOKUP(A358,import!A:J,6,0)</f>
        <v>155</v>
      </c>
      <c r="G358" s="257">
        <f>VLOOKUP(A358,import!A:J,7,0)</f>
        <v>22</v>
      </c>
      <c r="H358" s="257">
        <f>VLOOKUP(A358,import!A:J,8,0)</f>
        <v>11</v>
      </c>
      <c r="I358" s="257">
        <f>VLOOKUP(A358,import!A:J,9,0)</f>
        <v>33</v>
      </c>
      <c r="J358" s="369">
        <f>VLOOKUP(A358,import!A:J,10,0)</f>
        <v>0.67</v>
      </c>
      <c r="K358" s="257" t="s">
        <v>4887</v>
      </c>
      <c r="L358" s="257">
        <v>3.229993032E9</v>
      </c>
      <c r="M358" s="257" t="s">
        <v>14</v>
      </c>
      <c r="N358" s="257" t="s">
        <v>3733</v>
      </c>
      <c r="O358" s="257" t="s">
        <v>217</v>
      </c>
      <c r="P358" s="370" t="str">
        <f>VLOOKUP(A358,import!A:P,16,0)</f>
        <v>Geleneksel</v>
      </c>
      <c r="Q358" s="370"/>
      <c r="R358" s="370" t="b">
        <v>1</v>
      </c>
      <c r="S358" s="370" t="b">
        <v>0</v>
      </c>
      <c r="T358" s="301" t="s">
        <v>3679</v>
      </c>
      <c r="U358" s="301" t="s">
        <v>1014</v>
      </c>
      <c r="V358" s="301" t="s">
        <v>78</v>
      </c>
      <c r="W358" s="301" t="s">
        <v>4888</v>
      </c>
      <c r="X358" s="371">
        <v>44371.0</v>
      </c>
      <c r="Y358" s="371">
        <v>44375.0</v>
      </c>
      <c r="Z358" s="377"/>
      <c r="AA358" s="373" t="s">
        <v>3682</v>
      </c>
      <c r="AB358" s="374">
        <v>44355.0</v>
      </c>
      <c r="AC358" s="373" t="s">
        <v>3682</v>
      </c>
      <c r="AD358" s="374">
        <v>44371.0</v>
      </c>
      <c r="AE358" s="92"/>
      <c r="AF358" s="375"/>
      <c r="AG358" s="92"/>
      <c r="AH358" s="375"/>
      <c r="AI358" s="375"/>
      <c r="AJ358" s="375"/>
      <c r="AK358" s="373" t="s">
        <v>399</v>
      </c>
      <c r="AL358" s="373" t="s">
        <v>1014</v>
      </c>
      <c r="AM358" s="375"/>
      <c r="AN358" s="375"/>
      <c r="AO358" s="375"/>
      <c r="AP358" s="376" t="s">
        <v>3683</v>
      </c>
      <c r="AQ358" s="375"/>
    </row>
    <row r="359">
      <c r="A359" s="257" t="s">
        <v>4889</v>
      </c>
      <c r="B359" s="257" t="s">
        <v>4890</v>
      </c>
      <c r="C359" s="257" t="str">
        <f>VLOOKUP(A359,import!A:J,3,0)</f>
        <v>DOĞRU</v>
      </c>
      <c r="D359" s="257" t="s">
        <v>3713</v>
      </c>
      <c r="E359" s="257">
        <f>VLOOKUP(A359,import!A:J,5,0)</f>
        <v>408</v>
      </c>
      <c r="F359" s="257" t="str">
        <f>VLOOKUP(A359,import!A:J,6,0)</f>
        <v/>
      </c>
      <c r="G359" s="257">
        <f>VLOOKUP(A359,import!A:J,7,0)</f>
        <v>0</v>
      </c>
      <c r="H359" s="257">
        <f>VLOOKUP(A359,import!A:J,8,0)</f>
        <v>14</v>
      </c>
      <c r="I359" s="257">
        <f>VLOOKUP(A359,import!A:J,9,0)</f>
        <v>14</v>
      </c>
      <c r="J359" s="369">
        <f>VLOOKUP(A359,import!A:J,10,0)</f>
        <v>0</v>
      </c>
      <c r="K359" s="257" t="s">
        <v>4891</v>
      </c>
      <c r="L359" s="257">
        <v>5.337948178E9</v>
      </c>
      <c r="M359" s="257" t="s">
        <v>14</v>
      </c>
      <c r="N359" s="257" t="s">
        <v>3935</v>
      </c>
      <c r="O359" s="257" t="s">
        <v>4892</v>
      </c>
      <c r="P359" s="370" t="str">
        <f>VLOOKUP(A359,import!A:P,16,0)</f>
        <v>Geleneksel</v>
      </c>
      <c r="Q359" s="370"/>
      <c r="R359" s="370" t="b">
        <v>1</v>
      </c>
      <c r="S359" s="370" t="b">
        <v>1</v>
      </c>
      <c r="T359" s="301"/>
      <c r="U359" s="379"/>
      <c r="V359" s="379"/>
      <c r="W359" s="301" t="s">
        <v>4893</v>
      </c>
      <c r="X359" s="381"/>
      <c r="Y359" s="381"/>
      <c r="Z359" s="372"/>
      <c r="AA359" s="373" t="s">
        <v>3682</v>
      </c>
      <c r="AB359" s="374">
        <v>44523.0</v>
      </c>
      <c r="AC359" s="373"/>
      <c r="AD359" s="374"/>
      <c r="AE359" s="373"/>
      <c r="AF359" s="374"/>
      <c r="AG359" s="373"/>
      <c r="AH359" s="374"/>
      <c r="AI359" s="375"/>
      <c r="AJ359" s="375"/>
      <c r="AK359" s="373" t="s">
        <v>2542</v>
      </c>
      <c r="AL359" s="375"/>
      <c r="AM359" s="375"/>
      <c r="AN359" s="373"/>
      <c r="AO359" s="375"/>
      <c r="AP359" s="376" t="s">
        <v>3683</v>
      </c>
      <c r="AQ359" s="375"/>
    </row>
    <row r="360">
      <c r="A360" s="257" t="s">
        <v>830</v>
      </c>
      <c r="B360" s="257" t="s">
        <v>831</v>
      </c>
      <c r="C360" s="257" t="str">
        <f>VLOOKUP(A360,import!A:J,3,0)</f>
        <v>DOĞRU</v>
      </c>
      <c r="D360" s="257" t="s">
        <v>4572</v>
      </c>
      <c r="E360" s="257">
        <f>VLOOKUP(A360,import!A:J,5,0)</f>
        <v>9955</v>
      </c>
      <c r="F360" s="257">
        <f>VLOOKUP(A360,import!A:J,6,0)</f>
        <v>510</v>
      </c>
      <c r="G360" s="257">
        <f>VLOOKUP(A360,import!A:J,7,0)</f>
        <v>9</v>
      </c>
      <c r="H360" s="257">
        <f>VLOOKUP(A360,import!A:J,8,0)</f>
        <v>44</v>
      </c>
      <c r="I360" s="257">
        <f>VLOOKUP(A360,import!A:J,9,0)</f>
        <v>53</v>
      </c>
      <c r="J360" s="369">
        <f>VLOOKUP(A360,import!A:J,10,0)</f>
        <v>0.17</v>
      </c>
      <c r="K360" s="257" t="s">
        <v>4894</v>
      </c>
      <c r="L360" s="257">
        <v>5.342473198E9</v>
      </c>
      <c r="M360" s="257" t="s">
        <v>14</v>
      </c>
      <c r="N360" s="257" t="s">
        <v>3935</v>
      </c>
      <c r="O360" s="257" t="s">
        <v>833</v>
      </c>
      <c r="P360" s="370" t="str">
        <f>VLOOKUP(A360,import!A:P,16,0)</f>
        <v>Geleneksel</v>
      </c>
      <c r="Q360" s="370"/>
      <c r="R360" s="370" t="b">
        <v>1</v>
      </c>
      <c r="S360" s="370" t="b">
        <v>0</v>
      </c>
      <c r="T360" s="301" t="s">
        <v>3679</v>
      </c>
      <c r="U360" s="301" t="s">
        <v>399</v>
      </c>
      <c r="V360" s="301" t="s">
        <v>78</v>
      </c>
      <c r="W360" s="301" t="s">
        <v>4895</v>
      </c>
      <c r="X360" s="371">
        <v>44343.0</v>
      </c>
      <c r="Y360" s="371">
        <v>44349.0</v>
      </c>
      <c r="Z360" s="377"/>
      <c r="AA360" s="373" t="s">
        <v>3682</v>
      </c>
      <c r="AB360" s="374">
        <v>44448.0</v>
      </c>
      <c r="AC360" s="375"/>
      <c r="AD360" s="375"/>
      <c r="AE360" s="92"/>
      <c r="AF360" s="375"/>
      <c r="AG360" s="397"/>
      <c r="AH360" s="375"/>
      <c r="AI360" s="375"/>
      <c r="AJ360" s="375"/>
      <c r="AK360" s="373" t="s">
        <v>2542</v>
      </c>
      <c r="AL360" s="375"/>
      <c r="AM360" s="375"/>
      <c r="AN360" s="375"/>
      <c r="AO360" s="375"/>
      <c r="AP360" s="376" t="s">
        <v>3683</v>
      </c>
      <c r="AQ360" s="375"/>
    </row>
    <row r="361">
      <c r="A361" s="257" t="s">
        <v>4896</v>
      </c>
      <c r="B361" s="257" t="s">
        <v>4897</v>
      </c>
      <c r="C361" s="257" t="str">
        <f>VLOOKUP(A361,import!A:J,3,0)</f>
        <v>DOĞRU</v>
      </c>
      <c r="D361" s="257" t="s">
        <v>3676</v>
      </c>
      <c r="E361" s="257">
        <f>VLOOKUP(A361,import!A:J,5,0)</f>
        <v>201</v>
      </c>
      <c r="F361" s="257">
        <f>VLOOKUP(A361,import!A:J,6,0)</f>
        <v>32</v>
      </c>
      <c r="G361" s="257">
        <f>VLOOKUP(A361,import!A:J,7,0)</f>
        <v>0</v>
      </c>
      <c r="H361" s="257">
        <f>VLOOKUP(A361,import!A:J,8,0)</f>
        <v>5</v>
      </c>
      <c r="I361" s="257">
        <f>VLOOKUP(A361,import!A:J,9,0)</f>
        <v>5</v>
      </c>
      <c r="J361" s="369">
        <f>VLOOKUP(A361,import!A:J,10,0)</f>
        <v>0</v>
      </c>
      <c r="K361" s="257" t="s">
        <v>4898</v>
      </c>
      <c r="L361" s="257">
        <v>5.374890805E9</v>
      </c>
      <c r="M361" s="257" t="s">
        <v>286</v>
      </c>
      <c r="N361" s="257" t="s">
        <v>4135</v>
      </c>
      <c r="O361" s="257" t="s">
        <v>4899</v>
      </c>
      <c r="P361" s="370" t="str">
        <f>VLOOKUP(A361,import!A:P,16,0)</f>
        <v>Geleneksel</v>
      </c>
      <c r="Q361" s="370"/>
      <c r="R361" s="370" t="b">
        <v>0</v>
      </c>
      <c r="S361" s="370" t="b">
        <v>0</v>
      </c>
      <c r="T361" s="301"/>
      <c r="U361" s="379"/>
      <c r="V361" s="379"/>
      <c r="W361" s="301"/>
      <c r="X361" s="381"/>
      <c r="Y361" s="381"/>
      <c r="Z361" s="372"/>
      <c r="AA361" s="373"/>
      <c r="AB361" s="374"/>
      <c r="AC361" s="373"/>
      <c r="AD361" s="374"/>
      <c r="AE361" s="373"/>
      <c r="AF361" s="374"/>
      <c r="AG361" s="373"/>
      <c r="AH361" s="374"/>
      <c r="AI361" s="375"/>
      <c r="AJ361" s="375"/>
      <c r="AK361" s="373"/>
      <c r="AL361" s="375"/>
      <c r="AM361" s="375"/>
      <c r="AN361" s="373"/>
      <c r="AO361" s="375"/>
      <c r="AP361" s="376" t="s">
        <v>3686</v>
      </c>
      <c r="AQ361" s="375"/>
    </row>
    <row r="362">
      <c r="A362" s="257" t="s">
        <v>2588</v>
      </c>
      <c r="B362" s="257" t="s">
        <v>2589</v>
      </c>
      <c r="C362" s="257" t="str">
        <f>VLOOKUP(A362,import!A:J,3,0)</f>
        <v>DOĞRU</v>
      </c>
      <c r="D362" s="257" t="s">
        <v>3713</v>
      </c>
      <c r="E362" s="257">
        <f>VLOOKUP(A362,import!A:J,5,0)</f>
        <v>5992</v>
      </c>
      <c r="F362" s="257">
        <f>VLOOKUP(A362,import!A:J,6,0)</f>
        <v>225</v>
      </c>
      <c r="G362" s="257">
        <f>VLOOKUP(A362,import!A:J,7,0)</f>
        <v>24</v>
      </c>
      <c r="H362" s="257">
        <f>VLOOKUP(A362,import!A:J,8,0)</f>
        <v>3</v>
      </c>
      <c r="I362" s="257">
        <f>VLOOKUP(A362,import!A:J,9,0)</f>
        <v>27</v>
      </c>
      <c r="J362" s="369">
        <f>VLOOKUP(A362,import!A:J,10,0)</f>
        <v>0.89</v>
      </c>
      <c r="K362" s="257" t="s">
        <v>4900</v>
      </c>
      <c r="L362" s="257">
        <v>3.22281E9</v>
      </c>
      <c r="M362" s="257" t="s">
        <v>286</v>
      </c>
      <c r="N362" s="257" t="s">
        <v>3754</v>
      </c>
      <c r="O362" s="257" t="s">
        <v>2591</v>
      </c>
      <c r="P362" s="370" t="str">
        <f>VLOOKUP(A362,import!A:P,16,0)</f>
        <v>Geleneksel</v>
      </c>
      <c r="Q362" s="370"/>
      <c r="R362" s="370" t="b">
        <v>1</v>
      </c>
      <c r="S362" s="370" t="b">
        <v>0</v>
      </c>
      <c r="T362" s="301" t="s">
        <v>3679</v>
      </c>
      <c r="U362" s="301" t="s">
        <v>2542</v>
      </c>
      <c r="V362" s="301" t="s">
        <v>78</v>
      </c>
      <c r="W362" s="301" t="s">
        <v>4901</v>
      </c>
      <c r="X362" s="371">
        <v>44459.0</v>
      </c>
      <c r="Y362" s="371">
        <v>44460.0</v>
      </c>
      <c r="Z362" s="372"/>
      <c r="AA362" s="373" t="s">
        <v>3682</v>
      </c>
      <c r="AB362" s="374">
        <v>44358.0</v>
      </c>
      <c r="AC362" s="373" t="s">
        <v>3682</v>
      </c>
      <c r="AD362" s="374">
        <v>44459.0</v>
      </c>
      <c r="AE362" s="92"/>
      <c r="AF362" s="375"/>
      <c r="AG362" s="92"/>
      <c r="AH362" s="375"/>
      <c r="AI362" s="375"/>
      <c r="AJ362" s="375"/>
      <c r="AK362" s="373" t="s">
        <v>399</v>
      </c>
      <c r="AL362" s="373" t="s">
        <v>2542</v>
      </c>
      <c r="AM362" s="375"/>
      <c r="AN362" s="375"/>
      <c r="AO362" s="375"/>
      <c r="AP362" s="376" t="s">
        <v>3686</v>
      </c>
      <c r="AQ362" s="375"/>
    </row>
    <row r="363">
      <c r="A363" s="257" t="s">
        <v>1862</v>
      </c>
      <c r="B363" s="257" t="s">
        <v>1863</v>
      </c>
      <c r="C363" s="257" t="str">
        <f>VLOOKUP(A363,import!A:J,3,0)</f>
        <v>DOĞRU</v>
      </c>
      <c r="D363" s="257" t="s">
        <v>3713</v>
      </c>
      <c r="E363" s="257">
        <f>VLOOKUP(A363,import!A:J,5,0)</f>
        <v>2858</v>
      </c>
      <c r="F363" s="257">
        <f>VLOOKUP(A363,import!A:J,6,0)</f>
        <v>156</v>
      </c>
      <c r="G363" s="257">
        <f>VLOOKUP(A363,import!A:J,7,0)</f>
        <v>17</v>
      </c>
      <c r="H363" s="257">
        <f>VLOOKUP(A363,import!A:J,8,0)</f>
        <v>1</v>
      </c>
      <c r="I363" s="257">
        <f>VLOOKUP(A363,import!A:J,9,0)</f>
        <v>18</v>
      </c>
      <c r="J363" s="369">
        <f>VLOOKUP(A363,import!A:J,10,0)</f>
        <v>0.94</v>
      </c>
      <c r="K363" s="257" t="s">
        <v>4902</v>
      </c>
      <c r="L363" s="257">
        <v>3.222325686E9</v>
      </c>
      <c r="M363" s="257" t="s">
        <v>14</v>
      </c>
      <c r="N363" s="257" t="s">
        <v>3797</v>
      </c>
      <c r="O363" s="257" t="s">
        <v>1866</v>
      </c>
      <c r="P363" s="370" t="str">
        <f>VLOOKUP(A363,import!A:P,16,0)</f>
        <v>Geleneksel</v>
      </c>
      <c r="Q363" s="370"/>
      <c r="R363" s="370" t="b">
        <v>1</v>
      </c>
      <c r="S363" s="370" t="b">
        <v>0</v>
      </c>
      <c r="T363" s="301" t="s">
        <v>3679</v>
      </c>
      <c r="U363" s="301" t="s">
        <v>3729</v>
      </c>
      <c r="V363" s="301" t="s">
        <v>78</v>
      </c>
      <c r="W363" s="301" t="s">
        <v>4903</v>
      </c>
      <c r="X363" s="371">
        <v>44414.0</v>
      </c>
      <c r="Y363" s="371">
        <v>44420.0</v>
      </c>
      <c r="Z363" s="372"/>
      <c r="AA363" s="373" t="s">
        <v>3682</v>
      </c>
      <c r="AB363" s="374">
        <v>44412.0</v>
      </c>
      <c r="AC363" s="373" t="s">
        <v>3682</v>
      </c>
      <c r="AD363" s="374">
        <v>44414.0</v>
      </c>
      <c r="AE363" s="373" t="s">
        <v>3682</v>
      </c>
      <c r="AF363" s="374">
        <v>44464.0</v>
      </c>
      <c r="AG363" s="373" t="s">
        <v>3695</v>
      </c>
      <c r="AH363" s="374">
        <v>44544.0</v>
      </c>
      <c r="AI363" s="375"/>
      <c r="AJ363" s="375"/>
      <c r="AK363" s="373" t="s">
        <v>3723</v>
      </c>
      <c r="AL363" s="373" t="s">
        <v>3729</v>
      </c>
      <c r="AM363" s="373" t="s">
        <v>2576</v>
      </c>
      <c r="AN363" s="373" t="s">
        <v>3073</v>
      </c>
      <c r="AO363" s="375"/>
      <c r="AP363" s="376" t="s">
        <v>3683</v>
      </c>
      <c r="AQ363" s="375"/>
    </row>
    <row r="364">
      <c r="A364" s="257" t="s">
        <v>3487</v>
      </c>
      <c r="B364" s="257" t="s">
        <v>3488</v>
      </c>
      <c r="C364" s="257" t="str">
        <f>VLOOKUP(A364,import!A:J,3,0)</f>
        <v>DOĞRU</v>
      </c>
      <c r="D364" s="257" t="s">
        <v>3912</v>
      </c>
      <c r="E364" s="257">
        <f>VLOOKUP(A364,import!A:J,5,0)</f>
        <v>60</v>
      </c>
      <c r="F364" s="257">
        <f>VLOOKUP(A364,import!A:J,6,0)</f>
        <v>15</v>
      </c>
      <c r="G364" s="257">
        <f>VLOOKUP(A364,import!A:J,7,0)</f>
        <v>0</v>
      </c>
      <c r="H364" s="257">
        <f>VLOOKUP(A364,import!A:J,8,0)</f>
        <v>22</v>
      </c>
      <c r="I364" s="257">
        <f>VLOOKUP(A364,import!A:J,9,0)</f>
        <v>22</v>
      </c>
      <c r="J364" s="369">
        <f>VLOOKUP(A364,import!A:J,10,0)</f>
        <v>0</v>
      </c>
      <c r="K364" s="257" t="s">
        <v>4904</v>
      </c>
      <c r="L364" s="257">
        <v>5.442395058E9</v>
      </c>
      <c r="M364" s="257" t="s">
        <v>14</v>
      </c>
      <c r="N364" s="257" t="s">
        <v>3733</v>
      </c>
      <c r="O364" s="257" t="s">
        <v>3490</v>
      </c>
      <c r="P364" s="386" t="str">
        <f>VLOOKUP(A364,import!A:P,16,0)</f>
        <v>Geleneksel</v>
      </c>
      <c r="Q364" s="370"/>
      <c r="R364" s="370" t="b">
        <v>1</v>
      </c>
      <c r="S364" s="370" t="b">
        <v>0</v>
      </c>
      <c r="T364" s="301" t="s">
        <v>3679</v>
      </c>
      <c r="U364" s="301" t="s">
        <v>2576</v>
      </c>
      <c r="V364" s="301" t="s">
        <v>3331</v>
      </c>
      <c r="W364" s="301"/>
      <c r="X364" s="371">
        <v>44632.0</v>
      </c>
      <c r="Y364" s="371">
        <v>44635.0</v>
      </c>
      <c r="Z364" s="372"/>
      <c r="AA364" s="373" t="s">
        <v>3682</v>
      </c>
      <c r="AB364" s="374">
        <v>44630.0</v>
      </c>
      <c r="AC364" s="373" t="s">
        <v>3682</v>
      </c>
      <c r="AD364" s="371">
        <v>44632.0</v>
      </c>
      <c r="AE364" s="373"/>
      <c r="AF364" s="374"/>
      <c r="AG364" s="373"/>
      <c r="AH364" s="374"/>
      <c r="AI364" s="375"/>
      <c r="AJ364" s="375"/>
      <c r="AK364" s="373" t="s">
        <v>2576</v>
      </c>
      <c r="AL364" s="373" t="s">
        <v>2542</v>
      </c>
      <c r="AM364" s="375"/>
      <c r="AN364" s="373"/>
      <c r="AO364" s="375"/>
      <c r="AP364" s="376"/>
      <c r="AQ364" s="375"/>
    </row>
    <row r="365">
      <c r="A365" s="257" t="s">
        <v>41</v>
      </c>
      <c r="B365" s="257" t="s">
        <v>42</v>
      </c>
      <c r="C365" s="257" t="str">
        <f>VLOOKUP(A365,import!A:J,3,0)</f>
        <v>DOĞRU</v>
      </c>
      <c r="D365" s="257" t="s">
        <v>3699</v>
      </c>
      <c r="E365" s="257">
        <f>VLOOKUP(A365,import!A:J,5,0)</f>
        <v>1485</v>
      </c>
      <c r="F365" s="257">
        <f>VLOOKUP(A365,import!A:J,6,0)</f>
        <v>30</v>
      </c>
      <c r="G365" s="257">
        <f>VLOOKUP(A365,import!A:J,7,0)</f>
        <v>13</v>
      </c>
      <c r="H365" s="257">
        <f>VLOOKUP(A365,import!A:J,8,0)</f>
        <v>12</v>
      </c>
      <c r="I365" s="257">
        <f>VLOOKUP(A365,import!A:J,9,0)</f>
        <v>25</v>
      </c>
      <c r="J365" s="369">
        <f>VLOOKUP(A365,import!A:J,10,0)</f>
        <v>0.52</v>
      </c>
      <c r="K365" s="257" t="s">
        <v>4905</v>
      </c>
      <c r="L365" s="257">
        <v>5.530893212E9</v>
      </c>
      <c r="M365" s="257" t="s">
        <v>14</v>
      </c>
      <c r="N365" s="257" t="s">
        <v>3935</v>
      </c>
      <c r="O365" s="257" t="s">
        <v>45</v>
      </c>
      <c r="P365" s="370" t="str">
        <f>VLOOKUP(A365,import!A:P,16,0)</f>
        <v>Geleneksel</v>
      </c>
      <c r="Q365" s="370"/>
      <c r="R365" s="370" t="b">
        <v>1</v>
      </c>
      <c r="S365" s="370" t="b">
        <v>0</v>
      </c>
      <c r="T365" s="301" t="s">
        <v>3679</v>
      </c>
      <c r="U365" s="301" t="s">
        <v>79</v>
      </c>
      <c r="V365" s="301" t="s">
        <v>78</v>
      </c>
      <c r="W365" s="301" t="s">
        <v>4906</v>
      </c>
      <c r="X365" s="371">
        <v>44489.0</v>
      </c>
      <c r="Y365" s="371">
        <v>44490.0</v>
      </c>
      <c r="Z365" s="377"/>
      <c r="AA365" s="373" t="s">
        <v>3448</v>
      </c>
      <c r="AB365" s="374">
        <v>44406.0</v>
      </c>
      <c r="AC365" s="375"/>
      <c r="AD365" s="375"/>
      <c r="AE365" s="92"/>
      <c r="AF365" s="375"/>
      <c r="AG365" s="92"/>
      <c r="AH365" s="375"/>
      <c r="AI365" s="375"/>
      <c r="AJ365" s="375"/>
      <c r="AK365" s="373" t="s">
        <v>3719</v>
      </c>
      <c r="AL365" s="375"/>
      <c r="AM365" s="375"/>
      <c r="AN365" s="375"/>
      <c r="AO365" s="375"/>
      <c r="AP365" s="376" t="s">
        <v>3683</v>
      </c>
      <c r="AQ365" s="375"/>
    </row>
    <row r="366">
      <c r="A366" s="257" t="s">
        <v>3183</v>
      </c>
      <c r="B366" s="257" t="s">
        <v>3184</v>
      </c>
      <c r="C366" s="257" t="str">
        <f>VLOOKUP(A366,import!A:J,3,0)</f>
        <v>DOĞRU</v>
      </c>
      <c r="D366" s="257" t="s">
        <v>4907</v>
      </c>
      <c r="E366" s="257">
        <f>VLOOKUP(A366,import!A:J,5,0)</f>
        <v>436</v>
      </c>
      <c r="F366" s="257">
        <f>VLOOKUP(A366,import!A:J,6,0)</f>
        <v>17</v>
      </c>
      <c r="G366" s="257">
        <f>VLOOKUP(A366,import!A:J,7,0)</f>
        <v>0</v>
      </c>
      <c r="H366" s="257">
        <f>VLOOKUP(A366,import!A:J,8,0)</f>
        <v>72</v>
      </c>
      <c r="I366" s="257">
        <f>VLOOKUP(A366,import!A:J,9,0)</f>
        <v>72</v>
      </c>
      <c r="J366" s="369">
        <f>VLOOKUP(A366,import!A:J,10,0)</f>
        <v>0</v>
      </c>
      <c r="K366" s="257" t="s">
        <v>4908</v>
      </c>
      <c r="L366" s="257">
        <v>5.534280872E9</v>
      </c>
      <c r="M366" s="257" t="s">
        <v>286</v>
      </c>
      <c r="N366" s="257" t="s">
        <v>3855</v>
      </c>
      <c r="O366" s="257" t="s">
        <v>3186</v>
      </c>
      <c r="P366" s="370" t="str">
        <f>VLOOKUP(A366,import!A:P,16,0)</f>
        <v>Geleneksel</v>
      </c>
      <c r="Q366" s="370"/>
      <c r="R366" s="370" t="b">
        <v>1</v>
      </c>
      <c r="S366" s="370" t="b">
        <v>1</v>
      </c>
      <c r="T366" s="301"/>
      <c r="U366" s="379"/>
      <c r="V366" s="379"/>
      <c r="W366" s="301"/>
      <c r="X366" s="381"/>
      <c r="Y366" s="381"/>
      <c r="Z366" s="372"/>
      <c r="AA366" s="373" t="s">
        <v>3682</v>
      </c>
      <c r="AB366" s="374">
        <v>44530.0</v>
      </c>
      <c r="AC366" s="373"/>
      <c r="AD366" s="374"/>
      <c r="AE366" s="373"/>
      <c r="AF366" s="374"/>
      <c r="AG366" s="373"/>
      <c r="AH366" s="374"/>
      <c r="AI366" s="375"/>
      <c r="AJ366" s="375"/>
      <c r="AK366" s="373" t="s">
        <v>2192</v>
      </c>
      <c r="AL366" s="375"/>
      <c r="AM366" s="375"/>
      <c r="AN366" s="373"/>
      <c r="AO366" s="375"/>
      <c r="AP366" s="376" t="s">
        <v>3686</v>
      </c>
      <c r="AQ366" s="375"/>
    </row>
    <row r="367">
      <c r="A367" s="257" t="s">
        <v>4909</v>
      </c>
      <c r="B367" s="257" t="s">
        <v>4910</v>
      </c>
      <c r="C367" s="257" t="str">
        <f>VLOOKUP(A367,import!A:J,3,0)</f>
        <v>DOĞRU</v>
      </c>
      <c r="D367" s="257" t="s">
        <v>3878</v>
      </c>
      <c r="E367" s="257">
        <f>VLOOKUP(A367,import!A:J,5,0)</f>
        <v>566</v>
      </c>
      <c r="F367" s="257">
        <f>VLOOKUP(A367,import!A:J,6,0)</f>
        <v>29</v>
      </c>
      <c r="G367" s="257">
        <f>VLOOKUP(A367,import!A:J,7,0)</f>
        <v>0</v>
      </c>
      <c r="H367" s="257">
        <f>VLOOKUP(A367,import!A:J,8,0)</f>
        <v>60</v>
      </c>
      <c r="I367" s="257">
        <f>VLOOKUP(A367,import!A:J,9,0)</f>
        <v>60</v>
      </c>
      <c r="J367" s="369">
        <f>VLOOKUP(A367,import!A:J,10,0)</f>
        <v>0</v>
      </c>
      <c r="K367" s="257" t="s">
        <v>4908</v>
      </c>
      <c r="L367" s="257">
        <v>3.229990121E9</v>
      </c>
      <c r="M367" s="257" t="s">
        <v>286</v>
      </c>
      <c r="N367" s="257" t="s">
        <v>3688</v>
      </c>
      <c r="O367" s="257" t="s">
        <v>4911</v>
      </c>
      <c r="P367" s="370" t="str">
        <f>VLOOKUP(A367,import!A:P,16,0)</f>
        <v>Geleneksel</v>
      </c>
      <c r="Q367" s="370"/>
      <c r="R367" s="370" t="b">
        <v>1</v>
      </c>
      <c r="S367" s="370" t="b">
        <v>1</v>
      </c>
      <c r="T367" s="301"/>
      <c r="U367" s="301"/>
      <c r="V367" s="301"/>
      <c r="W367" s="301" t="s">
        <v>4912</v>
      </c>
      <c r="X367" s="371"/>
      <c r="Y367" s="371"/>
      <c r="Z367" s="377"/>
      <c r="AA367" s="375"/>
      <c r="AB367" s="375"/>
      <c r="AC367" s="375"/>
      <c r="AD367" s="375"/>
      <c r="AE367" s="92"/>
      <c r="AF367" s="375"/>
      <c r="AG367" s="92"/>
      <c r="AH367" s="375"/>
      <c r="AI367" s="375"/>
      <c r="AJ367" s="375"/>
      <c r="AK367" s="375"/>
      <c r="AL367" s="375"/>
      <c r="AM367" s="375"/>
      <c r="AN367" s="375"/>
      <c r="AO367" s="375"/>
      <c r="AP367" s="376" t="s">
        <v>3686</v>
      </c>
      <c r="AQ367" s="375"/>
    </row>
    <row r="368">
      <c r="A368" s="257" t="s">
        <v>4913</v>
      </c>
      <c r="B368" s="257" t="s">
        <v>4914</v>
      </c>
      <c r="C368" s="257" t="str">
        <f>VLOOKUP(A368,import!A:J,3,0)</f>
        <v>YANLIŞ</v>
      </c>
      <c r="D368" s="257" t="s">
        <v>3699</v>
      </c>
      <c r="E368" s="257" t="str">
        <f>VLOOKUP(A368,import!A:J,5,0)</f>
        <v/>
      </c>
      <c r="F368" s="257" t="str">
        <f>VLOOKUP(A368,import!A:J,6,0)</f>
        <v/>
      </c>
      <c r="G368" s="257">
        <f>VLOOKUP(A368,import!A:J,7,0)</f>
        <v>0</v>
      </c>
      <c r="H368" s="257">
        <f>VLOOKUP(A368,import!A:J,8,0)</f>
        <v>8</v>
      </c>
      <c r="I368" s="257">
        <f>VLOOKUP(A368,import!A:J,9,0)</f>
        <v>8</v>
      </c>
      <c r="J368" s="369">
        <f>VLOOKUP(A368,import!A:J,10,0)</f>
        <v>0</v>
      </c>
      <c r="K368" s="257" t="s">
        <v>4915</v>
      </c>
      <c r="L368" s="257">
        <v>3.224020072E9</v>
      </c>
      <c r="M368" s="257" t="s">
        <v>286</v>
      </c>
      <c r="N368" s="257" t="s">
        <v>3737</v>
      </c>
      <c r="O368" s="257" t="s">
        <v>4916</v>
      </c>
      <c r="P368" s="370" t="str">
        <f>VLOOKUP(A368,import!A:P,16,0)</f>
        <v>Geleneksel</v>
      </c>
      <c r="Q368" s="370"/>
      <c r="R368" s="370" t="b">
        <v>1</v>
      </c>
      <c r="S368" s="370" t="b">
        <v>0</v>
      </c>
      <c r="T368" s="301"/>
      <c r="U368" s="379"/>
      <c r="V368" s="379"/>
      <c r="W368" s="301" t="s">
        <v>4917</v>
      </c>
      <c r="X368" s="381"/>
      <c r="Y368" s="381"/>
      <c r="Z368" s="372"/>
      <c r="AA368" s="373" t="s">
        <v>3448</v>
      </c>
      <c r="AB368" s="374">
        <v>44515.0</v>
      </c>
      <c r="AC368" s="373"/>
      <c r="AD368" s="374"/>
      <c r="AE368" s="373"/>
      <c r="AF368" s="374"/>
      <c r="AG368" s="373"/>
      <c r="AH368" s="374"/>
      <c r="AI368" s="375"/>
      <c r="AJ368" s="375"/>
      <c r="AK368" s="373" t="s">
        <v>2542</v>
      </c>
      <c r="AL368" s="375"/>
      <c r="AM368" s="375"/>
      <c r="AN368" s="373"/>
      <c r="AO368" s="375"/>
      <c r="AP368" s="376" t="s">
        <v>3683</v>
      </c>
      <c r="AQ368" s="375"/>
    </row>
    <row r="369">
      <c r="A369" s="257" t="s">
        <v>4918</v>
      </c>
      <c r="B369" s="257" t="s">
        <v>4919</v>
      </c>
      <c r="C369" s="257" t="str">
        <f>VLOOKUP(A369,import!A:J,3,0)</f>
        <v>YANLIŞ</v>
      </c>
      <c r="D369" s="257" t="s">
        <v>3749</v>
      </c>
      <c r="E369" s="257">
        <f>VLOOKUP(A369,import!A:J,5,0)</f>
        <v>208</v>
      </c>
      <c r="F369" s="257" t="str">
        <f>VLOOKUP(A369,import!A:J,6,0)</f>
        <v/>
      </c>
      <c r="G369" s="257">
        <f>VLOOKUP(A369,import!A:J,7,0)</f>
        <v>0</v>
      </c>
      <c r="H369" s="257">
        <f>VLOOKUP(A369,import!A:J,8,0)</f>
        <v>23</v>
      </c>
      <c r="I369" s="257">
        <f>VLOOKUP(A369,import!A:J,9,0)</f>
        <v>23</v>
      </c>
      <c r="J369" s="369">
        <f>VLOOKUP(A369,import!A:J,10,0)</f>
        <v>0</v>
      </c>
      <c r="K369" s="257" t="s">
        <v>4920</v>
      </c>
      <c r="L369" s="257">
        <v>5.413269998E9</v>
      </c>
      <c r="M369" s="257" t="s">
        <v>14</v>
      </c>
      <c r="N369" s="257" t="s">
        <v>3718</v>
      </c>
      <c r="O369" s="257" t="s">
        <v>4921</v>
      </c>
      <c r="P369" s="370" t="str">
        <f>VLOOKUP(A369,import!A:P,16,0)</f>
        <v>Geleneksel</v>
      </c>
      <c r="Q369" s="370"/>
      <c r="R369" s="370" t="b">
        <v>1</v>
      </c>
      <c r="S369" s="370" t="b">
        <v>0</v>
      </c>
      <c r="T369" s="301" t="s">
        <v>3770</v>
      </c>
      <c r="U369" s="379"/>
      <c r="V369" s="379"/>
      <c r="W369" s="301" t="s">
        <v>4922</v>
      </c>
      <c r="X369" s="381"/>
      <c r="Y369" s="381"/>
      <c r="Z369" s="372"/>
      <c r="AA369" s="373" t="s">
        <v>3682</v>
      </c>
      <c r="AB369" s="374">
        <v>44473.0</v>
      </c>
      <c r="AC369" s="373"/>
      <c r="AD369" s="374"/>
      <c r="AE369" s="373"/>
      <c r="AF369" s="374"/>
      <c r="AG369" s="373"/>
      <c r="AH369" s="374"/>
      <c r="AI369" s="375"/>
      <c r="AJ369" s="375"/>
      <c r="AK369" s="373" t="s">
        <v>2542</v>
      </c>
      <c r="AL369" s="375"/>
      <c r="AM369" s="375"/>
      <c r="AN369" s="373"/>
      <c r="AO369" s="375"/>
      <c r="AP369" s="376" t="s">
        <v>3683</v>
      </c>
      <c r="AQ369" s="375"/>
    </row>
    <row r="370">
      <c r="A370" s="257" t="s">
        <v>642</v>
      </c>
      <c r="B370" s="257" t="s">
        <v>643</v>
      </c>
      <c r="C370" s="257" t="str">
        <f>VLOOKUP(A370,import!A:J,3,0)</f>
        <v>DOĞRU</v>
      </c>
      <c r="D370" s="257" t="s">
        <v>3676</v>
      </c>
      <c r="E370" s="257">
        <f>VLOOKUP(A370,import!A:J,5,0)</f>
        <v>15017</v>
      </c>
      <c r="F370" s="257">
        <f>VLOOKUP(A370,import!A:J,6,0)</f>
        <v>1120</v>
      </c>
      <c r="G370" s="257">
        <f>VLOOKUP(A370,import!A:J,7,0)</f>
        <v>0</v>
      </c>
      <c r="H370" s="257">
        <f>VLOOKUP(A370,import!A:J,8,0)</f>
        <v>6</v>
      </c>
      <c r="I370" s="257">
        <f>VLOOKUP(A370,import!A:J,9,0)</f>
        <v>6</v>
      </c>
      <c r="J370" s="369">
        <f>VLOOKUP(A370,import!A:J,10,0)</f>
        <v>0</v>
      </c>
      <c r="K370" s="257" t="s">
        <v>4923</v>
      </c>
      <c r="L370" s="257">
        <v>3.222070707E9</v>
      </c>
      <c r="M370" s="257" t="s">
        <v>14</v>
      </c>
      <c r="N370" s="257" t="s">
        <v>3733</v>
      </c>
      <c r="O370" s="257" t="s">
        <v>645</v>
      </c>
      <c r="P370" s="370" t="str">
        <f>VLOOKUP(A370,import!A:P,16,0)</f>
        <v>Geleneksel</v>
      </c>
      <c r="Q370" s="370"/>
      <c r="R370" s="370" t="b">
        <v>1</v>
      </c>
      <c r="S370" s="370" t="b">
        <v>0</v>
      </c>
      <c r="T370" s="301" t="s">
        <v>3787</v>
      </c>
      <c r="U370" s="301" t="s">
        <v>2282</v>
      </c>
      <c r="V370" s="301" t="s">
        <v>78</v>
      </c>
      <c r="W370" s="301" t="s">
        <v>4924</v>
      </c>
      <c r="X370" s="371">
        <v>44469.0</v>
      </c>
      <c r="Y370" s="371">
        <v>44470.0</v>
      </c>
      <c r="Z370" s="301" t="s">
        <v>3957</v>
      </c>
      <c r="AA370" s="373" t="s">
        <v>3682</v>
      </c>
      <c r="AB370" s="374">
        <v>44349.0</v>
      </c>
      <c r="AC370" s="373" t="s">
        <v>3682</v>
      </c>
      <c r="AD370" s="374">
        <v>44469.0</v>
      </c>
      <c r="AE370" s="92"/>
      <c r="AF370" s="375"/>
      <c r="AG370" s="92"/>
      <c r="AH370" s="375"/>
      <c r="AI370" s="375"/>
      <c r="AJ370" s="375"/>
      <c r="AK370" s="375"/>
      <c r="AL370" s="373" t="s">
        <v>2282</v>
      </c>
      <c r="AM370" s="375"/>
      <c r="AN370" s="375"/>
      <c r="AO370" s="375"/>
      <c r="AP370" s="376" t="s">
        <v>3683</v>
      </c>
      <c r="AQ370" s="375"/>
    </row>
    <row r="371">
      <c r="A371" s="257" t="s">
        <v>762</v>
      </c>
      <c r="B371" s="257" t="s">
        <v>763</v>
      </c>
      <c r="C371" s="257" t="str">
        <f>VLOOKUP(A371,import!A:J,3,0)</f>
        <v>DOĞRU</v>
      </c>
      <c r="D371" s="257" t="s">
        <v>3676</v>
      </c>
      <c r="E371" s="257">
        <f>VLOOKUP(A371,import!A:J,5,0)</f>
        <v>18733</v>
      </c>
      <c r="F371" s="257">
        <f>VLOOKUP(A371,import!A:J,6,0)</f>
        <v>1317</v>
      </c>
      <c r="G371" s="257">
        <f>VLOOKUP(A371,import!A:J,7,0)</f>
        <v>5</v>
      </c>
      <c r="H371" s="257">
        <f>VLOOKUP(A371,import!A:J,8,0)</f>
        <v>1</v>
      </c>
      <c r="I371" s="257">
        <f>VLOOKUP(A371,import!A:J,9,0)</f>
        <v>6</v>
      </c>
      <c r="J371" s="369">
        <f>VLOOKUP(A371,import!A:J,10,0)</f>
        <v>0.83</v>
      </c>
      <c r="K371" s="257" t="s">
        <v>4925</v>
      </c>
      <c r="L371" s="257">
        <v>3.222248082E9</v>
      </c>
      <c r="M371" s="257" t="s">
        <v>286</v>
      </c>
      <c r="N371" s="257" t="s">
        <v>3754</v>
      </c>
      <c r="O371" s="257" t="s">
        <v>765</v>
      </c>
      <c r="P371" s="370" t="str">
        <f>VLOOKUP(A371,import!A:P,16,0)</f>
        <v>Geleneksel</v>
      </c>
      <c r="Q371" s="370"/>
      <c r="R371" s="370" t="b">
        <v>1</v>
      </c>
      <c r="S371" s="370" t="b">
        <v>0</v>
      </c>
      <c r="T371" s="301" t="s">
        <v>3679</v>
      </c>
      <c r="U371" s="301" t="s">
        <v>79</v>
      </c>
      <c r="V371" s="301" t="s">
        <v>4054</v>
      </c>
      <c r="W371" s="301"/>
      <c r="X371" s="371">
        <v>44342.0</v>
      </c>
      <c r="Y371" s="371">
        <v>44344.0</v>
      </c>
      <c r="Z371" s="377"/>
      <c r="AA371" s="375"/>
      <c r="AB371" s="375"/>
      <c r="AC371" s="375"/>
      <c r="AD371" s="375"/>
      <c r="AE371" s="92"/>
      <c r="AF371" s="375"/>
      <c r="AG371" s="92"/>
      <c r="AH371" s="375"/>
      <c r="AI371" s="375"/>
      <c r="AJ371" s="375"/>
      <c r="AK371" s="375"/>
      <c r="AL371" s="375"/>
      <c r="AM371" s="375"/>
      <c r="AN371" s="375"/>
      <c r="AO371" s="375"/>
      <c r="AP371" s="376" t="s">
        <v>3686</v>
      </c>
      <c r="AQ371" s="375"/>
    </row>
    <row r="372">
      <c r="A372" s="257" t="s">
        <v>1326</v>
      </c>
      <c r="B372" s="257" t="s">
        <v>1327</v>
      </c>
      <c r="C372" s="257" t="str">
        <f>VLOOKUP(A372,import!A:J,3,0)</f>
        <v>DOĞRU</v>
      </c>
      <c r="D372" s="257" t="s">
        <v>3676</v>
      </c>
      <c r="E372" s="257">
        <f>VLOOKUP(A372,import!A:J,5,0)</f>
        <v>8402</v>
      </c>
      <c r="F372" s="257">
        <f>VLOOKUP(A372,import!A:J,6,0)</f>
        <v>218</v>
      </c>
      <c r="G372" s="257">
        <f>VLOOKUP(A372,import!A:J,7,0)</f>
        <v>8</v>
      </c>
      <c r="H372" s="257">
        <f>VLOOKUP(A372,import!A:J,8,0)</f>
        <v>12</v>
      </c>
      <c r="I372" s="257">
        <f>VLOOKUP(A372,import!A:J,9,0)</f>
        <v>20</v>
      </c>
      <c r="J372" s="369">
        <f>VLOOKUP(A372,import!A:J,10,0)</f>
        <v>0.4</v>
      </c>
      <c r="K372" s="257" t="s">
        <v>4926</v>
      </c>
      <c r="L372" s="257">
        <v>3.222340052E9</v>
      </c>
      <c r="M372" s="257" t="s">
        <v>14</v>
      </c>
      <c r="N372" s="257" t="s">
        <v>3733</v>
      </c>
      <c r="O372" s="257" t="s">
        <v>1329</v>
      </c>
      <c r="P372" s="370" t="str">
        <f>VLOOKUP(A372,import!A:P,16,0)</f>
        <v>Geleneksel</v>
      </c>
      <c r="Q372" s="370"/>
      <c r="R372" s="370" t="b">
        <v>1</v>
      </c>
      <c r="S372" s="370" t="b">
        <v>0</v>
      </c>
      <c r="T372" s="301" t="s">
        <v>3679</v>
      </c>
      <c r="U372" s="301" t="s">
        <v>1953</v>
      </c>
      <c r="V372" s="301" t="s">
        <v>78</v>
      </c>
      <c r="W372" s="301" t="s">
        <v>1954</v>
      </c>
      <c r="X372" s="371">
        <v>44424.0</v>
      </c>
      <c r="Y372" s="371">
        <v>44427.0</v>
      </c>
      <c r="Z372" s="301" t="s">
        <v>3957</v>
      </c>
      <c r="AA372" s="373" t="s">
        <v>3681</v>
      </c>
      <c r="AB372" s="374">
        <v>44348.0</v>
      </c>
      <c r="AC372" s="373" t="s">
        <v>3695</v>
      </c>
      <c r="AD372" s="374">
        <v>44355.0</v>
      </c>
      <c r="AE372" s="373" t="s">
        <v>3681</v>
      </c>
      <c r="AF372" s="374">
        <v>44376.0</v>
      </c>
      <c r="AG372" s="373" t="s">
        <v>3695</v>
      </c>
      <c r="AH372" s="374">
        <v>44382.0</v>
      </c>
      <c r="AI372" s="373" t="s">
        <v>3682</v>
      </c>
      <c r="AJ372" s="374">
        <v>44424.0</v>
      </c>
      <c r="AK372" s="373" t="s">
        <v>79</v>
      </c>
      <c r="AL372" s="373" t="s">
        <v>399</v>
      </c>
      <c r="AM372" s="373" t="s">
        <v>1014</v>
      </c>
      <c r="AN372" s="373" t="s">
        <v>399</v>
      </c>
      <c r="AO372" s="373" t="s">
        <v>1953</v>
      </c>
      <c r="AP372" s="376" t="s">
        <v>3683</v>
      </c>
      <c r="AQ372" s="373"/>
    </row>
    <row r="373">
      <c r="A373" s="257" t="s">
        <v>4927</v>
      </c>
      <c r="B373" s="257" t="s">
        <v>4928</v>
      </c>
      <c r="C373" s="257" t="str">
        <f>VLOOKUP(A373,import!A:J,3,0)</f>
        <v>DOĞRU</v>
      </c>
      <c r="D373" s="257" t="s">
        <v>3676</v>
      </c>
      <c r="E373" s="257">
        <f>VLOOKUP(A373,import!A:J,5,0)</f>
        <v>7113</v>
      </c>
      <c r="F373" s="257">
        <f>VLOOKUP(A373,import!A:J,6,0)</f>
        <v>373</v>
      </c>
      <c r="G373" s="257">
        <f>VLOOKUP(A373,import!A:J,7,0)</f>
        <v>8</v>
      </c>
      <c r="H373" s="257">
        <f>VLOOKUP(A373,import!A:J,8,0)</f>
        <v>17</v>
      </c>
      <c r="I373" s="257">
        <f>VLOOKUP(A373,import!A:J,9,0)</f>
        <v>25</v>
      </c>
      <c r="J373" s="369">
        <f>VLOOKUP(A373,import!A:J,10,0)</f>
        <v>0.32</v>
      </c>
      <c r="K373" s="257" t="s">
        <v>4929</v>
      </c>
      <c r="L373" s="257">
        <v>3.225032525E9</v>
      </c>
      <c r="M373" s="257" t="s">
        <v>286</v>
      </c>
      <c r="N373" s="257" t="s">
        <v>3855</v>
      </c>
      <c r="O373" s="257" t="s">
        <v>4930</v>
      </c>
      <c r="P373" s="370" t="str">
        <f>VLOOKUP(A373,import!A:P,16,0)</f>
        <v>Geleneksel</v>
      </c>
      <c r="Q373" s="370"/>
      <c r="R373" s="370" t="b">
        <v>1</v>
      </c>
      <c r="S373" s="370" t="b">
        <v>0</v>
      </c>
      <c r="T373" s="300" t="s">
        <v>3735</v>
      </c>
      <c r="U373" s="379"/>
      <c r="V373" s="379"/>
      <c r="W373" s="301" t="s">
        <v>4931</v>
      </c>
      <c r="X373" s="381"/>
      <c r="Y373" s="381"/>
      <c r="Z373" s="372"/>
      <c r="AA373" s="373" t="s">
        <v>3448</v>
      </c>
      <c r="AB373" s="374">
        <v>44466.0</v>
      </c>
      <c r="AC373" s="373" t="s">
        <v>3695</v>
      </c>
      <c r="AD373" s="374">
        <v>44467.0</v>
      </c>
      <c r="AE373" s="373"/>
      <c r="AF373" s="374"/>
      <c r="AG373" s="92"/>
      <c r="AH373" s="375"/>
      <c r="AI373" s="375"/>
      <c r="AJ373" s="375"/>
      <c r="AK373" s="373" t="s">
        <v>2542</v>
      </c>
      <c r="AL373" s="373" t="s">
        <v>2192</v>
      </c>
      <c r="AM373" s="375"/>
      <c r="AN373" s="375"/>
      <c r="AO373" s="375"/>
      <c r="AP373" s="376" t="s">
        <v>3686</v>
      </c>
      <c r="AQ373" s="375"/>
    </row>
    <row r="374">
      <c r="A374" s="257" t="s">
        <v>518</v>
      </c>
      <c r="B374" s="257" t="s">
        <v>519</v>
      </c>
      <c r="C374" s="257" t="str">
        <f>VLOOKUP(A374,import!A:J,3,0)</f>
        <v>DOĞRU</v>
      </c>
      <c r="D374" s="257" t="s">
        <v>3676</v>
      </c>
      <c r="E374" s="257">
        <f>VLOOKUP(A374,import!A:J,5,0)</f>
        <v>5114</v>
      </c>
      <c r="F374" s="257">
        <f>VLOOKUP(A374,import!A:J,6,0)</f>
        <v>231</v>
      </c>
      <c r="G374" s="257">
        <f>VLOOKUP(A374,import!A:J,7,0)</f>
        <v>2</v>
      </c>
      <c r="H374" s="257">
        <f>VLOOKUP(A374,import!A:J,8,0)</f>
        <v>11</v>
      </c>
      <c r="I374" s="257">
        <f>VLOOKUP(A374,import!A:J,9,0)</f>
        <v>13</v>
      </c>
      <c r="J374" s="369">
        <f>VLOOKUP(A374,import!A:J,10,0)</f>
        <v>0.15</v>
      </c>
      <c r="K374" s="257" t="s">
        <v>4926</v>
      </c>
      <c r="L374" s="257">
        <v>3.224535721E9</v>
      </c>
      <c r="M374" s="257" t="s">
        <v>286</v>
      </c>
      <c r="N374" s="257" t="s">
        <v>3688</v>
      </c>
      <c r="O374" s="257" t="s">
        <v>521</v>
      </c>
      <c r="P374" s="370" t="str">
        <f>VLOOKUP(A374,import!A:P,16,0)</f>
        <v>Geleneksel</v>
      </c>
      <c r="Q374" s="370"/>
      <c r="R374" s="370" t="b">
        <v>1</v>
      </c>
      <c r="S374" s="370" t="b">
        <v>0</v>
      </c>
      <c r="T374" s="301" t="s">
        <v>3679</v>
      </c>
      <c r="U374" s="301" t="s">
        <v>79</v>
      </c>
      <c r="V374" s="301" t="s">
        <v>342</v>
      </c>
      <c r="W374" s="301" t="s">
        <v>4932</v>
      </c>
      <c r="X374" s="371">
        <v>44310.0</v>
      </c>
      <c r="Y374" s="371">
        <v>44313.0</v>
      </c>
      <c r="Z374" s="377"/>
      <c r="AA374" s="375"/>
      <c r="AB374" s="375"/>
      <c r="AC374" s="375"/>
      <c r="AD374" s="375"/>
      <c r="AE374" s="92"/>
      <c r="AF374" s="375"/>
      <c r="AG374" s="92"/>
      <c r="AH374" s="375"/>
      <c r="AI374" s="375"/>
      <c r="AJ374" s="375"/>
      <c r="AK374" s="375"/>
      <c r="AL374" s="375"/>
      <c r="AM374" s="375"/>
      <c r="AN374" s="375"/>
      <c r="AO374" s="375"/>
      <c r="AP374" s="376" t="s">
        <v>3686</v>
      </c>
      <c r="AQ374" s="375"/>
    </row>
    <row r="375">
      <c r="A375" s="257" t="s">
        <v>28</v>
      </c>
      <c r="B375" s="257" t="s">
        <v>29</v>
      </c>
      <c r="C375" s="257" t="str">
        <f>VLOOKUP(A375,import!A:J,3,0)</f>
        <v>DOĞRU</v>
      </c>
      <c r="D375" s="257" t="s">
        <v>3676</v>
      </c>
      <c r="E375" s="257">
        <f>VLOOKUP(A375,import!A:J,5,0)</f>
        <v>18194</v>
      </c>
      <c r="F375" s="257">
        <f>VLOOKUP(A375,import!A:J,6,0)</f>
        <v>570</v>
      </c>
      <c r="G375" s="257">
        <f>VLOOKUP(A375,import!A:J,7,0)</f>
        <v>27</v>
      </c>
      <c r="H375" s="257">
        <f>VLOOKUP(A375,import!A:J,8,0)</f>
        <v>7</v>
      </c>
      <c r="I375" s="257">
        <f>VLOOKUP(A375,import!A:J,9,0)</f>
        <v>34</v>
      </c>
      <c r="J375" s="369">
        <f>VLOOKUP(A375,import!A:J,10,0)</f>
        <v>0.79</v>
      </c>
      <c r="K375" s="257" t="s">
        <v>4933</v>
      </c>
      <c r="L375" s="257">
        <v>3.222398595E9</v>
      </c>
      <c r="M375" s="257" t="s">
        <v>14</v>
      </c>
      <c r="N375" s="257" t="s">
        <v>3718</v>
      </c>
      <c r="O375" s="257" t="s">
        <v>33</v>
      </c>
      <c r="P375" s="370" t="str">
        <f>VLOOKUP(A375,import!A:P,16,0)</f>
        <v>Geleneksel</v>
      </c>
      <c r="Q375" s="370"/>
      <c r="R375" s="370" t="b">
        <v>1</v>
      </c>
      <c r="S375" s="370" t="b">
        <v>0</v>
      </c>
      <c r="T375" s="301" t="s">
        <v>3679</v>
      </c>
      <c r="U375" s="301" t="s">
        <v>1947</v>
      </c>
      <c r="V375" s="36" t="s">
        <v>78</v>
      </c>
      <c r="W375" s="301" t="s">
        <v>4934</v>
      </c>
      <c r="X375" s="371">
        <v>44420.0</v>
      </c>
      <c r="Y375" s="371">
        <v>44425.0</v>
      </c>
      <c r="Z375" s="377"/>
      <c r="AA375" s="373" t="s">
        <v>3682</v>
      </c>
      <c r="AB375" s="374">
        <v>44382.0</v>
      </c>
      <c r="AC375" s="373" t="s">
        <v>3682</v>
      </c>
      <c r="AD375" s="374">
        <v>44420.0</v>
      </c>
      <c r="AE375" s="92"/>
      <c r="AF375" s="375"/>
      <c r="AG375" s="92"/>
      <c r="AH375" s="375"/>
      <c r="AI375" s="375"/>
      <c r="AJ375" s="375"/>
      <c r="AK375" s="373" t="s">
        <v>3719</v>
      </c>
      <c r="AL375" s="373" t="s">
        <v>1947</v>
      </c>
      <c r="AM375" s="375"/>
      <c r="AN375" s="375"/>
      <c r="AO375" s="375"/>
      <c r="AP375" s="376" t="s">
        <v>3683</v>
      </c>
      <c r="AQ375" s="375"/>
    </row>
    <row r="376">
      <c r="A376" s="257" t="s">
        <v>1819</v>
      </c>
      <c r="B376" s="257" t="s">
        <v>1820</v>
      </c>
      <c r="C376" s="257" t="str">
        <f>VLOOKUP(A376,import!A:J,3,0)</f>
        <v>DOĞRU</v>
      </c>
      <c r="D376" s="257" t="s">
        <v>3713</v>
      </c>
      <c r="E376" s="257">
        <f>VLOOKUP(A376,import!A:J,5,0)</f>
        <v>1593</v>
      </c>
      <c r="F376" s="257">
        <f>VLOOKUP(A376,import!A:J,6,0)</f>
        <v>106</v>
      </c>
      <c r="G376" s="257">
        <f>VLOOKUP(A376,import!A:J,7,0)</f>
        <v>7</v>
      </c>
      <c r="H376" s="257">
        <f>VLOOKUP(A376,import!A:J,8,0)</f>
        <v>19</v>
      </c>
      <c r="I376" s="257">
        <f>VLOOKUP(A376,import!A:J,9,0)</f>
        <v>26</v>
      </c>
      <c r="J376" s="369">
        <f>VLOOKUP(A376,import!A:J,10,0)</f>
        <v>0.27</v>
      </c>
      <c r="K376" s="257" t="s">
        <v>4935</v>
      </c>
      <c r="L376" s="257">
        <v>3.222343621E9</v>
      </c>
      <c r="M376" s="257" t="s">
        <v>14</v>
      </c>
      <c r="N376" s="257" t="s">
        <v>3767</v>
      </c>
      <c r="O376" s="257" t="s">
        <v>4936</v>
      </c>
      <c r="P376" s="370" t="str">
        <f>VLOOKUP(A376,import!A:P,16,0)</f>
        <v>Geleneksel</v>
      </c>
      <c r="Q376" s="370"/>
      <c r="R376" s="370" t="b">
        <v>1</v>
      </c>
      <c r="S376" s="370" t="b">
        <v>0</v>
      </c>
      <c r="T376" s="301" t="s">
        <v>3679</v>
      </c>
      <c r="U376" s="301" t="s">
        <v>2282</v>
      </c>
      <c r="V376" s="301" t="s">
        <v>78</v>
      </c>
      <c r="W376" s="301" t="s">
        <v>4937</v>
      </c>
      <c r="X376" s="371">
        <v>44469.0</v>
      </c>
      <c r="Y376" s="371">
        <v>44470.0</v>
      </c>
      <c r="Z376" s="372"/>
      <c r="AA376" s="373" t="s">
        <v>3682</v>
      </c>
      <c r="AB376" s="374">
        <v>44412.0</v>
      </c>
      <c r="AC376" s="373" t="s">
        <v>3682</v>
      </c>
      <c r="AD376" s="374">
        <v>44469.0</v>
      </c>
      <c r="AE376" s="92"/>
      <c r="AF376" s="375"/>
      <c r="AG376" s="92"/>
      <c r="AH376" s="375"/>
      <c r="AI376" s="375"/>
      <c r="AJ376" s="375"/>
      <c r="AK376" s="373"/>
      <c r="AL376" s="373" t="s">
        <v>2282</v>
      </c>
      <c r="AM376" s="375"/>
      <c r="AN376" s="375"/>
      <c r="AO376" s="375"/>
      <c r="AP376" s="376" t="s">
        <v>3683</v>
      </c>
      <c r="AQ376" s="375"/>
    </row>
    <row r="377">
      <c r="A377" s="257" t="s">
        <v>3555</v>
      </c>
      <c r="B377" s="257" t="s">
        <v>3556</v>
      </c>
      <c r="C377" s="257" t="str">
        <f>VLOOKUP(A377,import!A:J,3,0)</f>
        <v>DOĞRU</v>
      </c>
      <c r="D377" s="257" t="s">
        <v>3699</v>
      </c>
      <c r="E377" s="257">
        <f>VLOOKUP(A377,import!A:J,5,0)</f>
        <v>242</v>
      </c>
      <c r="F377" s="257">
        <f>VLOOKUP(A377,import!A:J,6,0)</f>
        <v>107</v>
      </c>
      <c r="G377" s="257">
        <f>VLOOKUP(A377,import!A:J,7,0)</f>
        <v>0</v>
      </c>
      <c r="H377" s="257">
        <f>VLOOKUP(A377,import!A:J,8,0)</f>
        <v>42</v>
      </c>
      <c r="I377" s="257">
        <f>VLOOKUP(A377,import!A:J,9,0)</f>
        <v>42</v>
      </c>
      <c r="J377" s="369">
        <f>VLOOKUP(A377,import!A:J,10,0)</f>
        <v>0</v>
      </c>
      <c r="K377" s="257" t="s">
        <v>4938</v>
      </c>
      <c r="L377" s="257">
        <v>5.412271725E9</v>
      </c>
      <c r="M377" s="257" t="s">
        <v>286</v>
      </c>
      <c r="N377" s="257" t="s">
        <v>3855</v>
      </c>
      <c r="O377" s="257" t="s">
        <v>3558</v>
      </c>
      <c r="P377" s="370" t="str">
        <f>VLOOKUP(A377,import!A:P,16,0)</f>
        <v>Geleneksel</v>
      </c>
      <c r="Q377" s="370"/>
      <c r="R377" s="370" t="b">
        <v>1</v>
      </c>
      <c r="S377" s="370" t="b">
        <v>0</v>
      </c>
      <c r="T377" s="301" t="s">
        <v>3679</v>
      </c>
      <c r="U377" s="301" t="s">
        <v>2542</v>
      </c>
      <c r="V377" s="394" t="s">
        <v>3331</v>
      </c>
      <c r="W377" s="301"/>
      <c r="X377" s="371">
        <v>44637.0</v>
      </c>
      <c r="Y377" s="371">
        <v>44638.0</v>
      </c>
      <c r="Z377" s="372"/>
      <c r="AA377" s="373" t="s">
        <v>3682</v>
      </c>
      <c r="AB377" s="371">
        <v>44637.0</v>
      </c>
      <c r="AC377" s="373"/>
      <c r="AD377" s="374"/>
      <c r="AE377" s="373"/>
      <c r="AF377" s="374"/>
      <c r="AG377" s="373"/>
      <c r="AH377" s="374"/>
      <c r="AI377" s="373"/>
      <c r="AJ377" s="374"/>
      <c r="AK377" s="373" t="s">
        <v>2542</v>
      </c>
      <c r="AL377" s="373"/>
      <c r="AM377" s="373"/>
      <c r="AN377" s="373"/>
      <c r="AO377" s="373"/>
      <c r="AP377" s="376"/>
      <c r="AQ377" s="373"/>
    </row>
    <row r="378">
      <c r="A378" s="257" t="s">
        <v>2109</v>
      </c>
      <c r="B378" s="257" t="s">
        <v>2110</v>
      </c>
      <c r="C378" s="257" t="str">
        <f>VLOOKUP(A378,import!A:J,3,0)</f>
        <v>YANLIŞ</v>
      </c>
      <c r="D378" s="257" t="s">
        <v>3699</v>
      </c>
      <c r="E378" s="257">
        <f>VLOOKUP(A378,import!A:J,5,0)</f>
        <v>23</v>
      </c>
      <c r="F378" s="257" t="str">
        <f>VLOOKUP(A378,import!A:J,6,0)</f>
        <v/>
      </c>
      <c r="G378" s="257">
        <f>VLOOKUP(A378,import!A:J,7,0)</f>
        <v>17</v>
      </c>
      <c r="H378" s="257">
        <f>VLOOKUP(A378,import!A:J,8,0)</f>
        <v>6</v>
      </c>
      <c r="I378" s="257">
        <f>VLOOKUP(A378,import!A:J,9,0)</f>
        <v>23</v>
      </c>
      <c r="J378" s="369">
        <f>VLOOKUP(A378,import!A:J,10,0)</f>
        <v>0.74</v>
      </c>
      <c r="K378" s="257" t="s">
        <v>4939</v>
      </c>
      <c r="L378" s="257">
        <v>5.318947684E9</v>
      </c>
      <c r="M378" s="257" t="s">
        <v>3707</v>
      </c>
      <c r="N378" s="257" t="s">
        <v>4570</v>
      </c>
      <c r="O378" s="257" t="s">
        <v>2112</v>
      </c>
      <c r="P378" s="370" t="str">
        <f>VLOOKUP(A378,import!A:P,16,0)</f>
        <v>Geleneksel</v>
      </c>
      <c r="Q378" s="370"/>
      <c r="R378" s="370" t="b">
        <v>1</v>
      </c>
      <c r="S378" s="370" t="b">
        <v>0</v>
      </c>
      <c r="T378" s="301" t="s">
        <v>3679</v>
      </c>
      <c r="U378" s="301" t="s">
        <v>3723</v>
      </c>
      <c r="V378" s="301" t="s">
        <v>78</v>
      </c>
      <c r="W378" s="301"/>
      <c r="X378" s="371">
        <v>44432.0</v>
      </c>
      <c r="Y378" s="371">
        <v>44435.0</v>
      </c>
      <c r="Z378" s="372"/>
      <c r="AA378" s="373" t="s">
        <v>3682</v>
      </c>
      <c r="AB378" s="374">
        <v>44432.0</v>
      </c>
      <c r="AC378" s="373"/>
      <c r="AD378" s="374"/>
      <c r="AE378" s="373"/>
      <c r="AF378" s="374"/>
      <c r="AG378" s="92"/>
      <c r="AH378" s="375"/>
      <c r="AI378" s="375"/>
      <c r="AJ378" s="375"/>
      <c r="AK378" s="373" t="s">
        <v>3723</v>
      </c>
      <c r="AL378" s="375"/>
      <c r="AM378" s="375"/>
      <c r="AN378" s="375"/>
      <c r="AO378" s="375"/>
      <c r="AP378" s="376" t="s">
        <v>3686</v>
      </c>
      <c r="AQ378" s="375"/>
    </row>
    <row r="379">
      <c r="A379" s="257" t="s">
        <v>2631</v>
      </c>
      <c r="B379" s="257" t="s">
        <v>2632</v>
      </c>
      <c r="C379" s="257" t="str">
        <f>VLOOKUP(A379,import!A:J,3,0)</f>
        <v>DOĞRU</v>
      </c>
      <c r="D379" s="257" t="s">
        <v>3699</v>
      </c>
      <c r="E379" s="257">
        <f>VLOOKUP(A379,import!A:J,5,0)</f>
        <v>1737</v>
      </c>
      <c r="F379" s="257">
        <f>VLOOKUP(A379,import!A:J,6,0)</f>
        <v>113</v>
      </c>
      <c r="G379" s="257">
        <f>VLOOKUP(A379,import!A:J,7,0)</f>
        <v>7</v>
      </c>
      <c r="H379" s="257">
        <f>VLOOKUP(A379,import!A:J,8,0)</f>
        <v>75</v>
      </c>
      <c r="I379" s="257">
        <f>VLOOKUP(A379,import!A:J,9,0)</f>
        <v>82</v>
      </c>
      <c r="J379" s="369">
        <f>VLOOKUP(A379,import!A:J,10,0)</f>
        <v>0.09</v>
      </c>
      <c r="K379" s="257" t="s">
        <v>4940</v>
      </c>
      <c r="L379" s="257">
        <v>5.079163835E9</v>
      </c>
      <c r="M379" s="257" t="s">
        <v>14</v>
      </c>
      <c r="N379" s="257" t="s">
        <v>3826</v>
      </c>
      <c r="O379" s="257" t="s">
        <v>2635</v>
      </c>
      <c r="P379" s="370" t="str">
        <f>VLOOKUP(A379,import!A:P,16,0)</f>
        <v>Geleneksel</v>
      </c>
      <c r="Q379" s="370"/>
      <c r="R379" s="370" t="b">
        <v>1</v>
      </c>
      <c r="S379" s="370" t="b">
        <v>0</v>
      </c>
      <c r="T379" s="301" t="s">
        <v>3679</v>
      </c>
      <c r="U379" s="301" t="s">
        <v>2576</v>
      </c>
      <c r="V379" s="301" t="s">
        <v>78</v>
      </c>
      <c r="W379" s="301" t="s">
        <v>4941</v>
      </c>
      <c r="X379" s="371">
        <v>44463.0</v>
      </c>
      <c r="Y379" s="371">
        <v>44466.0</v>
      </c>
      <c r="Z379" s="372"/>
      <c r="AA379" s="373" t="s">
        <v>3448</v>
      </c>
      <c r="AB379" s="374">
        <v>44348.0</v>
      </c>
      <c r="AC379" s="373" t="s">
        <v>3448</v>
      </c>
      <c r="AD379" s="374">
        <v>44356.0</v>
      </c>
      <c r="AE379" s="373" t="s">
        <v>3448</v>
      </c>
      <c r="AF379" s="374">
        <v>44365.0</v>
      </c>
      <c r="AG379" s="373" t="s">
        <v>3448</v>
      </c>
      <c r="AH379" s="374">
        <v>44368.0</v>
      </c>
      <c r="AI379" s="373" t="s">
        <v>3682</v>
      </c>
      <c r="AJ379" s="374">
        <v>44463.0</v>
      </c>
      <c r="AK379" s="373" t="s">
        <v>111</v>
      </c>
      <c r="AL379" s="373" t="s">
        <v>2706</v>
      </c>
      <c r="AM379" s="373" t="s">
        <v>79</v>
      </c>
      <c r="AN379" s="373" t="s">
        <v>1014</v>
      </c>
      <c r="AO379" s="373" t="s">
        <v>2576</v>
      </c>
      <c r="AP379" s="376" t="s">
        <v>3683</v>
      </c>
      <c r="AQ379" s="373"/>
    </row>
    <row r="380">
      <c r="A380" s="257" t="s">
        <v>4942</v>
      </c>
      <c r="B380" s="257" t="s">
        <v>4943</v>
      </c>
      <c r="C380" s="257" t="str">
        <f>VLOOKUP(A380,import!A:J,3,0)</f>
        <v>YANLIŞ</v>
      </c>
      <c r="D380" s="257" t="s">
        <v>4944</v>
      </c>
      <c r="E380" s="257">
        <f>VLOOKUP(A380,import!A:J,5,0)</f>
        <v>3808</v>
      </c>
      <c r="F380" s="257" t="str">
        <f>VLOOKUP(A380,import!A:J,6,0)</f>
        <v/>
      </c>
      <c r="G380" s="257">
        <f>VLOOKUP(A380,import!A:J,7,0)</f>
        <v>0</v>
      </c>
      <c r="H380" s="257">
        <f>VLOOKUP(A380,import!A:J,8,0)</f>
        <v>28</v>
      </c>
      <c r="I380" s="257">
        <f>VLOOKUP(A380,import!A:J,9,0)</f>
        <v>28</v>
      </c>
      <c r="J380" s="369">
        <f>VLOOKUP(A380,import!A:J,10,0)</f>
        <v>0</v>
      </c>
      <c r="K380" s="257" t="s">
        <v>4945</v>
      </c>
      <c r="L380" s="257">
        <v>5.395765777E9</v>
      </c>
      <c r="M380" s="257" t="s">
        <v>14</v>
      </c>
      <c r="N380" s="257" t="s">
        <v>3826</v>
      </c>
      <c r="O380" s="257" t="s">
        <v>4946</v>
      </c>
      <c r="P380" s="370" t="str">
        <f>VLOOKUP(A380,import!A:P,16,0)</f>
        <v>Geleneksel</v>
      </c>
      <c r="Q380" s="370"/>
      <c r="R380" s="370" t="b">
        <v>1</v>
      </c>
      <c r="S380" s="370" t="b">
        <v>1</v>
      </c>
      <c r="T380" s="379"/>
      <c r="U380" s="379"/>
      <c r="V380" s="379"/>
      <c r="W380" s="301" t="s">
        <v>4947</v>
      </c>
      <c r="X380" s="381"/>
      <c r="Y380" s="381"/>
      <c r="Z380" s="372"/>
      <c r="AA380" s="373" t="s">
        <v>3682</v>
      </c>
      <c r="AB380" s="374">
        <v>44440.0</v>
      </c>
      <c r="AC380" s="373" t="s">
        <v>3682</v>
      </c>
      <c r="AD380" s="374">
        <v>44450.0</v>
      </c>
      <c r="AE380" s="92"/>
      <c r="AF380" s="375"/>
      <c r="AG380" s="92"/>
      <c r="AH380" s="375"/>
      <c r="AI380" s="375"/>
      <c r="AJ380" s="375"/>
      <c r="AK380" s="373" t="s">
        <v>2542</v>
      </c>
      <c r="AL380" s="373" t="s">
        <v>2542</v>
      </c>
      <c r="AM380" s="375"/>
      <c r="AN380" s="375"/>
      <c r="AO380" s="375"/>
      <c r="AP380" s="376" t="s">
        <v>3683</v>
      </c>
      <c r="AQ380" s="375"/>
    </row>
    <row r="381">
      <c r="A381" s="257" t="s">
        <v>4948</v>
      </c>
      <c r="B381" s="257" t="s">
        <v>4949</v>
      </c>
      <c r="C381" s="257" t="str">
        <f>VLOOKUP(A381,import!A:J,3,0)</f>
        <v>DOĞRU</v>
      </c>
      <c r="D381" s="257" t="s">
        <v>4944</v>
      </c>
      <c r="E381" s="257">
        <f>VLOOKUP(A381,import!A:J,5,0)</f>
        <v>697</v>
      </c>
      <c r="F381" s="257">
        <f>VLOOKUP(A381,import!A:J,6,0)</f>
        <v>35</v>
      </c>
      <c r="G381" s="257">
        <f>VLOOKUP(A381,import!A:J,7,0)</f>
        <v>0</v>
      </c>
      <c r="H381" s="257">
        <f>VLOOKUP(A381,import!A:J,8,0)</f>
        <v>32</v>
      </c>
      <c r="I381" s="257">
        <f>VLOOKUP(A381,import!A:J,9,0)</f>
        <v>32</v>
      </c>
      <c r="J381" s="369">
        <f>VLOOKUP(A381,import!A:J,10,0)</f>
        <v>0</v>
      </c>
      <c r="K381" s="257" t="s">
        <v>4950</v>
      </c>
      <c r="L381" s="257">
        <v>3.224288811E9</v>
      </c>
      <c r="M381" s="257" t="s">
        <v>286</v>
      </c>
      <c r="N381" s="257" t="s">
        <v>3980</v>
      </c>
      <c r="O381" s="257" t="s">
        <v>4951</v>
      </c>
      <c r="P381" s="370" t="str">
        <f>VLOOKUP(A381,import!A:P,16,0)</f>
        <v>Geleneksel</v>
      </c>
      <c r="Q381" s="370"/>
      <c r="R381" s="370" t="b">
        <v>1</v>
      </c>
      <c r="S381" s="370" t="b">
        <v>0</v>
      </c>
      <c r="T381" s="301"/>
      <c r="U381" s="379"/>
      <c r="V381" s="379"/>
      <c r="W381" s="301" t="s">
        <v>4952</v>
      </c>
      <c r="X381" s="381"/>
      <c r="Y381" s="381"/>
      <c r="Z381" s="372"/>
      <c r="AA381" s="373" t="s">
        <v>3682</v>
      </c>
      <c r="AB381" s="374">
        <v>44641.0</v>
      </c>
      <c r="AC381" s="373"/>
      <c r="AD381" s="374"/>
      <c r="AE381" s="373"/>
      <c r="AF381" s="374"/>
      <c r="AG381" s="373"/>
      <c r="AH381" s="374"/>
      <c r="AI381" s="375"/>
      <c r="AJ381" s="375"/>
      <c r="AK381" s="373" t="s">
        <v>2542</v>
      </c>
      <c r="AL381" s="375"/>
      <c r="AM381" s="375"/>
      <c r="AN381" s="373"/>
      <c r="AO381" s="375"/>
      <c r="AP381" s="376"/>
      <c r="AQ381" s="375"/>
    </row>
    <row r="382">
      <c r="A382" s="266" t="s">
        <v>4953</v>
      </c>
      <c r="B382" s="266" t="s">
        <v>4954</v>
      </c>
      <c r="C382" s="257" t="str">
        <f>VLOOKUP(A382,import!A:J,3,0)</f>
        <v>YANLIŞ</v>
      </c>
      <c r="D382" s="266" t="s">
        <v>3676</v>
      </c>
      <c r="E382" s="257">
        <f>VLOOKUP(A382,import!A:J,5,0)</f>
        <v>299</v>
      </c>
      <c r="F382" s="257" t="str">
        <f>VLOOKUP(A382,import!A:J,6,0)</f>
        <v/>
      </c>
      <c r="G382" s="257">
        <f>VLOOKUP(A382,import!A:J,7,0)</f>
        <v>0</v>
      </c>
      <c r="H382" s="257">
        <f>VLOOKUP(A382,import!A:J,8,0)</f>
        <v>19</v>
      </c>
      <c r="I382" s="257">
        <f>VLOOKUP(A382,import!A:J,9,0)</f>
        <v>19</v>
      </c>
      <c r="J382" s="369">
        <f>VLOOKUP(A382,import!A:J,10,0)</f>
        <v>0</v>
      </c>
      <c r="K382" s="266" t="s">
        <v>4955</v>
      </c>
      <c r="L382" s="266">
        <v>3.224217878E9</v>
      </c>
      <c r="M382" s="266" t="s">
        <v>286</v>
      </c>
      <c r="N382" s="266" t="s">
        <v>4956</v>
      </c>
      <c r="O382" s="266" t="s">
        <v>4957</v>
      </c>
      <c r="P382" s="370" t="str">
        <f>VLOOKUP(A382,import!A:P,16,0)</f>
        <v>Geleneksel</v>
      </c>
      <c r="Q382" s="370"/>
      <c r="R382" s="370" t="b">
        <v>1</v>
      </c>
      <c r="S382" s="370" t="b">
        <v>0</v>
      </c>
      <c r="T382" s="301" t="s">
        <v>3770</v>
      </c>
      <c r="U382" s="301"/>
      <c r="V382" s="301"/>
      <c r="W382" s="301" t="s">
        <v>4958</v>
      </c>
      <c r="X382" s="371"/>
      <c r="Y382" s="371"/>
      <c r="Z382" s="372"/>
      <c r="AA382" s="373" t="s">
        <v>3448</v>
      </c>
      <c r="AB382" s="374">
        <v>44390.0</v>
      </c>
      <c r="AC382" s="373" t="s">
        <v>3682</v>
      </c>
      <c r="AD382" s="374">
        <v>44390.0</v>
      </c>
      <c r="AE382" s="373" t="s">
        <v>3682</v>
      </c>
      <c r="AF382" s="374">
        <v>44392.0</v>
      </c>
      <c r="AG382" s="373" t="s">
        <v>3682</v>
      </c>
      <c r="AH382" s="374">
        <v>44408.0</v>
      </c>
      <c r="AI382" s="373" t="s">
        <v>3682</v>
      </c>
      <c r="AJ382" s="374">
        <v>44448.0</v>
      </c>
      <c r="AK382" s="373" t="s">
        <v>3719</v>
      </c>
      <c r="AL382" s="373" t="s">
        <v>3719</v>
      </c>
      <c r="AM382" s="373" t="s">
        <v>4089</v>
      </c>
      <c r="AN382" s="373" t="s">
        <v>1014</v>
      </c>
      <c r="AO382" s="373" t="s">
        <v>2542</v>
      </c>
      <c r="AP382" s="376" t="s">
        <v>3686</v>
      </c>
      <c r="AQ382" s="373"/>
    </row>
    <row r="383">
      <c r="A383" s="257" t="s">
        <v>1901</v>
      </c>
      <c r="B383" s="257" t="s">
        <v>1902</v>
      </c>
      <c r="C383" s="257" t="str">
        <f>VLOOKUP(A383,import!A:J,3,0)</f>
        <v>DOĞRU</v>
      </c>
      <c r="D383" s="257" t="s">
        <v>3994</v>
      </c>
      <c r="E383" s="257">
        <f>VLOOKUP(A383,import!A:J,5,0)</f>
        <v>404</v>
      </c>
      <c r="F383" s="257">
        <f>VLOOKUP(A383,import!A:J,6,0)</f>
        <v>21</v>
      </c>
      <c r="G383" s="257">
        <f>VLOOKUP(A383,import!A:J,7,0)</f>
        <v>6</v>
      </c>
      <c r="H383" s="257">
        <f>VLOOKUP(A383,import!A:J,8,0)</f>
        <v>74</v>
      </c>
      <c r="I383" s="257">
        <f>VLOOKUP(A383,import!A:J,9,0)</f>
        <v>80</v>
      </c>
      <c r="J383" s="369">
        <f>VLOOKUP(A383,import!A:J,10,0)</f>
        <v>0.08</v>
      </c>
      <c r="K383" s="257" t="s">
        <v>4959</v>
      </c>
      <c r="L383" s="257">
        <v>3.222276767E9</v>
      </c>
      <c r="M383" s="257" t="s">
        <v>286</v>
      </c>
      <c r="N383" s="257" t="s">
        <v>3961</v>
      </c>
      <c r="O383" s="257" t="s">
        <v>1904</v>
      </c>
      <c r="P383" s="370" t="str">
        <f>VLOOKUP(A383,import!A:P,16,0)</f>
        <v>Geleneksel</v>
      </c>
      <c r="Q383" s="370"/>
      <c r="R383" s="370" t="b">
        <v>1</v>
      </c>
      <c r="S383" s="370" t="b">
        <v>0</v>
      </c>
      <c r="T383" s="301" t="s">
        <v>4960</v>
      </c>
      <c r="U383" s="301" t="s">
        <v>2418</v>
      </c>
      <c r="V383" s="301" t="s">
        <v>78</v>
      </c>
      <c r="W383" s="301" t="s">
        <v>4961</v>
      </c>
      <c r="X383" s="371">
        <v>44476.0</v>
      </c>
      <c r="Y383" s="371">
        <v>44480.0</v>
      </c>
      <c r="Z383" s="372"/>
      <c r="AA383" s="373" t="s">
        <v>3681</v>
      </c>
      <c r="AB383" s="374">
        <v>44390.0</v>
      </c>
      <c r="AC383" s="373" t="s">
        <v>3682</v>
      </c>
      <c r="AD383" s="374">
        <v>44406.0</v>
      </c>
      <c r="AE383" s="373" t="s">
        <v>3682</v>
      </c>
      <c r="AF383" s="374">
        <v>44420.0</v>
      </c>
      <c r="AG383" s="373" t="s">
        <v>3682</v>
      </c>
      <c r="AH383" s="374">
        <v>44476.0</v>
      </c>
      <c r="AI383" s="373" t="s">
        <v>3682</v>
      </c>
      <c r="AJ383" s="374">
        <v>44508.0</v>
      </c>
      <c r="AK383" s="373" t="s">
        <v>3752</v>
      </c>
      <c r="AL383" s="375"/>
      <c r="AM383" s="373" t="s">
        <v>1947</v>
      </c>
      <c r="AN383" s="375"/>
      <c r="AO383" s="373" t="s">
        <v>2282</v>
      </c>
      <c r="AP383" s="376" t="s">
        <v>3686</v>
      </c>
      <c r="AQ383" s="373"/>
    </row>
    <row r="384">
      <c r="A384" s="257" t="s">
        <v>1363</v>
      </c>
      <c r="B384" s="257" t="s">
        <v>1364</v>
      </c>
      <c r="C384" s="257" t="str">
        <f>VLOOKUP(A384,import!A:J,3,0)</f>
        <v>DOĞRU</v>
      </c>
      <c r="D384" s="257" t="s">
        <v>4000</v>
      </c>
      <c r="E384" s="257">
        <f>VLOOKUP(A384,import!A:J,5,0)</f>
        <v>1261</v>
      </c>
      <c r="F384" s="257">
        <f>VLOOKUP(A384,import!A:J,6,0)</f>
        <v>48</v>
      </c>
      <c r="G384" s="257">
        <f>VLOOKUP(A384,import!A:J,7,0)</f>
        <v>5</v>
      </c>
      <c r="H384" s="257">
        <f>VLOOKUP(A384,import!A:J,8,0)</f>
        <v>121</v>
      </c>
      <c r="I384" s="257">
        <f>VLOOKUP(A384,import!A:J,9,0)</f>
        <v>126</v>
      </c>
      <c r="J384" s="369">
        <f>VLOOKUP(A384,import!A:J,10,0)</f>
        <v>0.04</v>
      </c>
      <c r="K384" s="257" t="s">
        <v>4962</v>
      </c>
      <c r="L384" s="257">
        <v>3.224570065E9</v>
      </c>
      <c r="M384" s="257" t="s">
        <v>286</v>
      </c>
      <c r="N384" s="257" t="s">
        <v>3806</v>
      </c>
      <c r="O384" s="257" t="s">
        <v>1366</v>
      </c>
      <c r="P384" s="370" t="str">
        <f>VLOOKUP(A384,import!A:P,16,0)</f>
        <v>Geleneksel</v>
      </c>
      <c r="Q384" s="370"/>
      <c r="R384" s="370" t="b">
        <v>1</v>
      </c>
      <c r="S384" s="370" t="b">
        <v>0</v>
      </c>
      <c r="T384" s="301" t="s">
        <v>3679</v>
      </c>
      <c r="U384" s="301" t="s">
        <v>79</v>
      </c>
      <c r="V384" s="301" t="s">
        <v>78</v>
      </c>
      <c r="W384" s="301" t="s">
        <v>4963</v>
      </c>
      <c r="X384" s="371">
        <v>44385.0</v>
      </c>
      <c r="Y384" s="371">
        <v>44389.0</v>
      </c>
      <c r="Z384" s="372"/>
      <c r="AA384" s="373" t="s">
        <v>3695</v>
      </c>
      <c r="AB384" s="374">
        <v>44384.0</v>
      </c>
      <c r="AC384" s="373" t="s">
        <v>3682</v>
      </c>
      <c r="AD384" s="374">
        <v>44385.0</v>
      </c>
      <c r="AE384" s="373" t="s">
        <v>3695</v>
      </c>
      <c r="AF384" s="374">
        <v>44448.0</v>
      </c>
      <c r="AG384" s="373" t="s">
        <v>3448</v>
      </c>
      <c r="AH384" s="374">
        <v>44476.0</v>
      </c>
      <c r="AI384" s="375"/>
      <c r="AJ384" s="375"/>
      <c r="AK384" s="373" t="s">
        <v>3752</v>
      </c>
      <c r="AL384" s="375"/>
      <c r="AM384" s="373" t="s">
        <v>2542</v>
      </c>
      <c r="AN384" s="373" t="s">
        <v>2418</v>
      </c>
      <c r="AO384" s="375"/>
      <c r="AP384" s="376" t="s">
        <v>3686</v>
      </c>
      <c r="AQ384" s="375"/>
    </row>
    <row r="385">
      <c r="A385" s="257" t="s">
        <v>4964</v>
      </c>
      <c r="B385" s="257" t="s">
        <v>4965</v>
      </c>
      <c r="C385" s="257" t="str">
        <f>VLOOKUP(A385,import!A:J,3,0)</f>
        <v>DOĞRU</v>
      </c>
      <c r="D385" s="257" t="s">
        <v>3842</v>
      </c>
      <c r="E385" s="257">
        <f>VLOOKUP(A385,import!A:J,5,0)</f>
        <v>31</v>
      </c>
      <c r="F385" s="257" t="str">
        <f>VLOOKUP(A385,import!A:J,6,0)</f>
        <v/>
      </c>
      <c r="G385" s="257">
        <f>VLOOKUP(A385,import!A:J,7,0)</f>
        <v>0</v>
      </c>
      <c r="H385" s="257">
        <f>VLOOKUP(A385,import!A:J,8,0)</f>
        <v>51</v>
      </c>
      <c r="I385" s="257">
        <f>VLOOKUP(A385,import!A:J,9,0)</f>
        <v>51</v>
      </c>
      <c r="J385" s="369">
        <f>VLOOKUP(A385,import!A:J,10,0)</f>
        <v>0</v>
      </c>
      <c r="K385" s="257" t="s">
        <v>4966</v>
      </c>
      <c r="L385" s="257">
        <v>5.466901923E9</v>
      </c>
      <c r="M385" s="257" t="s">
        <v>286</v>
      </c>
      <c r="N385" s="257" t="s">
        <v>3806</v>
      </c>
      <c r="O385" s="257" t="s">
        <v>4967</v>
      </c>
      <c r="P385" s="370" t="str">
        <f>VLOOKUP(A385,import!A:P,16,0)</f>
        <v>Geleneksel</v>
      </c>
      <c r="Q385" s="370"/>
      <c r="R385" s="370" t="b">
        <v>1</v>
      </c>
      <c r="S385" s="370" t="b">
        <v>1</v>
      </c>
      <c r="T385" s="301"/>
      <c r="U385" s="379"/>
      <c r="V385" s="379"/>
      <c r="W385" s="301" t="s">
        <v>4828</v>
      </c>
      <c r="X385" s="381"/>
      <c r="Y385" s="381"/>
      <c r="Z385" s="372"/>
      <c r="AA385" s="373" t="s">
        <v>3448</v>
      </c>
      <c r="AB385" s="374">
        <v>44392.0</v>
      </c>
      <c r="AC385" s="375"/>
      <c r="AD385" s="375"/>
      <c r="AE385" s="92"/>
      <c r="AF385" s="375"/>
      <c r="AG385" s="92"/>
      <c r="AH385" s="375"/>
      <c r="AI385" s="375"/>
      <c r="AJ385" s="375"/>
      <c r="AK385" s="373" t="s">
        <v>4088</v>
      </c>
      <c r="AL385" s="375"/>
      <c r="AM385" s="375"/>
      <c r="AN385" s="375"/>
      <c r="AO385" s="375"/>
      <c r="AP385" s="376" t="s">
        <v>3686</v>
      </c>
      <c r="AQ385" s="375"/>
    </row>
    <row r="386">
      <c r="A386" s="257" t="s">
        <v>436</v>
      </c>
      <c r="B386" s="257" t="s">
        <v>437</v>
      </c>
      <c r="C386" s="257" t="str">
        <f>VLOOKUP(A386,import!A:J,3,0)</f>
        <v>DOĞRU</v>
      </c>
      <c r="D386" s="257" t="s">
        <v>3842</v>
      </c>
      <c r="E386" s="257">
        <f>VLOOKUP(A386,import!A:J,5,0)</f>
        <v>1299</v>
      </c>
      <c r="F386" s="257">
        <f>VLOOKUP(A386,import!A:J,6,0)</f>
        <v>78</v>
      </c>
      <c r="G386" s="257">
        <f>VLOOKUP(A386,import!A:J,7,0)</f>
        <v>16</v>
      </c>
      <c r="H386" s="257">
        <f>VLOOKUP(A386,import!A:J,8,0)</f>
        <v>23</v>
      </c>
      <c r="I386" s="257">
        <f>VLOOKUP(A386,import!A:J,9,0)</f>
        <v>39</v>
      </c>
      <c r="J386" s="369">
        <f>VLOOKUP(A386,import!A:J,10,0)</f>
        <v>0.41</v>
      </c>
      <c r="K386" s="257" t="s">
        <v>4968</v>
      </c>
      <c r="L386" s="257">
        <v>3.224592058E9</v>
      </c>
      <c r="M386" s="257" t="s">
        <v>286</v>
      </c>
      <c r="N386" s="257" t="s">
        <v>3688</v>
      </c>
      <c r="O386" s="257" t="s">
        <v>4969</v>
      </c>
      <c r="P386" s="370" t="str">
        <f>VLOOKUP(A386,import!A:P,16,0)</f>
        <v>Geleneksel</v>
      </c>
      <c r="Q386" s="370"/>
      <c r="R386" s="370" t="b">
        <v>1</v>
      </c>
      <c r="S386" s="370" t="b">
        <v>0</v>
      </c>
      <c r="T386" s="301" t="s">
        <v>3679</v>
      </c>
      <c r="U386" s="301" t="s">
        <v>4166</v>
      </c>
      <c r="V386" s="301" t="s">
        <v>4866</v>
      </c>
      <c r="W386" s="379"/>
      <c r="X386" s="371">
        <v>44308.0</v>
      </c>
      <c r="Y386" s="371">
        <v>44312.0</v>
      </c>
      <c r="Z386" s="377"/>
      <c r="AA386" s="375"/>
      <c r="AB386" s="375"/>
      <c r="AC386" s="373" t="s">
        <v>3682</v>
      </c>
      <c r="AD386" s="374">
        <v>44427.0</v>
      </c>
      <c r="AE386" s="92"/>
      <c r="AF386" s="375"/>
      <c r="AG386" s="92"/>
      <c r="AH386" s="375"/>
      <c r="AI386" s="375"/>
      <c r="AJ386" s="375"/>
      <c r="AK386" s="375"/>
      <c r="AL386" s="373" t="s">
        <v>1947</v>
      </c>
      <c r="AM386" s="375"/>
      <c r="AN386" s="375"/>
      <c r="AO386" s="375"/>
      <c r="AP386" s="376" t="s">
        <v>3686</v>
      </c>
      <c r="AQ386" s="375"/>
    </row>
    <row r="387">
      <c r="A387" s="257" t="s">
        <v>505</v>
      </c>
      <c r="B387" s="257" t="s">
        <v>506</v>
      </c>
      <c r="C387" s="257" t="str">
        <f>VLOOKUP(A387,import!A:J,3,0)</f>
        <v>DOĞRU</v>
      </c>
      <c r="D387" s="257" t="s">
        <v>3994</v>
      </c>
      <c r="E387" s="257">
        <f>VLOOKUP(A387,import!A:J,5,0)</f>
        <v>789</v>
      </c>
      <c r="F387" s="257">
        <f>VLOOKUP(A387,import!A:J,6,0)</f>
        <v>37</v>
      </c>
      <c r="G387" s="257">
        <f>VLOOKUP(A387,import!A:J,7,0)</f>
        <v>6</v>
      </c>
      <c r="H387" s="257">
        <f>VLOOKUP(A387,import!A:J,8,0)</f>
        <v>63</v>
      </c>
      <c r="I387" s="257">
        <f>VLOOKUP(A387,import!A:J,9,0)</f>
        <v>69</v>
      </c>
      <c r="J387" s="369">
        <f>VLOOKUP(A387,import!A:J,10,0)</f>
        <v>0.09</v>
      </c>
      <c r="K387" s="257" t="s">
        <v>4970</v>
      </c>
      <c r="L387" s="257">
        <v>3.229992212E9</v>
      </c>
      <c r="M387" s="257" t="s">
        <v>286</v>
      </c>
      <c r="N387" s="257" t="s">
        <v>3737</v>
      </c>
      <c r="O387" s="257" t="s">
        <v>508</v>
      </c>
      <c r="P387" s="370" t="str">
        <f>VLOOKUP(A387,import!A:P,16,0)</f>
        <v>Geleneksel</v>
      </c>
      <c r="Q387" s="370"/>
      <c r="R387" s="370" t="b">
        <v>1</v>
      </c>
      <c r="S387" s="370" t="b">
        <v>0</v>
      </c>
      <c r="T387" s="301" t="s">
        <v>4960</v>
      </c>
      <c r="U387" s="301" t="s">
        <v>79</v>
      </c>
      <c r="V387" s="301" t="s">
        <v>4866</v>
      </c>
      <c r="W387" s="301" t="s">
        <v>4971</v>
      </c>
      <c r="X387" s="371">
        <v>44310.0</v>
      </c>
      <c r="Y387" s="371">
        <v>44313.0</v>
      </c>
      <c r="Z387" s="377"/>
      <c r="AA387" s="373" t="s">
        <v>3696</v>
      </c>
      <c r="AB387" s="374">
        <v>44386.0</v>
      </c>
      <c r="AC387" s="373" t="s">
        <v>3681</v>
      </c>
      <c r="AD387" s="374">
        <v>44510.0</v>
      </c>
      <c r="AE387" s="92"/>
      <c r="AF387" s="375"/>
      <c r="AG387" s="92"/>
      <c r="AH387" s="375"/>
      <c r="AI387" s="375"/>
      <c r="AJ387" s="375"/>
      <c r="AK387" s="373" t="s">
        <v>111</v>
      </c>
      <c r="AL387" s="373" t="s">
        <v>3073</v>
      </c>
      <c r="AM387" s="375"/>
      <c r="AN387" s="375"/>
      <c r="AO387" s="375"/>
      <c r="AP387" s="376" t="s">
        <v>3683</v>
      </c>
      <c r="AQ387" s="375"/>
    </row>
    <row r="388">
      <c r="A388" s="257" t="s">
        <v>4972</v>
      </c>
      <c r="B388" s="257" t="s">
        <v>4973</v>
      </c>
      <c r="C388" s="257" t="str">
        <f>VLOOKUP(A388,import!A:J,3,0)</f>
        <v>YANLIŞ</v>
      </c>
      <c r="D388" s="257" t="s">
        <v>3690</v>
      </c>
      <c r="E388" s="257">
        <f>VLOOKUP(A388,import!A:J,5,0)</f>
        <v>120</v>
      </c>
      <c r="F388" s="257" t="str">
        <f>VLOOKUP(A388,import!A:J,6,0)</f>
        <v/>
      </c>
      <c r="G388" s="257">
        <f>VLOOKUP(A388,import!A:J,7,0)</f>
        <v>0</v>
      </c>
      <c r="H388" s="257">
        <f>VLOOKUP(A388,import!A:J,8,0)</f>
        <v>10</v>
      </c>
      <c r="I388" s="257">
        <f>VLOOKUP(A388,import!A:J,9,0)</f>
        <v>10</v>
      </c>
      <c r="J388" s="369">
        <f>VLOOKUP(A388,import!A:J,10,0)</f>
        <v>0</v>
      </c>
      <c r="K388" s="257" t="s">
        <v>4974</v>
      </c>
      <c r="L388" s="257">
        <v>5.307004263E9</v>
      </c>
      <c r="M388" s="257" t="s">
        <v>14</v>
      </c>
      <c r="N388" s="257" t="s">
        <v>3935</v>
      </c>
      <c r="O388" s="257" t="s">
        <v>4975</v>
      </c>
      <c r="P388" s="370" t="str">
        <f>VLOOKUP(A388,import!A:P,16,0)</f>
        <v>Geleneksel</v>
      </c>
      <c r="Q388" s="370"/>
      <c r="R388" s="370" t="b">
        <v>1</v>
      </c>
      <c r="S388" s="370" t="b">
        <v>1</v>
      </c>
      <c r="T388" s="301"/>
      <c r="U388" s="379"/>
      <c r="V388" s="379"/>
      <c r="W388" s="301" t="s">
        <v>4976</v>
      </c>
      <c r="X388" s="381"/>
      <c r="Y388" s="381"/>
      <c r="Z388" s="372"/>
      <c r="AA388" s="373" t="s">
        <v>3448</v>
      </c>
      <c r="AB388" s="374">
        <v>44466.0</v>
      </c>
      <c r="AC388" s="373" t="s">
        <v>3682</v>
      </c>
      <c r="AD388" s="374">
        <v>44467.0</v>
      </c>
      <c r="AE388" s="373"/>
      <c r="AF388" s="374"/>
      <c r="AG388" s="92"/>
      <c r="AH388" s="375"/>
      <c r="AI388" s="375"/>
      <c r="AJ388" s="375"/>
      <c r="AK388" s="373" t="s">
        <v>2542</v>
      </c>
      <c r="AL388" s="373" t="s">
        <v>2192</v>
      </c>
      <c r="AM388" s="375"/>
      <c r="AN388" s="375"/>
      <c r="AO388" s="375"/>
      <c r="AP388" s="376" t="s">
        <v>3683</v>
      </c>
      <c r="AQ388" s="375"/>
    </row>
    <row r="389">
      <c r="A389" s="257" t="s">
        <v>1625</v>
      </c>
      <c r="B389" s="257" t="s">
        <v>1626</v>
      </c>
      <c r="C389" s="257" t="str">
        <f>VLOOKUP(A389,import!A:J,3,0)</f>
        <v>DOĞRU</v>
      </c>
      <c r="D389" s="257" t="s">
        <v>4124</v>
      </c>
      <c r="E389" s="257">
        <f>VLOOKUP(A389,import!A:J,5,0)</f>
        <v>293</v>
      </c>
      <c r="F389" s="257">
        <f>VLOOKUP(A389,import!A:J,6,0)</f>
        <v>5</v>
      </c>
      <c r="G389" s="257">
        <f>VLOOKUP(A389,import!A:J,7,0)</f>
        <v>14</v>
      </c>
      <c r="H389" s="257">
        <f>VLOOKUP(A389,import!A:J,8,0)</f>
        <v>9</v>
      </c>
      <c r="I389" s="257">
        <f>VLOOKUP(A389,import!A:J,9,0)</f>
        <v>23</v>
      </c>
      <c r="J389" s="369">
        <f>VLOOKUP(A389,import!A:J,10,0)</f>
        <v>0.61</v>
      </c>
      <c r="K389" s="257" t="s">
        <v>4977</v>
      </c>
      <c r="L389" s="257">
        <v>5.057596938E9</v>
      </c>
      <c r="M389" s="257" t="s">
        <v>14</v>
      </c>
      <c r="N389" s="257" t="s">
        <v>3733</v>
      </c>
      <c r="O389" s="257" t="s">
        <v>1628</v>
      </c>
      <c r="P389" s="370" t="str">
        <f>VLOOKUP(A389,import!A:P,16,0)</f>
        <v>Geleneksel</v>
      </c>
      <c r="Q389" s="370"/>
      <c r="R389" s="370" t="b">
        <v>1</v>
      </c>
      <c r="S389" s="370" t="b">
        <v>0</v>
      </c>
      <c r="T389" s="301" t="s">
        <v>3679</v>
      </c>
      <c r="U389" s="301" t="s">
        <v>3752</v>
      </c>
      <c r="V389" s="301" t="s">
        <v>78</v>
      </c>
      <c r="W389" s="301"/>
      <c r="X389" s="371">
        <v>44404.0</v>
      </c>
      <c r="Y389" s="371">
        <v>44406.0</v>
      </c>
      <c r="Z389" s="372"/>
      <c r="AA389" s="373" t="s">
        <v>3682</v>
      </c>
      <c r="AB389" s="371">
        <v>44404.0</v>
      </c>
      <c r="AC389" s="375"/>
      <c r="AD389" s="375"/>
      <c r="AE389" s="92"/>
      <c r="AF389" s="375"/>
      <c r="AG389" s="92"/>
      <c r="AH389" s="375"/>
      <c r="AI389" s="375"/>
      <c r="AJ389" s="375"/>
      <c r="AK389" s="373" t="s">
        <v>3752</v>
      </c>
      <c r="AL389" s="375"/>
      <c r="AM389" s="375"/>
      <c r="AN389" s="375"/>
      <c r="AO389" s="375"/>
      <c r="AP389" s="376" t="s">
        <v>3683</v>
      </c>
      <c r="AQ389" s="375"/>
    </row>
    <row r="390">
      <c r="A390" s="257" t="s">
        <v>4978</v>
      </c>
      <c r="B390" s="257" t="s">
        <v>4979</v>
      </c>
      <c r="C390" s="257" t="str">
        <f>VLOOKUP(A390,import!A:J,3,0)</f>
        <v>DOĞRU</v>
      </c>
      <c r="D390" s="257" t="s">
        <v>3699</v>
      </c>
      <c r="E390" s="257">
        <f>VLOOKUP(A390,import!A:J,5,0)</f>
        <v>1241</v>
      </c>
      <c r="F390" s="257">
        <f>VLOOKUP(A390,import!A:J,6,0)</f>
        <v>15</v>
      </c>
      <c r="G390" s="257">
        <f>VLOOKUP(A390,import!A:J,7,0)</f>
        <v>0</v>
      </c>
      <c r="H390" s="257">
        <f>VLOOKUP(A390,import!A:J,8,0)</f>
        <v>14</v>
      </c>
      <c r="I390" s="257">
        <f>VLOOKUP(A390,import!A:J,9,0)</f>
        <v>14</v>
      </c>
      <c r="J390" s="369">
        <f>VLOOKUP(A390,import!A:J,10,0)</f>
        <v>0</v>
      </c>
      <c r="K390" s="257" t="s">
        <v>4980</v>
      </c>
      <c r="L390" s="257">
        <v>3.222340127E9</v>
      </c>
      <c r="M390" s="257" t="s">
        <v>14</v>
      </c>
      <c r="N390" s="257" t="s">
        <v>3797</v>
      </c>
      <c r="O390" s="257" t="s">
        <v>4981</v>
      </c>
      <c r="P390" s="370" t="str">
        <f>VLOOKUP(A390,import!A:P,16,0)</f>
        <v>Geleneksel</v>
      </c>
      <c r="Q390" s="370"/>
      <c r="R390" s="370" t="b">
        <v>1</v>
      </c>
      <c r="S390" s="370" t="b">
        <v>1</v>
      </c>
      <c r="T390" s="301"/>
      <c r="U390" s="379"/>
      <c r="V390" s="379"/>
      <c r="W390" s="301" t="s">
        <v>4982</v>
      </c>
      <c r="X390" s="381"/>
      <c r="Y390" s="381"/>
      <c r="Z390" s="301" t="s">
        <v>4983</v>
      </c>
      <c r="AA390" s="373" t="s">
        <v>3682</v>
      </c>
      <c r="AB390" s="374">
        <v>44375.0</v>
      </c>
      <c r="AC390" s="373" t="s">
        <v>3448</v>
      </c>
      <c r="AD390" s="374">
        <v>44427.0</v>
      </c>
      <c r="AE390" s="373" t="s">
        <v>3448</v>
      </c>
      <c r="AF390" s="374">
        <v>44440.0</v>
      </c>
      <c r="AG390" s="373" t="s">
        <v>3682</v>
      </c>
      <c r="AH390" s="374">
        <v>44442.0</v>
      </c>
      <c r="AI390" s="373" t="s">
        <v>3448</v>
      </c>
      <c r="AJ390" s="374">
        <v>44495.0</v>
      </c>
      <c r="AK390" s="373" t="s">
        <v>399</v>
      </c>
      <c r="AL390" s="373" t="s">
        <v>3723</v>
      </c>
      <c r="AM390" s="373" t="s">
        <v>2542</v>
      </c>
      <c r="AN390" s="373" t="s">
        <v>399</v>
      </c>
      <c r="AO390" s="373" t="s">
        <v>2542</v>
      </c>
      <c r="AP390" s="376" t="s">
        <v>3683</v>
      </c>
      <c r="AQ390" s="373"/>
    </row>
    <row r="391">
      <c r="A391" s="257" t="s">
        <v>1480</v>
      </c>
      <c r="B391" s="257" t="s">
        <v>1481</v>
      </c>
      <c r="C391" s="257" t="str">
        <f>VLOOKUP(A391,import!A:J,3,0)</f>
        <v>DOĞRU</v>
      </c>
      <c r="D391" s="257" t="s">
        <v>3713</v>
      </c>
      <c r="E391" s="257">
        <f>VLOOKUP(A391,import!A:J,5,0)</f>
        <v>3151</v>
      </c>
      <c r="F391" s="257">
        <f>VLOOKUP(A391,import!A:J,6,0)</f>
        <v>205</v>
      </c>
      <c r="G391" s="257">
        <f>VLOOKUP(A391,import!A:J,7,0)</f>
        <v>17</v>
      </c>
      <c r="H391" s="257">
        <f>VLOOKUP(A391,import!A:J,8,0)</f>
        <v>7</v>
      </c>
      <c r="I391" s="257">
        <f>VLOOKUP(A391,import!A:J,9,0)</f>
        <v>24</v>
      </c>
      <c r="J391" s="369">
        <f>VLOOKUP(A391,import!A:J,10,0)</f>
        <v>0.71</v>
      </c>
      <c r="K391" s="257" t="s">
        <v>4984</v>
      </c>
      <c r="L391" s="257">
        <v>3.222282821E9</v>
      </c>
      <c r="M391" s="257" t="s">
        <v>286</v>
      </c>
      <c r="N391" s="257" t="s">
        <v>3782</v>
      </c>
      <c r="O391" s="257" t="s">
        <v>4985</v>
      </c>
      <c r="P391" s="370" t="str">
        <f>VLOOKUP(A391,import!A:P,16,0)</f>
        <v>Geleneksel</v>
      </c>
      <c r="Q391" s="370"/>
      <c r="R391" s="370" t="b">
        <v>1</v>
      </c>
      <c r="S391" s="370" t="b">
        <v>0</v>
      </c>
      <c r="T391" s="301" t="s">
        <v>3679</v>
      </c>
      <c r="U391" s="301" t="s">
        <v>3752</v>
      </c>
      <c r="V391" s="301" t="s">
        <v>78</v>
      </c>
      <c r="W391" s="301" t="s">
        <v>4986</v>
      </c>
      <c r="X391" s="371">
        <v>44390.0</v>
      </c>
      <c r="Y391" s="371">
        <v>44393.0</v>
      </c>
      <c r="Z391" s="372"/>
      <c r="AA391" s="373" t="s">
        <v>3682</v>
      </c>
      <c r="AB391" s="374">
        <v>44385.0</v>
      </c>
      <c r="AC391" s="373" t="s">
        <v>3682</v>
      </c>
      <c r="AD391" s="374">
        <v>44390.0</v>
      </c>
      <c r="AE391" s="92"/>
      <c r="AF391" s="375"/>
      <c r="AG391" s="92"/>
      <c r="AH391" s="375"/>
      <c r="AI391" s="375"/>
      <c r="AJ391" s="375"/>
      <c r="AK391" s="373" t="s">
        <v>79</v>
      </c>
      <c r="AL391" s="373" t="s">
        <v>3752</v>
      </c>
      <c r="AM391" s="375"/>
      <c r="AN391" s="375"/>
      <c r="AO391" s="375"/>
      <c r="AP391" s="376" t="s">
        <v>3686</v>
      </c>
      <c r="AQ391" s="375"/>
    </row>
    <row r="392">
      <c r="A392" s="257" t="s">
        <v>4987</v>
      </c>
      <c r="B392" s="257" t="s">
        <v>4988</v>
      </c>
      <c r="C392" s="257" t="str">
        <f>VLOOKUP(A392,import!A:J,3,0)</f>
        <v>DOĞRU</v>
      </c>
      <c r="D392" s="257" t="s">
        <v>3699</v>
      </c>
      <c r="E392" s="257">
        <f>VLOOKUP(A392,import!A:J,5,0)</f>
        <v>199</v>
      </c>
      <c r="F392" s="257">
        <f>VLOOKUP(A392,import!A:J,6,0)</f>
        <v>73</v>
      </c>
      <c r="G392" s="257">
        <f>VLOOKUP(A392,import!A:J,7,0)</f>
        <v>0</v>
      </c>
      <c r="H392" s="257">
        <f>VLOOKUP(A392,import!A:J,8,0)</f>
        <v>41</v>
      </c>
      <c r="I392" s="257">
        <f>VLOOKUP(A392,import!A:J,9,0)</f>
        <v>41</v>
      </c>
      <c r="J392" s="369">
        <f>VLOOKUP(A392,import!A:J,10,0)</f>
        <v>0</v>
      </c>
      <c r="K392" s="257" t="s">
        <v>4989</v>
      </c>
      <c r="L392" s="257">
        <v>3.226115381E9</v>
      </c>
      <c r="M392" s="257" t="s">
        <v>3701</v>
      </c>
      <c r="N392" s="257" t="s">
        <v>4176</v>
      </c>
      <c r="O392" s="257" t="s">
        <v>4990</v>
      </c>
      <c r="P392" s="370" t="str">
        <f>VLOOKUP(A392,import!A:P,16,0)</f>
        <v>Geleneksel</v>
      </c>
      <c r="Q392" s="370"/>
      <c r="R392" s="370" t="b">
        <v>0</v>
      </c>
      <c r="S392" s="370" t="b">
        <v>0</v>
      </c>
      <c r="T392" s="301"/>
      <c r="U392" s="301"/>
      <c r="V392" s="301"/>
      <c r="W392" s="301"/>
      <c r="X392" s="371"/>
      <c r="Y392" s="371"/>
      <c r="Z392" s="372"/>
      <c r="AA392" s="373"/>
      <c r="AB392" s="374"/>
      <c r="AC392" s="373"/>
      <c r="AD392" s="374"/>
      <c r="AE392" s="373"/>
      <c r="AF392" s="374"/>
      <c r="AG392" s="373"/>
      <c r="AH392" s="374"/>
      <c r="AI392" s="373"/>
      <c r="AJ392" s="374"/>
      <c r="AK392" s="373"/>
      <c r="AL392" s="373"/>
      <c r="AM392" s="373"/>
      <c r="AN392" s="373"/>
      <c r="AO392" s="373"/>
      <c r="AP392" s="376"/>
      <c r="AQ392" s="373"/>
    </row>
    <row r="393">
      <c r="A393" s="257" t="s">
        <v>4991</v>
      </c>
      <c r="B393" s="257" t="s">
        <v>4992</v>
      </c>
      <c r="C393" s="257" t="str">
        <f>VLOOKUP(A393,import!A:J,3,0)</f>
        <v>DOĞRU</v>
      </c>
      <c r="D393" s="257" t="s">
        <v>3713</v>
      </c>
      <c r="E393" s="257">
        <f>VLOOKUP(A393,import!A:J,5,0)</f>
        <v>1659</v>
      </c>
      <c r="F393" s="257">
        <f>VLOOKUP(A393,import!A:J,6,0)</f>
        <v>90</v>
      </c>
      <c r="G393" s="257">
        <f>VLOOKUP(A393,import!A:J,7,0)</f>
        <v>0</v>
      </c>
      <c r="H393" s="257">
        <f>VLOOKUP(A393,import!A:J,8,0)</f>
        <v>9</v>
      </c>
      <c r="I393" s="257">
        <f>VLOOKUP(A393,import!A:J,9,0)</f>
        <v>9</v>
      </c>
      <c r="J393" s="369">
        <f>VLOOKUP(A393,import!A:J,10,0)</f>
        <v>0</v>
      </c>
      <c r="K393" s="257" t="s">
        <v>4993</v>
      </c>
      <c r="L393" s="257">
        <v>3.224532529E9</v>
      </c>
      <c r="M393" s="257" t="s">
        <v>286</v>
      </c>
      <c r="N393" s="257" t="s">
        <v>4263</v>
      </c>
      <c r="O393" s="257" t="s">
        <v>4994</v>
      </c>
      <c r="P393" s="370" t="str">
        <f>VLOOKUP(A393,import!A:P,16,0)</f>
        <v>Geleneksel</v>
      </c>
      <c r="Q393" s="370"/>
      <c r="R393" s="370" t="b">
        <v>1</v>
      </c>
      <c r="S393" s="370" t="b">
        <v>1</v>
      </c>
      <c r="T393" s="301" t="s">
        <v>3448</v>
      </c>
      <c r="U393" s="379"/>
      <c r="V393" s="379"/>
      <c r="W393" s="301" t="s">
        <v>4995</v>
      </c>
      <c r="X393" s="381"/>
      <c r="Y393" s="381"/>
      <c r="Z393" s="301" t="s">
        <v>3808</v>
      </c>
      <c r="AA393" s="373" t="s">
        <v>3682</v>
      </c>
      <c r="AB393" s="374">
        <v>44386.0</v>
      </c>
      <c r="AC393" s="373" t="s">
        <v>3448</v>
      </c>
      <c r="AD393" s="374">
        <v>44446.0</v>
      </c>
      <c r="AE393" s="373" t="s">
        <v>3448</v>
      </c>
      <c r="AF393" s="374">
        <v>44468.0</v>
      </c>
      <c r="AG393" s="373" t="s">
        <v>3695</v>
      </c>
      <c r="AH393" s="374">
        <v>44502.0</v>
      </c>
      <c r="AI393" s="375"/>
      <c r="AJ393" s="375"/>
      <c r="AK393" s="373" t="s">
        <v>111</v>
      </c>
      <c r="AL393" s="373" t="s">
        <v>79</v>
      </c>
      <c r="AM393" s="373" t="s">
        <v>2576</v>
      </c>
      <c r="AN393" s="373" t="s">
        <v>2542</v>
      </c>
      <c r="AO393" s="375"/>
      <c r="AP393" s="376" t="s">
        <v>3686</v>
      </c>
      <c r="AQ393" s="375"/>
    </row>
    <row r="394">
      <c r="A394" s="257" t="s">
        <v>4996</v>
      </c>
      <c r="B394" s="257" t="s">
        <v>4997</v>
      </c>
      <c r="C394" s="257" t="str">
        <f>VLOOKUP(A394,import!A:J,3,0)</f>
        <v>DOĞRU</v>
      </c>
      <c r="D394" s="257" t="s">
        <v>3676</v>
      </c>
      <c r="E394" s="257">
        <f>VLOOKUP(A394,import!A:J,5,0)</f>
        <v>184</v>
      </c>
      <c r="F394" s="257">
        <f>VLOOKUP(A394,import!A:J,6,0)</f>
        <v>139</v>
      </c>
      <c r="G394" s="257">
        <f>VLOOKUP(A394,import!A:J,7,0)</f>
        <v>0</v>
      </c>
      <c r="H394" s="257">
        <f>VLOOKUP(A394,import!A:J,8,0)</f>
        <v>7</v>
      </c>
      <c r="I394" s="257">
        <f>VLOOKUP(A394,import!A:J,9,0)</f>
        <v>7</v>
      </c>
      <c r="J394" s="369">
        <f>VLOOKUP(A394,import!A:J,10,0)</f>
        <v>0</v>
      </c>
      <c r="K394" s="257" t="s">
        <v>4998</v>
      </c>
      <c r="L394" s="257">
        <v>5.3559597E9</v>
      </c>
      <c r="M394" s="257" t="s">
        <v>3707</v>
      </c>
      <c r="N394" s="257" t="s">
        <v>4553</v>
      </c>
      <c r="O394" s="257" t="s">
        <v>4999</v>
      </c>
      <c r="P394" s="370" t="str">
        <f>VLOOKUP(A394,import!A:P,16,0)</f>
        <v>Geleneksel</v>
      </c>
      <c r="Q394" s="370"/>
      <c r="R394" s="370" t="b">
        <v>0</v>
      </c>
      <c r="S394" s="370" t="b">
        <v>0</v>
      </c>
      <c r="T394" s="301"/>
      <c r="U394" s="301"/>
      <c r="V394" s="301"/>
      <c r="W394" s="301"/>
      <c r="X394" s="371"/>
      <c r="Y394" s="371"/>
      <c r="Z394" s="372"/>
      <c r="AA394" s="373"/>
      <c r="AB394" s="374"/>
      <c r="AC394" s="373"/>
      <c r="AD394" s="374"/>
      <c r="AE394" s="373"/>
      <c r="AF394" s="374"/>
      <c r="AG394" s="373"/>
      <c r="AH394" s="374"/>
      <c r="AI394" s="373"/>
      <c r="AJ394" s="374"/>
      <c r="AK394" s="373"/>
      <c r="AL394" s="373"/>
      <c r="AM394" s="373"/>
      <c r="AN394" s="373"/>
      <c r="AO394" s="373"/>
      <c r="AP394" s="376"/>
      <c r="AQ394" s="373"/>
    </row>
    <row r="395">
      <c r="A395" s="257" t="s">
        <v>2219</v>
      </c>
      <c r="B395" s="257" t="s">
        <v>2220</v>
      </c>
      <c r="C395" s="257" t="str">
        <f>VLOOKUP(A395,import!A:J,3,0)</f>
        <v>DOĞRU</v>
      </c>
      <c r="D395" s="257" t="s">
        <v>3676</v>
      </c>
      <c r="E395" s="257">
        <f>VLOOKUP(A395,import!A:J,5,0)</f>
        <v>579</v>
      </c>
      <c r="F395" s="257">
        <f>VLOOKUP(A395,import!A:J,6,0)</f>
        <v>20</v>
      </c>
      <c r="G395" s="257">
        <f>VLOOKUP(A395,import!A:J,7,0)</f>
        <v>0</v>
      </c>
      <c r="H395" s="257">
        <f>VLOOKUP(A395,import!A:J,8,0)</f>
        <v>10</v>
      </c>
      <c r="I395" s="257">
        <f>VLOOKUP(A395,import!A:J,9,0)</f>
        <v>10</v>
      </c>
      <c r="J395" s="369">
        <f>VLOOKUP(A395,import!A:J,10,0)</f>
        <v>0</v>
      </c>
      <c r="K395" s="257" t="s">
        <v>5000</v>
      </c>
      <c r="L395" s="257">
        <v>3.222471199E9</v>
      </c>
      <c r="M395" s="257" t="s">
        <v>14</v>
      </c>
      <c r="N395" s="257" t="s">
        <v>3935</v>
      </c>
      <c r="O395" s="257" t="s">
        <v>2222</v>
      </c>
      <c r="P395" s="370" t="str">
        <f>VLOOKUP(A395,import!A:P,16,0)</f>
        <v>Geleneksel</v>
      </c>
      <c r="Q395" s="370"/>
      <c r="R395" s="370" t="b">
        <v>1</v>
      </c>
      <c r="S395" s="370" t="b">
        <v>0</v>
      </c>
      <c r="T395" s="301" t="s">
        <v>3696</v>
      </c>
      <c r="U395" s="301" t="s">
        <v>2542</v>
      </c>
      <c r="V395" s="301" t="s">
        <v>78</v>
      </c>
      <c r="W395" s="301" t="s">
        <v>5001</v>
      </c>
      <c r="X395" s="371">
        <v>44440.0</v>
      </c>
      <c r="Y395" s="371">
        <v>44441.0</v>
      </c>
      <c r="Z395" s="372"/>
      <c r="AA395" s="373" t="s">
        <v>3682</v>
      </c>
      <c r="AB395" s="374">
        <v>44440.0</v>
      </c>
      <c r="AC395" s="373" t="s">
        <v>3695</v>
      </c>
      <c r="AD395" s="374">
        <v>44457.0</v>
      </c>
      <c r="AE395" s="373" t="s">
        <v>3696</v>
      </c>
      <c r="AF395" s="374">
        <v>44463.0</v>
      </c>
      <c r="AG395" s="373" t="s">
        <v>3682</v>
      </c>
      <c r="AH395" s="374">
        <v>44477.0</v>
      </c>
      <c r="AI395" s="373" t="s">
        <v>3695</v>
      </c>
      <c r="AJ395" s="374">
        <v>44523.0</v>
      </c>
      <c r="AK395" s="373" t="s">
        <v>2542</v>
      </c>
      <c r="AL395" s="373" t="s">
        <v>79</v>
      </c>
      <c r="AM395" s="373" t="s">
        <v>2576</v>
      </c>
      <c r="AN395" s="373" t="s">
        <v>2542</v>
      </c>
      <c r="AO395" s="373" t="s">
        <v>2941</v>
      </c>
      <c r="AP395" s="376" t="s">
        <v>3683</v>
      </c>
      <c r="AQ395" s="373"/>
    </row>
    <row r="396">
      <c r="A396" s="257" t="s">
        <v>5002</v>
      </c>
      <c r="B396" s="257" t="s">
        <v>5003</v>
      </c>
      <c r="C396" s="257" t="str">
        <f>VLOOKUP(A396,import!A:J,3,0)</f>
        <v>DOĞRU</v>
      </c>
      <c r="D396" s="257" t="s">
        <v>3994</v>
      </c>
      <c r="E396" s="257">
        <f>VLOOKUP(A396,import!A:J,5,0)</f>
        <v>1184</v>
      </c>
      <c r="F396" s="257">
        <f>VLOOKUP(A396,import!A:J,6,0)</f>
        <v>92</v>
      </c>
      <c r="G396" s="257">
        <f>VLOOKUP(A396,import!A:J,7,0)</f>
        <v>0</v>
      </c>
      <c r="H396" s="257">
        <f>VLOOKUP(A396,import!A:J,8,0)</f>
        <v>94</v>
      </c>
      <c r="I396" s="257">
        <f>VLOOKUP(A396,import!A:J,9,0)</f>
        <v>94</v>
      </c>
      <c r="J396" s="369">
        <f>VLOOKUP(A396,import!A:J,10,0)</f>
        <v>0</v>
      </c>
      <c r="K396" s="257" t="s">
        <v>5004</v>
      </c>
      <c r="L396" s="257">
        <v>3.224583355E9</v>
      </c>
      <c r="M396" s="257" t="s">
        <v>286</v>
      </c>
      <c r="N396" s="257" t="s">
        <v>4451</v>
      </c>
      <c r="O396" s="257" t="s">
        <v>5005</v>
      </c>
      <c r="P396" s="370" t="str">
        <f>VLOOKUP(A396,import!A:P,16,0)</f>
        <v>Geleneksel</v>
      </c>
      <c r="Q396" s="370"/>
      <c r="R396" s="370" t="b">
        <v>1</v>
      </c>
      <c r="S396" s="370" t="b">
        <v>1</v>
      </c>
      <c r="T396" s="301"/>
      <c r="U396" s="379"/>
      <c r="V396" s="379"/>
      <c r="W396" s="301" t="s">
        <v>5006</v>
      </c>
      <c r="X396" s="381"/>
      <c r="Y396" s="381"/>
      <c r="Z396" s="372"/>
      <c r="AA396" s="373" t="s">
        <v>3681</v>
      </c>
      <c r="AB396" s="374">
        <v>44530.0</v>
      </c>
      <c r="AC396" s="373" t="s">
        <v>3682</v>
      </c>
      <c r="AD396" s="374">
        <v>44537.0</v>
      </c>
      <c r="AE396" s="373"/>
      <c r="AF396" s="374"/>
      <c r="AG396" s="373"/>
      <c r="AH396" s="374"/>
      <c r="AI396" s="375"/>
      <c r="AJ396" s="375"/>
      <c r="AK396" s="373" t="s">
        <v>2192</v>
      </c>
      <c r="AL396" s="373" t="s">
        <v>3213</v>
      </c>
      <c r="AM396" s="375"/>
      <c r="AN396" s="373"/>
      <c r="AO396" s="375"/>
      <c r="AP396" s="376" t="s">
        <v>3686</v>
      </c>
      <c r="AQ396" s="375"/>
    </row>
    <row r="397">
      <c r="A397" s="257" t="s">
        <v>5007</v>
      </c>
      <c r="B397" s="257" t="s">
        <v>5008</v>
      </c>
      <c r="C397" s="257" t="str">
        <f>VLOOKUP(A397,import!A:J,3,0)</f>
        <v>YANLIŞ</v>
      </c>
      <c r="D397" s="257" t="s">
        <v>4000</v>
      </c>
      <c r="E397" s="257">
        <f>VLOOKUP(A397,import!A:J,5,0)</f>
        <v>555</v>
      </c>
      <c r="F397" s="257" t="str">
        <f>VLOOKUP(A397,import!A:J,6,0)</f>
        <v/>
      </c>
      <c r="G397" s="257">
        <f>VLOOKUP(A397,import!A:J,7,0)</f>
        <v>0</v>
      </c>
      <c r="H397" s="257">
        <f>VLOOKUP(A397,import!A:J,8,0)</f>
        <v>55</v>
      </c>
      <c r="I397" s="257">
        <f>VLOOKUP(A397,import!A:J,9,0)</f>
        <v>55</v>
      </c>
      <c r="J397" s="369">
        <f>VLOOKUP(A397,import!A:J,10,0)</f>
        <v>0</v>
      </c>
      <c r="K397" s="257" t="s">
        <v>5009</v>
      </c>
      <c r="L397" s="257">
        <v>5.365110118E9</v>
      </c>
      <c r="M397" s="257" t="s">
        <v>14</v>
      </c>
      <c r="N397" s="257" t="s">
        <v>3797</v>
      </c>
      <c r="O397" s="257" t="s">
        <v>5010</v>
      </c>
      <c r="P397" s="370" t="str">
        <f>VLOOKUP(A397,import!A:P,16,0)</f>
        <v>Geleneksel</v>
      </c>
      <c r="Q397" s="370"/>
      <c r="R397" s="370" t="b">
        <v>1</v>
      </c>
      <c r="S397" s="370" t="b">
        <v>0</v>
      </c>
      <c r="T397" s="301" t="s">
        <v>3448</v>
      </c>
      <c r="U397" s="379"/>
      <c r="V397" s="379"/>
      <c r="W397" s="301" t="s">
        <v>2969</v>
      </c>
      <c r="X397" s="381"/>
      <c r="Y397" s="381"/>
      <c r="Z397" s="372"/>
      <c r="AA397" s="373" t="s">
        <v>3448</v>
      </c>
      <c r="AB397" s="374">
        <v>44523.0</v>
      </c>
      <c r="AC397" s="373" t="s">
        <v>3448</v>
      </c>
      <c r="AD397" s="374">
        <v>44524.0</v>
      </c>
      <c r="AE397" s="373"/>
      <c r="AF397" s="374"/>
      <c r="AG397" s="373"/>
      <c r="AH397" s="374"/>
      <c r="AI397" s="375"/>
      <c r="AJ397" s="375"/>
      <c r="AK397" s="373" t="s">
        <v>2542</v>
      </c>
      <c r="AL397" s="373" t="s">
        <v>2192</v>
      </c>
      <c r="AM397" s="375"/>
      <c r="AN397" s="373"/>
      <c r="AO397" s="375"/>
      <c r="AP397" s="376" t="s">
        <v>3683</v>
      </c>
      <c r="AQ397" s="375"/>
    </row>
    <row r="398">
      <c r="A398" s="257" t="s">
        <v>1571</v>
      </c>
      <c r="B398" s="257" t="s">
        <v>1572</v>
      </c>
      <c r="C398" s="257" t="str">
        <f>VLOOKUP(A398,import!A:J,3,0)</f>
        <v>DOĞRU</v>
      </c>
      <c r="D398" s="257" t="s">
        <v>4124</v>
      </c>
      <c r="E398" s="257">
        <f>VLOOKUP(A398,import!A:J,5,0)</f>
        <v>1498</v>
      </c>
      <c r="F398" s="257">
        <f>VLOOKUP(A398,import!A:J,6,0)</f>
        <v>73</v>
      </c>
      <c r="G398" s="257">
        <f>VLOOKUP(A398,import!A:J,7,0)</f>
        <v>0</v>
      </c>
      <c r="H398" s="257">
        <f>VLOOKUP(A398,import!A:J,8,0)</f>
        <v>23</v>
      </c>
      <c r="I398" s="257">
        <f>VLOOKUP(A398,import!A:J,9,0)</f>
        <v>23</v>
      </c>
      <c r="J398" s="369">
        <f>VLOOKUP(A398,import!A:J,10,0)</f>
        <v>0</v>
      </c>
      <c r="K398" s="257" t="s">
        <v>5011</v>
      </c>
      <c r="L398" s="257">
        <v>3.224330808E9</v>
      </c>
      <c r="M398" s="257" t="s">
        <v>286</v>
      </c>
      <c r="N398" s="257" t="s">
        <v>5012</v>
      </c>
      <c r="O398" s="257" t="s">
        <v>1574</v>
      </c>
      <c r="P398" s="370" t="str">
        <f>VLOOKUP(A398,import!A:P,16,0)</f>
        <v>Geleneksel</v>
      </c>
      <c r="Q398" s="370"/>
      <c r="R398" s="370" t="b">
        <v>1</v>
      </c>
      <c r="S398" s="370" t="b">
        <v>0</v>
      </c>
      <c r="T398" s="301" t="s">
        <v>4765</v>
      </c>
      <c r="U398" s="301" t="s">
        <v>3752</v>
      </c>
      <c r="V398" s="301" t="s">
        <v>78</v>
      </c>
      <c r="W398" s="301" t="s">
        <v>5013</v>
      </c>
      <c r="X398" s="371">
        <v>44393.0</v>
      </c>
      <c r="Y398" s="371">
        <v>44404.0</v>
      </c>
      <c r="Z398" s="372"/>
      <c r="AA398" s="373" t="s">
        <v>3682</v>
      </c>
      <c r="AB398" s="374">
        <v>44390.0</v>
      </c>
      <c r="AC398" s="373" t="s">
        <v>3695</v>
      </c>
      <c r="AD398" s="374">
        <v>44392.0</v>
      </c>
      <c r="AE398" s="373" t="s">
        <v>3682</v>
      </c>
      <c r="AF398" s="371">
        <v>44393.0</v>
      </c>
      <c r="AG398" s="373" t="s">
        <v>3681</v>
      </c>
      <c r="AH398" s="374">
        <v>44407.0</v>
      </c>
      <c r="AI398" s="375"/>
      <c r="AJ398" s="375"/>
      <c r="AK398" s="373" t="s">
        <v>3719</v>
      </c>
      <c r="AL398" s="373" t="s">
        <v>4089</v>
      </c>
      <c r="AM398" s="373" t="s">
        <v>3752</v>
      </c>
      <c r="AN398" s="375"/>
      <c r="AO398" s="375"/>
      <c r="AP398" s="376" t="s">
        <v>3686</v>
      </c>
      <c r="AQ398" s="375"/>
    </row>
    <row r="399">
      <c r="A399" s="257" t="s">
        <v>1809</v>
      </c>
      <c r="B399" s="257" t="s">
        <v>1810</v>
      </c>
      <c r="C399" s="257" t="str">
        <f>VLOOKUP(A399,import!A:J,3,0)</f>
        <v>DOĞRU</v>
      </c>
      <c r="D399" s="257" t="s">
        <v>3676</v>
      </c>
      <c r="E399" s="257">
        <f>VLOOKUP(A399,import!A:J,5,0)</f>
        <v>4684</v>
      </c>
      <c r="F399" s="257">
        <f>VLOOKUP(A399,import!A:J,6,0)</f>
        <v>79</v>
      </c>
      <c r="G399" s="257">
        <f>VLOOKUP(A399,import!A:J,7,0)</f>
        <v>18</v>
      </c>
      <c r="H399" s="257">
        <f>VLOOKUP(A399,import!A:J,8,0)</f>
        <v>8</v>
      </c>
      <c r="I399" s="257">
        <f>VLOOKUP(A399,import!A:J,9,0)</f>
        <v>26</v>
      </c>
      <c r="J399" s="369">
        <f>VLOOKUP(A399,import!A:J,10,0)</f>
        <v>0.69</v>
      </c>
      <c r="K399" s="257" t="s">
        <v>5014</v>
      </c>
      <c r="L399" s="257">
        <v>5.464353636E9</v>
      </c>
      <c r="M399" s="257" t="s">
        <v>286</v>
      </c>
      <c r="N399" s="257" t="s">
        <v>4760</v>
      </c>
      <c r="O399" s="257" t="s">
        <v>1812</v>
      </c>
      <c r="P399" s="370" t="str">
        <f>VLOOKUP(A399,import!A:P,16,0)</f>
        <v>Geleneksel</v>
      </c>
      <c r="Q399" s="370"/>
      <c r="R399" s="370" t="b">
        <v>1</v>
      </c>
      <c r="S399" s="370" t="b">
        <v>0</v>
      </c>
      <c r="T399" s="301" t="s">
        <v>3679</v>
      </c>
      <c r="U399" s="301" t="s">
        <v>3723</v>
      </c>
      <c r="V399" s="301" t="s">
        <v>5015</v>
      </c>
      <c r="W399" s="301" t="s">
        <v>5016</v>
      </c>
      <c r="X399" s="371">
        <v>44413.0</v>
      </c>
      <c r="Y399" s="371">
        <v>44419.0</v>
      </c>
      <c r="Z399" s="377"/>
      <c r="AA399" s="373" t="s">
        <v>3682</v>
      </c>
      <c r="AB399" s="374">
        <v>44413.0</v>
      </c>
      <c r="AC399" s="375"/>
      <c r="AD399" s="375"/>
      <c r="AE399" s="92"/>
      <c r="AF399" s="375"/>
      <c r="AG399" s="92"/>
      <c r="AH399" s="375"/>
      <c r="AI399" s="375"/>
      <c r="AJ399" s="375"/>
      <c r="AK399" s="373" t="s">
        <v>3723</v>
      </c>
      <c r="AL399" s="375"/>
      <c r="AM399" s="375"/>
      <c r="AN399" s="375"/>
      <c r="AO399" s="375"/>
      <c r="AP399" s="376" t="s">
        <v>3686</v>
      </c>
      <c r="AQ399" s="375"/>
    </row>
    <row r="400">
      <c r="A400" s="257" t="s">
        <v>1474</v>
      </c>
      <c r="B400" s="257" t="s">
        <v>1475</v>
      </c>
      <c r="C400" s="257" t="str">
        <f>VLOOKUP(A400,import!A:J,3,0)</f>
        <v>DOĞRU</v>
      </c>
      <c r="D400" s="257" t="s">
        <v>3676</v>
      </c>
      <c r="E400" s="257">
        <f>VLOOKUP(A400,import!A:J,5,0)</f>
        <v>2535</v>
      </c>
      <c r="F400" s="257">
        <f>VLOOKUP(A400,import!A:J,6,0)</f>
        <v>110</v>
      </c>
      <c r="G400" s="257">
        <f>VLOOKUP(A400,import!A:J,7,0)</f>
        <v>0</v>
      </c>
      <c r="H400" s="257">
        <f>VLOOKUP(A400,import!A:J,8,0)</f>
        <v>30</v>
      </c>
      <c r="I400" s="257">
        <f>VLOOKUP(A400,import!A:J,9,0)</f>
        <v>30</v>
      </c>
      <c r="J400" s="369">
        <f>VLOOKUP(A400,import!A:J,10,0)</f>
        <v>0</v>
      </c>
      <c r="K400" s="257" t="s">
        <v>5017</v>
      </c>
      <c r="L400" s="257">
        <v>5.31858E9</v>
      </c>
      <c r="M400" s="257" t="s">
        <v>3707</v>
      </c>
      <c r="N400" s="257" t="s">
        <v>4176</v>
      </c>
      <c r="O400" s="257" t="s">
        <v>1479</v>
      </c>
      <c r="P400" s="370" t="str">
        <f>VLOOKUP(A400,import!A:P,16,0)</f>
        <v>Geleneksel</v>
      </c>
      <c r="Q400" s="370"/>
      <c r="R400" s="370" t="b">
        <v>1</v>
      </c>
      <c r="S400" s="370" t="b">
        <v>0</v>
      </c>
      <c r="T400" s="301" t="s">
        <v>3770</v>
      </c>
      <c r="U400" s="301" t="s">
        <v>3752</v>
      </c>
      <c r="V400" s="301" t="s">
        <v>78</v>
      </c>
      <c r="W400" s="379"/>
      <c r="X400" s="371">
        <v>44391.0</v>
      </c>
      <c r="Y400" s="371">
        <v>44392.0</v>
      </c>
      <c r="Z400" s="372"/>
      <c r="AA400" s="373" t="s">
        <v>3682</v>
      </c>
      <c r="AB400" s="371">
        <v>44391.0</v>
      </c>
      <c r="AC400" s="373" t="s">
        <v>3682</v>
      </c>
      <c r="AD400" s="374">
        <v>44432.0</v>
      </c>
      <c r="AE400" s="373" t="s">
        <v>3448</v>
      </c>
      <c r="AF400" s="374">
        <v>44491.0</v>
      </c>
      <c r="AG400" s="92"/>
      <c r="AH400" s="375"/>
      <c r="AI400" s="375"/>
      <c r="AJ400" s="375"/>
      <c r="AK400" s="373" t="s">
        <v>3752</v>
      </c>
      <c r="AL400" s="373" t="s">
        <v>3729</v>
      </c>
      <c r="AM400" s="373" t="s">
        <v>2542</v>
      </c>
      <c r="AN400" s="375"/>
      <c r="AO400" s="375"/>
      <c r="AP400" s="376" t="s">
        <v>3686</v>
      </c>
      <c r="AQ400" s="375"/>
    </row>
    <row r="401">
      <c r="A401" s="257" t="s">
        <v>5018</v>
      </c>
      <c r="B401" s="257" t="s">
        <v>5019</v>
      </c>
      <c r="C401" s="257" t="str">
        <f>VLOOKUP(A401,import!A:J,3,0)</f>
        <v>DOĞRU</v>
      </c>
      <c r="D401" s="257" t="s">
        <v>3676</v>
      </c>
      <c r="E401" s="257">
        <f>VLOOKUP(A401,import!A:J,5,0)</f>
        <v>441</v>
      </c>
      <c r="F401" s="257">
        <f>VLOOKUP(A401,import!A:J,6,0)</f>
        <v>60</v>
      </c>
      <c r="G401" s="257">
        <f>VLOOKUP(A401,import!A:J,7,0)</f>
        <v>0</v>
      </c>
      <c r="H401" s="257">
        <f>VLOOKUP(A401,import!A:J,8,0)</f>
        <v>21</v>
      </c>
      <c r="I401" s="257">
        <f>VLOOKUP(A401,import!A:J,9,0)</f>
        <v>21</v>
      </c>
      <c r="J401" s="369">
        <f>VLOOKUP(A401,import!A:J,10,0)</f>
        <v>0</v>
      </c>
      <c r="K401" s="257" t="s">
        <v>5020</v>
      </c>
      <c r="L401" s="257">
        <v>3.223216666E9</v>
      </c>
      <c r="M401" s="257" t="s">
        <v>3707</v>
      </c>
      <c r="N401" s="257" t="s">
        <v>4291</v>
      </c>
      <c r="O401" s="257" t="s">
        <v>5021</v>
      </c>
      <c r="P401" s="370" t="str">
        <f>VLOOKUP(A401,import!A:P,16,0)</f>
        <v>Geleneksel</v>
      </c>
      <c r="Q401" s="370"/>
      <c r="R401" s="370" t="b">
        <v>0</v>
      </c>
      <c r="S401" s="370" t="b">
        <v>0</v>
      </c>
      <c r="T401" s="301"/>
      <c r="U401" s="379"/>
      <c r="V401" s="379"/>
      <c r="W401" s="301"/>
      <c r="X401" s="381"/>
      <c r="Y401" s="381"/>
      <c r="Z401" s="372"/>
      <c r="AA401" s="373"/>
      <c r="AB401" s="374"/>
      <c r="AC401" s="373"/>
      <c r="AD401" s="374"/>
      <c r="AE401" s="373"/>
      <c r="AF401" s="374"/>
      <c r="AG401" s="373"/>
      <c r="AH401" s="374"/>
      <c r="AI401" s="375"/>
      <c r="AJ401" s="375"/>
      <c r="AK401" s="373"/>
      <c r="AL401" s="375"/>
      <c r="AM401" s="375"/>
      <c r="AN401" s="373"/>
      <c r="AO401" s="375"/>
      <c r="AP401" s="376"/>
      <c r="AQ401" s="375"/>
    </row>
    <row r="402">
      <c r="A402" s="257" t="s">
        <v>1044</v>
      </c>
      <c r="B402" s="257" t="s">
        <v>1045</v>
      </c>
      <c r="C402" s="257" t="str">
        <f>VLOOKUP(A402,import!A:J,3,0)</f>
        <v>DOĞRU</v>
      </c>
      <c r="D402" s="257" t="s">
        <v>3749</v>
      </c>
      <c r="E402" s="257">
        <f>VLOOKUP(A402,import!A:J,5,0)</f>
        <v>75</v>
      </c>
      <c r="F402" s="257" t="str">
        <f>VLOOKUP(A402,import!A:J,6,0)</f>
        <v/>
      </c>
      <c r="G402" s="257">
        <f>VLOOKUP(A402,import!A:J,7,0)</f>
        <v>17</v>
      </c>
      <c r="H402" s="257">
        <f>VLOOKUP(A402,import!A:J,8,0)</f>
        <v>102</v>
      </c>
      <c r="I402" s="257">
        <f>VLOOKUP(A402,import!A:J,9,0)</f>
        <v>119</v>
      </c>
      <c r="J402" s="369">
        <f>VLOOKUP(A402,import!A:J,10,0)</f>
        <v>0.14</v>
      </c>
      <c r="K402" s="257" t="s">
        <v>5022</v>
      </c>
      <c r="L402" s="257">
        <v>3.222258765E9</v>
      </c>
      <c r="M402" s="257" t="s">
        <v>286</v>
      </c>
      <c r="N402" s="257" t="s">
        <v>3754</v>
      </c>
      <c r="O402" s="257" t="s">
        <v>2799</v>
      </c>
      <c r="P402" s="370" t="str">
        <f>VLOOKUP(A402,import!A:P,16,0)</f>
        <v>Geleneksel</v>
      </c>
      <c r="Q402" s="370"/>
      <c r="R402" s="370" t="b">
        <v>1</v>
      </c>
      <c r="S402" s="370" t="b">
        <v>0</v>
      </c>
      <c r="T402" s="301" t="s">
        <v>3679</v>
      </c>
      <c r="U402" s="301" t="s">
        <v>79</v>
      </c>
      <c r="V402" s="301" t="s">
        <v>78</v>
      </c>
      <c r="W402" s="301">
        <v>5.435438542E9</v>
      </c>
      <c r="X402" s="371">
        <v>44476.0</v>
      </c>
      <c r="Y402" s="371">
        <v>44477.0</v>
      </c>
      <c r="Z402" s="372"/>
      <c r="AA402" s="373" t="s">
        <v>3682</v>
      </c>
      <c r="AB402" s="374">
        <v>44358.0</v>
      </c>
      <c r="AC402" s="375"/>
      <c r="AD402" s="375"/>
      <c r="AE402" s="92"/>
      <c r="AF402" s="375"/>
      <c r="AG402" s="92"/>
      <c r="AH402" s="375"/>
      <c r="AI402" s="375"/>
      <c r="AJ402" s="375"/>
      <c r="AK402" s="373" t="s">
        <v>399</v>
      </c>
      <c r="AL402" s="375"/>
      <c r="AM402" s="375"/>
      <c r="AN402" s="375"/>
      <c r="AO402" s="375"/>
      <c r="AP402" s="376" t="s">
        <v>3686</v>
      </c>
      <c r="AQ402" s="375"/>
    </row>
    <row r="403">
      <c r="A403" s="257" t="s">
        <v>5023</v>
      </c>
      <c r="B403" s="257" t="s">
        <v>5024</v>
      </c>
      <c r="C403" s="257" t="str">
        <f>VLOOKUP(A403,import!A:J,3,0)</f>
        <v>YANLIŞ</v>
      </c>
      <c r="D403" s="257" t="s">
        <v>3749</v>
      </c>
      <c r="E403" s="257" t="str">
        <f>VLOOKUP(A403,import!A:J,5,0)</f>
        <v/>
      </c>
      <c r="F403" s="257" t="str">
        <f>VLOOKUP(A403,import!A:J,6,0)</f>
        <v/>
      </c>
      <c r="G403" s="257">
        <f>VLOOKUP(A403,import!A:J,7,0)</f>
        <v>0</v>
      </c>
      <c r="H403" s="257">
        <f>VLOOKUP(A403,import!A:J,8,0)</f>
        <v>125</v>
      </c>
      <c r="I403" s="257">
        <f>VLOOKUP(A403,import!A:J,9,0)</f>
        <v>125</v>
      </c>
      <c r="J403" s="369">
        <f>VLOOKUP(A403,import!A:J,10,0)</f>
        <v>0</v>
      </c>
      <c r="K403" s="257" t="s">
        <v>5022</v>
      </c>
      <c r="L403" s="257">
        <v>3.222348348E9</v>
      </c>
      <c r="M403" s="257" t="s">
        <v>14</v>
      </c>
      <c r="N403" s="257" t="s">
        <v>3797</v>
      </c>
      <c r="O403" s="257" t="s">
        <v>5025</v>
      </c>
      <c r="P403" s="370" t="str">
        <f>VLOOKUP(A403,import!A:P,16,0)</f>
        <v>Geleneksel</v>
      </c>
      <c r="Q403" s="370"/>
      <c r="R403" s="370" t="b">
        <v>1</v>
      </c>
      <c r="S403" s="370" t="b">
        <v>0</v>
      </c>
      <c r="T403" s="301" t="s">
        <v>4182</v>
      </c>
      <c r="U403" s="379"/>
      <c r="V403" s="379"/>
      <c r="W403" s="301" t="s">
        <v>5026</v>
      </c>
      <c r="X403" s="381"/>
      <c r="Y403" s="381"/>
      <c r="Z403" s="372"/>
      <c r="AA403" s="373" t="s">
        <v>3448</v>
      </c>
      <c r="AB403" s="374">
        <v>44421.0</v>
      </c>
      <c r="AC403" s="373" t="s">
        <v>3696</v>
      </c>
      <c r="AD403" s="374">
        <v>44425.0</v>
      </c>
      <c r="AE403" s="92"/>
      <c r="AF403" s="375"/>
      <c r="AG403" s="92"/>
      <c r="AH403" s="375"/>
      <c r="AI403" s="375"/>
      <c r="AJ403" s="375"/>
      <c r="AK403" s="373" t="s">
        <v>3723</v>
      </c>
      <c r="AL403" s="373" t="s">
        <v>1953</v>
      </c>
      <c r="AM403" s="375"/>
      <c r="AN403" s="375"/>
      <c r="AO403" s="375"/>
      <c r="AP403" s="376" t="s">
        <v>3683</v>
      </c>
      <c r="AQ403" s="375"/>
    </row>
    <row r="404">
      <c r="A404" s="257" t="s">
        <v>112</v>
      </c>
      <c r="B404" s="257" t="s">
        <v>113</v>
      </c>
      <c r="C404" s="257" t="str">
        <f>VLOOKUP(A404,import!A:J,3,0)</f>
        <v>DOĞRU</v>
      </c>
      <c r="D404" s="257" t="s">
        <v>5027</v>
      </c>
      <c r="E404" s="257">
        <f>VLOOKUP(A404,import!A:J,5,0)</f>
        <v>9424</v>
      </c>
      <c r="F404" s="257">
        <f>VLOOKUP(A404,import!A:J,6,0)</f>
        <v>221</v>
      </c>
      <c r="G404" s="257">
        <f>VLOOKUP(A404,import!A:J,7,0)</f>
        <v>12</v>
      </c>
      <c r="H404" s="257">
        <f>VLOOKUP(A404,import!A:J,8,0)</f>
        <v>1</v>
      </c>
      <c r="I404" s="257">
        <f>VLOOKUP(A404,import!A:J,9,0)</f>
        <v>13</v>
      </c>
      <c r="J404" s="369">
        <f>VLOOKUP(A404,import!A:J,10,0)</f>
        <v>0.92</v>
      </c>
      <c r="K404" s="257" t="s">
        <v>5028</v>
      </c>
      <c r="L404" s="257">
        <v>3.2223277E9</v>
      </c>
      <c r="M404" s="257" t="s">
        <v>14</v>
      </c>
      <c r="N404" s="257" t="s">
        <v>3797</v>
      </c>
      <c r="O404" s="257" t="s">
        <v>115</v>
      </c>
      <c r="P404" s="370" t="str">
        <f>VLOOKUP(A404,import!A:P,16,0)</f>
        <v>Geleneksel</v>
      </c>
      <c r="Q404" s="370"/>
      <c r="R404" s="370" t="b">
        <v>1</v>
      </c>
      <c r="S404" s="370" t="b">
        <v>0</v>
      </c>
      <c r="T404" s="301" t="s">
        <v>3679</v>
      </c>
      <c r="U404" s="301" t="s">
        <v>111</v>
      </c>
      <c r="V404" s="301" t="s">
        <v>78</v>
      </c>
      <c r="W404" s="301"/>
      <c r="X404" s="371">
        <v>44292.0</v>
      </c>
      <c r="Y404" s="371">
        <v>44293.0</v>
      </c>
      <c r="Z404" s="377"/>
      <c r="AA404" s="375"/>
      <c r="AB404" s="375"/>
      <c r="AC404" s="375"/>
      <c r="AD404" s="375"/>
      <c r="AE404" s="92"/>
      <c r="AF404" s="375"/>
      <c r="AG404" s="92"/>
      <c r="AH404" s="375"/>
      <c r="AI404" s="375"/>
      <c r="AJ404" s="375"/>
      <c r="AK404" s="375"/>
      <c r="AL404" s="375"/>
      <c r="AM404" s="375"/>
      <c r="AN404" s="375"/>
      <c r="AO404" s="375"/>
      <c r="AP404" s="376" t="s">
        <v>3683</v>
      </c>
      <c r="AQ404" s="375"/>
    </row>
    <row r="405">
      <c r="A405" s="257" t="s">
        <v>5029</v>
      </c>
      <c r="B405" s="257" t="s">
        <v>5030</v>
      </c>
      <c r="C405" s="257" t="str">
        <f>VLOOKUP(A405,import!A:J,3,0)</f>
        <v>YANLIŞ</v>
      </c>
      <c r="D405" s="257" t="s">
        <v>4907</v>
      </c>
      <c r="E405" s="257">
        <f>VLOOKUP(A405,import!A:J,5,0)</f>
        <v>69</v>
      </c>
      <c r="F405" s="257" t="str">
        <f>VLOOKUP(A405,import!A:J,6,0)</f>
        <v/>
      </c>
      <c r="G405" s="257">
        <f>VLOOKUP(A405,import!A:J,7,0)</f>
        <v>10</v>
      </c>
      <c r="H405" s="257">
        <f>VLOOKUP(A405,import!A:J,8,0)</f>
        <v>107</v>
      </c>
      <c r="I405" s="257">
        <f>VLOOKUP(A405,import!A:J,9,0)</f>
        <v>117</v>
      </c>
      <c r="J405" s="369">
        <f>VLOOKUP(A405,import!A:J,10,0)</f>
        <v>0.09</v>
      </c>
      <c r="K405" s="257" t="s">
        <v>5009</v>
      </c>
      <c r="L405" s="257">
        <v>5.365110118E9</v>
      </c>
      <c r="M405" s="257" t="s">
        <v>14</v>
      </c>
      <c r="N405" s="257" t="s">
        <v>3797</v>
      </c>
      <c r="O405" s="257" t="s">
        <v>5010</v>
      </c>
      <c r="P405" s="370" t="str">
        <f>VLOOKUP(A405,import!A:P,16,0)</f>
        <v>Geleneksel</v>
      </c>
      <c r="Q405" s="370"/>
      <c r="R405" s="370" t="b">
        <v>0</v>
      </c>
      <c r="S405" s="370" t="b">
        <v>0</v>
      </c>
      <c r="T405" s="301"/>
      <c r="U405" s="301"/>
      <c r="V405" s="301"/>
      <c r="W405" s="301"/>
      <c r="X405" s="371"/>
      <c r="Y405" s="371"/>
      <c r="Z405" s="372"/>
      <c r="AA405" s="373"/>
      <c r="AB405" s="374"/>
      <c r="AC405" s="373"/>
      <c r="AD405" s="374"/>
      <c r="AE405" s="373"/>
      <c r="AF405" s="374"/>
      <c r="AG405" s="373"/>
      <c r="AH405" s="374"/>
      <c r="AI405" s="373"/>
      <c r="AJ405" s="374"/>
      <c r="AK405" s="373"/>
      <c r="AL405" s="373"/>
      <c r="AM405" s="373"/>
      <c r="AN405" s="373"/>
      <c r="AO405" s="373"/>
      <c r="AP405" s="376"/>
      <c r="AQ405" s="373"/>
    </row>
    <row r="406">
      <c r="A406" s="257" t="s">
        <v>5031</v>
      </c>
      <c r="B406" s="257" t="s">
        <v>5032</v>
      </c>
      <c r="C406" s="257" t="str">
        <f>VLOOKUP(A406,import!A:J,3,0)</f>
        <v>DOĞRU</v>
      </c>
      <c r="D406" s="257" t="s">
        <v>3699</v>
      </c>
      <c r="E406" s="257">
        <f>VLOOKUP(A406,import!A:J,5,0)</f>
        <v>198</v>
      </c>
      <c r="F406" s="257">
        <f>VLOOKUP(A406,import!A:J,6,0)</f>
        <v>68</v>
      </c>
      <c r="G406" s="257">
        <f>VLOOKUP(A406,import!A:J,7,0)</f>
        <v>13</v>
      </c>
      <c r="H406" s="257">
        <f>VLOOKUP(A406,import!A:J,8,0)</f>
        <v>14</v>
      </c>
      <c r="I406" s="257">
        <f>VLOOKUP(A406,import!A:J,9,0)</f>
        <v>27</v>
      </c>
      <c r="J406" s="369">
        <f>VLOOKUP(A406,import!A:J,10,0)</f>
        <v>0.48</v>
      </c>
      <c r="K406" s="257" t="s">
        <v>5033</v>
      </c>
      <c r="L406" s="257">
        <v>5.347350255E9</v>
      </c>
      <c r="M406" s="257" t="s">
        <v>14</v>
      </c>
      <c r="N406" s="257" t="s">
        <v>3718</v>
      </c>
      <c r="O406" s="257" t="s">
        <v>5034</v>
      </c>
      <c r="P406" s="370" t="str">
        <f>VLOOKUP(A406,import!A:P,16,0)</f>
        <v>Geleneksel</v>
      </c>
      <c r="Q406" s="370"/>
      <c r="R406" s="370" t="b">
        <v>1</v>
      </c>
      <c r="S406" s="370" t="b">
        <v>0</v>
      </c>
      <c r="T406" s="301"/>
      <c r="U406" s="301"/>
      <c r="V406" s="301"/>
      <c r="W406" s="301" t="s">
        <v>4828</v>
      </c>
      <c r="X406" s="371"/>
      <c r="Y406" s="371"/>
      <c r="Z406" s="372"/>
      <c r="AA406" s="373" t="s">
        <v>3448</v>
      </c>
      <c r="AB406" s="374">
        <v>44635.0</v>
      </c>
      <c r="AC406" s="373"/>
      <c r="AD406" s="374"/>
      <c r="AE406" s="373"/>
      <c r="AF406" s="374"/>
      <c r="AG406" s="373"/>
      <c r="AH406" s="374"/>
      <c r="AI406" s="373"/>
      <c r="AJ406" s="374"/>
      <c r="AK406" s="373" t="s">
        <v>2192</v>
      </c>
      <c r="AL406" s="373"/>
      <c r="AM406" s="373"/>
      <c r="AN406" s="373"/>
      <c r="AO406" s="373"/>
      <c r="AP406" s="376"/>
      <c r="AQ406" s="373"/>
    </row>
    <row r="407">
      <c r="A407" s="257" t="s">
        <v>1715</v>
      </c>
      <c r="B407" s="257" t="s">
        <v>1716</v>
      </c>
      <c r="C407" s="257" t="str">
        <f>VLOOKUP(A407,import!A:J,3,0)</f>
        <v>DOĞRU</v>
      </c>
      <c r="D407" s="257" t="s">
        <v>3676</v>
      </c>
      <c r="E407" s="257">
        <f>VLOOKUP(A407,import!A:J,5,0)</f>
        <v>644</v>
      </c>
      <c r="F407" s="257">
        <f>VLOOKUP(A407,import!A:J,6,0)</f>
        <v>17</v>
      </c>
      <c r="G407" s="257">
        <f>VLOOKUP(A407,import!A:J,7,0)</f>
        <v>11</v>
      </c>
      <c r="H407" s="257">
        <f>VLOOKUP(A407,import!A:J,8,0)</f>
        <v>3</v>
      </c>
      <c r="I407" s="257">
        <f>VLOOKUP(A407,import!A:J,9,0)</f>
        <v>14</v>
      </c>
      <c r="J407" s="369">
        <f>VLOOKUP(A407,import!A:J,10,0)</f>
        <v>0.79</v>
      </c>
      <c r="K407" s="257" t="s">
        <v>5035</v>
      </c>
      <c r="L407" s="257">
        <v>5.522790205E9</v>
      </c>
      <c r="M407" s="257" t="s">
        <v>286</v>
      </c>
      <c r="N407" s="257" t="s">
        <v>4411</v>
      </c>
      <c r="O407" s="257" t="s">
        <v>1718</v>
      </c>
      <c r="P407" s="370" t="str">
        <f>VLOOKUP(A407,import!A:P,16,0)</f>
        <v>Geleneksel</v>
      </c>
      <c r="Q407" s="370"/>
      <c r="R407" s="370" t="b">
        <v>1</v>
      </c>
      <c r="S407" s="370" t="b">
        <v>0</v>
      </c>
      <c r="T407" s="301" t="s">
        <v>3679</v>
      </c>
      <c r="U407" s="301"/>
      <c r="V407" s="301"/>
      <c r="W407" s="301" t="s">
        <v>5036</v>
      </c>
      <c r="X407" s="371"/>
      <c r="Y407" s="371"/>
      <c r="Z407" s="377"/>
      <c r="AA407" s="373" t="s">
        <v>3696</v>
      </c>
      <c r="AB407" s="374">
        <v>44372.0</v>
      </c>
      <c r="AC407" s="375"/>
      <c r="AD407" s="375"/>
      <c r="AE407" s="92"/>
      <c r="AF407" s="375"/>
      <c r="AG407" s="92"/>
      <c r="AH407" s="375"/>
      <c r="AI407" s="375"/>
      <c r="AJ407" s="375"/>
      <c r="AK407" s="373" t="s">
        <v>3719</v>
      </c>
      <c r="AL407" s="375"/>
      <c r="AM407" s="375"/>
      <c r="AN407" s="375"/>
      <c r="AO407" s="375"/>
      <c r="AP407" s="376" t="s">
        <v>3686</v>
      </c>
      <c r="AQ407" s="375"/>
    </row>
    <row r="408">
      <c r="A408" s="257" t="s">
        <v>5037</v>
      </c>
      <c r="B408" s="257" t="s">
        <v>5038</v>
      </c>
      <c r="C408" s="257" t="str">
        <f>VLOOKUP(A408,import!A:J,3,0)</f>
        <v>DOĞRU</v>
      </c>
      <c r="D408" s="257" t="s">
        <v>3676</v>
      </c>
      <c r="E408" s="257">
        <f>VLOOKUP(A408,import!A:J,5,0)</f>
        <v>4</v>
      </c>
      <c r="F408" s="257" t="str">
        <f>VLOOKUP(A408,import!A:J,6,0)</f>
        <v/>
      </c>
      <c r="G408" s="257">
        <f>VLOOKUP(A408,import!A:J,7,0)</f>
        <v>0</v>
      </c>
      <c r="H408" s="257">
        <f>VLOOKUP(A408,import!A:J,8,0)</f>
        <v>15</v>
      </c>
      <c r="I408" s="257">
        <f>VLOOKUP(A408,import!A:J,9,0)</f>
        <v>15</v>
      </c>
      <c r="J408" s="369">
        <f>VLOOKUP(A408,import!A:J,10,0)</f>
        <v>0</v>
      </c>
      <c r="K408" s="257" t="s">
        <v>5039</v>
      </c>
      <c r="L408" s="257">
        <v>3.222344444E9</v>
      </c>
      <c r="M408" s="257" t="s">
        <v>14</v>
      </c>
      <c r="N408" s="257" t="s">
        <v>3767</v>
      </c>
      <c r="O408" s="257" t="s">
        <v>5040</v>
      </c>
      <c r="P408" s="370" t="str">
        <f>VLOOKUP(A408,import!A:P,16,0)</f>
        <v>Geleneksel</v>
      </c>
      <c r="Q408" s="370"/>
      <c r="R408" s="370" t="b">
        <v>0</v>
      </c>
      <c r="S408" s="370" t="b">
        <v>0</v>
      </c>
      <c r="T408" s="301"/>
      <c r="U408" s="301"/>
      <c r="V408" s="301"/>
      <c r="W408" s="301"/>
      <c r="X408" s="371"/>
      <c r="Y408" s="371"/>
      <c r="Z408" s="372"/>
      <c r="AA408" s="373"/>
      <c r="AB408" s="374"/>
      <c r="AC408" s="373"/>
      <c r="AD408" s="374"/>
      <c r="AE408" s="373"/>
      <c r="AF408" s="374"/>
      <c r="AG408" s="373"/>
      <c r="AH408" s="374"/>
      <c r="AI408" s="373"/>
      <c r="AJ408" s="374"/>
      <c r="AK408" s="373"/>
      <c r="AL408" s="373"/>
      <c r="AM408" s="373"/>
      <c r="AN408" s="373"/>
      <c r="AO408" s="373"/>
      <c r="AP408" s="376"/>
      <c r="AQ408" s="373"/>
    </row>
    <row r="409">
      <c r="A409" s="257" t="s">
        <v>2871</v>
      </c>
      <c r="B409" s="257" t="s">
        <v>2872</v>
      </c>
      <c r="C409" s="257" t="str">
        <f>VLOOKUP(A409,import!A:J,3,0)</f>
        <v>DOĞRU</v>
      </c>
      <c r="D409" s="257" t="s">
        <v>3699</v>
      </c>
      <c r="E409" s="257">
        <f>VLOOKUP(A409,import!A:J,5,0)</f>
        <v>40</v>
      </c>
      <c r="F409" s="257">
        <f>VLOOKUP(A409,import!A:J,6,0)</f>
        <v>2</v>
      </c>
      <c r="G409" s="257">
        <f>VLOOKUP(A409,import!A:J,7,0)</f>
        <v>8</v>
      </c>
      <c r="H409" s="257">
        <f>VLOOKUP(A409,import!A:J,8,0)</f>
        <v>2</v>
      </c>
      <c r="I409" s="257">
        <f>VLOOKUP(A409,import!A:J,9,0)</f>
        <v>10</v>
      </c>
      <c r="J409" s="369">
        <f>VLOOKUP(A409,import!A:J,10,0)</f>
        <v>0.8</v>
      </c>
      <c r="K409" s="257" t="s">
        <v>5041</v>
      </c>
      <c r="L409" s="257">
        <v>3.229995339E9</v>
      </c>
      <c r="M409" s="257" t="s">
        <v>286</v>
      </c>
      <c r="N409" s="257" t="s">
        <v>3737</v>
      </c>
      <c r="O409" s="257" t="s">
        <v>2874</v>
      </c>
      <c r="P409" s="370" t="str">
        <f>VLOOKUP(A409,import!A:P,16,0)</f>
        <v>Geleneksel</v>
      </c>
      <c r="Q409" s="370"/>
      <c r="R409" s="370" t="b">
        <v>1</v>
      </c>
      <c r="S409" s="370" t="b">
        <v>0</v>
      </c>
      <c r="T409" s="301" t="s">
        <v>3679</v>
      </c>
      <c r="U409" s="301" t="s">
        <v>2282</v>
      </c>
      <c r="V409" s="301" t="s">
        <v>78</v>
      </c>
      <c r="W409" s="301" t="s">
        <v>5042</v>
      </c>
      <c r="X409" s="371">
        <v>44508.0</v>
      </c>
      <c r="Y409" s="371">
        <v>44509.0</v>
      </c>
      <c r="Z409" s="372"/>
      <c r="AA409" s="373" t="s">
        <v>3682</v>
      </c>
      <c r="AB409" s="374">
        <v>44487.0</v>
      </c>
      <c r="AC409" s="373" t="s">
        <v>3682</v>
      </c>
      <c r="AD409" s="374">
        <v>44504.0</v>
      </c>
      <c r="AE409" s="373" t="s">
        <v>3682</v>
      </c>
      <c r="AF409" s="374">
        <v>44508.0</v>
      </c>
      <c r="AG409" s="373"/>
      <c r="AH409" s="374"/>
      <c r="AI409" s="375"/>
      <c r="AJ409" s="375"/>
      <c r="AK409" s="373" t="s">
        <v>2542</v>
      </c>
      <c r="AL409" s="373" t="s">
        <v>2706</v>
      </c>
      <c r="AM409" s="373" t="s">
        <v>2282</v>
      </c>
      <c r="AN409" s="373"/>
      <c r="AO409" s="375"/>
      <c r="AP409" s="376" t="s">
        <v>3683</v>
      </c>
      <c r="AQ409" s="375"/>
    </row>
    <row r="410">
      <c r="A410" s="257" t="s">
        <v>5043</v>
      </c>
      <c r="B410" s="257" t="s">
        <v>5044</v>
      </c>
      <c r="C410" s="257" t="str">
        <f>VLOOKUP(A410,import!A:J,3,0)</f>
        <v>DOĞRU</v>
      </c>
      <c r="D410" s="257" t="s">
        <v>3699</v>
      </c>
      <c r="E410" s="257">
        <f>VLOOKUP(A410,import!A:J,5,0)</f>
        <v>3333</v>
      </c>
      <c r="F410" s="257">
        <f>VLOOKUP(A410,import!A:J,6,0)</f>
        <v>120</v>
      </c>
      <c r="G410" s="257">
        <f>VLOOKUP(A410,import!A:J,7,0)</f>
        <v>3</v>
      </c>
      <c r="H410" s="257">
        <f>VLOOKUP(A410,import!A:J,8,0)</f>
        <v>4</v>
      </c>
      <c r="I410" s="257">
        <f>VLOOKUP(A410,import!A:J,9,0)</f>
        <v>7</v>
      </c>
      <c r="J410" s="369">
        <f>VLOOKUP(A410,import!A:J,10,0)</f>
        <v>0.43</v>
      </c>
      <c r="K410" s="257" t="s">
        <v>5045</v>
      </c>
      <c r="L410" s="257">
        <v>5.392246131E9</v>
      </c>
      <c r="M410" s="257" t="s">
        <v>286</v>
      </c>
      <c r="N410" s="257" t="s">
        <v>3855</v>
      </c>
      <c r="O410" s="257" t="s">
        <v>5046</v>
      </c>
      <c r="P410" s="370" t="str">
        <f>VLOOKUP(A410,import!A:P,16,0)</f>
        <v>Geleneksel</v>
      </c>
      <c r="Q410" s="370"/>
      <c r="R410" s="370" t="b">
        <v>1</v>
      </c>
      <c r="S410" s="370" t="b">
        <v>1</v>
      </c>
      <c r="T410" s="301"/>
      <c r="U410" s="379"/>
      <c r="V410" s="379"/>
      <c r="W410" s="301" t="s">
        <v>5047</v>
      </c>
      <c r="X410" s="381"/>
      <c r="Y410" s="381"/>
      <c r="Z410" s="372"/>
      <c r="AA410" s="373" t="s">
        <v>3682</v>
      </c>
      <c r="AB410" s="374">
        <v>44502.0</v>
      </c>
      <c r="AC410" s="373"/>
      <c r="AD410" s="374"/>
      <c r="AE410" s="373"/>
      <c r="AF410" s="374"/>
      <c r="AG410" s="373"/>
      <c r="AH410" s="374"/>
      <c r="AI410" s="375"/>
      <c r="AJ410" s="375"/>
      <c r="AK410" s="373" t="s">
        <v>2542</v>
      </c>
      <c r="AL410" s="375"/>
      <c r="AM410" s="375"/>
      <c r="AN410" s="373"/>
      <c r="AO410" s="375"/>
      <c r="AP410" s="376" t="s">
        <v>3686</v>
      </c>
      <c r="AQ410" s="375"/>
    </row>
    <row r="411">
      <c r="A411" s="257" t="s">
        <v>5048</v>
      </c>
      <c r="B411" s="257" t="s">
        <v>5049</v>
      </c>
      <c r="C411" s="257" t="str">
        <f>VLOOKUP(A411,import!A:J,3,0)</f>
        <v>DOĞRU</v>
      </c>
      <c r="D411" s="257" t="s">
        <v>3842</v>
      </c>
      <c r="E411" s="257">
        <f>VLOOKUP(A411,import!A:J,5,0)</f>
        <v>5</v>
      </c>
      <c r="F411" s="257" t="str">
        <f>VLOOKUP(A411,import!A:J,6,0)</f>
        <v/>
      </c>
      <c r="G411" s="257">
        <f>VLOOKUP(A411,import!A:J,7,0)</f>
        <v>0</v>
      </c>
      <c r="H411" s="257">
        <f>VLOOKUP(A411,import!A:J,8,0)</f>
        <v>7</v>
      </c>
      <c r="I411" s="257">
        <f>VLOOKUP(A411,import!A:J,9,0)</f>
        <v>7</v>
      </c>
      <c r="J411" s="369">
        <f>VLOOKUP(A411,import!A:J,10,0)</f>
        <v>0</v>
      </c>
      <c r="K411" s="257" t="s">
        <v>5050</v>
      </c>
      <c r="L411" s="257">
        <v>5.380213839E9</v>
      </c>
      <c r="M411" s="257" t="s">
        <v>286</v>
      </c>
      <c r="N411" s="257" t="s">
        <v>3688</v>
      </c>
      <c r="O411" s="257" t="s">
        <v>5051</v>
      </c>
      <c r="P411" s="370" t="str">
        <f>VLOOKUP(A411,import!A:P,16,0)</f>
        <v>Geleneksel</v>
      </c>
      <c r="Q411" s="370"/>
      <c r="R411" s="370" t="b">
        <v>0</v>
      </c>
      <c r="S411" s="370" t="b">
        <v>0</v>
      </c>
      <c r="T411" s="301"/>
      <c r="U411" s="301"/>
      <c r="V411" s="301"/>
      <c r="W411" s="301" t="s">
        <v>5052</v>
      </c>
      <c r="X411" s="371"/>
      <c r="Y411" s="371"/>
      <c r="Z411" s="372"/>
      <c r="AA411" s="373" t="s">
        <v>3682</v>
      </c>
      <c r="AB411" s="371">
        <v>44641.0</v>
      </c>
      <c r="AC411" s="373"/>
      <c r="AD411" s="374"/>
      <c r="AE411" s="373"/>
      <c r="AF411" s="374"/>
      <c r="AG411" s="373"/>
      <c r="AH411" s="374"/>
      <c r="AI411" s="373"/>
      <c r="AJ411" s="374"/>
      <c r="AK411" s="373" t="s">
        <v>2542</v>
      </c>
      <c r="AL411" s="373"/>
      <c r="AM411" s="373"/>
      <c r="AN411" s="373"/>
      <c r="AO411" s="373"/>
      <c r="AP411" s="376"/>
      <c r="AQ411" s="373"/>
    </row>
    <row r="412">
      <c r="A412" s="257" t="s">
        <v>2714</v>
      </c>
      <c r="B412" s="257" t="s">
        <v>2715</v>
      </c>
      <c r="C412" s="257" t="str">
        <f>VLOOKUP(A412,import!A:J,3,0)</f>
        <v>YANLIŞ</v>
      </c>
      <c r="D412" s="257" t="s">
        <v>4000</v>
      </c>
      <c r="E412" s="257">
        <f>VLOOKUP(A412,import!A:J,5,0)</f>
        <v>424</v>
      </c>
      <c r="F412" s="257" t="str">
        <f>VLOOKUP(A412,import!A:J,6,0)</f>
        <v/>
      </c>
      <c r="G412" s="257">
        <f>VLOOKUP(A412,import!A:J,7,0)</f>
        <v>19</v>
      </c>
      <c r="H412" s="257">
        <f>VLOOKUP(A412,import!A:J,8,0)</f>
        <v>23</v>
      </c>
      <c r="I412" s="257">
        <f>VLOOKUP(A412,import!A:J,9,0)</f>
        <v>42</v>
      </c>
      <c r="J412" s="369">
        <f>VLOOKUP(A412,import!A:J,10,0)</f>
        <v>0.45</v>
      </c>
      <c r="K412" s="257" t="s">
        <v>5053</v>
      </c>
      <c r="L412" s="257">
        <v>5.30037203E9</v>
      </c>
      <c r="M412" s="257" t="s">
        <v>286</v>
      </c>
      <c r="N412" s="257" t="s">
        <v>3855</v>
      </c>
      <c r="O412" s="257" t="s">
        <v>2718</v>
      </c>
      <c r="P412" s="370" t="str">
        <f>VLOOKUP(A412,import!A:P,16,0)</f>
        <v>Geleneksel</v>
      </c>
      <c r="Q412" s="370"/>
      <c r="R412" s="370" t="b">
        <v>1</v>
      </c>
      <c r="S412" s="370" t="b">
        <v>0</v>
      </c>
      <c r="T412" s="301" t="s">
        <v>3679</v>
      </c>
      <c r="U412" s="301" t="s">
        <v>2706</v>
      </c>
      <c r="V412" s="301" t="s">
        <v>78</v>
      </c>
      <c r="W412" s="301">
        <v>5.418522802E9</v>
      </c>
      <c r="X412" s="371">
        <v>44469.0</v>
      </c>
      <c r="Y412" s="371">
        <v>44470.0</v>
      </c>
      <c r="Z412" s="372"/>
      <c r="AA412" s="373" t="s">
        <v>3448</v>
      </c>
      <c r="AB412" s="374">
        <v>44442.0</v>
      </c>
      <c r="AC412" s="373" t="s">
        <v>3682</v>
      </c>
      <c r="AD412" s="374">
        <v>44470.0</v>
      </c>
      <c r="AE412" s="92"/>
      <c r="AF412" s="375"/>
      <c r="AG412" s="92"/>
      <c r="AH412" s="375"/>
      <c r="AI412" s="375"/>
      <c r="AJ412" s="375"/>
      <c r="AK412" s="373" t="s">
        <v>399</v>
      </c>
      <c r="AL412" s="373" t="s">
        <v>2706</v>
      </c>
      <c r="AM412" s="375"/>
      <c r="AN412" s="375"/>
      <c r="AO412" s="375"/>
      <c r="AP412" s="376" t="s">
        <v>3686</v>
      </c>
      <c r="AQ412" s="375"/>
    </row>
    <row r="413">
      <c r="A413" s="257" t="s">
        <v>5054</v>
      </c>
      <c r="B413" s="257" t="s">
        <v>5055</v>
      </c>
      <c r="C413" s="257" t="str">
        <f>VLOOKUP(A413,import!A:J,3,0)</f>
        <v>DOĞRU</v>
      </c>
      <c r="D413" s="257" t="s">
        <v>3912</v>
      </c>
      <c r="E413" s="257">
        <f>VLOOKUP(A413,import!A:J,5,0)</f>
        <v>541</v>
      </c>
      <c r="F413" s="257">
        <f>VLOOKUP(A413,import!A:J,6,0)</f>
        <v>16</v>
      </c>
      <c r="G413" s="257">
        <f>VLOOKUP(A413,import!A:J,7,0)</f>
        <v>0</v>
      </c>
      <c r="H413" s="257">
        <f>VLOOKUP(A413,import!A:J,8,0)</f>
        <v>8</v>
      </c>
      <c r="I413" s="257">
        <f>VLOOKUP(A413,import!A:J,9,0)</f>
        <v>8</v>
      </c>
      <c r="J413" s="369">
        <f>VLOOKUP(A413,import!A:J,10,0)</f>
        <v>0</v>
      </c>
      <c r="K413" s="257" t="s">
        <v>5056</v>
      </c>
      <c r="L413" s="257">
        <v>3.222353232E9</v>
      </c>
      <c r="M413" s="257" t="s">
        <v>14</v>
      </c>
      <c r="N413" s="257" t="s">
        <v>3718</v>
      </c>
      <c r="O413" s="257" t="s">
        <v>5057</v>
      </c>
      <c r="P413" s="370" t="str">
        <f>VLOOKUP(A413,import!A:P,16,0)</f>
        <v>Geleneksel</v>
      </c>
      <c r="Q413" s="370"/>
      <c r="R413" s="370" t="b">
        <v>1</v>
      </c>
      <c r="S413" s="370" t="b">
        <v>0</v>
      </c>
      <c r="T413" s="301"/>
      <c r="U413" s="379"/>
      <c r="V413" s="379"/>
      <c r="W413" s="301" t="s">
        <v>5058</v>
      </c>
      <c r="X413" s="381"/>
      <c r="Y413" s="381"/>
      <c r="Z413" s="372"/>
      <c r="AA413" s="373" t="s">
        <v>3448</v>
      </c>
      <c r="AB413" s="374">
        <v>44536.0</v>
      </c>
      <c r="AC413" s="373" t="s">
        <v>3448</v>
      </c>
      <c r="AD413" s="374">
        <v>44565.0</v>
      </c>
      <c r="AE413" s="373"/>
      <c r="AF413" s="374"/>
      <c r="AG413" s="373"/>
      <c r="AH413" s="374"/>
      <c r="AI413" s="375"/>
      <c r="AJ413" s="375"/>
      <c r="AK413" s="373" t="s">
        <v>2192</v>
      </c>
      <c r="AL413" s="373" t="s">
        <v>2424</v>
      </c>
      <c r="AM413" s="375"/>
      <c r="AN413" s="373"/>
      <c r="AO413" s="375"/>
      <c r="AP413" s="376" t="s">
        <v>3683</v>
      </c>
      <c r="AQ413" s="375"/>
    </row>
    <row r="414">
      <c r="A414" s="257" t="s">
        <v>788</v>
      </c>
      <c r="B414" s="257" t="s">
        <v>789</v>
      </c>
      <c r="C414" s="257" t="str">
        <f>VLOOKUP(A414,import!A:J,3,0)</f>
        <v>DOĞRU</v>
      </c>
      <c r="D414" s="257" t="s">
        <v>4249</v>
      </c>
      <c r="E414" s="257">
        <f>VLOOKUP(A414,import!A:J,5,0)</f>
        <v>218</v>
      </c>
      <c r="F414" s="257">
        <f>VLOOKUP(A414,import!A:J,6,0)</f>
        <v>23</v>
      </c>
      <c r="G414" s="257">
        <f>VLOOKUP(A414,import!A:J,7,0)</f>
        <v>5</v>
      </c>
      <c r="H414" s="257">
        <f>VLOOKUP(A414,import!A:J,8,0)</f>
        <v>48</v>
      </c>
      <c r="I414" s="257">
        <f>VLOOKUP(A414,import!A:J,9,0)</f>
        <v>53</v>
      </c>
      <c r="J414" s="369">
        <f>VLOOKUP(A414,import!A:J,10,0)</f>
        <v>0.09</v>
      </c>
      <c r="K414" s="257" t="s">
        <v>5059</v>
      </c>
      <c r="L414" s="257">
        <v>5.373839978E9</v>
      </c>
      <c r="M414" s="257" t="s">
        <v>14</v>
      </c>
      <c r="N414" s="257" t="s">
        <v>3797</v>
      </c>
      <c r="O414" s="257" t="s">
        <v>791</v>
      </c>
      <c r="P414" s="370" t="str">
        <f>VLOOKUP(A414,import!A:P,16,0)</f>
        <v>Geleneksel</v>
      </c>
      <c r="Q414" s="370"/>
      <c r="R414" s="370" t="b">
        <v>1</v>
      </c>
      <c r="S414" s="370" t="b">
        <v>0</v>
      </c>
      <c r="T414" s="301" t="s">
        <v>3679</v>
      </c>
      <c r="U414" s="301" t="s">
        <v>399</v>
      </c>
      <c r="V414" s="301" t="s">
        <v>78</v>
      </c>
      <c r="W414" s="301"/>
      <c r="X414" s="371">
        <v>44343.0</v>
      </c>
      <c r="Y414" s="371">
        <v>44347.0</v>
      </c>
      <c r="Z414" s="377"/>
      <c r="AA414" s="375"/>
      <c r="AB414" s="375"/>
      <c r="AC414" s="375"/>
      <c r="AD414" s="375"/>
      <c r="AE414" s="92"/>
      <c r="AF414" s="375"/>
      <c r="AG414" s="92"/>
      <c r="AH414" s="375"/>
      <c r="AI414" s="375"/>
      <c r="AJ414" s="375"/>
      <c r="AK414" s="375"/>
      <c r="AL414" s="375"/>
      <c r="AM414" s="375"/>
      <c r="AN414" s="375"/>
      <c r="AO414" s="375"/>
      <c r="AP414" s="376" t="s">
        <v>3683</v>
      </c>
      <c r="AQ414" s="375"/>
    </row>
    <row r="415">
      <c r="A415" s="257" t="s">
        <v>5060</v>
      </c>
      <c r="B415" s="257" t="s">
        <v>5061</v>
      </c>
      <c r="C415" s="257" t="str">
        <f>VLOOKUP(A415,import!A:J,3,0)</f>
        <v>DOĞRU</v>
      </c>
      <c r="D415" s="257" t="s">
        <v>3676</v>
      </c>
      <c r="E415" s="257" t="str">
        <f>VLOOKUP(A415,import!A:J,5,0)</f>
        <v/>
      </c>
      <c r="F415" s="257" t="str">
        <f>VLOOKUP(A415,import!A:J,6,0)</f>
        <v/>
      </c>
      <c r="G415" s="257">
        <f>VLOOKUP(A415,import!A:J,7,0)</f>
        <v>0</v>
      </c>
      <c r="H415" s="257">
        <f>VLOOKUP(A415,import!A:J,8,0)</f>
        <v>9</v>
      </c>
      <c r="I415" s="257">
        <f>VLOOKUP(A415,import!A:J,9,0)</f>
        <v>9</v>
      </c>
      <c r="J415" s="369">
        <f>VLOOKUP(A415,import!A:J,10,0)</f>
        <v>0</v>
      </c>
      <c r="K415" s="257" t="s">
        <v>5062</v>
      </c>
      <c r="L415" s="257">
        <v>5.411770304E9</v>
      </c>
      <c r="M415" s="257" t="s">
        <v>14</v>
      </c>
      <c r="N415" s="257" t="s">
        <v>3733</v>
      </c>
      <c r="O415" s="257" t="s">
        <v>5063</v>
      </c>
      <c r="P415" s="370" t="str">
        <f>VLOOKUP(A415,import!A:P,16,0)</f>
        <v>Geleneksel</v>
      </c>
      <c r="Q415" s="370"/>
      <c r="R415" s="370" t="b">
        <v>0</v>
      </c>
      <c r="S415" s="370" t="b">
        <v>0</v>
      </c>
      <c r="T415" s="301" t="s">
        <v>4960</v>
      </c>
      <c r="U415" s="301"/>
      <c r="V415" s="380"/>
      <c r="W415" s="301" t="s">
        <v>5064</v>
      </c>
      <c r="X415" s="371"/>
      <c r="Y415" s="371"/>
      <c r="Z415" s="372"/>
      <c r="AA415" s="373" t="s">
        <v>3682</v>
      </c>
      <c r="AB415" s="371">
        <v>44632.0</v>
      </c>
      <c r="AC415" s="373"/>
      <c r="AD415" s="374"/>
      <c r="AE415" s="373"/>
      <c r="AF415" s="374"/>
      <c r="AG415" s="373"/>
      <c r="AH415" s="374"/>
      <c r="AI415" s="373"/>
      <c r="AJ415" s="374"/>
      <c r="AK415" s="373" t="s">
        <v>2542</v>
      </c>
      <c r="AL415" s="373"/>
      <c r="AM415" s="373"/>
      <c r="AN415" s="373"/>
      <c r="AO415" s="373"/>
      <c r="AP415" s="376"/>
      <c r="AQ415" s="373"/>
    </row>
    <row r="416">
      <c r="A416" s="257" t="s">
        <v>5065</v>
      </c>
      <c r="B416" s="257" t="s">
        <v>5066</v>
      </c>
      <c r="C416" s="257" t="str">
        <f>VLOOKUP(A416,import!A:J,3,0)</f>
        <v>DOĞRU</v>
      </c>
      <c r="D416" s="257" t="s">
        <v>3690</v>
      </c>
      <c r="E416" s="257">
        <f>VLOOKUP(A416,import!A:J,5,0)</f>
        <v>669</v>
      </c>
      <c r="F416" s="257">
        <f>VLOOKUP(A416,import!A:J,6,0)</f>
        <v>34</v>
      </c>
      <c r="G416" s="257">
        <f>VLOOKUP(A416,import!A:J,7,0)</f>
        <v>0</v>
      </c>
      <c r="H416" s="257">
        <f>VLOOKUP(A416,import!A:J,8,0)</f>
        <v>19</v>
      </c>
      <c r="I416" s="257">
        <f>VLOOKUP(A416,import!A:J,9,0)</f>
        <v>19</v>
      </c>
      <c r="J416" s="369">
        <f>VLOOKUP(A416,import!A:J,10,0)</f>
        <v>0</v>
      </c>
      <c r="K416" s="257" t="s">
        <v>5067</v>
      </c>
      <c r="L416" s="257">
        <v>5.414073302E9</v>
      </c>
      <c r="M416" s="257" t="s">
        <v>14</v>
      </c>
      <c r="N416" s="257" t="s">
        <v>3733</v>
      </c>
      <c r="O416" s="257" t="s">
        <v>5068</v>
      </c>
      <c r="P416" s="370" t="str">
        <f>VLOOKUP(A416,import!A:P,16,0)</f>
        <v>Geleneksel</v>
      </c>
      <c r="Q416" s="370"/>
      <c r="R416" s="370" t="b">
        <v>1</v>
      </c>
      <c r="S416" s="370" t="b">
        <v>0</v>
      </c>
      <c r="T416" s="301" t="s">
        <v>3770</v>
      </c>
      <c r="U416" s="379"/>
      <c r="V416" s="379"/>
      <c r="W416" s="301" t="s">
        <v>5069</v>
      </c>
      <c r="X416" s="381"/>
      <c r="Y416" s="381"/>
      <c r="Z416" s="372"/>
      <c r="AA416" s="373" t="s">
        <v>3448</v>
      </c>
      <c r="AB416" s="374">
        <v>44466.0</v>
      </c>
      <c r="AC416" s="373" t="s">
        <v>3682</v>
      </c>
      <c r="AD416" s="374">
        <v>44466.0</v>
      </c>
      <c r="AE416" s="373"/>
      <c r="AF416" s="374"/>
      <c r="AG416" s="92"/>
      <c r="AH416" s="375"/>
      <c r="AI416" s="375"/>
      <c r="AJ416" s="375"/>
      <c r="AK416" s="373" t="s">
        <v>2542</v>
      </c>
      <c r="AL416" s="373" t="s">
        <v>2576</v>
      </c>
      <c r="AM416" s="375"/>
      <c r="AN416" s="375"/>
      <c r="AO416" s="375"/>
      <c r="AP416" s="376" t="s">
        <v>3683</v>
      </c>
      <c r="AQ416" s="375"/>
    </row>
    <row r="417">
      <c r="A417" s="257" t="s">
        <v>5070</v>
      </c>
      <c r="B417" s="257" t="s">
        <v>5071</v>
      </c>
      <c r="C417" s="257" t="str">
        <f>VLOOKUP(A417,import!A:J,3,0)</f>
        <v>DOĞRU</v>
      </c>
      <c r="D417" s="257" t="s">
        <v>3699</v>
      </c>
      <c r="E417" s="257">
        <f>VLOOKUP(A417,import!A:J,5,0)</f>
        <v>250</v>
      </c>
      <c r="F417" s="257" t="str">
        <f>VLOOKUP(A417,import!A:J,6,0)</f>
        <v/>
      </c>
      <c r="G417" s="257">
        <f>VLOOKUP(A417,import!A:J,7,0)</f>
        <v>0</v>
      </c>
      <c r="H417" s="257">
        <f>VLOOKUP(A417,import!A:J,8,0)</f>
        <v>7</v>
      </c>
      <c r="I417" s="257">
        <f>VLOOKUP(A417,import!A:J,9,0)</f>
        <v>7</v>
      </c>
      <c r="J417" s="369">
        <f>VLOOKUP(A417,import!A:J,10,0)</f>
        <v>0</v>
      </c>
      <c r="K417" s="257" t="s">
        <v>5072</v>
      </c>
      <c r="L417" s="257">
        <v>5.013243401E9</v>
      </c>
      <c r="M417" s="257" t="s">
        <v>286</v>
      </c>
      <c r="N417" s="257" t="s">
        <v>3746</v>
      </c>
      <c r="O417" s="257" t="s">
        <v>5073</v>
      </c>
      <c r="P417" s="370" t="str">
        <f>VLOOKUP(A417,import!A:P,16,0)</f>
        <v>Geleneksel</v>
      </c>
      <c r="Q417" s="370"/>
      <c r="R417" s="370" t="b">
        <v>1</v>
      </c>
      <c r="S417" s="370" t="b">
        <v>1</v>
      </c>
      <c r="T417" s="301"/>
      <c r="U417" s="379"/>
      <c r="V417" s="379"/>
      <c r="W417" s="301" t="s">
        <v>5074</v>
      </c>
      <c r="X417" s="381"/>
      <c r="Y417" s="381"/>
      <c r="Z417" s="372"/>
      <c r="AA417" s="373" t="s">
        <v>3682</v>
      </c>
      <c r="AB417" s="374">
        <v>44377.0</v>
      </c>
      <c r="AC417" s="373" t="s">
        <v>3448</v>
      </c>
      <c r="AD417" s="374">
        <v>44459.0</v>
      </c>
      <c r="AE417" s="373" t="s">
        <v>3448</v>
      </c>
      <c r="AF417" s="374">
        <v>44488.0</v>
      </c>
      <c r="AG417" s="92"/>
      <c r="AH417" s="375"/>
      <c r="AI417" s="375"/>
      <c r="AJ417" s="375"/>
      <c r="AK417" s="373" t="s">
        <v>399</v>
      </c>
      <c r="AL417" s="373" t="s">
        <v>2542</v>
      </c>
      <c r="AM417" s="373" t="s">
        <v>2542</v>
      </c>
      <c r="AN417" s="375"/>
      <c r="AO417" s="375"/>
      <c r="AP417" s="376" t="s">
        <v>3686</v>
      </c>
      <c r="AQ417" s="375"/>
    </row>
    <row r="418">
      <c r="A418" s="257" t="s">
        <v>803</v>
      </c>
      <c r="B418" s="257" t="s">
        <v>804</v>
      </c>
      <c r="C418" s="257" t="str">
        <f>VLOOKUP(A418,import!A:J,3,0)</f>
        <v>DOĞRU</v>
      </c>
      <c r="D418" s="257" t="s">
        <v>3676</v>
      </c>
      <c r="E418" s="257">
        <f>VLOOKUP(A418,import!A:J,5,0)</f>
        <v>335</v>
      </c>
      <c r="F418" s="257">
        <f>VLOOKUP(A418,import!A:J,6,0)</f>
        <v>14</v>
      </c>
      <c r="G418" s="257">
        <f>VLOOKUP(A418,import!A:J,7,0)</f>
        <v>13</v>
      </c>
      <c r="H418" s="257">
        <f>VLOOKUP(A418,import!A:J,8,0)</f>
        <v>42</v>
      </c>
      <c r="I418" s="257">
        <f>VLOOKUP(A418,import!A:J,9,0)</f>
        <v>55</v>
      </c>
      <c r="J418" s="369">
        <f>VLOOKUP(A418,import!A:J,10,0)</f>
        <v>0.24</v>
      </c>
      <c r="K418" s="257" t="s">
        <v>5075</v>
      </c>
      <c r="L418" s="257">
        <v>5.330917639E9</v>
      </c>
      <c r="M418" s="257" t="s">
        <v>14</v>
      </c>
      <c r="N418" s="257" t="s">
        <v>3826</v>
      </c>
      <c r="O418" s="257" t="s">
        <v>806</v>
      </c>
      <c r="P418" s="370" t="str">
        <f>VLOOKUP(A418,import!A:P,16,0)</f>
        <v>Geleneksel</v>
      </c>
      <c r="Q418" s="370"/>
      <c r="R418" s="370" t="b">
        <v>1</v>
      </c>
      <c r="S418" s="370" t="b">
        <v>0</v>
      </c>
      <c r="T418" s="301" t="s">
        <v>3679</v>
      </c>
      <c r="U418" s="301" t="s">
        <v>79</v>
      </c>
      <c r="V418" s="301" t="s">
        <v>78</v>
      </c>
      <c r="W418" s="301" t="s">
        <v>5076</v>
      </c>
      <c r="X418" s="371">
        <v>44344.0</v>
      </c>
      <c r="Y418" s="371">
        <v>44348.0</v>
      </c>
      <c r="Z418" s="377"/>
      <c r="AA418" s="373" t="s">
        <v>3682</v>
      </c>
      <c r="AB418" s="374">
        <v>44425.0</v>
      </c>
      <c r="AC418" s="375"/>
      <c r="AD418" s="375"/>
      <c r="AE418" s="92"/>
      <c r="AF418" s="375"/>
      <c r="AG418" s="92"/>
      <c r="AH418" s="375"/>
      <c r="AI418" s="375"/>
      <c r="AJ418" s="375"/>
      <c r="AK418" s="373" t="s">
        <v>1953</v>
      </c>
      <c r="AL418" s="375"/>
      <c r="AM418" s="375"/>
      <c r="AN418" s="375"/>
      <c r="AO418" s="375"/>
      <c r="AP418" s="376" t="s">
        <v>3683</v>
      </c>
      <c r="AQ418" s="375"/>
    </row>
    <row r="419">
      <c r="A419" s="376" t="s">
        <v>5077</v>
      </c>
      <c r="B419" s="376" t="s">
        <v>5078</v>
      </c>
      <c r="C419" s="257" t="str">
        <f>VLOOKUP(A419,import!A:J,3,0)</f>
        <v>DOĞRU</v>
      </c>
      <c r="D419" s="376" t="s">
        <v>3690</v>
      </c>
      <c r="E419" s="257" t="str">
        <f>VLOOKUP(A419,import!A:J,5,0)</f>
        <v/>
      </c>
      <c r="F419" s="257" t="str">
        <f>VLOOKUP(A419,import!A:J,6,0)</f>
        <v/>
      </c>
      <c r="G419" s="257">
        <f>VLOOKUP(A419,import!A:J,7,0)</f>
        <v>0</v>
      </c>
      <c r="H419" s="257">
        <f>VLOOKUP(A419,import!A:J,8,0)</f>
        <v>26</v>
      </c>
      <c r="I419" s="257">
        <f>VLOOKUP(A419,import!A:J,9,0)</f>
        <v>26</v>
      </c>
      <c r="J419" s="369">
        <f>VLOOKUP(A419,import!A:J,10,0)</f>
        <v>0</v>
      </c>
      <c r="K419" s="376" t="s">
        <v>5079</v>
      </c>
      <c r="L419" s="376">
        <v>3.223634686E9</v>
      </c>
      <c r="M419" s="376" t="s">
        <v>286</v>
      </c>
      <c r="N419" s="376" t="s">
        <v>4057</v>
      </c>
      <c r="O419" s="376" t="s">
        <v>5080</v>
      </c>
      <c r="P419" s="370" t="str">
        <f>VLOOKUP(A419,import!A:P,16,0)</f>
        <v>Geleneksel</v>
      </c>
      <c r="Q419" s="370"/>
      <c r="R419" s="370" t="b">
        <v>0</v>
      </c>
      <c r="S419" s="370" t="b">
        <v>0</v>
      </c>
      <c r="T419" s="301"/>
      <c r="U419" s="301"/>
      <c r="V419" s="301"/>
      <c r="W419" s="301"/>
      <c r="X419" s="371"/>
      <c r="Y419" s="371"/>
      <c r="Z419" s="372"/>
      <c r="AA419" s="373"/>
      <c r="AB419" s="374"/>
      <c r="AC419" s="373"/>
      <c r="AD419" s="374"/>
      <c r="AE419" s="373"/>
      <c r="AF419" s="374"/>
      <c r="AG419" s="373"/>
      <c r="AH419" s="374"/>
      <c r="AI419" s="373"/>
      <c r="AJ419" s="374"/>
      <c r="AK419" s="373"/>
      <c r="AL419" s="373"/>
      <c r="AM419" s="373"/>
      <c r="AN419" s="373"/>
      <c r="AO419" s="373"/>
      <c r="AP419" s="376"/>
      <c r="AQ419" s="373"/>
    </row>
    <row r="420">
      <c r="A420" s="257" t="s">
        <v>3175</v>
      </c>
      <c r="B420" s="257" t="s">
        <v>3176</v>
      </c>
      <c r="C420" s="257" t="str">
        <f>VLOOKUP(A420,import!A:J,3,0)</f>
        <v>DOĞRU</v>
      </c>
      <c r="D420" s="257" t="s">
        <v>3713</v>
      </c>
      <c r="E420" s="257">
        <f>VLOOKUP(A420,import!A:J,5,0)</f>
        <v>1496</v>
      </c>
      <c r="F420" s="257">
        <f>VLOOKUP(A420,import!A:J,6,0)</f>
        <v>183</v>
      </c>
      <c r="G420" s="257">
        <f>VLOOKUP(A420,import!A:J,7,0)</f>
        <v>0</v>
      </c>
      <c r="H420" s="257">
        <f>VLOOKUP(A420,import!A:J,8,0)</f>
        <v>49</v>
      </c>
      <c r="I420" s="257">
        <f>VLOOKUP(A420,import!A:J,9,0)</f>
        <v>49</v>
      </c>
      <c r="J420" s="369">
        <f>VLOOKUP(A420,import!A:J,10,0)</f>
        <v>0</v>
      </c>
      <c r="K420" s="257" t="s">
        <v>5081</v>
      </c>
      <c r="L420" s="257">
        <v>3.222903735E9</v>
      </c>
      <c r="M420" s="257" t="s">
        <v>286</v>
      </c>
      <c r="N420" s="257" t="s">
        <v>3688</v>
      </c>
      <c r="O420" s="257" t="s">
        <v>3178</v>
      </c>
      <c r="P420" s="370" t="str">
        <f>VLOOKUP(A420,import!A:P,16,0)</f>
        <v>Geleneksel</v>
      </c>
      <c r="Q420" s="370"/>
      <c r="R420" s="370" t="b">
        <v>1</v>
      </c>
      <c r="S420" s="370" t="b">
        <v>1</v>
      </c>
      <c r="T420" s="301" t="s">
        <v>3787</v>
      </c>
      <c r="U420" s="301" t="s">
        <v>2192</v>
      </c>
      <c r="V420" s="403" t="s">
        <v>78</v>
      </c>
      <c r="W420" s="301"/>
      <c r="X420" s="371">
        <v>44530.0</v>
      </c>
      <c r="Y420" s="371">
        <v>44502.0</v>
      </c>
      <c r="Z420" s="372"/>
      <c r="AA420" s="373" t="s">
        <v>3682</v>
      </c>
      <c r="AB420" s="374">
        <v>44530.0</v>
      </c>
      <c r="AC420" s="373"/>
      <c r="AD420" s="374"/>
      <c r="AE420" s="373"/>
      <c r="AF420" s="374"/>
      <c r="AG420" s="373"/>
      <c r="AH420" s="374"/>
      <c r="AI420" s="375"/>
      <c r="AJ420" s="375"/>
      <c r="AK420" s="373" t="s">
        <v>2192</v>
      </c>
      <c r="AL420" s="375"/>
      <c r="AM420" s="375"/>
      <c r="AN420" s="373"/>
      <c r="AO420" s="375"/>
      <c r="AP420" s="376" t="s">
        <v>3686</v>
      </c>
      <c r="AQ420" s="375"/>
    </row>
    <row r="421">
      <c r="A421" s="257" t="s">
        <v>5082</v>
      </c>
      <c r="B421" s="257" t="s">
        <v>5083</v>
      </c>
      <c r="C421" s="257" t="str">
        <f>VLOOKUP(A421,import!A:J,3,0)</f>
        <v>DOĞRU</v>
      </c>
      <c r="D421" s="257" t="s">
        <v>3801</v>
      </c>
      <c r="E421" s="257">
        <f>VLOOKUP(A421,import!A:J,5,0)</f>
        <v>40</v>
      </c>
      <c r="F421" s="257">
        <f>VLOOKUP(A421,import!A:J,6,0)</f>
        <v>18</v>
      </c>
      <c r="G421" s="257">
        <f>VLOOKUP(A421,import!A:J,7,0)</f>
        <v>0</v>
      </c>
      <c r="H421" s="257">
        <f>VLOOKUP(A421,import!A:J,8,0)</f>
        <v>4</v>
      </c>
      <c r="I421" s="257">
        <f>VLOOKUP(A421,import!A:J,9,0)</f>
        <v>4</v>
      </c>
      <c r="J421" s="369">
        <f>VLOOKUP(A421,import!A:J,10,0)</f>
        <v>0</v>
      </c>
      <c r="K421" s="257" t="s">
        <v>5084</v>
      </c>
      <c r="L421" s="257">
        <v>5.525027301E9</v>
      </c>
      <c r="M421" s="257" t="s">
        <v>286</v>
      </c>
      <c r="N421" s="257" t="s">
        <v>3782</v>
      </c>
      <c r="O421" s="257" t="s">
        <v>5085</v>
      </c>
      <c r="P421" s="370" t="str">
        <f>VLOOKUP(A421,import!A:P,16,0)</f>
        <v>Geleneksel</v>
      </c>
      <c r="Q421" s="370"/>
      <c r="R421" s="370" t="b">
        <v>0</v>
      </c>
      <c r="S421" s="370" t="b">
        <v>0</v>
      </c>
      <c r="T421" s="301"/>
      <c r="U421" s="301"/>
      <c r="V421" s="36"/>
      <c r="W421" s="301"/>
      <c r="X421" s="371"/>
      <c r="Y421" s="371"/>
      <c r="Z421" s="372"/>
      <c r="AA421" s="373"/>
      <c r="AB421" s="374"/>
      <c r="AC421" s="373"/>
      <c r="AD421" s="374"/>
      <c r="AE421" s="373"/>
      <c r="AF421" s="374"/>
      <c r="AG421" s="373"/>
      <c r="AH421" s="374"/>
      <c r="AI421" s="373"/>
      <c r="AJ421" s="374"/>
      <c r="AK421" s="373"/>
      <c r="AL421" s="373"/>
      <c r="AM421" s="373"/>
      <c r="AN421" s="373"/>
      <c r="AO421" s="373"/>
      <c r="AP421" s="376"/>
      <c r="AQ421" s="373"/>
    </row>
    <row r="422">
      <c r="A422" s="257" t="s">
        <v>5086</v>
      </c>
      <c r="B422" s="257" t="s">
        <v>5087</v>
      </c>
      <c r="C422" s="257" t="str">
        <f>VLOOKUP(A422,import!A:J,3,0)</f>
        <v>DOĞRU</v>
      </c>
      <c r="D422" s="257" t="s">
        <v>3713</v>
      </c>
      <c r="E422" s="257">
        <f>VLOOKUP(A422,import!A:J,5,0)</f>
        <v>559</v>
      </c>
      <c r="F422" s="257">
        <f>VLOOKUP(A422,import!A:J,6,0)</f>
        <v>96</v>
      </c>
      <c r="G422" s="257">
        <f>VLOOKUP(A422,import!A:J,7,0)</f>
        <v>0</v>
      </c>
      <c r="H422" s="257">
        <f>VLOOKUP(A422,import!A:J,8,0)</f>
        <v>28</v>
      </c>
      <c r="I422" s="257">
        <f>VLOOKUP(A422,import!A:J,9,0)</f>
        <v>28</v>
      </c>
      <c r="J422" s="369">
        <f>VLOOKUP(A422,import!A:J,10,0)</f>
        <v>0</v>
      </c>
      <c r="K422" s="257" t="s">
        <v>5088</v>
      </c>
      <c r="L422" s="257">
        <v>3.226124316E9</v>
      </c>
      <c r="M422" s="257" t="s">
        <v>3701</v>
      </c>
      <c r="N422" s="257" t="s">
        <v>3702</v>
      </c>
      <c r="O422" s="257" t="s">
        <v>5089</v>
      </c>
      <c r="P422" s="370" t="str">
        <f>VLOOKUP(A422,import!A:P,16,0)</f>
        <v>Geleneksel</v>
      </c>
      <c r="Q422" s="370"/>
      <c r="R422" s="370" t="b">
        <v>0</v>
      </c>
      <c r="S422" s="370" t="b">
        <v>0</v>
      </c>
      <c r="T422" s="301"/>
      <c r="U422" s="379"/>
      <c r="V422" s="379"/>
      <c r="W422" s="301"/>
      <c r="X422" s="381"/>
      <c r="Y422" s="381"/>
      <c r="Z422" s="372"/>
      <c r="AA422" s="373"/>
      <c r="AB422" s="374"/>
      <c r="AC422" s="373"/>
      <c r="AD422" s="374"/>
      <c r="AE422" s="373"/>
      <c r="AF422" s="374"/>
      <c r="AG422" s="373"/>
      <c r="AH422" s="374"/>
      <c r="AI422" s="375"/>
      <c r="AJ422" s="375"/>
      <c r="AK422" s="373"/>
      <c r="AL422" s="375"/>
      <c r="AM422" s="375"/>
      <c r="AN422" s="373"/>
      <c r="AO422" s="375"/>
      <c r="AP422" s="376"/>
      <c r="AQ422" s="375"/>
    </row>
    <row r="423">
      <c r="A423" s="257" t="s">
        <v>2250</v>
      </c>
      <c r="B423" s="257" t="s">
        <v>2251</v>
      </c>
      <c r="C423" s="257" t="str">
        <f>VLOOKUP(A423,import!A:J,3,0)</f>
        <v>DOĞRU</v>
      </c>
      <c r="D423" s="257" t="s">
        <v>3713</v>
      </c>
      <c r="E423" s="257">
        <f>VLOOKUP(A423,import!A:J,5,0)</f>
        <v>808</v>
      </c>
      <c r="F423" s="257">
        <f>VLOOKUP(A423,import!A:J,6,0)</f>
        <v>27</v>
      </c>
      <c r="G423" s="257">
        <f>VLOOKUP(A423,import!A:J,7,0)</f>
        <v>5</v>
      </c>
      <c r="H423" s="257">
        <f>VLOOKUP(A423,import!A:J,8,0)</f>
        <v>29</v>
      </c>
      <c r="I423" s="257">
        <f>VLOOKUP(A423,import!A:J,9,0)</f>
        <v>34</v>
      </c>
      <c r="J423" s="369">
        <f>VLOOKUP(A423,import!A:J,10,0)</f>
        <v>0.15</v>
      </c>
      <c r="K423" s="257" t="s">
        <v>5090</v>
      </c>
      <c r="L423" s="257">
        <v>3.22233091E9</v>
      </c>
      <c r="M423" s="257" t="s">
        <v>14</v>
      </c>
      <c r="N423" s="257" t="s">
        <v>3733</v>
      </c>
      <c r="O423" s="257" t="s">
        <v>2253</v>
      </c>
      <c r="P423" s="370" t="str">
        <f>VLOOKUP(A423,import!A:P,16,0)</f>
        <v>Geleneksel</v>
      </c>
      <c r="Q423" s="370"/>
      <c r="R423" s="370" t="b">
        <v>1</v>
      </c>
      <c r="S423" s="370" t="b">
        <v>1</v>
      </c>
      <c r="T423" s="301"/>
      <c r="U423" s="301" t="s">
        <v>2542</v>
      </c>
      <c r="V423" s="301" t="s">
        <v>78</v>
      </c>
      <c r="W423" s="301" t="s">
        <v>5091</v>
      </c>
      <c r="X423" s="371">
        <v>44441.0</v>
      </c>
      <c r="Y423" s="371">
        <v>44442.0</v>
      </c>
      <c r="Z423" s="377"/>
      <c r="AA423" s="373" t="s">
        <v>3682</v>
      </c>
      <c r="AB423" s="374">
        <v>44382.0</v>
      </c>
      <c r="AC423" s="373" t="s">
        <v>3682</v>
      </c>
      <c r="AD423" s="374">
        <v>44383.0</v>
      </c>
      <c r="AE423" s="373" t="s">
        <v>3682</v>
      </c>
      <c r="AF423" s="374">
        <v>44427.0</v>
      </c>
      <c r="AG423" s="373" t="s">
        <v>3682</v>
      </c>
      <c r="AH423" s="374">
        <v>44441.0</v>
      </c>
      <c r="AI423" s="375"/>
      <c r="AJ423" s="375"/>
      <c r="AK423" s="373" t="s">
        <v>399</v>
      </c>
      <c r="AL423" s="373" t="s">
        <v>79</v>
      </c>
      <c r="AM423" s="373" t="s">
        <v>3723</v>
      </c>
      <c r="AN423" s="373" t="s">
        <v>2542</v>
      </c>
      <c r="AO423" s="375"/>
      <c r="AP423" s="376" t="s">
        <v>3683</v>
      </c>
      <c r="AQ423" s="375"/>
    </row>
    <row r="424">
      <c r="A424" s="257" t="s">
        <v>5092</v>
      </c>
      <c r="B424" s="257" t="s">
        <v>5093</v>
      </c>
      <c r="C424" s="257" t="str">
        <f>VLOOKUP(A424,import!A:J,3,0)</f>
        <v>DOĞRU</v>
      </c>
      <c r="D424" s="257" t="s">
        <v>4572</v>
      </c>
      <c r="E424" s="257">
        <f>VLOOKUP(A424,import!A:J,5,0)</f>
        <v>484</v>
      </c>
      <c r="F424" s="257">
        <f>VLOOKUP(A424,import!A:J,6,0)</f>
        <v>60</v>
      </c>
      <c r="G424" s="257">
        <f>VLOOKUP(A424,import!A:J,7,0)</f>
        <v>0</v>
      </c>
      <c r="H424" s="257">
        <f>VLOOKUP(A424,import!A:J,8,0)</f>
        <v>4</v>
      </c>
      <c r="I424" s="257">
        <f>VLOOKUP(A424,import!A:J,9,0)</f>
        <v>4</v>
      </c>
      <c r="J424" s="369">
        <f>VLOOKUP(A424,import!A:J,10,0)</f>
        <v>0</v>
      </c>
      <c r="K424" s="257" t="s">
        <v>5094</v>
      </c>
      <c r="L424" s="257">
        <v>5.448360432E9</v>
      </c>
      <c r="M424" s="257" t="s">
        <v>3701</v>
      </c>
      <c r="N424" s="257" t="s">
        <v>5095</v>
      </c>
      <c r="O424" s="257" t="s">
        <v>5096</v>
      </c>
      <c r="P424" s="370" t="str">
        <f>VLOOKUP(A424,import!A:P,16,0)</f>
        <v>Geleneksel</v>
      </c>
      <c r="Q424" s="370"/>
      <c r="R424" s="370" t="b">
        <v>0</v>
      </c>
      <c r="S424" s="370" t="b">
        <v>0</v>
      </c>
      <c r="T424" s="301"/>
      <c r="U424" s="379"/>
      <c r="V424" s="379"/>
      <c r="W424" s="301"/>
      <c r="X424" s="381"/>
      <c r="Y424" s="381"/>
      <c r="Z424" s="372"/>
      <c r="AA424" s="373"/>
      <c r="AB424" s="374"/>
      <c r="AC424" s="373"/>
      <c r="AD424" s="374"/>
      <c r="AE424" s="373"/>
      <c r="AF424" s="374"/>
      <c r="AG424" s="373"/>
      <c r="AH424" s="374"/>
      <c r="AI424" s="375"/>
      <c r="AJ424" s="375"/>
      <c r="AK424" s="373"/>
      <c r="AL424" s="375"/>
      <c r="AM424" s="375"/>
      <c r="AN424" s="373"/>
      <c r="AO424" s="375"/>
      <c r="AP424" s="376"/>
      <c r="AQ424" s="375"/>
    </row>
    <row r="425">
      <c r="A425" s="257" t="s">
        <v>2649</v>
      </c>
      <c r="B425" s="257" t="s">
        <v>2650</v>
      </c>
      <c r="C425" s="257" t="str">
        <f>VLOOKUP(A425,import!A:J,3,0)</f>
        <v>DOĞRU</v>
      </c>
      <c r="D425" s="257" t="s">
        <v>4000</v>
      </c>
      <c r="E425" s="257">
        <f>VLOOKUP(A425,import!A:J,5,0)</f>
        <v>2640</v>
      </c>
      <c r="F425" s="257">
        <f>VLOOKUP(A425,import!A:J,6,0)</f>
        <v>163</v>
      </c>
      <c r="G425" s="257">
        <f>VLOOKUP(A425,import!A:J,7,0)</f>
        <v>15</v>
      </c>
      <c r="H425" s="257">
        <f>VLOOKUP(A425,import!A:J,8,0)</f>
        <v>7</v>
      </c>
      <c r="I425" s="257">
        <f>VLOOKUP(A425,import!A:J,9,0)</f>
        <v>22</v>
      </c>
      <c r="J425" s="369">
        <f>VLOOKUP(A425,import!A:J,10,0)</f>
        <v>0.68</v>
      </c>
      <c r="K425" s="257" t="s">
        <v>5097</v>
      </c>
      <c r="L425" s="257">
        <v>5.323337279E9</v>
      </c>
      <c r="M425" s="257" t="s">
        <v>14</v>
      </c>
      <c r="N425" s="257" t="s">
        <v>3797</v>
      </c>
      <c r="O425" s="257" t="s">
        <v>2653</v>
      </c>
      <c r="P425" s="370" t="str">
        <f>VLOOKUP(A425,import!A:P,16,0)</f>
        <v>Geleneksel</v>
      </c>
      <c r="Q425" s="370"/>
      <c r="R425" s="370" t="b">
        <v>1</v>
      </c>
      <c r="S425" s="370" t="b">
        <v>0</v>
      </c>
      <c r="T425" s="301" t="s">
        <v>3679</v>
      </c>
      <c r="U425" s="301" t="s">
        <v>2542</v>
      </c>
      <c r="V425" s="301" t="s">
        <v>78</v>
      </c>
      <c r="W425" s="301"/>
      <c r="X425" s="371">
        <v>44466.0</v>
      </c>
      <c r="Y425" s="371">
        <v>44467.0</v>
      </c>
      <c r="Z425" s="372"/>
      <c r="AA425" s="373" t="s">
        <v>3682</v>
      </c>
      <c r="AB425" s="374">
        <v>44466.0</v>
      </c>
      <c r="AC425" s="373"/>
      <c r="AD425" s="374"/>
      <c r="AE425" s="373"/>
      <c r="AF425" s="374"/>
      <c r="AG425" s="92"/>
      <c r="AH425" s="375"/>
      <c r="AI425" s="375"/>
      <c r="AJ425" s="375"/>
      <c r="AK425" s="373" t="s">
        <v>2542</v>
      </c>
      <c r="AL425" s="375"/>
      <c r="AM425" s="375"/>
      <c r="AN425" s="375"/>
      <c r="AO425" s="375"/>
      <c r="AP425" s="376" t="s">
        <v>3683</v>
      </c>
      <c r="AQ425" s="375"/>
    </row>
    <row r="426">
      <c r="A426" s="257" t="s">
        <v>5098</v>
      </c>
      <c r="B426" s="257" t="s">
        <v>5099</v>
      </c>
      <c r="C426" s="257" t="str">
        <f>VLOOKUP(A426,import!A:J,3,0)</f>
        <v>DOĞRU</v>
      </c>
      <c r="D426" s="257" t="s">
        <v>4000</v>
      </c>
      <c r="E426" s="257">
        <f>VLOOKUP(A426,import!A:J,5,0)</f>
        <v>2608</v>
      </c>
      <c r="F426" s="257">
        <f>VLOOKUP(A426,import!A:J,6,0)</f>
        <v>69</v>
      </c>
      <c r="G426" s="257">
        <f>VLOOKUP(A426,import!A:J,7,0)</f>
        <v>7</v>
      </c>
      <c r="H426" s="257">
        <f>VLOOKUP(A426,import!A:J,8,0)</f>
        <v>15</v>
      </c>
      <c r="I426" s="257">
        <f>VLOOKUP(A426,import!A:J,9,0)</f>
        <v>22</v>
      </c>
      <c r="J426" s="369">
        <f>VLOOKUP(A426,import!A:J,10,0)</f>
        <v>0.32</v>
      </c>
      <c r="K426" s="257" t="s">
        <v>5100</v>
      </c>
      <c r="L426" s="257">
        <v>3.224574744E9</v>
      </c>
      <c r="M426" s="257" t="s">
        <v>286</v>
      </c>
      <c r="N426" s="257" t="s">
        <v>3737</v>
      </c>
      <c r="O426" s="257" t="s">
        <v>5101</v>
      </c>
      <c r="P426" s="370" t="str">
        <f>VLOOKUP(A426,import!A:P,16,0)</f>
        <v>Geleneksel</v>
      </c>
      <c r="Q426" s="370"/>
      <c r="R426" s="370" t="b">
        <v>1</v>
      </c>
      <c r="S426" s="370" t="b">
        <v>1</v>
      </c>
      <c r="T426" s="301" t="s">
        <v>3735</v>
      </c>
      <c r="U426" s="301"/>
      <c r="V426" s="301"/>
      <c r="W426" s="301" t="s">
        <v>5102</v>
      </c>
      <c r="X426" s="371"/>
      <c r="Y426" s="371"/>
      <c r="Z426" s="377"/>
      <c r="AA426" s="373" t="s">
        <v>3682</v>
      </c>
      <c r="AB426" s="374">
        <v>44447.0</v>
      </c>
      <c r="AC426" s="373" t="s">
        <v>3695</v>
      </c>
      <c r="AD426" s="374">
        <v>44463.0</v>
      </c>
      <c r="AE426" s="373" t="s">
        <v>3682</v>
      </c>
      <c r="AF426" s="374">
        <v>44519.0</v>
      </c>
      <c r="AG426" s="92"/>
      <c r="AH426" s="375"/>
      <c r="AI426" s="375"/>
      <c r="AJ426" s="375"/>
      <c r="AK426" s="373" t="s">
        <v>2542</v>
      </c>
      <c r="AL426" s="373" t="s">
        <v>2542</v>
      </c>
      <c r="AM426" s="373" t="s">
        <v>3073</v>
      </c>
      <c r="AN426" s="375"/>
      <c r="AO426" s="375"/>
      <c r="AP426" s="376" t="s">
        <v>3683</v>
      </c>
      <c r="AQ426" s="375"/>
    </row>
    <row r="427">
      <c r="A427" s="257" t="s">
        <v>5103</v>
      </c>
      <c r="B427" s="257" t="s">
        <v>5104</v>
      </c>
      <c r="C427" s="257" t="str">
        <f>VLOOKUP(A427,import!A:J,3,0)</f>
        <v>DOĞRU</v>
      </c>
      <c r="D427" s="257" t="s">
        <v>4000</v>
      </c>
      <c r="E427" s="257">
        <f>VLOOKUP(A427,import!A:J,5,0)</f>
        <v>574</v>
      </c>
      <c r="F427" s="257">
        <f>VLOOKUP(A427,import!A:J,6,0)</f>
        <v>36</v>
      </c>
      <c r="G427" s="257">
        <f>VLOOKUP(A427,import!A:J,7,0)</f>
        <v>6</v>
      </c>
      <c r="H427" s="257">
        <f>VLOOKUP(A427,import!A:J,8,0)</f>
        <v>2</v>
      </c>
      <c r="I427" s="257">
        <f>VLOOKUP(A427,import!A:J,9,0)</f>
        <v>8</v>
      </c>
      <c r="J427" s="369">
        <f>VLOOKUP(A427,import!A:J,10,0)</f>
        <v>0.75</v>
      </c>
      <c r="K427" s="257" t="s">
        <v>5105</v>
      </c>
      <c r="L427" s="257">
        <v>3.224598008E9</v>
      </c>
      <c r="M427" s="257" t="s">
        <v>286</v>
      </c>
      <c r="N427" s="257" t="s">
        <v>3688</v>
      </c>
      <c r="O427" s="257" t="s">
        <v>5106</v>
      </c>
      <c r="P427" s="370" t="str">
        <f>VLOOKUP(A427,import!A:P,16,0)</f>
        <v>Geleneksel</v>
      </c>
      <c r="Q427" s="370"/>
      <c r="R427" s="370" t="b">
        <v>1</v>
      </c>
      <c r="S427" s="370" t="b">
        <v>0</v>
      </c>
      <c r="T427" s="301" t="s">
        <v>3735</v>
      </c>
      <c r="U427" s="379"/>
      <c r="V427" s="379"/>
      <c r="W427" s="301" t="s">
        <v>5107</v>
      </c>
      <c r="X427" s="381"/>
      <c r="Y427" s="381"/>
      <c r="Z427" s="372"/>
      <c r="AA427" s="373" t="s">
        <v>3681</v>
      </c>
      <c r="AB427" s="374">
        <v>44433.0</v>
      </c>
      <c r="AC427" s="373" t="s">
        <v>3682</v>
      </c>
      <c r="AD427" s="374">
        <v>44436.0</v>
      </c>
      <c r="AE427" s="373" t="s">
        <v>3448</v>
      </c>
      <c r="AF427" s="374">
        <v>44450.0</v>
      </c>
      <c r="AG427" s="373" t="s">
        <v>3695</v>
      </c>
      <c r="AH427" s="374">
        <v>44454.0</v>
      </c>
      <c r="AI427" s="373" t="s">
        <v>3695</v>
      </c>
      <c r="AJ427" s="374">
        <v>44457.0</v>
      </c>
      <c r="AK427" s="373" t="s">
        <v>1953</v>
      </c>
      <c r="AL427" s="373" t="s">
        <v>2418</v>
      </c>
      <c r="AM427" s="375"/>
      <c r="AN427" s="373" t="s">
        <v>2542</v>
      </c>
      <c r="AO427" s="375"/>
      <c r="AP427" s="376" t="s">
        <v>3686</v>
      </c>
      <c r="AQ427" s="375"/>
    </row>
    <row r="428">
      <c r="A428" s="257" t="s">
        <v>5108</v>
      </c>
      <c r="B428" s="257" t="s">
        <v>5109</v>
      </c>
      <c r="C428" s="257" t="str">
        <f>VLOOKUP(A428,import!A:J,3,0)</f>
        <v>DOĞRU</v>
      </c>
      <c r="D428" s="257" t="s">
        <v>3699</v>
      </c>
      <c r="E428" s="257">
        <f>VLOOKUP(A428,import!A:J,5,0)</f>
        <v>107</v>
      </c>
      <c r="F428" s="257">
        <f>VLOOKUP(A428,import!A:J,6,0)</f>
        <v>3</v>
      </c>
      <c r="G428" s="257">
        <f>VLOOKUP(A428,import!A:J,7,0)</f>
        <v>19</v>
      </c>
      <c r="H428" s="257">
        <f>VLOOKUP(A428,import!A:J,8,0)</f>
        <v>11</v>
      </c>
      <c r="I428" s="257">
        <f>VLOOKUP(A428,import!A:J,9,0)</f>
        <v>30</v>
      </c>
      <c r="J428" s="369">
        <f>VLOOKUP(A428,import!A:J,10,0)</f>
        <v>0.63</v>
      </c>
      <c r="K428" s="257" t="s">
        <v>5110</v>
      </c>
      <c r="L428" s="257">
        <v>5.455918805E9</v>
      </c>
      <c r="M428" s="257" t="s">
        <v>286</v>
      </c>
      <c r="N428" s="257" t="s">
        <v>4956</v>
      </c>
      <c r="O428" s="257" t="s">
        <v>5111</v>
      </c>
      <c r="P428" s="370" t="str">
        <f>VLOOKUP(A428,import!A:P,16,0)</f>
        <v>Geleneksel</v>
      </c>
      <c r="Q428" s="370"/>
      <c r="R428" s="370" t="b">
        <v>1</v>
      </c>
      <c r="S428" s="370" t="b">
        <v>1</v>
      </c>
      <c r="T428" s="301"/>
      <c r="U428" s="379"/>
      <c r="V428" s="379"/>
      <c r="W428" s="301" t="s">
        <v>5112</v>
      </c>
      <c r="X428" s="381"/>
      <c r="Y428" s="381"/>
      <c r="Z428" s="372"/>
      <c r="AA428" s="373" t="s">
        <v>3682</v>
      </c>
      <c r="AB428" s="374">
        <v>44350.0</v>
      </c>
      <c r="AC428" s="375"/>
      <c r="AD428" s="375"/>
      <c r="AE428" s="92"/>
      <c r="AF428" s="375"/>
      <c r="AG428" s="92"/>
      <c r="AH428" s="375"/>
      <c r="AI428" s="375"/>
      <c r="AJ428" s="375"/>
      <c r="AK428" s="373" t="s">
        <v>3789</v>
      </c>
      <c r="AL428" s="375"/>
      <c r="AM428" s="375"/>
      <c r="AN428" s="375"/>
      <c r="AO428" s="375"/>
      <c r="AP428" s="376" t="s">
        <v>3686</v>
      </c>
      <c r="AQ428" s="375"/>
    </row>
    <row r="429">
      <c r="A429" s="257" t="s">
        <v>5113</v>
      </c>
      <c r="B429" s="257" t="s">
        <v>5114</v>
      </c>
      <c r="C429" s="257" t="str">
        <f>VLOOKUP(A429,import!A:J,3,0)</f>
        <v>DOĞRU</v>
      </c>
      <c r="D429" s="257" t="s">
        <v>3699</v>
      </c>
      <c r="E429" s="257">
        <f>VLOOKUP(A429,import!A:J,5,0)</f>
        <v>136</v>
      </c>
      <c r="F429" s="257" t="str">
        <f>VLOOKUP(A429,import!A:J,6,0)</f>
        <v/>
      </c>
      <c r="G429" s="257">
        <f>VLOOKUP(A429,import!A:J,7,0)</f>
        <v>17</v>
      </c>
      <c r="H429" s="257">
        <f>VLOOKUP(A429,import!A:J,8,0)</f>
        <v>11</v>
      </c>
      <c r="I429" s="257">
        <f>VLOOKUP(A429,import!A:J,9,0)</f>
        <v>28</v>
      </c>
      <c r="J429" s="369">
        <f>VLOOKUP(A429,import!A:J,10,0)</f>
        <v>0.61</v>
      </c>
      <c r="K429" s="257" t="s">
        <v>5110</v>
      </c>
      <c r="L429" s="257">
        <v>5.455918805E9</v>
      </c>
      <c r="M429" s="257" t="s">
        <v>286</v>
      </c>
      <c r="N429" s="257" t="s">
        <v>4451</v>
      </c>
      <c r="O429" s="257" t="s">
        <v>5115</v>
      </c>
      <c r="P429" s="370" t="str">
        <f>VLOOKUP(A429,import!A:P,16,0)</f>
        <v>Geleneksel</v>
      </c>
      <c r="Q429" s="370"/>
      <c r="R429" s="370" t="b">
        <v>1</v>
      </c>
      <c r="S429" s="370" t="b">
        <v>1</v>
      </c>
      <c r="T429" s="301"/>
      <c r="U429" s="379"/>
      <c r="V429" s="379"/>
      <c r="W429" s="301" t="s">
        <v>5116</v>
      </c>
      <c r="X429" s="381"/>
      <c r="Y429" s="381"/>
      <c r="Z429" s="372"/>
      <c r="AA429" s="373" t="s">
        <v>3682</v>
      </c>
      <c r="AB429" s="374">
        <v>44377.0</v>
      </c>
      <c r="AC429" s="375"/>
      <c r="AD429" s="375"/>
      <c r="AE429" s="92"/>
      <c r="AF429" s="375"/>
      <c r="AG429" s="92"/>
      <c r="AH429" s="375"/>
      <c r="AI429" s="375"/>
      <c r="AJ429" s="375"/>
      <c r="AK429" s="373" t="s">
        <v>399</v>
      </c>
      <c r="AL429" s="375"/>
      <c r="AM429" s="375"/>
      <c r="AN429" s="375"/>
      <c r="AO429" s="375"/>
      <c r="AP429" s="376" t="s">
        <v>3686</v>
      </c>
      <c r="AQ429" s="375"/>
    </row>
    <row r="430">
      <c r="A430" s="257" t="s">
        <v>5117</v>
      </c>
      <c r="B430" s="257" t="s">
        <v>5118</v>
      </c>
      <c r="C430" s="257" t="str">
        <f>VLOOKUP(A430,import!A:J,3,0)</f>
        <v>DOĞRU</v>
      </c>
      <c r="D430" s="257" t="s">
        <v>3699</v>
      </c>
      <c r="E430" s="257">
        <f>VLOOKUP(A430,import!A:J,5,0)</f>
        <v>30</v>
      </c>
      <c r="F430" s="257">
        <f>VLOOKUP(A430,import!A:J,6,0)</f>
        <v>3</v>
      </c>
      <c r="G430" s="257">
        <f>VLOOKUP(A430,import!A:J,7,0)</f>
        <v>18</v>
      </c>
      <c r="H430" s="257">
        <f>VLOOKUP(A430,import!A:J,8,0)</f>
        <v>13</v>
      </c>
      <c r="I430" s="257">
        <f>VLOOKUP(A430,import!A:J,9,0)</f>
        <v>31</v>
      </c>
      <c r="J430" s="369">
        <f>VLOOKUP(A430,import!A:J,10,0)</f>
        <v>0.58</v>
      </c>
      <c r="K430" s="257" t="s">
        <v>5110</v>
      </c>
      <c r="L430" s="257">
        <v>5.455918805E9</v>
      </c>
      <c r="M430" s="257" t="s">
        <v>3707</v>
      </c>
      <c r="N430" s="257" t="s">
        <v>4291</v>
      </c>
      <c r="O430" s="257" t="s">
        <v>5119</v>
      </c>
      <c r="P430" s="370" t="str">
        <f>VLOOKUP(A430,import!A:P,16,0)</f>
        <v>Geleneksel</v>
      </c>
      <c r="Q430" s="370"/>
      <c r="R430" s="370" t="b">
        <v>1</v>
      </c>
      <c r="S430" s="370" t="b">
        <v>1</v>
      </c>
      <c r="T430" s="301"/>
      <c r="U430" s="379"/>
      <c r="V430" s="379"/>
      <c r="W430" s="301" t="s">
        <v>5120</v>
      </c>
      <c r="X430" s="381"/>
      <c r="Y430" s="381"/>
      <c r="Z430" s="372"/>
      <c r="AA430" s="373" t="s">
        <v>3682</v>
      </c>
      <c r="AB430" s="374">
        <v>44377.0</v>
      </c>
      <c r="AC430" s="373" t="s">
        <v>3682</v>
      </c>
      <c r="AD430" s="374">
        <v>44392.0</v>
      </c>
      <c r="AE430" s="92"/>
      <c r="AF430" s="375"/>
      <c r="AG430" s="92"/>
      <c r="AH430" s="375"/>
      <c r="AI430" s="375"/>
      <c r="AJ430" s="375"/>
      <c r="AK430" s="373" t="s">
        <v>399</v>
      </c>
      <c r="AL430" s="373" t="s">
        <v>1014</v>
      </c>
      <c r="AM430" s="375"/>
      <c r="AN430" s="375"/>
      <c r="AO430" s="375"/>
      <c r="AP430" s="376" t="s">
        <v>3686</v>
      </c>
      <c r="AQ430" s="375"/>
    </row>
    <row r="431">
      <c r="A431" s="257" t="s">
        <v>5121</v>
      </c>
      <c r="B431" s="257" t="s">
        <v>5122</v>
      </c>
      <c r="C431" s="257" t="str">
        <f>VLOOKUP(A431,import!A:J,3,0)</f>
        <v>DOĞRU</v>
      </c>
      <c r="D431" s="257" t="s">
        <v>3699</v>
      </c>
      <c r="E431" s="257">
        <f>VLOOKUP(A431,import!A:J,5,0)</f>
        <v>231</v>
      </c>
      <c r="F431" s="257">
        <f>VLOOKUP(A431,import!A:J,6,0)</f>
        <v>2</v>
      </c>
      <c r="G431" s="257">
        <f>VLOOKUP(A431,import!A:J,7,0)</f>
        <v>13</v>
      </c>
      <c r="H431" s="257">
        <f>VLOOKUP(A431,import!A:J,8,0)</f>
        <v>10</v>
      </c>
      <c r="I431" s="257">
        <f>VLOOKUP(A431,import!A:J,9,0)</f>
        <v>23</v>
      </c>
      <c r="J431" s="369">
        <f>VLOOKUP(A431,import!A:J,10,0)</f>
        <v>0.57</v>
      </c>
      <c r="K431" s="257" t="s">
        <v>5110</v>
      </c>
      <c r="L431" s="257">
        <v>5.455918805E9</v>
      </c>
      <c r="M431" s="257" t="s">
        <v>286</v>
      </c>
      <c r="N431" s="257" t="s">
        <v>3855</v>
      </c>
      <c r="O431" s="257" t="s">
        <v>5123</v>
      </c>
      <c r="P431" s="370" t="str">
        <f>VLOOKUP(A431,import!A:P,16,0)</f>
        <v>Geleneksel</v>
      </c>
      <c r="Q431" s="370"/>
      <c r="R431" s="370" t="b">
        <v>1</v>
      </c>
      <c r="S431" s="370" t="b">
        <v>1</v>
      </c>
      <c r="T431" s="301"/>
      <c r="U431" s="379"/>
      <c r="V431" s="379"/>
      <c r="W431" s="301"/>
      <c r="X431" s="381"/>
      <c r="Y431" s="381"/>
      <c r="Z431" s="372"/>
      <c r="AA431" s="373" t="s">
        <v>3682</v>
      </c>
      <c r="AB431" s="374">
        <v>44377.0</v>
      </c>
      <c r="AC431" s="375"/>
      <c r="AD431" s="375"/>
      <c r="AE431" s="92"/>
      <c r="AF431" s="375"/>
      <c r="AG431" s="92"/>
      <c r="AH431" s="375"/>
      <c r="AI431" s="375"/>
      <c r="AJ431" s="375"/>
      <c r="AK431" s="373" t="s">
        <v>399</v>
      </c>
      <c r="AL431" s="375"/>
      <c r="AM431" s="375"/>
      <c r="AN431" s="375"/>
      <c r="AO431" s="375"/>
      <c r="AP431" s="376" t="s">
        <v>3686</v>
      </c>
      <c r="AQ431" s="375"/>
    </row>
    <row r="432">
      <c r="A432" s="257" t="s">
        <v>5124</v>
      </c>
      <c r="B432" s="257" t="s">
        <v>5125</v>
      </c>
      <c r="C432" s="257" t="str">
        <f>VLOOKUP(A432,import!A:J,3,0)</f>
        <v>DOĞRU</v>
      </c>
      <c r="D432" s="257" t="s">
        <v>3699</v>
      </c>
      <c r="E432" s="257">
        <f>VLOOKUP(A432,import!A:J,5,0)</f>
        <v>157</v>
      </c>
      <c r="F432" s="257">
        <f>VLOOKUP(A432,import!A:J,6,0)</f>
        <v>2</v>
      </c>
      <c r="G432" s="257">
        <f>VLOOKUP(A432,import!A:J,7,0)</f>
        <v>17</v>
      </c>
      <c r="H432" s="257">
        <f>VLOOKUP(A432,import!A:J,8,0)</f>
        <v>8</v>
      </c>
      <c r="I432" s="257">
        <f>VLOOKUP(A432,import!A:J,9,0)</f>
        <v>25</v>
      </c>
      <c r="J432" s="369">
        <f>VLOOKUP(A432,import!A:J,10,0)</f>
        <v>0.68</v>
      </c>
      <c r="K432" s="257" t="s">
        <v>5110</v>
      </c>
      <c r="L432" s="257">
        <v>5.455918805E9</v>
      </c>
      <c r="M432" s="257" t="s">
        <v>14</v>
      </c>
      <c r="N432" s="257" t="s">
        <v>3797</v>
      </c>
      <c r="O432" s="257" t="s">
        <v>5126</v>
      </c>
      <c r="P432" s="370" t="str">
        <f>VLOOKUP(A432,import!A:P,16,0)</f>
        <v>Geleneksel</v>
      </c>
      <c r="Q432" s="370"/>
      <c r="R432" s="370" t="b">
        <v>1</v>
      </c>
      <c r="S432" s="370" t="b">
        <v>1</v>
      </c>
      <c r="T432" s="301"/>
      <c r="U432" s="379"/>
      <c r="V432" s="379"/>
      <c r="W432" s="301" t="s">
        <v>5127</v>
      </c>
      <c r="X432" s="381"/>
      <c r="Y432" s="381"/>
      <c r="Z432" s="372"/>
      <c r="AA432" s="373" t="s">
        <v>3448</v>
      </c>
      <c r="AB432" s="374">
        <v>44348.0</v>
      </c>
      <c r="AC432" s="373" t="s">
        <v>3682</v>
      </c>
      <c r="AD432" s="374">
        <v>44349.0</v>
      </c>
      <c r="AE432" s="92"/>
      <c r="AF432" s="375"/>
      <c r="AG432" s="92"/>
      <c r="AH432" s="375"/>
      <c r="AI432" s="375"/>
      <c r="AJ432" s="375"/>
      <c r="AK432" s="373" t="s">
        <v>79</v>
      </c>
      <c r="AL432" s="373" t="s">
        <v>111</v>
      </c>
      <c r="AM432" s="375"/>
      <c r="AN432" s="375"/>
      <c r="AO432" s="375"/>
      <c r="AP432" s="376" t="s">
        <v>3683</v>
      </c>
      <c r="AQ432" s="375"/>
    </row>
    <row r="433">
      <c r="A433" s="257" t="s">
        <v>5128</v>
      </c>
      <c r="B433" s="257" t="s">
        <v>5129</v>
      </c>
      <c r="C433" s="257" t="str">
        <f>VLOOKUP(A433,import!A:J,3,0)</f>
        <v>DOĞRU</v>
      </c>
      <c r="D433" s="257" t="s">
        <v>3699</v>
      </c>
      <c r="E433" s="257">
        <f>VLOOKUP(A433,import!A:J,5,0)</f>
        <v>40</v>
      </c>
      <c r="F433" s="257" t="str">
        <f>VLOOKUP(A433,import!A:J,6,0)</f>
        <v/>
      </c>
      <c r="G433" s="257">
        <f>VLOOKUP(A433,import!A:J,7,0)</f>
        <v>60</v>
      </c>
      <c r="H433" s="257">
        <f>VLOOKUP(A433,import!A:J,8,0)</f>
        <v>5</v>
      </c>
      <c r="I433" s="257">
        <f>VLOOKUP(A433,import!A:J,9,0)</f>
        <v>65</v>
      </c>
      <c r="J433" s="369">
        <f>VLOOKUP(A433,import!A:J,10,0)</f>
        <v>0.92</v>
      </c>
      <c r="K433" s="257" t="s">
        <v>5110</v>
      </c>
      <c r="L433" s="257">
        <v>5.455918805E9</v>
      </c>
      <c r="M433" s="257" t="s">
        <v>3707</v>
      </c>
      <c r="N433" s="257" t="s">
        <v>5130</v>
      </c>
      <c r="O433" s="257" t="s">
        <v>5131</v>
      </c>
      <c r="P433" s="370" t="str">
        <f>VLOOKUP(A433,import!A:P,16,0)</f>
        <v>Geleneksel</v>
      </c>
      <c r="Q433" s="370"/>
      <c r="R433" s="370" t="b">
        <v>1</v>
      </c>
      <c r="S433" s="370" t="b">
        <v>1</v>
      </c>
      <c r="T433" s="301"/>
      <c r="U433" s="379"/>
      <c r="V433" s="379"/>
      <c r="W433" s="301" t="s">
        <v>5120</v>
      </c>
      <c r="X433" s="381"/>
      <c r="Y433" s="381"/>
      <c r="Z433" s="372"/>
      <c r="AA433" s="373" t="s">
        <v>3682</v>
      </c>
      <c r="AB433" s="374">
        <v>44377.0</v>
      </c>
      <c r="AC433" s="373" t="s">
        <v>3682</v>
      </c>
      <c r="AD433" s="374">
        <v>44392.0</v>
      </c>
      <c r="AE433" s="92"/>
      <c r="AF433" s="375"/>
      <c r="AG433" s="92"/>
      <c r="AH433" s="375"/>
      <c r="AI433" s="375"/>
      <c r="AJ433" s="375"/>
      <c r="AK433" s="373" t="s">
        <v>399</v>
      </c>
      <c r="AL433" s="373" t="s">
        <v>1014</v>
      </c>
      <c r="AM433" s="375"/>
      <c r="AN433" s="375"/>
      <c r="AO433" s="375"/>
      <c r="AP433" s="376" t="s">
        <v>3686</v>
      </c>
      <c r="AQ433" s="375"/>
    </row>
    <row r="434">
      <c r="A434" s="257" t="s">
        <v>5132</v>
      </c>
      <c r="B434" s="257" t="s">
        <v>5133</v>
      </c>
      <c r="C434" s="257" t="str">
        <f>VLOOKUP(A434,import!A:J,3,0)</f>
        <v>DOĞRU</v>
      </c>
      <c r="D434" s="257" t="s">
        <v>3699</v>
      </c>
      <c r="E434" s="257">
        <f>VLOOKUP(A434,import!A:J,5,0)</f>
        <v>78</v>
      </c>
      <c r="F434" s="257">
        <f>VLOOKUP(A434,import!A:J,6,0)</f>
        <v>1</v>
      </c>
      <c r="G434" s="257">
        <f>VLOOKUP(A434,import!A:J,7,0)</f>
        <v>19</v>
      </c>
      <c r="H434" s="257">
        <f>VLOOKUP(A434,import!A:J,8,0)</f>
        <v>10</v>
      </c>
      <c r="I434" s="257">
        <f>VLOOKUP(A434,import!A:J,9,0)</f>
        <v>29</v>
      </c>
      <c r="J434" s="369">
        <f>VLOOKUP(A434,import!A:J,10,0)</f>
        <v>0.66</v>
      </c>
      <c r="K434" s="257" t="s">
        <v>5110</v>
      </c>
      <c r="L434" s="257">
        <v>5.455918805E9</v>
      </c>
      <c r="M434" s="257" t="s">
        <v>286</v>
      </c>
      <c r="N434" s="257" t="s">
        <v>5012</v>
      </c>
      <c r="O434" s="257" t="s">
        <v>5134</v>
      </c>
      <c r="P434" s="370" t="str">
        <f>VLOOKUP(A434,import!A:P,16,0)</f>
        <v>Geleneksel</v>
      </c>
      <c r="Q434" s="370"/>
      <c r="R434" s="370" t="b">
        <v>1</v>
      </c>
      <c r="S434" s="370" t="b">
        <v>1</v>
      </c>
      <c r="T434" s="301"/>
      <c r="U434" s="379"/>
      <c r="V434" s="15"/>
      <c r="W434" s="301"/>
      <c r="X434" s="381"/>
      <c r="Y434" s="381"/>
      <c r="Z434" s="372"/>
      <c r="AA434" s="373" t="s">
        <v>3682</v>
      </c>
      <c r="AB434" s="374">
        <v>44377.0</v>
      </c>
      <c r="AC434" s="375"/>
      <c r="AD434" s="375"/>
      <c r="AE434" s="92"/>
      <c r="AF434" s="375"/>
      <c r="AG434" s="92"/>
      <c r="AH434" s="375"/>
      <c r="AI434" s="375"/>
      <c r="AJ434" s="375"/>
      <c r="AK434" s="373" t="s">
        <v>399</v>
      </c>
      <c r="AL434" s="375"/>
      <c r="AM434" s="375"/>
      <c r="AN434" s="375"/>
      <c r="AO434" s="375"/>
      <c r="AP434" s="376" t="s">
        <v>3686</v>
      </c>
      <c r="AQ434" s="375"/>
    </row>
    <row r="435">
      <c r="A435" s="257" t="s">
        <v>5135</v>
      </c>
      <c r="B435" s="257" t="s">
        <v>5136</v>
      </c>
      <c r="C435" s="257" t="str">
        <f>VLOOKUP(A435,import!A:J,3,0)</f>
        <v>DOĞRU</v>
      </c>
      <c r="D435" s="257" t="s">
        <v>3699</v>
      </c>
      <c r="E435" s="257">
        <f>VLOOKUP(A435,import!A:J,5,0)</f>
        <v>81</v>
      </c>
      <c r="F435" s="257">
        <f>VLOOKUP(A435,import!A:J,6,0)</f>
        <v>1</v>
      </c>
      <c r="G435" s="257">
        <f>VLOOKUP(A435,import!A:J,7,0)</f>
        <v>24</v>
      </c>
      <c r="H435" s="257">
        <f>VLOOKUP(A435,import!A:J,8,0)</f>
        <v>12</v>
      </c>
      <c r="I435" s="257">
        <f>VLOOKUP(A435,import!A:J,9,0)</f>
        <v>36</v>
      </c>
      <c r="J435" s="369">
        <f>VLOOKUP(A435,import!A:J,10,0)</f>
        <v>0.67</v>
      </c>
      <c r="K435" s="257" t="s">
        <v>5110</v>
      </c>
      <c r="L435" s="257">
        <v>5.455918805E9</v>
      </c>
      <c r="M435" s="257" t="s">
        <v>286</v>
      </c>
      <c r="N435" s="257" t="s">
        <v>5137</v>
      </c>
      <c r="O435" s="257" t="s">
        <v>5138</v>
      </c>
      <c r="P435" s="370" t="str">
        <f>VLOOKUP(A435,import!A:P,16,0)</f>
        <v>Geleneksel</v>
      </c>
      <c r="Q435" s="370"/>
      <c r="R435" s="370" t="b">
        <v>1</v>
      </c>
      <c r="S435" s="370" t="b">
        <v>1</v>
      </c>
      <c r="T435" s="301"/>
      <c r="U435" s="379"/>
      <c r="V435" s="379"/>
      <c r="W435" s="301"/>
      <c r="X435" s="381"/>
      <c r="Y435" s="381"/>
      <c r="Z435" s="372"/>
      <c r="AA435" s="373" t="s">
        <v>3682</v>
      </c>
      <c r="AB435" s="374">
        <v>44377.0</v>
      </c>
      <c r="AC435" s="375"/>
      <c r="AD435" s="375"/>
      <c r="AE435" s="92"/>
      <c r="AF435" s="375"/>
      <c r="AG435" s="92"/>
      <c r="AH435" s="375"/>
      <c r="AI435" s="375"/>
      <c r="AJ435" s="375"/>
      <c r="AK435" s="373" t="s">
        <v>399</v>
      </c>
      <c r="AL435" s="375"/>
      <c r="AM435" s="375"/>
      <c r="AN435" s="375"/>
      <c r="AO435" s="375"/>
      <c r="AP435" s="376" t="s">
        <v>3686</v>
      </c>
      <c r="AQ435" s="375"/>
    </row>
    <row r="436">
      <c r="A436" s="257" t="s">
        <v>5139</v>
      </c>
      <c r="B436" s="257" t="s">
        <v>5140</v>
      </c>
      <c r="C436" s="257" t="str">
        <f>VLOOKUP(A436,import!A:J,3,0)</f>
        <v>DOĞRU</v>
      </c>
      <c r="D436" s="257" t="s">
        <v>3699</v>
      </c>
      <c r="E436" s="257">
        <f>VLOOKUP(A436,import!A:J,5,0)</f>
        <v>17</v>
      </c>
      <c r="F436" s="257" t="str">
        <f>VLOOKUP(A436,import!A:J,6,0)</f>
        <v/>
      </c>
      <c r="G436" s="257">
        <f>VLOOKUP(A436,import!A:J,7,0)</f>
        <v>22</v>
      </c>
      <c r="H436" s="257">
        <f>VLOOKUP(A436,import!A:J,8,0)</f>
        <v>11</v>
      </c>
      <c r="I436" s="257">
        <f>VLOOKUP(A436,import!A:J,9,0)</f>
        <v>33</v>
      </c>
      <c r="J436" s="369">
        <f>VLOOKUP(A436,import!A:J,10,0)</f>
        <v>0.67</v>
      </c>
      <c r="K436" s="257" t="s">
        <v>5110</v>
      </c>
      <c r="L436" s="257">
        <v>5.455918805E9</v>
      </c>
      <c r="M436" s="257" t="s">
        <v>286</v>
      </c>
      <c r="N436" s="257" t="s">
        <v>3980</v>
      </c>
      <c r="O436" s="257" t="s">
        <v>5141</v>
      </c>
      <c r="P436" s="370" t="str">
        <f>VLOOKUP(A436,import!A:P,16,0)</f>
        <v>Geleneksel</v>
      </c>
      <c r="Q436" s="370"/>
      <c r="R436" s="370" t="b">
        <v>1</v>
      </c>
      <c r="S436" s="370" t="b">
        <v>1</v>
      </c>
      <c r="T436" s="301"/>
      <c r="U436" s="379"/>
      <c r="V436" s="379"/>
      <c r="W436" s="301"/>
      <c r="X436" s="381"/>
      <c r="Y436" s="381"/>
      <c r="Z436" s="372"/>
      <c r="AA436" s="373" t="s">
        <v>3682</v>
      </c>
      <c r="AB436" s="374">
        <v>44377.0</v>
      </c>
      <c r="AC436" s="375"/>
      <c r="AD436" s="375"/>
      <c r="AE436" s="92"/>
      <c r="AF436" s="375"/>
      <c r="AG436" s="92"/>
      <c r="AH436" s="375"/>
      <c r="AI436" s="375"/>
      <c r="AJ436" s="375"/>
      <c r="AK436" s="373" t="s">
        <v>399</v>
      </c>
      <c r="AL436" s="375"/>
      <c r="AM436" s="375"/>
      <c r="AN436" s="375"/>
      <c r="AO436" s="375"/>
      <c r="AP436" s="376" t="s">
        <v>3686</v>
      </c>
      <c r="AQ436" s="375"/>
    </row>
    <row r="437">
      <c r="A437" s="257" t="s">
        <v>5142</v>
      </c>
      <c r="B437" s="257" t="s">
        <v>5143</v>
      </c>
      <c r="C437" s="257" t="str">
        <f>VLOOKUP(A437,import!A:J,3,0)</f>
        <v>DOĞRU</v>
      </c>
      <c r="D437" s="257" t="s">
        <v>3699</v>
      </c>
      <c r="E437" s="257">
        <f>VLOOKUP(A437,import!A:J,5,0)</f>
        <v>29</v>
      </c>
      <c r="F437" s="257">
        <f>VLOOKUP(A437,import!A:J,6,0)</f>
        <v>1</v>
      </c>
      <c r="G437" s="257">
        <f>VLOOKUP(A437,import!A:J,7,0)</f>
        <v>10</v>
      </c>
      <c r="H437" s="257">
        <f>VLOOKUP(A437,import!A:J,8,0)</f>
        <v>13</v>
      </c>
      <c r="I437" s="257">
        <f>VLOOKUP(A437,import!A:J,9,0)</f>
        <v>23</v>
      </c>
      <c r="J437" s="369">
        <f>VLOOKUP(A437,import!A:J,10,0)</f>
        <v>0.43</v>
      </c>
      <c r="K437" s="257" t="s">
        <v>5110</v>
      </c>
      <c r="L437" s="257">
        <v>5.455918805E9</v>
      </c>
      <c r="M437" s="257" t="s">
        <v>3707</v>
      </c>
      <c r="N437" s="257" t="s">
        <v>3708</v>
      </c>
      <c r="O437" s="257" t="s">
        <v>5144</v>
      </c>
      <c r="P437" s="370" t="str">
        <f>VLOOKUP(A437,import!A:P,16,0)</f>
        <v>Geleneksel</v>
      </c>
      <c r="Q437" s="370"/>
      <c r="R437" s="370" t="b">
        <v>1</v>
      </c>
      <c r="S437" s="370" t="b">
        <v>1</v>
      </c>
      <c r="T437" s="301"/>
      <c r="U437" s="379"/>
      <c r="V437" s="384"/>
      <c r="W437" s="301" t="s">
        <v>5120</v>
      </c>
      <c r="X437" s="381"/>
      <c r="Y437" s="381"/>
      <c r="Z437" s="372"/>
      <c r="AA437" s="373" t="s">
        <v>3682</v>
      </c>
      <c r="AB437" s="374">
        <v>44377.0</v>
      </c>
      <c r="AC437" s="373" t="s">
        <v>3682</v>
      </c>
      <c r="AD437" s="374">
        <v>44392.0</v>
      </c>
      <c r="AE437" s="92"/>
      <c r="AF437" s="375"/>
      <c r="AG437" s="92"/>
      <c r="AH437" s="375"/>
      <c r="AI437" s="375"/>
      <c r="AJ437" s="375"/>
      <c r="AK437" s="373" t="s">
        <v>399</v>
      </c>
      <c r="AL437" s="373" t="s">
        <v>1014</v>
      </c>
      <c r="AM437" s="375"/>
      <c r="AN437" s="375"/>
      <c r="AO437" s="375"/>
      <c r="AP437" s="376" t="s">
        <v>3686</v>
      </c>
      <c r="AQ437" s="375"/>
    </row>
    <row r="438">
      <c r="A438" s="257" t="s">
        <v>5145</v>
      </c>
      <c r="B438" s="257" t="s">
        <v>5146</v>
      </c>
      <c r="C438" s="257" t="str">
        <f>VLOOKUP(A438,import!A:J,3,0)</f>
        <v>DOĞRU</v>
      </c>
      <c r="D438" s="257" t="s">
        <v>3699</v>
      </c>
      <c r="E438" s="257" t="str">
        <f>VLOOKUP(A438,import!A:J,5,0)</f>
        <v/>
      </c>
      <c r="F438" s="257" t="str">
        <f>VLOOKUP(A438,import!A:J,6,0)</f>
        <v/>
      </c>
      <c r="G438" s="257">
        <f>VLOOKUP(A438,import!A:J,7,0)</f>
        <v>15</v>
      </c>
      <c r="H438" s="257">
        <f>VLOOKUP(A438,import!A:J,8,0)</f>
        <v>9</v>
      </c>
      <c r="I438" s="257">
        <f>VLOOKUP(A438,import!A:J,9,0)</f>
        <v>24</v>
      </c>
      <c r="J438" s="369">
        <f>VLOOKUP(A438,import!A:J,10,0)</f>
        <v>0.63</v>
      </c>
      <c r="K438" s="257" t="s">
        <v>5110</v>
      </c>
      <c r="L438" s="257">
        <v>5.455918805E9</v>
      </c>
      <c r="M438" s="257" t="s">
        <v>3692</v>
      </c>
      <c r="N438" s="257" t="s">
        <v>5147</v>
      </c>
      <c r="O438" s="257" t="s">
        <v>5148</v>
      </c>
      <c r="P438" s="370" t="str">
        <f>VLOOKUP(A438,import!A:P,16,0)</f>
        <v>Geleneksel</v>
      </c>
      <c r="Q438" s="370"/>
      <c r="R438" s="370" t="b">
        <v>1</v>
      </c>
      <c r="S438" s="370" t="b">
        <v>1</v>
      </c>
      <c r="T438" s="301"/>
      <c r="U438" s="379"/>
      <c r="V438" s="379"/>
      <c r="W438" s="301"/>
      <c r="X438" s="381"/>
      <c r="Y438" s="381"/>
      <c r="Z438" s="372"/>
      <c r="AA438" s="373" t="s">
        <v>3682</v>
      </c>
      <c r="AB438" s="374">
        <v>44377.0</v>
      </c>
      <c r="AC438" s="375"/>
      <c r="AD438" s="375"/>
      <c r="AE438" s="92"/>
      <c r="AF438" s="375"/>
      <c r="AG438" s="92"/>
      <c r="AH438" s="375"/>
      <c r="AI438" s="375"/>
      <c r="AJ438" s="375"/>
      <c r="AK438" s="373" t="s">
        <v>399</v>
      </c>
      <c r="AL438" s="375"/>
      <c r="AM438" s="375"/>
      <c r="AN438" s="375"/>
      <c r="AO438" s="375"/>
      <c r="AP438" s="376" t="s">
        <v>3686</v>
      </c>
      <c r="AQ438" s="375"/>
    </row>
    <row r="439">
      <c r="A439" s="257" t="s">
        <v>5149</v>
      </c>
      <c r="B439" s="257" t="s">
        <v>5150</v>
      </c>
      <c r="C439" s="257" t="str">
        <f>VLOOKUP(A439,import!A:J,3,0)</f>
        <v>DOĞRU</v>
      </c>
      <c r="D439" s="257" t="s">
        <v>3699</v>
      </c>
      <c r="E439" s="257">
        <f>VLOOKUP(A439,import!A:J,5,0)</f>
        <v>189</v>
      </c>
      <c r="F439" s="257">
        <f>VLOOKUP(A439,import!A:J,6,0)</f>
        <v>4</v>
      </c>
      <c r="G439" s="257">
        <f>VLOOKUP(A439,import!A:J,7,0)</f>
        <v>33</v>
      </c>
      <c r="H439" s="257">
        <f>VLOOKUP(A439,import!A:J,8,0)</f>
        <v>15</v>
      </c>
      <c r="I439" s="257">
        <f>VLOOKUP(A439,import!A:J,9,0)</f>
        <v>48</v>
      </c>
      <c r="J439" s="369">
        <f>VLOOKUP(A439,import!A:J,10,0)</f>
        <v>0.69</v>
      </c>
      <c r="K439" s="257" t="s">
        <v>5110</v>
      </c>
      <c r="L439" s="257">
        <v>5.455918805E9</v>
      </c>
      <c r="M439" s="257" t="s">
        <v>286</v>
      </c>
      <c r="N439" s="257" t="s">
        <v>3769</v>
      </c>
      <c r="O439" s="257" t="s">
        <v>5151</v>
      </c>
      <c r="P439" s="370" t="str">
        <f>VLOOKUP(A439,import!A:P,16,0)</f>
        <v>Geleneksel</v>
      </c>
      <c r="Q439" s="370"/>
      <c r="R439" s="370" t="b">
        <v>1</v>
      </c>
      <c r="S439" s="370" t="b">
        <v>1</v>
      </c>
      <c r="T439" s="301"/>
      <c r="U439" s="379"/>
      <c r="V439" s="379"/>
      <c r="W439" s="301" t="s">
        <v>5152</v>
      </c>
      <c r="X439" s="381"/>
      <c r="Y439" s="381"/>
      <c r="Z439" s="372"/>
      <c r="AA439" s="373" t="s">
        <v>3682</v>
      </c>
      <c r="AB439" s="374">
        <v>44377.0</v>
      </c>
      <c r="AC439" s="375"/>
      <c r="AD439" s="375"/>
      <c r="AE439" s="92"/>
      <c r="AF439" s="375"/>
      <c r="AG439" s="92"/>
      <c r="AH439" s="375"/>
      <c r="AI439" s="375"/>
      <c r="AJ439" s="375"/>
      <c r="AK439" s="373" t="s">
        <v>399</v>
      </c>
      <c r="AL439" s="375"/>
      <c r="AM439" s="375"/>
      <c r="AN439" s="375"/>
      <c r="AO439" s="375"/>
      <c r="AP439" s="376" t="s">
        <v>3686</v>
      </c>
      <c r="AQ439" s="375"/>
    </row>
    <row r="440">
      <c r="A440" s="257" t="s">
        <v>5153</v>
      </c>
      <c r="B440" s="257" t="s">
        <v>5154</v>
      </c>
      <c r="C440" s="257" t="str">
        <f>VLOOKUP(A440,import!A:J,3,0)</f>
        <v>DOĞRU</v>
      </c>
      <c r="D440" s="257" t="s">
        <v>3699</v>
      </c>
      <c r="E440" s="257">
        <f>VLOOKUP(A440,import!A:J,5,0)</f>
        <v>116</v>
      </c>
      <c r="F440" s="257">
        <f>VLOOKUP(A440,import!A:J,6,0)</f>
        <v>8</v>
      </c>
      <c r="G440" s="257">
        <f>VLOOKUP(A440,import!A:J,7,0)</f>
        <v>14</v>
      </c>
      <c r="H440" s="257">
        <f>VLOOKUP(A440,import!A:J,8,0)</f>
        <v>8</v>
      </c>
      <c r="I440" s="257">
        <f>VLOOKUP(A440,import!A:J,9,0)</f>
        <v>22</v>
      </c>
      <c r="J440" s="369">
        <f>VLOOKUP(A440,import!A:J,10,0)</f>
        <v>0.64</v>
      </c>
      <c r="K440" s="257" t="s">
        <v>5110</v>
      </c>
      <c r="L440" s="257">
        <v>5.455918805E9</v>
      </c>
      <c r="M440" s="257" t="s">
        <v>14</v>
      </c>
      <c r="N440" s="257" t="s">
        <v>3767</v>
      </c>
      <c r="O440" s="257" t="s">
        <v>5155</v>
      </c>
      <c r="P440" s="370" t="str">
        <f>VLOOKUP(A440,import!A:P,16,0)</f>
        <v>Geleneksel</v>
      </c>
      <c r="Q440" s="370"/>
      <c r="R440" s="370" t="b">
        <v>1</v>
      </c>
      <c r="S440" s="370" t="b">
        <v>1</v>
      </c>
      <c r="T440" s="301"/>
      <c r="U440" s="379"/>
      <c r="V440" s="379"/>
      <c r="W440" s="301"/>
      <c r="X440" s="381"/>
      <c r="Y440" s="381"/>
      <c r="Z440" s="372"/>
      <c r="AA440" s="373" t="s">
        <v>3682</v>
      </c>
      <c r="AB440" s="374">
        <v>44377.0</v>
      </c>
      <c r="AC440" s="375"/>
      <c r="AD440" s="375"/>
      <c r="AE440" s="92"/>
      <c r="AF440" s="375"/>
      <c r="AG440" s="92"/>
      <c r="AH440" s="375"/>
      <c r="AI440" s="375"/>
      <c r="AJ440" s="375"/>
      <c r="AK440" s="373" t="s">
        <v>399</v>
      </c>
      <c r="AL440" s="375"/>
      <c r="AM440" s="375"/>
      <c r="AN440" s="375"/>
      <c r="AO440" s="375"/>
      <c r="AP440" s="376" t="s">
        <v>3683</v>
      </c>
      <c r="AQ440" s="375"/>
    </row>
    <row r="441">
      <c r="A441" s="257" t="s">
        <v>5156</v>
      </c>
      <c r="B441" s="257" t="s">
        <v>5157</v>
      </c>
      <c r="C441" s="257" t="str">
        <f>VLOOKUP(A441,import!A:J,3,0)</f>
        <v>DOĞRU</v>
      </c>
      <c r="D441" s="257" t="s">
        <v>3699</v>
      </c>
      <c r="E441" s="257">
        <f>VLOOKUP(A441,import!A:J,5,0)</f>
        <v>142</v>
      </c>
      <c r="F441" s="257">
        <f>VLOOKUP(A441,import!A:J,6,0)</f>
        <v>2</v>
      </c>
      <c r="G441" s="257">
        <f>VLOOKUP(A441,import!A:J,7,0)</f>
        <v>10</v>
      </c>
      <c r="H441" s="257">
        <f>VLOOKUP(A441,import!A:J,8,0)</f>
        <v>5</v>
      </c>
      <c r="I441" s="257">
        <f>VLOOKUP(A441,import!A:J,9,0)</f>
        <v>15</v>
      </c>
      <c r="J441" s="369">
        <f>VLOOKUP(A441,import!A:J,10,0)</f>
        <v>0.67</v>
      </c>
      <c r="K441" s="257" t="s">
        <v>5110</v>
      </c>
      <c r="L441" s="257">
        <v>5.455918805E9</v>
      </c>
      <c r="M441" s="257" t="s">
        <v>14</v>
      </c>
      <c r="N441" s="257" t="s">
        <v>3826</v>
      </c>
      <c r="O441" s="257" t="s">
        <v>5158</v>
      </c>
      <c r="P441" s="370" t="str">
        <f>VLOOKUP(A441,import!A:P,16,0)</f>
        <v>Geleneksel</v>
      </c>
      <c r="Q441" s="370"/>
      <c r="R441" s="370" t="b">
        <v>1</v>
      </c>
      <c r="S441" s="370" t="b">
        <v>1</v>
      </c>
      <c r="T441" s="301"/>
      <c r="U441" s="379"/>
      <c r="V441" s="379"/>
      <c r="W441" s="301" t="s">
        <v>5159</v>
      </c>
      <c r="X441" s="381"/>
      <c r="Y441" s="381"/>
      <c r="Z441" s="372"/>
      <c r="AA441" s="373" t="s">
        <v>3682</v>
      </c>
      <c r="AB441" s="374">
        <v>44377.0</v>
      </c>
      <c r="AC441" s="375"/>
      <c r="AD441" s="375"/>
      <c r="AE441" s="92"/>
      <c r="AF441" s="375"/>
      <c r="AG441" s="92"/>
      <c r="AH441" s="375"/>
      <c r="AI441" s="375"/>
      <c r="AJ441" s="375"/>
      <c r="AK441" s="373" t="s">
        <v>399</v>
      </c>
      <c r="AL441" s="375"/>
      <c r="AM441" s="375"/>
      <c r="AN441" s="375"/>
      <c r="AO441" s="375"/>
      <c r="AP441" s="376" t="s">
        <v>3683</v>
      </c>
      <c r="AQ441" s="375"/>
    </row>
    <row r="442">
      <c r="A442" s="257" t="s">
        <v>5160</v>
      </c>
      <c r="B442" s="257" t="s">
        <v>5161</v>
      </c>
      <c r="C442" s="257" t="str">
        <f>VLOOKUP(A442,import!A:J,3,0)</f>
        <v>DOĞRU</v>
      </c>
      <c r="D442" s="257" t="s">
        <v>3699</v>
      </c>
      <c r="E442" s="257">
        <f>VLOOKUP(A442,import!A:J,5,0)</f>
        <v>220</v>
      </c>
      <c r="F442" s="257">
        <f>VLOOKUP(A442,import!A:J,6,0)</f>
        <v>2</v>
      </c>
      <c r="G442" s="257">
        <f>VLOOKUP(A442,import!A:J,7,0)</f>
        <v>13</v>
      </c>
      <c r="H442" s="257">
        <f>VLOOKUP(A442,import!A:J,8,0)</f>
        <v>9</v>
      </c>
      <c r="I442" s="257">
        <f>VLOOKUP(A442,import!A:J,9,0)</f>
        <v>22</v>
      </c>
      <c r="J442" s="369">
        <f>VLOOKUP(A442,import!A:J,10,0)</f>
        <v>0.59</v>
      </c>
      <c r="K442" s="257" t="s">
        <v>5110</v>
      </c>
      <c r="L442" s="257">
        <v>5.455918805E9</v>
      </c>
      <c r="M442" s="257" t="s">
        <v>14</v>
      </c>
      <c r="N442" s="257" t="s">
        <v>3678</v>
      </c>
      <c r="O442" s="257" t="s">
        <v>5162</v>
      </c>
      <c r="P442" s="370" t="str">
        <f>VLOOKUP(A442,import!A:P,16,0)</f>
        <v>Geleneksel</v>
      </c>
      <c r="Q442" s="370"/>
      <c r="R442" s="370" t="b">
        <v>1</v>
      </c>
      <c r="S442" s="370" t="b">
        <v>1</v>
      </c>
      <c r="T442" s="301"/>
      <c r="U442" s="379"/>
      <c r="V442" s="379"/>
      <c r="W442" s="301" t="s">
        <v>5163</v>
      </c>
      <c r="X442" s="381"/>
      <c r="Y442" s="381"/>
      <c r="Z442" s="372"/>
      <c r="AA442" s="373" t="s">
        <v>3682</v>
      </c>
      <c r="AB442" s="374">
        <v>44377.0</v>
      </c>
      <c r="AC442" s="375"/>
      <c r="AD442" s="375"/>
      <c r="AE442" s="92"/>
      <c r="AF442" s="375"/>
      <c r="AG442" s="92"/>
      <c r="AH442" s="375"/>
      <c r="AI442" s="375"/>
      <c r="AJ442" s="375"/>
      <c r="AK442" s="373" t="s">
        <v>399</v>
      </c>
      <c r="AL442" s="375"/>
      <c r="AM442" s="375"/>
      <c r="AN442" s="375"/>
      <c r="AO442" s="375"/>
      <c r="AP442" s="376" t="s">
        <v>3683</v>
      </c>
      <c r="AQ442" s="375"/>
    </row>
    <row r="443">
      <c r="A443" s="257" t="s">
        <v>5164</v>
      </c>
      <c r="B443" s="257" t="s">
        <v>5165</v>
      </c>
      <c r="C443" s="257" t="str">
        <f>VLOOKUP(A443,import!A:J,3,0)</f>
        <v>DOĞRU</v>
      </c>
      <c r="D443" s="257" t="s">
        <v>3713</v>
      </c>
      <c r="E443" s="257">
        <f>VLOOKUP(A443,import!A:J,5,0)</f>
        <v>64</v>
      </c>
      <c r="F443" s="257">
        <f>VLOOKUP(A443,import!A:J,6,0)</f>
        <v>42</v>
      </c>
      <c r="G443" s="257">
        <f>VLOOKUP(A443,import!A:J,7,0)</f>
        <v>0</v>
      </c>
      <c r="H443" s="257">
        <f>VLOOKUP(A443,import!A:J,8,0)</f>
        <v>21</v>
      </c>
      <c r="I443" s="257">
        <f>VLOOKUP(A443,import!A:J,9,0)</f>
        <v>21</v>
      </c>
      <c r="J443" s="369">
        <f>VLOOKUP(A443,import!A:J,10,0)</f>
        <v>0</v>
      </c>
      <c r="K443" s="257" t="s">
        <v>5166</v>
      </c>
      <c r="L443" s="257">
        <v>3.225044343E9</v>
      </c>
      <c r="M443" s="257" t="s">
        <v>286</v>
      </c>
      <c r="N443" s="257" t="s">
        <v>3746</v>
      </c>
      <c r="O443" s="257" t="s">
        <v>5167</v>
      </c>
      <c r="P443" s="370" t="str">
        <f>VLOOKUP(A443,import!A:P,16,0)</f>
        <v>Geleneksel</v>
      </c>
      <c r="Q443" s="370"/>
      <c r="R443" s="370" t="b">
        <v>0</v>
      </c>
      <c r="S443" s="370" t="b">
        <v>0</v>
      </c>
      <c r="T443" s="301"/>
      <c r="U443" s="301"/>
      <c r="V443" s="301"/>
      <c r="W443" s="301" t="s">
        <v>5168</v>
      </c>
      <c r="X443" s="371"/>
      <c r="Y443" s="371"/>
      <c r="Z443" s="372"/>
      <c r="AA443" s="373" t="s">
        <v>3682</v>
      </c>
      <c r="AB443" s="371">
        <v>44641.0</v>
      </c>
      <c r="AC443" s="373"/>
      <c r="AD443" s="374"/>
      <c r="AE443" s="373"/>
      <c r="AF443" s="374"/>
      <c r="AG443" s="373"/>
      <c r="AH443" s="374"/>
      <c r="AI443" s="373"/>
      <c r="AJ443" s="374"/>
      <c r="AK443" s="373" t="s">
        <v>2542</v>
      </c>
      <c r="AL443" s="373"/>
      <c r="AM443" s="373"/>
      <c r="AN443" s="373"/>
      <c r="AO443" s="373"/>
      <c r="AP443" s="376"/>
      <c r="AQ443" s="373"/>
    </row>
    <row r="444">
      <c r="A444" s="257" t="s">
        <v>1158</v>
      </c>
      <c r="B444" s="257" t="s">
        <v>1159</v>
      </c>
      <c r="C444" s="257" t="str">
        <f>VLOOKUP(A444,import!A:J,3,0)</f>
        <v>DOĞRU</v>
      </c>
      <c r="D444" s="257" t="s">
        <v>3912</v>
      </c>
      <c r="E444" s="257">
        <f>VLOOKUP(A444,import!A:J,5,0)</f>
        <v>445</v>
      </c>
      <c r="F444" s="257">
        <f>VLOOKUP(A444,import!A:J,6,0)</f>
        <v>14</v>
      </c>
      <c r="G444" s="257">
        <f>VLOOKUP(A444,import!A:J,7,0)</f>
        <v>1</v>
      </c>
      <c r="H444" s="257">
        <f>VLOOKUP(A444,import!A:J,8,0)</f>
        <v>10</v>
      </c>
      <c r="I444" s="257">
        <f>VLOOKUP(A444,import!A:J,9,0)</f>
        <v>11</v>
      </c>
      <c r="J444" s="369">
        <f>VLOOKUP(A444,import!A:J,10,0)</f>
        <v>0.09</v>
      </c>
      <c r="K444" s="257" t="s">
        <v>5169</v>
      </c>
      <c r="L444" s="257">
        <v>3.224580709E9</v>
      </c>
      <c r="M444" s="257" t="s">
        <v>286</v>
      </c>
      <c r="N444" s="257" t="s">
        <v>4451</v>
      </c>
      <c r="O444" s="257" t="s">
        <v>2933</v>
      </c>
      <c r="P444" s="370" t="str">
        <f>VLOOKUP(A444,import!A:P,16,0)</f>
        <v>Geleneksel</v>
      </c>
      <c r="Q444" s="370"/>
      <c r="R444" s="370" t="b">
        <v>1</v>
      </c>
      <c r="S444" s="370" t="b">
        <v>0</v>
      </c>
      <c r="T444" s="301" t="s">
        <v>3679</v>
      </c>
      <c r="U444" s="301" t="s">
        <v>2706</v>
      </c>
      <c r="V444" s="301" t="s">
        <v>78</v>
      </c>
      <c r="W444" s="301" t="s">
        <v>5170</v>
      </c>
      <c r="X444" s="371">
        <v>44494.0</v>
      </c>
      <c r="Y444" s="371">
        <v>44495.0</v>
      </c>
      <c r="Z444" s="372"/>
      <c r="AA444" s="373" t="s">
        <v>3682</v>
      </c>
      <c r="AB444" s="374">
        <v>44372.0</v>
      </c>
      <c r="AC444" s="373" t="s">
        <v>3682</v>
      </c>
      <c r="AD444" s="374">
        <v>44494.0</v>
      </c>
      <c r="AE444" s="92"/>
      <c r="AF444" s="375"/>
      <c r="AG444" s="92"/>
      <c r="AH444" s="375"/>
      <c r="AI444" s="375"/>
      <c r="AJ444" s="375"/>
      <c r="AK444" s="373" t="s">
        <v>3719</v>
      </c>
      <c r="AL444" s="373" t="s">
        <v>2706</v>
      </c>
      <c r="AM444" s="375"/>
      <c r="AN444" s="375"/>
      <c r="AO444" s="375"/>
      <c r="AP444" s="376" t="s">
        <v>3686</v>
      </c>
      <c r="AQ444" s="375"/>
    </row>
    <row r="445">
      <c r="A445" s="257" t="s">
        <v>5171</v>
      </c>
      <c r="B445" s="257" t="s">
        <v>5172</v>
      </c>
      <c r="C445" s="257" t="str">
        <f>VLOOKUP(A445,import!A:J,3,0)</f>
        <v>DOĞRU</v>
      </c>
      <c r="D445" s="257" t="s">
        <v>3713</v>
      </c>
      <c r="E445" s="257">
        <f>VLOOKUP(A445,import!A:J,5,0)</f>
        <v>493</v>
      </c>
      <c r="F445" s="257">
        <f>VLOOKUP(A445,import!A:J,6,0)</f>
        <v>17</v>
      </c>
      <c r="G445" s="257">
        <f>VLOOKUP(A445,import!A:J,7,0)</f>
        <v>0</v>
      </c>
      <c r="H445" s="257">
        <f>VLOOKUP(A445,import!A:J,8,0)</f>
        <v>13</v>
      </c>
      <c r="I445" s="257">
        <f>VLOOKUP(A445,import!A:J,9,0)</f>
        <v>13</v>
      </c>
      <c r="J445" s="369">
        <f>VLOOKUP(A445,import!A:J,10,0)</f>
        <v>0</v>
      </c>
      <c r="K445" s="257" t="s">
        <v>5173</v>
      </c>
      <c r="L445" s="257">
        <v>5.334140476E9</v>
      </c>
      <c r="M445" s="257" t="s">
        <v>3692</v>
      </c>
      <c r="N445" s="257" t="s">
        <v>3721</v>
      </c>
      <c r="O445" s="257" t="s">
        <v>5174</v>
      </c>
      <c r="P445" s="370" t="str">
        <f>VLOOKUP(A445,import!A:P,16,0)</f>
        <v>Geleneksel</v>
      </c>
      <c r="Q445" s="370"/>
      <c r="R445" s="370" t="b">
        <v>1</v>
      </c>
      <c r="S445" s="370" t="b">
        <v>0</v>
      </c>
      <c r="T445" s="389" t="s">
        <v>3770</v>
      </c>
      <c r="U445" s="389" t="s">
        <v>79</v>
      </c>
      <c r="V445" s="398"/>
      <c r="W445" s="389" t="s">
        <v>5175</v>
      </c>
      <c r="X445" s="405"/>
      <c r="Y445" s="405"/>
      <c r="Z445" s="399"/>
      <c r="AA445" s="373" t="s">
        <v>3682</v>
      </c>
      <c r="AB445" s="371">
        <v>44407.0</v>
      </c>
      <c r="AC445" s="373" t="s">
        <v>3448</v>
      </c>
      <c r="AD445" s="374">
        <v>44428.0</v>
      </c>
      <c r="AE445" s="373" t="s">
        <v>3682</v>
      </c>
      <c r="AF445" s="374">
        <v>44455.0</v>
      </c>
      <c r="AG445" s="92"/>
      <c r="AH445" s="375"/>
      <c r="AI445" s="375"/>
      <c r="AJ445" s="375"/>
      <c r="AK445" s="373" t="s">
        <v>3752</v>
      </c>
      <c r="AL445" s="373" t="s">
        <v>1953</v>
      </c>
      <c r="AM445" s="373" t="s">
        <v>79</v>
      </c>
      <c r="AN445" s="375"/>
      <c r="AO445" s="375"/>
      <c r="AP445" s="376" t="s">
        <v>3686</v>
      </c>
      <c r="AQ445" s="375"/>
    </row>
    <row r="446">
      <c r="A446" s="257" t="s">
        <v>3501</v>
      </c>
      <c r="B446" s="257" t="s">
        <v>3502</v>
      </c>
      <c r="C446" s="257" t="str">
        <f>VLOOKUP(A446,import!A:J,3,0)</f>
        <v>DOĞRU</v>
      </c>
      <c r="D446" s="257" t="s">
        <v>3801</v>
      </c>
      <c r="E446" s="257">
        <f>VLOOKUP(A446,import!A:J,5,0)</f>
        <v>230</v>
      </c>
      <c r="F446" s="257">
        <f>VLOOKUP(A446,import!A:J,6,0)</f>
        <v>5</v>
      </c>
      <c r="G446" s="257">
        <f>VLOOKUP(A446,import!A:J,7,0)</f>
        <v>15</v>
      </c>
      <c r="H446" s="257">
        <f>VLOOKUP(A446,import!A:J,8,0)</f>
        <v>9</v>
      </c>
      <c r="I446" s="257">
        <f>VLOOKUP(A446,import!A:J,9,0)</f>
        <v>24</v>
      </c>
      <c r="J446" s="369">
        <f>VLOOKUP(A446,import!A:J,10,0)</f>
        <v>0.63</v>
      </c>
      <c r="K446" s="257" t="s">
        <v>5176</v>
      </c>
      <c r="L446" s="257">
        <v>5.446965223E9</v>
      </c>
      <c r="M446" s="257" t="s">
        <v>14</v>
      </c>
      <c r="N446" s="257" t="s">
        <v>3718</v>
      </c>
      <c r="O446" s="257" t="s">
        <v>3504</v>
      </c>
      <c r="P446" s="370" t="str">
        <f>VLOOKUP(A446,import!A:P,16,0)</f>
        <v>Geleneksel</v>
      </c>
      <c r="Q446" s="370"/>
      <c r="R446" s="370" t="b">
        <v>1</v>
      </c>
      <c r="S446" s="370" t="b">
        <v>0</v>
      </c>
      <c r="T446" s="301" t="s">
        <v>3679</v>
      </c>
      <c r="U446" s="301" t="s">
        <v>2542</v>
      </c>
      <c r="V446" s="394" t="s">
        <v>3331</v>
      </c>
      <c r="W446" s="301"/>
      <c r="X446" s="371">
        <v>44630.0</v>
      </c>
      <c r="Y446" s="371">
        <v>44631.0</v>
      </c>
      <c r="Z446" s="372"/>
      <c r="AA446" s="373" t="s">
        <v>3682</v>
      </c>
      <c r="AB446" s="371">
        <v>44630.0</v>
      </c>
      <c r="AC446" s="373"/>
      <c r="AD446" s="374"/>
      <c r="AE446" s="373"/>
      <c r="AF446" s="374"/>
      <c r="AG446" s="373"/>
      <c r="AH446" s="374"/>
      <c r="AI446" s="375"/>
      <c r="AJ446" s="375"/>
      <c r="AK446" s="373" t="s">
        <v>2542</v>
      </c>
      <c r="AL446" s="375"/>
      <c r="AM446" s="375"/>
      <c r="AN446" s="373"/>
      <c r="AO446" s="375"/>
      <c r="AP446" s="376"/>
      <c r="AQ446" s="375"/>
    </row>
    <row r="447">
      <c r="A447" s="257" t="s">
        <v>3497</v>
      </c>
      <c r="B447" s="257" t="s">
        <v>3498</v>
      </c>
      <c r="C447" s="257" t="str">
        <f>VLOOKUP(A447,import!A:J,3,0)</f>
        <v>DOĞRU</v>
      </c>
      <c r="D447" s="257" t="s">
        <v>3699</v>
      </c>
      <c r="E447" s="257">
        <f>VLOOKUP(A447,import!A:J,5,0)</f>
        <v>177</v>
      </c>
      <c r="F447" s="257">
        <f>VLOOKUP(A447,import!A:J,6,0)</f>
        <v>58</v>
      </c>
      <c r="G447" s="257">
        <f>VLOOKUP(A447,import!A:J,7,0)</f>
        <v>13</v>
      </c>
      <c r="H447" s="257">
        <f>VLOOKUP(A447,import!A:J,8,0)</f>
        <v>13</v>
      </c>
      <c r="I447" s="257">
        <f>VLOOKUP(A447,import!A:J,9,0)</f>
        <v>26</v>
      </c>
      <c r="J447" s="369">
        <f>VLOOKUP(A447,import!A:J,10,0)</f>
        <v>0.5</v>
      </c>
      <c r="K447" s="257" t="s">
        <v>5177</v>
      </c>
      <c r="L447" s="257">
        <v>3.222267767E9</v>
      </c>
      <c r="M447" s="257" t="s">
        <v>14</v>
      </c>
      <c r="N447" s="257" t="s">
        <v>3767</v>
      </c>
      <c r="O447" s="257" t="s">
        <v>3500</v>
      </c>
      <c r="P447" s="370" t="str">
        <f>VLOOKUP(A447,import!A:P,16,0)</f>
        <v>Geleneksel</v>
      </c>
      <c r="Q447" s="370"/>
      <c r="R447" s="370" t="b">
        <v>1</v>
      </c>
      <c r="S447" s="370" t="b">
        <v>0</v>
      </c>
      <c r="T447" s="301" t="s">
        <v>3679</v>
      </c>
      <c r="U447" s="301" t="s">
        <v>2542</v>
      </c>
      <c r="V447" s="394" t="s">
        <v>3331</v>
      </c>
      <c r="W447" s="301" t="s">
        <v>5178</v>
      </c>
      <c r="X447" s="371">
        <v>44630.0</v>
      </c>
      <c r="Y447" s="371">
        <v>44631.0</v>
      </c>
      <c r="Z447" s="372"/>
      <c r="AA447" s="373" t="s">
        <v>3682</v>
      </c>
      <c r="AB447" s="371">
        <v>44630.0</v>
      </c>
      <c r="AC447" s="373"/>
      <c r="AD447" s="374"/>
      <c r="AE447" s="373"/>
      <c r="AF447" s="374"/>
      <c r="AG447" s="373"/>
      <c r="AH447" s="374"/>
      <c r="AI447" s="375"/>
      <c r="AJ447" s="375"/>
      <c r="AK447" s="373" t="s">
        <v>2542</v>
      </c>
      <c r="AL447" s="375"/>
      <c r="AM447" s="375"/>
      <c r="AN447" s="373"/>
      <c r="AO447" s="375"/>
      <c r="AP447" s="376"/>
      <c r="AQ447" s="375"/>
    </row>
    <row r="448">
      <c r="A448" s="257" t="s">
        <v>3524</v>
      </c>
      <c r="B448" s="257" t="s">
        <v>3525</v>
      </c>
      <c r="C448" s="257" t="str">
        <f>VLOOKUP(A448,import!A:J,3,0)</f>
        <v>DOĞRU</v>
      </c>
      <c r="D448" s="257" t="s">
        <v>3699</v>
      </c>
      <c r="E448" s="257">
        <f>VLOOKUP(A448,import!A:J,5,0)</f>
        <v>347</v>
      </c>
      <c r="F448" s="257">
        <f>VLOOKUP(A448,import!A:J,6,0)</f>
        <v>194</v>
      </c>
      <c r="G448" s="257">
        <f>VLOOKUP(A448,import!A:J,7,0)</f>
        <v>0</v>
      </c>
      <c r="H448" s="257">
        <f>VLOOKUP(A448,import!A:J,8,0)</f>
        <v>26</v>
      </c>
      <c r="I448" s="257">
        <f>VLOOKUP(A448,import!A:J,9,0)</f>
        <v>26</v>
      </c>
      <c r="J448" s="369">
        <f>VLOOKUP(A448,import!A:J,10,0)</f>
        <v>0</v>
      </c>
      <c r="K448" s="257" t="s">
        <v>5179</v>
      </c>
      <c r="L448" s="257">
        <v>3.222420167E9</v>
      </c>
      <c r="M448" s="257" t="s">
        <v>14</v>
      </c>
      <c r="N448" s="257" t="s">
        <v>3718</v>
      </c>
      <c r="O448" s="257" t="s">
        <v>3527</v>
      </c>
      <c r="P448" s="370" t="str">
        <f>VLOOKUP(A448,import!A:P,16,0)</f>
        <v>Geleneksel</v>
      </c>
      <c r="Q448" s="370"/>
      <c r="R448" s="370" t="b">
        <v>1</v>
      </c>
      <c r="S448" s="370" t="b">
        <v>0</v>
      </c>
      <c r="T448" s="301" t="s">
        <v>3679</v>
      </c>
      <c r="U448" s="301" t="s">
        <v>2542</v>
      </c>
      <c r="V448" s="394" t="s">
        <v>3331</v>
      </c>
      <c r="W448" s="301"/>
      <c r="X448" s="371">
        <v>44634.0</v>
      </c>
      <c r="Y448" s="371">
        <v>44635.0</v>
      </c>
      <c r="Z448" s="372"/>
      <c r="AA448" s="373" t="s">
        <v>3682</v>
      </c>
      <c r="AB448" s="371">
        <v>44634.0</v>
      </c>
      <c r="AC448" s="373"/>
      <c r="AD448" s="374"/>
      <c r="AE448" s="373"/>
      <c r="AF448" s="374"/>
      <c r="AG448" s="373"/>
      <c r="AH448" s="374"/>
      <c r="AI448" s="373"/>
      <c r="AJ448" s="374"/>
      <c r="AK448" s="373" t="s">
        <v>2542</v>
      </c>
      <c r="AL448" s="373"/>
      <c r="AM448" s="373"/>
      <c r="AN448" s="373"/>
      <c r="AO448" s="373"/>
      <c r="AP448" s="376"/>
      <c r="AQ448" s="373"/>
    </row>
    <row r="449">
      <c r="A449" s="257" t="s">
        <v>5180</v>
      </c>
      <c r="B449" s="257" t="s">
        <v>5181</v>
      </c>
      <c r="C449" s="257" t="str">
        <f>VLOOKUP(A449,import!A:J,3,0)</f>
        <v>DOĞRU</v>
      </c>
      <c r="D449" s="257" t="s">
        <v>3699</v>
      </c>
      <c r="E449" s="257" t="str">
        <f>VLOOKUP(A449,import!A:J,5,0)</f>
        <v/>
      </c>
      <c r="F449" s="257" t="str">
        <f>VLOOKUP(A449,import!A:J,6,0)</f>
        <v/>
      </c>
      <c r="G449" s="257">
        <f>VLOOKUP(A449,import!A:J,7,0)</f>
        <v>0</v>
      </c>
      <c r="H449" s="257">
        <f>VLOOKUP(A449,import!A:J,8,0)</f>
        <v>69</v>
      </c>
      <c r="I449" s="257">
        <f>VLOOKUP(A449,import!A:J,9,0)</f>
        <v>69</v>
      </c>
      <c r="J449" s="369">
        <f>VLOOKUP(A449,import!A:J,10,0)</f>
        <v>0</v>
      </c>
      <c r="K449" s="257" t="s">
        <v>5182</v>
      </c>
      <c r="L449" s="257">
        <v>3.226816E9</v>
      </c>
      <c r="M449" s="257" t="s">
        <v>5183</v>
      </c>
      <c r="N449" s="257" t="s">
        <v>4235</v>
      </c>
      <c r="O449" s="257" t="s">
        <v>5184</v>
      </c>
      <c r="P449" s="370" t="str">
        <f>VLOOKUP(A449,import!A:P,16,0)</f>
        <v>Geleneksel</v>
      </c>
      <c r="Q449" s="370"/>
      <c r="R449" s="370" t="b">
        <v>0</v>
      </c>
      <c r="S449" s="370" t="b">
        <v>0</v>
      </c>
      <c r="T449" s="301"/>
      <c r="U449" s="301"/>
      <c r="V449" s="301"/>
      <c r="W449" s="301"/>
      <c r="X449" s="371"/>
      <c r="Y449" s="371"/>
      <c r="Z449" s="372"/>
      <c r="AA449" s="373"/>
      <c r="AB449" s="374"/>
      <c r="AC449" s="373"/>
      <c r="AD449" s="374"/>
      <c r="AE449" s="373"/>
      <c r="AF449" s="374"/>
      <c r="AG449" s="373"/>
      <c r="AH449" s="374"/>
      <c r="AI449" s="373"/>
      <c r="AJ449" s="374"/>
      <c r="AK449" s="373"/>
      <c r="AL449" s="373"/>
      <c r="AM449" s="373"/>
      <c r="AN449" s="373"/>
      <c r="AO449" s="373"/>
      <c r="AP449" s="376"/>
      <c r="AQ449" s="373"/>
    </row>
    <row r="450">
      <c r="A450" s="257" t="s">
        <v>5185</v>
      </c>
      <c r="B450" s="257" t="s">
        <v>5186</v>
      </c>
      <c r="C450" s="257" t="str">
        <f>VLOOKUP(A450,import!A:J,3,0)</f>
        <v>DOĞRU</v>
      </c>
      <c r="D450" s="257" t="s">
        <v>3699</v>
      </c>
      <c r="E450" s="257">
        <f>VLOOKUP(A450,import!A:J,5,0)</f>
        <v>107</v>
      </c>
      <c r="F450" s="257">
        <f>VLOOKUP(A450,import!A:J,6,0)</f>
        <v>51</v>
      </c>
      <c r="G450" s="257">
        <f>VLOOKUP(A450,import!A:J,7,0)</f>
        <v>0</v>
      </c>
      <c r="H450" s="257">
        <f>VLOOKUP(A450,import!A:J,8,0)</f>
        <v>43</v>
      </c>
      <c r="I450" s="257">
        <f>VLOOKUP(A450,import!A:J,9,0)</f>
        <v>43</v>
      </c>
      <c r="J450" s="369">
        <f>VLOOKUP(A450,import!A:J,10,0)</f>
        <v>0</v>
      </c>
      <c r="K450" s="257" t="s">
        <v>5187</v>
      </c>
      <c r="L450" s="257">
        <v>3.223650267E9</v>
      </c>
      <c r="M450" s="257" t="s">
        <v>286</v>
      </c>
      <c r="N450" s="257" t="s">
        <v>4152</v>
      </c>
      <c r="O450" s="257" t="s">
        <v>5188</v>
      </c>
      <c r="P450" s="370" t="str">
        <f>VLOOKUP(A450,import!A:P,16,0)</f>
        <v>Geleneksel</v>
      </c>
      <c r="Q450" s="370"/>
      <c r="R450" s="370" t="b">
        <v>0</v>
      </c>
      <c r="S450" s="370" t="b">
        <v>0</v>
      </c>
      <c r="T450" s="301"/>
      <c r="U450" s="301"/>
      <c r="V450" s="301"/>
      <c r="W450" s="301"/>
      <c r="X450" s="371"/>
      <c r="Y450" s="371"/>
      <c r="Z450" s="372"/>
      <c r="AA450" s="373"/>
      <c r="AB450" s="374"/>
      <c r="AC450" s="373"/>
      <c r="AD450" s="374"/>
      <c r="AE450" s="373"/>
      <c r="AF450" s="374"/>
      <c r="AG450" s="373"/>
      <c r="AH450" s="374"/>
      <c r="AI450" s="373"/>
      <c r="AJ450" s="374"/>
      <c r="AK450" s="373"/>
      <c r="AL450" s="373"/>
      <c r="AM450" s="373"/>
      <c r="AN450" s="373"/>
      <c r="AO450" s="373"/>
      <c r="AP450" s="376"/>
      <c r="AQ450" s="373"/>
    </row>
    <row r="451">
      <c r="A451" s="257" t="s">
        <v>5189</v>
      </c>
      <c r="B451" s="257" t="s">
        <v>5190</v>
      </c>
      <c r="C451" s="257" t="str">
        <f>VLOOKUP(A451,import!A:J,3,0)</f>
        <v>DOĞRU</v>
      </c>
      <c r="D451" s="257" t="s">
        <v>3699</v>
      </c>
      <c r="E451" s="257">
        <f>VLOOKUP(A451,import!A:J,5,0)</f>
        <v>39</v>
      </c>
      <c r="F451" s="257">
        <f>VLOOKUP(A451,import!A:J,6,0)</f>
        <v>21</v>
      </c>
      <c r="G451" s="257">
        <f>VLOOKUP(A451,import!A:J,7,0)</f>
        <v>0</v>
      </c>
      <c r="H451" s="257">
        <f>VLOOKUP(A451,import!A:J,8,0)</f>
        <v>33</v>
      </c>
      <c r="I451" s="257">
        <f>VLOOKUP(A451,import!A:J,9,0)</f>
        <v>33</v>
      </c>
      <c r="J451" s="369">
        <f>VLOOKUP(A451,import!A:J,10,0)</f>
        <v>0</v>
      </c>
      <c r="K451" s="257" t="s">
        <v>5191</v>
      </c>
      <c r="L451" s="257">
        <v>5.324954955E9</v>
      </c>
      <c r="M451" s="257" t="s">
        <v>286</v>
      </c>
      <c r="N451" s="257" t="s">
        <v>5192</v>
      </c>
      <c r="O451" s="257" t="s">
        <v>5193</v>
      </c>
      <c r="P451" s="370" t="str">
        <f>VLOOKUP(A451,import!A:P,16,0)</f>
        <v>Geleneksel</v>
      </c>
      <c r="Q451" s="370"/>
      <c r="R451" s="370" t="b">
        <v>0</v>
      </c>
      <c r="S451" s="370" t="b">
        <v>0</v>
      </c>
      <c r="T451" s="301"/>
      <c r="U451" s="301"/>
      <c r="V451" s="301"/>
      <c r="W451" s="301"/>
      <c r="X451" s="371"/>
      <c r="Y451" s="371"/>
      <c r="Z451" s="372"/>
      <c r="AA451" s="373"/>
      <c r="AB451" s="374"/>
      <c r="AC451" s="373"/>
      <c r="AD451" s="374"/>
      <c r="AE451" s="373"/>
      <c r="AF451" s="374"/>
      <c r="AG451" s="373"/>
      <c r="AH451" s="374"/>
      <c r="AI451" s="373"/>
      <c r="AJ451" s="374"/>
      <c r="AK451" s="373"/>
      <c r="AL451" s="373"/>
      <c r="AM451" s="373"/>
      <c r="AN451" s="373"/>
      <c r="AO451" s="373"/>
      <c r="AP451" s="376"/>
      <c r="AQ451" s="373"/>
    </row>
    <row r="452">
      <c r="A452" s="257" t="s">
        <v>5194</v>
      </c>
      <c r="B452" s="257" t="s">
        <v>5195</v>
      </c>
      <c r="C452" s="257" t="str">
        <f>VLOOKUP(A452,import!A:J,3,0)</f>
        <v>DOĞRU</v>
      </c>
      <c r="D452" s="257" t="s">
        <v>3699</v>
      </c>
      <c r="E452" s="257">
        <f>VLOOKUP(A452,import!A:J,5,0)</f>
        <v>98</v>
      </c>
      <c r="F452" s="257">
        <f>VLOOKUP(A452,import!A:J,6,0)</f>
        <v>53</v>
      </c>
      <c r="G452" s="257">
        <f>VLOOKUP(A452,import!A:J,7,0)</f>
        <v>0</v>
      </c>
      <c r="H452" s="257">
        <f>VLOOKUP(A452,import!A:J,8,0)</f>
        <v>44</v>
      </c>
      <c r="I452" s="257">
        <f>VLOOKUP(A452,import!A:J,9,0)</f>
        <v>44</v>
      </c>
      <c r="J452" s="369">
        <f>VLOOKUP(A452,import!A:J,10,0)</f>
        <v>0</v>
      </c>
      <c r="K452" s="257" t="s">
        <v>5187</v>
      </c>
      <c r="L452" s="257">
        <v>3.223598267E9</v>
      </c>
      <c r="M452" s="257" t="s">
        <v>286</v>
      </c>
      <c r="N452" s="257" t="s">
        <v>3795</v>
      </c>
      <c r="O452" s="257" t="s">
        <v>5196</v>
      </c>
      <c r="P452" s="370" t="str">
        <f>VLOOKUP(A452,import!A:P,16,0)</f>
        <v>Geleneksel</v>
      </c>
      <c r="Q452" s="370"/>
      <c r="R452" s="370" t="b">
        <v>0</v>
      </c>
      <c r="S452" s="370" t="b">
        <v>0</v>
      </c>
      <c r="T452" s="301"/>
      <c r="U452" s="301"/>
      <c r="V452" s="301"/>
      <c r="W452" s="301"/>
      <c r="X452" s="371"/>
      <c r="Y452" s="371"/>
      <c r="Z452" s="372"/>
      <c r="AA452" s="373"/>
      <c r="AB452" s="374"/>
      <c r="AC452" s="373"/>
      <c r="AD452" s="374"/>
      <c r="AE452" s="373"/>
      <c r="AF452" s="374"/>
      <c r="AG452" s="373"/>
      <c r="AH452" s="374"/>
      <c r="AI452" s="373"/>
      <c r="AJ452" s="374"/>
      <c r="AK452" s="373"/>
      <c r="AL452" s="373"/>
      <c r="AM452" s="373"/>
      <c r="AN452" s="373"/>
      <c r="AO452" s="373"/>
      <c r="AP452" s="376"/>
      <c r="AQ452" s="373"/>
    </row>
    <row r="453">
      <c r="A453" s="257" t="s">
        <v>5197</v>
      </c>
      <c r="B453" s="257" t="s">
        <v>5198</v>
      </c>
      <c r="C453" s="257" t="str">
        <f>VLOOKUP(A453,import!A:J,3,0)</f>
        <v>DOĞRU</v>
      </c>
      <c r="D453" s="257" t="s">
        <v>3699</v>
      </c>
      <c r="E453" s="257">
        <f>VLOOKUP(A453,import!A:J,5,0)</f>
        <v>223</v>
      </c>
      <c r="F453" s="257">
        <f>VLOOKUP(A453,import!A:J,6,0)</f>
        <v>109</v>
      </c>
      <c r="G453" s="257">
        <f>VLOOKUP(A453,import!A:J,7,0)</f>
        <v>0</v>
      </c>
      <c r="H453" s="257">
        <f>VLOOKUP(A453,import!A:J,8,0)</f>
        <v>22</v>
      </c>
      <c r="I453" s="257">
        <f>VLOOKUP(A453,import!A:J,9,0)</f>
        <v>22</v>
      </c>
      <c r="J453" s="369">
        <f>VLOOKUP(A453,import!A:J,10,0)</f>
        <v>0</v>
      </c>
      <c r="K453" s="257" t="s">
        <v>5199</v>
      </c>
      <c r="L453" s="257">
        <v>3.222617567E9</v>
      </c>
      <c r="M453" s="257" t="s">
        <v>286</v>
      </c>
      <c r="N453" s="257" t="s">
        <v>3855</v>
      </c>
      <c r="O453" s="257" t="s">
        <v>5200</v>
      </c>
      <c r="P453" s="370" t="str">
        <f>VLOOKUP(A453,import!A:P,16,0)</f>
        <v>Geleneksel</v>
      </c>
      <c r="Q453" s="370"/>
      <c r="R453" s="370" t="b">
        <v>0</v>
      </c>
      <c r="S453" s="370" t="b">
        <v>0</v>
      </c>
      <c r="T453" s="301"/>
      <c r="U453" s="301"/>
      <c r="V453" s="301"/>
      <c r="W453" s="301" t="s">
        <v>1325</v>
      </c>
      <c r="X453" s="371"/>
      <c r="Y453" s="371"/>
      <c r="Z453" s="372"/>
      <c r="AA453" s="373"/>
      <c r="AB453" s="374"/>
      <c r="AC453" s="373"/>
      <c r="AD453" s="374"/>
      <c r="AE453" s="373"/>
      <c r="AF453" s="374"/>
      <c r="AG453" s="373"/>
      <c r="AH453" s="374"/>
      <c r="AI453" s="373"/>
      <c r="AJ453" s="374"/>
      <c r="AK453" s="373"/>
      <c r="AL453" s="373"/>
      <c r="AM453" s="373"/>
      <c r="AN453" s="373"/>
      <c r="AO453" s="373"/>
      <c r="AP453" s="376"/>
      <c r="AQ453" s="373"/>
    </row>
    <row r="454">
      <c r="A454" s="257" t="s">
        <v>5201</v>
      </c>
      <c r="B454" s="257" t="s">
        <v>5202</v>
      </c>
      <c r="C454" s="257" t="str">
        <f>VLOOKUP(A454,import!A:J,3,0)</f>
        <v>DOĞRU</v>
      </c>
      <c r="D454" s="257" t="s">
        <v>3699</v>
      </c>
      <c r="E454" s="257" t="str">
        <f>VLOOKUP(A454,import!A:J,5,0)</f>
        <v/>
      </c>
      <c r="F454" s="257" t="str">
        <f>VLOOKUP(A454,import!A:J,6,0)</f>
        <v/>
      </c>
      <c r="G454" s="257">
        <f>VLOOKUP(A454,import!A:J,7,0)</f>
        <v>0</v>
      </c>
      <c r="H454" s="257">
        <f>VLOOKUP(A454,import!A:J,8,0)</f>
        <v>68</v>
      </c>
      <c r="I454" s="257">
        <f>VLOOKUP(A454,import!A:J,9,0)</f>
        <v>68</v>
      </c>
      <c r="J454" s="369">
        <f>VLOOKUP(A454,import!A:J,10,0)</f>
        <v>0</v>
      </c>
      <c r="K454" s="257" t="s">
        <v>5203</v>
      </c>
      <c r="L454" s="257">
        <v>3.223363559E9</v>
      </c>
      <c r="M454" s="257" t="s">
        <v>3707</v>
      </c>
      <c r="N454" s="257" t="s">
        <v>5204</v>
      </c>
      <c r="O454" s="257" t="s">
        <v>5205</v>
      </c>
      <c r="P454" s="370" t="str">
        <f>VLOOKUP(A454,import!A:P,16,0)</f>
        <v>Geleneksel</v>
      </c>
      <c r="Q454" s="370"/>
      <c r="R454" s="370" t="b">
        <v>0</v>
      </c>
      <c r="S454" s="370" t="b">
        <v>0</v>
      </c>
      <c r="T454" s="301"/>
      <c r="U454" s="301"/>
      <c r="V454" s="301"/>
      <c r="W454" s="301"/>
      <c r="X454" s="371"/>
      <c r="Y454" s="371"/>
      <c r="Z454" s="372"/>
      <c r="AA454" s="373"/>
      <c r="AB454" s="374"/>
      <c r="AC454" s="373"/>
      <c r="AD454" s="374"/>
      <c r="AE454" s="373"/>
      <c r="AF454" s="374"/>
      <c r="AG454" s="373"/>
      <c r="AH454" s="374"/>
      <c r="AI454" s="373"/>
      <c r="AJ454" s="374"/>
      <c r="AK454" s="373"/>
      <c r="AL454" s="373"/>
      <c r="AM454" s="373"/>
      <c r="AN454" s="373"/>
      <c r="AO454" s="373"/>
      <c r="AP454" s="376"/>
      <c r="AQ454" s="373"/>
    </row>
    <row r="455">
      <c r="A455" s="257" t="s">
        <v>5206</v>
      </c>
      <c r="B455" s="257" t="s">
        <v>5207</v>
      </c>
      <c r="C455" s="257" t="str">
        <f>VLOOKUP(A455,import!A:J,3,0)</f>
        <v>DOĞRU</v>
      </c>
      <c r="D455" s="257" t="s">
        <v>3699</v>
      </c>
      <c r="E455" s="257">
        <f>VLOOKUP(A455,import!A:J,5,0)</f>
        <v>7</v>
      </c>
      <c r="F455" s="257">
        <f>VLOOKUP(A455,import!A:J,6,0)</f>
        <v>3</v>
      </c>
      <c r="G455" s="257">
        <f>VLOOKUP(A455,import!A:J,7,0)</f>
        <v>0</v>
      </c>
      <c r="H455" s="257">
        <f>VLOOKUP(A455,import!A:J,8,0)</f>
        <v>24</v>
      </c>
      <c r="I455" s="257">
        <f>VLOOKUP(A455,import!A:J,9,0)</f>
        <v>24</v>
      </c>
      <c r="J455" s="369">
        <f>VLOOKUP(A455,import!A:J,10,0)</f>
        <v>0</v>
      </c>
      <c r="K455" s="257" t="s">
        <v>5208</v>
      </c>
      <c r="L455" s="257">
        <v>3.223226767E9</v>
      </c>
      <c r="M455" s="257" t="s">
        <v>3707</v>
      </c>
      <c r="N455" s="257" t="s">
        <v>3692</v>
      </c>
      <c r="O455" s="257" t="s">
        <v>5209</v>
      </c>
      <c r="P455" s="370" t="str">
        <f>VLOOKUP(A455,import!A:P,16,0)</f>
        <v>Geleneksel</v>
      </c>
      <c r="Q455" s="370"/>
      <c r="R455" s="370" t="b">
        <v>0</v>
      </c>
      <c r="S455" s="370" t="b">
        <v>0</v>
      </c>
      <c r="T455" s="301"/>
      <c r="U455" s="301"/>
      <c r="V455" s="301"/>
      <c r="W455" s="301"/>
      <c r="X455" s="371"/>
      <c r="Y455" s="371"/>
      <c r="Z455" s="372"/>
      <c r="AA455" s="373"/>
      <c r="AB455" s="374"/>
      <c r="AC455" s="373"/>
      <c r="AD455" s="374"/>
      <c r="AE455" s="373"/>
      <c r="AF455" s="374"/>
      <c r="AG455" s="373"/>
      <c r="AH455" s="374"/>
      <c r="AI455" s="373"/>
      <c r="AJ455" s="374"/>
      <c r="AK455" s="373"/>
      <c r="AL455" s="373"/>
      <c r="AM455" s="373"/>
      <c r="AN455" s="373"/>
      <c r="AO455" s="373"/>
      <c r="AP455" s="376"/>
      <c r="AQ455" s="373"/>
    </row>
    <row r="456">
      <c r="A456" s="257" t="s">
        <v>711</v>
      </c>
      <c r="B456" s="257" t="s">
        <v>712</v>
      </c>
      <c r="C456" s="257" t="str">
        <f>VLOOKUP(A456,import!A:J,3,0)</f>
        <v>DOĞRU</v>
      </c>
      <c r="D456" s="257" t="s">
        <v>3713</v>
      </c>
      <c r="E456" s="257">
        <f>VLOOKUP(A456,import!A:J,5,0)</f>
        <v>3934</v>
      </c>
      <c r="F456" s="257">
        <f>VLOOKUP(A456,import!A:J,6,0)</f>
        <v>42</v>
      </c>
      <c r="G456" s="257">
        <f>VLOOKUP(A456,import!A:J,7,0)</f>
        <v>18</v>
      </c>
      <c r="H456" s="257">
        <f>VLOOKUP(A456,import!A:J,8,0)</f>
        <v>3</v>
      </c>
      <c r="I456" s="257">
        <f>VLOOKUP(A456,import!A:J,9,0)</f>
        <v>21</v>
      </c>
      <c r="J456" s="369">
        <f>VLOOKUP(A456,import!A:J,10,0)</f>
        <v>0.86</v>
      </c>
      <c r="K456" s="257" t="s">
        <v>5210</v>
      </c>
      <c r="L456" s="257">
        <v>3.22247E9</v>
      </c>
      <c r="M456" s="257" t="s">
        <v>14</v>
      </c>
      <c r="N456" s="257" t="s">
        <v>3826</v>
      </c>
      <c r="O456" s="257" t="s">
        <v>715</v>
      </c>
      <c r="P456" s="370" t="str">
        <f>VLOOKUP(A456,import!A:P,16,0)</f>
        <v>Geleneksel</v>
      </c>
      <c r="Q456" s="370"/>
      <c r="R456" s="370" t="b">
        <v>1</v>
      </c>
      <c r="S456" s="370" t="b">
        <v>0</v>
      </c>
      <c r="T456" s="301" t="s">
        <v>3679</v>
      </c>
      <c r="U456" s="301" t="s">
        <v>79</v>
      </c>
      <c r="V456" s="301" t="s">
        <v>78</v>
      </c>
      <c r="W456" s="301"/>
      <c r="X456" s="371">
        <v>44340.0</v>
      </c>
      <c r="Y456" s="371">
        <v>44342.0</v>
      </c>
      <c r="Z456" s="377"/>
      <c r="AA456" s="373" t="s">
        <v>3695</v>
      </c>
      <c r="AB456" s="374">
        <v>44368.0</v>
      </c>
      <c r="AC456" s="375"/>
      <c r="AD456" s="375"/>
      <c r="AE456" s="92"/>
      <c r="AF456" s="375"/>
      <c r="AG456" s="92"/>
      <c r="AH456" s="375"/>
      <c r="AI456" s="375"/>
      <c r="AJ456" s="375"/>
      <c r="AK456" s="373" t="s">
        <v>1014</v>
      </c>
      <c r="AL456" s="375"/>
      <c r="AM456" s="375"/>
      <c r="AN456" s="375"/>
      <c r="AO456" s="375"/>
      <c r="AP456" s="376" t="s">
        <v>3683</v>
      </c>
      <c r="AQ456" s="375"/>
    </row>
    <row r="457">
      <c r="A457" s="257" t="s">
        <v>2362</v>
      </c>
      <c r="B457" s="257" t="s">
        <v>2363</v>
      </c>
      <c r="C457" s="257" t="str">
        <f>VLOOKUP(A457,import!A:J,3,0)</f>
        <v>DOĞRU</v>
      </c>
      <c r="D457" s="257" t="s">
        <v>3713</v>
      </c>
      <c r="E457" s="257">
        <f>VLOOKUP(A457,import!A:J,5,0)</f>
        <v>1505</v>
      </c>
      <c r="F457" s="257">
        <f>VLOOKUP(A457,import!A:J,6,0)</f>
        <v>22</v>
      </c>
      <c r="G457" s="257">
        <f>VLOOKUP(A457,import!A:J,7,0)</f>
        <v>17</v>
      </c>
      <c r="H457" s="257">
        <f>VLOOKUP(A457,import!A:J,8,0)</f>
        <v>5</v>
      </c>
      <c r="I457" s="257">
        <f>VLOOKUP(A457,import!A:J,9,0)</f>
        <v>22</v>
      </c>
      <c r="J457" s="369">
        <f>VLOOKUP(A457,import!A:J,10,0)</f>
        <v>0.77</v>
      </c>
      <c r="K457" s="257" t="s">
        <v>5211</v>
      </c>
      <c r="L457" s="257">
        <v>3.222259798E9</v>
      </c>
      <c r="M457" s="257" t="s">
        <v>286</v>
      </c>
      <c r="N457" s="257" t="s">
        <v>3961</v>
      </c>
      <c r="O457" s="257" t="s">
        <v>2365</v>
      </c>
      <c r="P457" s="370" t="str">
        <f>VLOOKUP(A457,import!A:P,16,0)</f>
        <v>Geleneksel</v>
      </c>
      <c r="Q457" s="370"/>
      <c r="R457" s="370" t="b">
        <v>1</v>
      </c>
      <c r="S457" s="370" t="b">
        <v>0</v>
      </c>
      <c r="T457" s="301" t="s">
        <v>3679</v>
      </c>
      <c r="U457" s="301" t="s">
        <v>2542</v>
      </c>
      <c r="V457" s="301" t="s">
        <v>78</v>
      </c>
      <c r="W457" s="301" t="s">
        <v>5212</v>
      </c>
      <c r="X457" s="371">
        <v>44447.0</v>
      </c>
      <c r="Y457" s="371">
        <v>44448.0</v>
      </c>
      <c r="Z457" s="372"/>
      <c r="AA457" s="373" t="s">
        <v>3682</v>
      </c>
      <c r="AB457" s="374">
        <v>44447.0</v>
      </c>
      <c r="AC457" s="375"/>
      <c r="AD457" s="375"/>
      <c r="AE457" s="92"/>
      <c r="AF457" s="375"/>
      <c r="AG457" s="92"/>
      <c r="AH457" s="375"/>
      <c r="AI457" s="375"/>
      <c r="AJ457" s="375"/>
      <c r="AK457" s="373" t="s">
        <v>2542</v>
      </c>
      <c r="AL457" s="375"/>
      <c r="AM457" s="375"/>
      <c r="AN457" s="375"/>
      <c r="AO457" s="375"/>
      <c r="AP457" s="376" t="s">
        <v>3686</v>
      </c>
      <c r="AQ457" s="375"/>
    </row>
    <row r="458">
      <c r="A458" s="257" t="s">
        <v>5213</v>
      </c>
      <c r="B458" s="257" t="s">
        <v>5214</v>
      </c>
      <c r="C458" s="257" t="str">
        <f>VLOOKUP(A458,import!A:J,3,0)</f>
        <v>DOĞRU</v>
      </c>
      <c r="D458" s="257" t="s">
        <v>3699</v>
      </c>
      <c r="E458" s="257">
        <f>VLOOKUP(A458,import!A:J,5,0)</f>
        <v>963</v>
      </c>
      <c r="F458" s="257">
        <f>VLOOKUP(A458,import!A:J,6,0)</f>
        <v>54</v>
      </c>
      <c r="G458" s="257">
        <f>VLOOKUP(A458,import!A:J,7,0)</f>
        <v>0</v>
      </c>
      <c r="H458" s="257">
        <f>VLOOKUP(A458,import!A:J,8,0)</f>
        <v>37</v>
      </c>
      <c r="I458" s="257">
        <f>VLOOKUP(A458,import!A:J,9,0)</f>
        <v>37</v>
      </c>
      <c r="J458" s="369">
        <f>VLOOKUP(A458,import!A:J,10,0)</f>
        <v>0</v>
      </c>
      <c r="K458" s="257" t="s">
        <v>5215</v>
      </c>
      <c r="L458" s="257">
        <v>5.306750309E9</v>
      </c>
      <c r="M458" s="257" t="s">
        <v>286</v>
      </c>
      <c r="N458" s="257" t="s">
        <v>3855</v>
      </c>
      <c r="O458" s="257" t="s">
        <v>5216</v>
      </c>
      <c r="P458" s="370" t="str">
        <f>VLOOKUP(A458,import!A:P,16,0)</f>
        <v>Geleneksel</v>
      </c>
      <c r="Q458" s="370"/>
      <c r="R458" s="370" t="b">
        <v>1</v>
      </c>
      <c r="S458" s="370" t="b">
        <v>1</v>
      </c>
      <c r="T458" s="301"/>
      <c r="U458" s="379"/>
      <c r="V458" s="379"/>
      <c r="W458" s="301" t="s">
        <v>5217</v>
      </c>
      <c r="X458" s="381"/>
      <c r="Y458" s="381"/>
      <c r="Z458" s="372"/>
      <c r="AA458" s="373" t="s">
        <v>3682</v>
      </c>
      <c r="AB458" s="374">
        <v>44440.0</v>
      </c>
      <c r="AC458" s="373" t="s">
        <v>3682</v>
      </c>
      <c r="AD458" s="374">
        <v>44519.0</v>
      </c>
      <c r="AE458" s="92"/>
      <c r="AF458" s="375"/>
      <c r="AG458" s="92"/>
      <c r="AH458" s="375"/>
      <c r="AI458" s="375"/>
      <c r="AJ458" s="375"/>
      <c r="AK458" s="373" t="s">
        <v>2542</v>
      </c>
      <c r="AL458" s="373" t="s">
        <v>3073</v>
      </c>
      <c r="AM458" s="375"/>
      <c r="AN458" s="375"/>
      <c r="AO458" s="375"/>
      <c r="AP458" s="376" t="s">
        <v>3686</v>
      </c>
      <c r="AQ458" s="375"/>
    </row>
    <row r="459">
      <c r="A459" s="257" t="s">
        <v>5218</v>
      </c>
      <c r="B459" s="257" t="s">
        <v>5219</v>
      </c>
      <c r="C459" s="257" t="str">
        <f>VLOOKUP(A459,import!A:J,3,0)</f>
        <v>DOĞRU</v>
      </c>
      <c r="D459" s="257" t="s">
        <v>3912</v>
      </c>
      <c r="E459" s="257">
        <f>VLOOKUP(A459,import!A:J,5,0)</f>
        <v>90</v>
      </c>
      <c r="F459" s="257">
        <f>VLOOKUP(A459,import!A:J,6,0)</f>
        <v>7</v>
      </c>
      <c r="G459" s="257">
        <f>VLOOKUP(A459,import!A:J,7,0)</f>
        <v>0</v>
      </c>
      <c r="H459" s="257">
        <f>VLOOKUP(A459,import!A:J,8,0)</f>
        <v>74</v>
      </c>
      <c r="I459" s="257">
        <f>VLOOKUP(A459,import!A:J,9,0)</f>
        <v>74</v>
      </c>
      <c r="J459" s="369">
        <f>VLOOKUP(A459,import!A:J,10,0)</f>
        <v>0</v>
      </c>
      <c r="K459" s="257" t="s">
        <v>5220</v>
      </c>
      <c r="L459" s="257">
        <v>3.224225992E9</v>
      </c>
      <c r="M459" s="257" t="s">
        <v>286</v>
      </c>
      <c r="N459" s="257" t="s">
        <v>3688</v>
      </c>
      <c r="O459" s="257" t="s">
        <v>5221</v>
      </c>
      <c r="P459" s="370" t="str">
        <f>VLOOKUP(A459,import!A:P,16,0)</f>
        <v>Geleneksel</v>
      </c>
      <c r="Q459" s="370"/>
      <c r="R459" s="370" t="b">
        <v>1</v>
      </c>
      <c r="S459" s="370" t="b">
        <v>0</v>
      </c>
      <c r="T459" s="301"/>
      <c r="U459" s="379"/>
      <c r="V459" s="379"/>
      <c r="W459" s="301" t="s">
        <v>5222</v>
      </c>
      <c r="X459" s="381"/>
      <c r="Y459" s="381"/>
      <c r="Z459" s="372"/>
      <c r="AA459" s="373" t="s">
        <v>3448</v>
      </c>
      <c r="AB459" s="374">
        <v>44566.0</v>
      </c>
      <c r="AC459" s="373"/>
      <c r="AD459" s="374"/>
      <c r="AE459" s="373"/>
      <c r="AF459" s="374"/>
      <c r="AG459" s="373"/>
      <c r="AH459" s="374"/>
      <c r="AI459" s="375"/>
      <c r="AJ459" s="375"/>
      <c r="AK459" s="373" t="s">
        <v>2192</v>
      </c>
      <c r="AL459" s="375"/>
      <c r="AM459" s="375"/>
      <c r="AN459" s="373"/>
      <c r="AO459" s="375"/>
      <c r="AP459" s="376" t="s">
        <v>3686</v>
      </c>
      <c r="AQ459" s="375"/>
    </row>
    <row r="460">
      <c r="A460" s="257" t="s">
        <v>23</v>
      </c>
      <c r="B460" s="257" t="s">
        <v>24</v>
      </c>
      <c r="C460" s="257" t="str">
        <f>VLOOKUP(A460,import!A:J,3,0)</f>
        <v>DOĞRU</v>
      </c>
      <c r="D460" s="257" t="s">
        <v>3676</v>
      </c>
      <c r="E460" s="257">
        <f>VLOOKUP(A460,import!A:J,5,0)</f>
        <v>4742</v>
      </c>
      <c r="F460" s="257">
        <f>VLOOKUP(A460,import!A:J,6,0)</f>
        <v>210</v>
      </c>
      <c r="G460" s="257">
        <f>VLOOKUP(A460,import!A:J,7,0)</f>
        <v>9</v>
      </c>
      <c r="H460" s="257">
        <f>VLOOKUP(A460,import!A:J,8,0)</f>
        <v>9</v>
      </c>
      <c r="I460" s="257">
        <f>VLOOKUP(A460,import!A:J,9,0)</f>
        <v>18</v>
      </c>
      <c r="J460" s="369">
        <f>VLOOKUP(A460,import!A:J,10,0)</f>
        <v>0.5</v>
      </c>
      <c r="K460" s="257" t="s">
        <v>5223</v>
      </c>
      <c r="L460" s="257">
        <v>5.442582307E9</v>
      </c>
      <c r="M460" s="257" t="s">
        <v>14</v>
      </c>
      <c r="N460" s="257" t="s">
        <v>3678</v>
      </c>
      <c r="O460" s="257" t="s">
        <v>5224</v>
      </c>
      <c r="P460" s="370" t="str">
        <f>VLOOKUP(A460,import!A:P,16,0)</f>
        <v>Geleneksel</v>
      </c>
      <c r="Q460" s="370"/>
      <c r="R460" s="370" t="b">
        <v>1</v>
      </c>
      <c r="S460" s="370" t="b">
        <v>0</v>
      </c>
      <c r="T460" s="301" t="s">
        <v>3679</v>
      </c>
      <c r="U460" s="301" t="s">
        <v>16</v>
      </c>
      <c r="V460" s="301" t="s">
        <v>15</v>
      </c>
      <c r="W460" s="301" t="s">
        <v>5225</v>
      </c>
      <c r="X460" s="371">
        <v>44284.0</v>
      </c>
      <c r="Y460" s="371">
        <v>44285.0</v>
      </c>
      <c r="Z460" s="377"/>
      <c r="AA460" s="375"/>
      <c r="AB460" s="375"/>
      <c r="AC460" s="375"/>
      <c r="AD460" s="375"/>
      <c r="AE460" s="92"/>
      <c r="AF460" s="375"/>
      <c r="AG460" s="92"/>
      <c r="AH460" s="375"/>
      <c r="AI460" s="375"/>
      <c r="AJ460" s="375"/>
      <c r="AK460" s="375"/>
      <c r="AL460" s="375"/>
      <c r="AM460" s="375"/>
      <c r="AN460" s="375"/>
      <c r="AO460" s="375"/>
      <c r="AP460" s="376" t="s">
        <v>3683</v>
      </c>
      <c r="AQ460" s="375"/>
    </row>
    <row r="461">
      <c r="A461" s="257" t="s">
        <v>2848</v>
      </c>
      <c r="B461" s="257" t="s">
        <v>2849</v>
      </c>
      <c r="C461" s="257" t="str">
        <f>VLOOKUP(A461,import!A:J,3,0)</f>
        <v>DOĞRU</v>
      </c>
      <c r="D461" s="257" t="s">
        <v>3699</v>
      </c>
      <c r="E461" s="257">
        <f>VLOOKUP(A461,import!A:J,5,0)</f>
        <v>458</v>
      </c>
      <c r="F461" s="257">
        <f>VLOOKUP(A461,import!A:J,6,0)</f>
        <v>59</v>
      </c>
      <c r="G461" s="257">
        <f>VLOOKUP(A461,import!A:J,7,0)</f>
        <v>15</v>
      </c>
      <c r="H461" s="257">
        <f>VLOOKUP(A461,import!A:J,8,0)</f>
        <v>17</v>
      </c>
      <c r="I461" s="257">
        <f>VLOOKUP(A461,import!A:J,9,0)</f>
        <v>32</v>
      </c>
      <c r="J461" s="369">
        <f>VLOOKUP(A461,import!A:J,10,0)</f>
        <v>0.47</v>
      </c>
      <c r="K461" s="257" t="s">
        <v>5226</v>
      </c>
      <c r="L461" s="257">
        <v>5.416814214E9</v>
      </c>
      <c r="M461" s="257" t="s">
        <v>14</v>
      </c>
      <c r="N461" s="257" t="s">
        <v>5227</v>
      </c>
      <c r="O461" s="257" t="s">
        <v>2851</v>
      </c>
      <c r="P461" s="370" t="str">
        <f>VLOOKUP(A461,import!A:P,16,0)</f>
        <v>Geleneksel</v>
      </c>
      <c r="Q461" s="370"/>
      <c r="R461" s="370" t="b">
        <v>1</v>
      </c>
      <c r="S461" s="370" t="b">
        <v>0</v>
      </c>
      <c r="T461" s="301" t="s">
        <v>3679</v>
      </c>
      <c r="U461" s="301" t="s">
        <v>2542</v>
      </c>
      <c r="V461" s="301" t="s">
        <v>78</v>
      </c>
      <c r="W461" s="301"/>
      <c r="X461" s="371">
        <v>44555.0</v>
      </c>
      <c r="Y461" s="371">
        <v>44559.0</v>
      </c>
      <c r="Z461" s="372"/>
      <c r="AA461" s="373" t="s">
        <v>3682</v>
      </c>
      <c r="AB461" s="374">
        <v>44483.0</v>
      </c>
      <c r="AC461" s="373" t="s">
        <v>3682</v>
      </c>
      <c r="AD461" s="374">
        <v>44555.0</v>
      </c>
      <c r="AE461" s="373"/>
      <c r="AF461" s="374"/>
      <c r="AG461" s="373"/>
      <c r="AH461" s="374"/>
      <c r="AI461" s="375"/>
      <c r="AJ461" s="375"/>
      <c r="AK461" s="373" t="s">
        <v>2542</v>
      </c>
      <c r="AL461" s="373" t="s">
        <v>2542</v>
      </c>
      <c r="AM461" s="375"/>
      <c r="AN461" s="373"/>
      <c r="AO461" s="375"/>
      <c r="AP461" s="376" t="s">
        <v>3683</v>
      </c>
      <c r="AQ461" s="375"/>
    </row>
    <row r="462">
      <c r="A462" s="257" t="s">
        <v>2975</v>
      </c>
      <c r="B462" s="257" t="s">
        <v>2976</v>
      </c>
      <c r="C462" s="257" t="str">
        <f>VLOOKUP(A462,import!A:J,3,0)</f>
        <v>DOĞRU</v>
      </c>
      <c r="D462" s="257" t="s">
        <v>3749</v>
      </c>
      <c r="E462" s="257">
        <f>VLOOKUP(A462,import!A:J,5,0)</f>
        <v>2002</v>
      </c>
      <c r="F462" s="257">
        <f>VLOOKUP(A462,import!A:J,6,0)</f>
        <v>58</v>
      </c>
      <c r="G462" s="257">
        <f>VLOOKUP(A462,import!A:J,7,0)</f>
        <v>21</v>
      </c>
      <c r="H462" s="257">
        <f>VLOOKUP(A462,import!A:J,8,0)</f>
        <v>37</v>
      </c>
      <c r="I462" s="257">
        <f>VLOOKUP(A462,import!A:J,9,0)</f>
        <v>58</v>
      </c>
      <c r="J462" s="369">
        <f>VLOOKUP(A462,import!A:J,10,0)</f>
        <v>0.36</v>
      </c>
      <c r="K462" s="257" t="s">
        <v>5228</v>
      </c>
      <c r="L462" s="257">
        <v>3.22457882E9</v>
      </c>
      <c r="M462" s="257" t="s">
        <v>286</v>
      </c>
      <c r="N462" s="257" t="s">
        <v>3806</v>
      </c>
      <c r="O462" s="257" t="s">
        <v>5229</v>
      </c>
      <c r="P462" s="370" t="str">
        <f>VLOOKUP(A462,import!A:P,16,0)</f>
        <v>Geleneksel</v>
      </c>
      <c r="Q462" s="370"/>
      <c r="R462" s="370" t="b">
        <v>1</v>
      </c>
      <c r="S462" s="370" t="b">
        <v>0</v>
      </c>
      <c r="T462" s="301" t="s">
        <v>3679</v>
      </c>
      <c r="U462" s="301" t="s">
        <v>2542</v>
      </c>
      <c r="V462" s="301" t="s">
        <v>78</v>
      </c>
      <c r="W462" s="301" t="s">
        <v>5230</v>
      </c>
      <c r="X462" s="371">
        <v>44498.0</v>
      </c>
      <c r="Y462" s="371">
        <v>44501.0</v>
      </c>
      <c r="Z462" s="301" t="s">
        <v>3957</v>
      </c>
      <c r="AA462" s="373" t="s">
        <v>3448</v>
      </c>
      <c r="AB462" s="374">
        <v>44385.0</v>
      </c>
      <c r="AC462" s="373" t="s">
        <v>3682</v>
      </c>
      <c r="AD462" s="374">
        <v>44386.0</v>
      </c>
      <c r="AE462" s="373" t="s">
        <v>3681</v>
      </c>
      <c r="AF462" s="374">
        <v>44427.0</v>
      </c>
      <c r="AG462" s="373" t="s">
        <v>3695</v>
      </c>
      <c r="AH462" s="374">
        <v>44466.0</v>
      </c>
      <c r="AI462" s="373" t="s">
        <v>3682</v>
      </c>
      <c r="AJ462" s="374">
        <v>44498.0</v>
      </c>
      <c r="AK462" s="375"/>
      <c r="AL462" s="373" t="s">
        <v>399</v>
      </c>
      <c r="AM462" s="373" t="s">
        <v>3723</v>
      </c>
      <c r="AN462" s="373" t="s">
        <v>2576</v>
      </c>
      <c r="AO462" s="373" t="s">
        <v>2542</v>
      </c>
      <c r="AP462" s="376" t="s">
        <v>3686</v>
      </c>
      <c r="AQ462" s="373"/>
    </row>
    <row r="463">
      <c r="A463" s="257" t="s">
        <v>5231</v>
      </c>
      <c r="B463" s="257" t="s">
        <v>5232</v>
      </c>
      <c r="C463" s="257" t="str">
        <f>VLOOKUP(A463,import!A:J,3,0)</f>
        <v>DOĞRU</v>
      </c>
      <c r="D463" s="257" t="s">
        <v>3676</v>
      </c>
      <c r="E463" s="257">
        <f>VLOOKUP(A463,import!A:J,5,0)</f>
        <v>2222</v>
      </c>
      <c r="F463" s="257">
        <f>VLOOKUP(A463,import!A:J,6,0)</f>
        <v>126</v>
      </c>
      <c r="G463" s="257">
        <f>VLOOKUP(A463,import!A:J,7,0)</f>
        <v>0</v>
      </c>
      <c r="H463" s="257">
        <f>VLOOKUP(A463,import!A:J,8,0)</f>
        <v>35</v>
      </c>
      <c r="I463" s="257">
        <f>VLOOKUP(A463,import!A:J,9,0)</f>
        <v>35</v>
      </c>
      <c r="J463" s="369">
        <f>VLOOKUP(A463,import!A:J,10,0)</f>
        <v>0</v>
      </c>
      <c r="K463" s="257" t="s">
        <v>5233</v>
      </c>
      <c r="L463" s="257">
        <v>3.225038181E9</v>
      </c>
      <c r="M463" s="257" t="s">
        <v>3707</v>
      </c>
      <c r="N463" s="257" t="s">
        <v>5130</v>
      </c>
      <c r="O463" s="257" t="s">
        <v>5234</v>
      </c>
      <c r="P463" s="370" t="str">
        <f>VLOOKUP(A463,import!A:P,16,0)</f>
        <v>Geleneksel</v>
      </c>
      <c r="Q463" s="370"/>
      <c r="R463" s="370" t="b">
        <v>1</v>
      </c>
      <c r="S463" s="370" t="b">
        <v>1</v>
      </c>
      <c r="T463" s="301"/>
      <c r="U463" s="379"/>
      <c r="V463" s="379"/>
      <c r="W463" s="301" t="s">
        <v>5235</v>
      </c>
      <c r="X463" s="381"/>
      <c r="Y463" s="381"/>
      <c r="Z463" s="372"/>
      <c r="AA463" s="373" t="s">
        <v>3696</v>
      </c>
      <c r="AB463" s="374">
        <v>44390.0</v>
      </c>
      <c r="AC463" s="373" t="s">
        <v>3682</v>
      </c>
      <c r="AD463" s="374">
        <v>44463.0</v>
      </c>
      <c r="AE463" s="373" t="s">
        <v>3682</v>
      </c>
      <c r="AF463" s="374">
        <v>44519.0</v>
      </c>
      <c r="AG463" s="373" t="s">
        <v>3682</v>
      </c>
      <c r="AH463" s="374">
        <v>44539.0</v>
      </c>
      <c r="AI463" s="375"/>
      <c r="AJ463" s="375"/>
      <c r="AK463" s="373" t="s">
        <v>4088</v>
      </c>
      <c r="AL463" s="373" t="s">
        <v>2542</v>
      </c>
      <c r="AM463" s="373" t="s">
        <v>3073</v>
      </c>
      <c r="AN463" s="373" t="s">
        <v>3213</v>
      </c>
      <c r="AO463" s="375"/>
      <c r="AP463" s="376" t="s">
        <v>3686</v>
      </c>
      <c r="AQ463" s="375"/>
    </row>
    <row r="464">
      <c r="A464" s="257" t="s">
        <v>270</v>
      </c>
      <c r="B464" s="257" t="s">
        <v>271</v>
      </c>
      <c r="C464" s="257" t="str">
        <f>VLOOKUP(A464,import!A:J,3,0)</f>
        <v>DOĞRU</v>
      </c>
      <c r="D464" s="257" t="s">
        <v>3699</v>
      </c>
      <c r="E464" s="257">
        <f>VLOOKUP(A464,import!A:J,5,0)</f>
        <v>3619</v>
      </c>
      <c r="F464" s="257">
        <f>VLOOKUP(A464,import!A:J,6,0)</f>
        <v>115</v>
      </c>
      <c r="G464" s="257">
        <f>VLOOKUP(A464,import!A:J,7,0)</f>
        <v>16</v>
      </c>
      <c r="H464" s="257">
        <f>VLOOKUP(A464,import!A:J,8,0)</f>
        <v>18</v>
      </c>
      <c r="I464" s="257">
        <f>VLOOKUP(A464,import!A:J,9,0)</f>
        <v>34</v>
      </c>
      <c r="J464" s="369">
        <f>VLOOKUP(A464,import!A:J,10,0)</f>
        <v>0.47</v>
      </c>
      <c r="K464" s="257" t="s">
        <v>5236</v>
      </c>
      <c r="L464" s="257">
        <v>5.414060124E9</v>
      </c>
      <c r="M464" s="257" t="s">
        <v>14</v>
      </c>
      <c r="N464" s="257" t="s">
        <v>3733</v>
      </c>
      <c r="O464" s="257" t="s">
        <v>273</v>
      </c>
      <c r="P464" s="370" t="str">
        <f>VLOOKUP(A464,import!A:P,16,0)</f>
        <v>Geleneksel</v>
      </c>
      <c r="Q464" s="370"/>
      <c r="R464" s="370" t="b">
        <v>1</v>
      </c>
      <c r="S464" s="370" t="b">
        <v>0</v>
      </c>
      <c r="T464" s="301" t="s">
        <v>3679</v>
      </c>
      <c r="U464" s="301" t="s">
        <v>1014</v>
      </c>
      <c r="V464" s="301" t="s">
        <v>78</v>
      </c>
      <c r="W464" s="301" t="s">
        <v>5237</v>
      </c>
      <c r="X464" s="371">
        <v>44371.0</v>
      </c>
      <c r="Y464" s="371">
        <v>44375.0</v>
      </c>
      <c r="Z464" s="377"/>
      <c r="AA464" s="373" t="s">
        <v>3682</v>
      </c>
      <c r="AB464" s="374">
        <v>44371.0</v>
      </c>
      <c r="AC464" s="375"/>
      <c r="AD464" s="375"/>
      <c r="AE464" s="92"/>
      <c r="AF464" s="375"/>
      <c r="AG464" s="92"/>
      <c r="AH464" s="375"/>
      <c r="AI464" s="375"/>
      <c r="AJ464" s="375"/>
      <c r="AK464" s="373" t="s">
        <v>1014</v>
      </c>
      <c r="AL464" s="375"/>
      <c r="AM464" s="375"/>
      <c r="AN464" s="375"/>
      <c r="AO464" s="375"/>
      <c r="AP464" s="376" t="s">
        <v>3683</v>
      </c>
      <c r="AQ464" s="375"/>
    </row>
    <row r="465">
      <c r="A465" s="257" t="s">
        <v>5238</v>
      </c>
      <c r="B465" s="257" t="s">
        <v>5239</v>
      </c>
      <c r="C465" s="257" t="str">
        <f>VLOOKUP(A465,import!A:J,3,0)</f>
        <v>DOĞRU</v>
      </c>
      <c r="D465" s="257" t="s">
        <v>3699</v>
      </c>
      <c r="E465" s="257">
        <f>VLOOKUP(A465,import!A:J,5,0)</f>
        <v>59</v>
      </c>
      <c r="F465" s="257">
        <f>VLOOKUP(A465,import!A:J,6,0)</f>
        <v>20</v>
      </c>
      <c r="G465" s="257">
        <f>VLOOKUP(A465,import!A:J,7,0)</f>
        <v>0</v>
      </c>
      <c r="H465" s="257">
        <f>VLOOKUP(A465,import!A:J,8,0)</f>
        <v>10</v>
      </c>
      <c r="I465" s="257">
        <f>VLOOKUP(A465,import!A:J,9,0)</f>
        <v>10</v>
      </c>
      <c r="J465" s="369">
        <f>VLOOKUP(A465,import!A:J,10,0)</f>
        <v>0</v>
      </c>
      <c r="K465" s="257" t="s">
        <v>5240</v>
      </c>
      <c r="L465" s="257">
        <v>3.229994997E9</v>
      </c>
      <c r="M465" s="257" t="s">
        <v>286</v>
      </c>
      <c r="N465" s="257" t="s">
        <v>3961</v>
      </c>
      <c r="O465" s="257" t="s">
        <v>5241</v>
      </c>
      <c r="P465" s="370" t="str">
        <f>VLOOKUP(A465,import!A:P,16,0)</f>
        <v>Geleneksel</v>
      </c>
      <c r="Q465" s="370"/>
      <c r="R465" s="370" t="b">
        <v>1</v>
      </c>
      <c r="S465" s="370" t="b">
        <v>0</v>
      </c>
      <c r="T465" s="301"/>
      <c r="U465" s="379"/>
      <c r="V465" s="379"/>
      <c r="W465" s="301" t="s">
        <v>2969</v>
      </c>
      <c r="X465" s="381"/>
      <c r="Y465" s="381"/>
      <c r="Z465" s="372"/>
      <c r="AA465" s="373"/>
      <c r="AB465" s="374"/>
      <c r="AC465" s="373"/>
      <c r="AD465" s="374"/>
      <c r="AE465" s="373"/>
      <c r="AF465" s="374"/>
      <c r="AG465" s="373"/>
      <c r="AH465" s="374"/>
      <c r="AI465" s="375"/>
      <c r="AJ465" s="375"/>
      <c r="AK465" s="373"/>
      <c r="AL465" s="375"/>
      <c r="AM465" s="375"/>
      <c r="AN465" s="373"/>
      <c r="AO465" s="375"/>
      <c r="AP465" s="376"/>
      <c r="AQ465" s="375"/>
    </row>
    <row r="466">
      <c r="A466" s="266" t="s">
        <v>5242</v>
      </c>
      <c r="B466" s="266" t="s">
        <v>5243</v>
      </c>
      <c r="C466" s="257" t="str">
        <f>VLOOKUP(A466,import!A:J,3,0)</f>
        <v>DOĞRU</v>
      </c>
      <c r="D466" s="266" t="s">
        <v>4000</v>
      </c>
      <c r="E466" s="257">
        <f>VLOOKUP(A466,import!A:J,5,0)</f>
        <v>721</v>
      </c>
      <c r="F466" s="257">
        <f>VLOOKUP(A466,import!A:J,6,0)</f>
        <v>19</v>
      </c>
      <c r="G466" s="257">
        <f>VLOOKUP(A466,import!A:J,7,0)</f>
        <v>0</v>
      </c>
      <c r="H466" s="257">
        <f>VLOOKUP(A466,import!A:J,8,0)</f>
        <v>37</v>
      </c>
      <c r="I466" s="257">
        <f>VLOOKUP(A466,import!A:J,9,0)</f>
        <v>37</v>
      </c>
      <c r="J466" s="369">
        <f>VLOOKUP(A466,import!A:J,10,0)</f>
        <v>0</v>
      </c>
      <c r="K466" s="266" t="s">
        <v>5244</v>
      </c>
      <c r="L466" s="266">
        <v>5.447899401E9</v>
      </c>
      <c r="M466" s="266" t="s">
        <v>3707</v>
      </c>
      <c r="N466" s="266" t="s">
        <v>5245</v>
      </c>
      <c r="O466" s="266" t="s">
        <v>5246</v>
      </c>
      <c r="P466" s="370" t="str">
        <f>VLOOKUP(A466,import!A:P,16,0)</f>
        <v>Geleneksel</v>
      </c>
      <c r="Q466" s="370"/>
      <c r="R466" s="370" t="b">
        <v>1</v>
      </c>
      <c r="S466" s="370" t="b">
        <v>0</v>
      </c>
      <c r="T466" s="379"/>
      <c r="U466" s="379"/>
      <c r="V466" s="379"/>
      <c r="W466" s="301"/>
      <c r="X466" s="381"/>
      <c r="Y466" s="381"/>
      <c r="Z466" s="372"/>
      <c r="AA466" s="375"/>
      <c r="AB466" s="375"/>
      <c r="AC466" s="375"/>
      <c r="AD466" s="375"/>
      <c r="AE466" s="92"/>
      <c r="AF466" s="375"/>
      <c r="AG466" s="92"/>
      <c r="AH466" s="375"/>
      <c r="AI466" s="375"/>
      <c r="AJ466" s="375"/>
      <c r="AK466" s="375"/>
      <c r="AL466" s="375"/>
      <c r="AM466" s="375"/>
      <c r="AN466" s="375"/>
      <c r="AO466" s="375"/>
      <c r="AP466" s="376" t="s">
        <v>3686</v>
      </c>
      <c r="AQ466" s="375"/>
    </row>
    <row r="467">
      <c r="A467" s="257" t="s">
        <v>1948</v>
      </c>
      <c r="B467" s="257" t="s">
        <v>1949</v>
      </c>
      <c r="C467" s="257" t="str">
        <f>VLOOKUP(A467,import!A:J,3,0)</f>
        <v>DOĞRU</v>
      </c>
      <c r="D467" s="257" t="s">
        <v>3676</v>
      </c>
      <c r="E467" s="257">
        <f>VLOOKUP(A467,import!A:J,5,0)</f>
        <v>5129</v>
      </c>
      <c r="F467" s="257">
        <f>VLOOKUP(A467,import!A:J,6,0)</f>
        <v>135</v>
      </c>
      <c r="G467" s="257">
        <f>VLOOKUP(A467,import!A:J,7,0)</f>
        <v>13</v>
      </c>
      <c r="H467" s="257">
        <f>VLOOKUP(A467,import!A:J,8,0)</f>
        <v>4</v>
      </c>
      <c r="I467" s="257">
        <f>VLOOKUP(A467,import!A:J,9,0)</f>
        <v>17</v>
      </c>
      <c r="J467" s="369">
        <f>VLOOKUP(A467,import!A:J,10,0)</f>
        <v>0.76</v>
      </c>
      <c r="K467" s="257" t="s">
        <v>5247</v>
      </c>
      <c r="L467" s="257">
        <v>5.531013688E9</v>
      </c>
      <c r="M467" s="257" t="s">
        <v>286</v>
      </c>
      <c r="N467" s="257" t="s">
        <v>5248</v>
      </c>
      <c r="O467" s="257" t="s">
        <v>1952</v>
      </c>
      <c r="P467" s="370" t="str">
        <f>VLOOKUP(A467,import!A:P,16,0)</f>
        <v>Geleneksel</v>
      </c>
      <c r="Q467" s="370"/>
      <c r="R467" s="370" t="b">
        <v>1</v>
      </c>
      <c r="S467" s="370" t="b">
        <v>0</v>
      </c>
      <c r="T467" s="301" t="s">
        <v>3679</v>
      </c>
      <c r="U467" s="301" t="s">
        <v>1947</v>
      </c>
      <c r="V467" s="301" t="s">
        <v>78</v>
      </c>
      <c r="W467" s="301" t="s">
        <v>5249</v>
      </c>
      <c r="X467" s="371">
        <v>44424.0</v>
      </c>
      <c r="Y467" s="371">
        <v>44427.0</v>
      </c>
      <c r="Z467" s="377"/>
      <c r="AA467" s="373" t="s">
        <v>3681</v>
      </c>
      <c r="AB467" s="374">
        <v>44390.0</v>
      </c>
      <c r="AC467" s="373" t="s">
        <v>3682</v>
      </c>
      <c r="AD467" s="374">
        <v>44424.0</v>
      </c>
      <c r="AE467" s="92"/>
      <c r="AF467" s="375"/>
      <c r="AG467" s="92"/>
      <c r="AH467" s="375"/>
      <c r="AI467" s="375"/>
      <c r="AJ467" s="375"/>
      <c r="AK467" s="373" t="s">
        <v>3719</v>
      </c>
      <c r="AL467" s="373" t="s">
        <v>1947</v>
      </c>
      <c r="AM467" s="375"/>
      <c r="AN467" s="375"/>
      <c r="AO467" s="375"/>
      <c r="AP467" s="376" t="s">
        <v>3686</v>
      </c>
      <c r="AQ467" s="375"/>
    </row>
    <row r="468">
      <c r="A468" s="257" t="s">
        <v>1868</v>
      </c>
      <c r="B468" s="257" t="s">
        <v>1869</v>
      </c>
      <c r="C468" s="257" t="str">
        <f>VLOOKUP(A468,import!A:J,3,0)</f>
        <v>DOĞRU</v>
      </c>
      <c r="D468" s="257" t="s">
        <v>3676</v>
      </c>
      <c r="E468" s="257">
        <f>VLOOKUP(A468,import!A:J,5,0)</f>
        <v>2517</v>
      </c>
      <c r="F468" s="257">
        <f>VLOOKUP(A468,import!A:J,6,0)</f>
        <v>33</v>
      </c>
      <c r="G468" s="257">
        <f>VLOOKUP(A468,import!A:J,7,0)</f>
        <v>35</v>
      </c>
      <c r="H468" s="257">
        <f>VLOOKUP(A468,import!A:J,8,0)</f>
        <v>12</v>
      </c>
      <c r="I468" s="257">
        <f>VLOOKUP(A468,import!A:J,9,0)</f>
        <v>47</v>
      </c>
      <c r="J468" s="369">
        <f>VLOOKUP(A468,import!A:J,10,0)</f>
        <v>0.74</v>
      </c>
      <c r="K468" s="257" t="s">
        <v>5250</v>
      </c>
      <c r="L468" s="257">
        <v>5.394412391E9</v>
      </c>
      <c r="M468" s="257" t="s">
        <v>286</v>
      </c>
      <c r="N468" s="257" t="s">
        <v>5251</v>
      </c>
      <c r="O468" s="257" t="s">
        <v>1872</v>
      </c>
      <c r="P468" s="370" t="str">
        <f>VLOOKUP(A468,import!A:P,16,0)</f>
        <v>Geleneksel</v>
      </c>
      <c r="Q468" s="370"/>
      <c r="R468" s="370" t="b">
        <v>1</v>
      </c>
      <c r="S468" s="370" t="b">
        <v>0</v>
      </c>
      <c r="T468" s="389" t="s">
        <v>3679</v>
      </c>
      <c r="U468" s="389" t="s">
        <v>3729</v>
      </c>
      <c r="V468" s="389" t="s">
        <v>78</v>
      </c>
      <c r="W468" s="389"/>
      <c r="X468" s="390">
        <v>44414.0</v>
      </c>
      <c r="Y468" s="390">
        <v>44420.0</v>
      </c>
      <c r="Z468" s="389" t="s">
        <v>3957</v>
      </c>
      <c r="AA468" s="373" t="s">
        <v>3448</v>
      </c>
      <c r="AB468" s="374">
        <v>44392.0</v>
      </c>
      <c r="AC468" s="373" t="s">
        <v>3682</v>
      </c>
      <c r="AD468" s="374">
        <v>44414.0</v>
      </c>
      <c r="AE468" s="92"/>
      <c r="AF468" s="375"/>
      <c r="AG468" s="92"/>
      <c r="AH468" s="375"/>
      <c r="AI468" s="375"/>
      <c r="AJ468" s="375"/>
      <c r="AK468" s="373" t="s">
        <v>4089</v>
      </c>
      <c r="AL468" s="373" t="s">
        <v>3729</v>
      </c>
      <c r="AM468" s="375"/>
      <c r="AN468" s="375"/>
      <c r="AO468" s="375"/>
      <c r="AP468" s="376" t="s">
        <v>3686</v>
      </c>
      <c r="AQ468" s="375"/>
    </row>
    <row r="469">
      <c r="A469" s="257" t="s">
        <v>1002</v>
      </c>
      <c r="B469" s="257" t="s">
        <v>1003</v>
      </c>
      <c r="C469" s="257" t="str">
        <f>VLOOKUP(A469,import!A:J,3,0)</f>
        <v>DOĞRU</v>
      </c>
      <c r="D469" s="257" t="s">
        <v>3801</v>
      </c>
      <c r="E469" s="257">
        <f>VLOOKUP(A469,import!A:J,5,0)</f>
        <v>4012</v>
      </c>
      <c r="F469" s="257">
        <f>VLOOKUP(A469,import!A:J,6,0)</f>
        <v>191</v>
      </c>
      <c r="G469" s="257">
        <f>VLOOKUP(A469,import!A:J,7,0)</f>
        <v>15</v>
      </c>
      <c r="H469" s="257">
        <f>VLOOKUP(A469,import!A:J,8,0)</f>
        <v>11</v>
      </c>
      <c r="I469" s="257">
        <f>VLOOKUP(A469,import!A:J,9,0)</f>
        <v>26</v>
      </c>
      <c r="J469" s="369">
        <f>VLOOKUP(A469,import!A:J,10,0)</f>
        <v>0.58</v>
      </c>
      <c r="K469" s="257" t="s">
        <v>5252</v>
      </c>
      <c r="L469" s="257">
        <v>5.469420202E9</v>
      </c>
      <c r="M469" s="257" t="s">
        <v>14</v>
      </c>
      <c r="N469" s="257" t="s">
        <v>3718</v>
      </c>
      <c r="O469" s="257" t="s">
        <v>1005</v>
      </c>
      <c r="P469" s="370" t="str">
        <f>VLOOKUP(A469,import!A:P,16,0)</f>
        <v>Geleneksel</v>
      </c>
      <c r="Q469" s="370"/>
      <c r="R469" s="370" t="b">
        <v>1</v>
      </c>
      <c r="S469" s="370"/>
      <c r="T469" s="301" t="s">
        <v>3679</v>
      </c>
      <c r="U469" s="301" t="s">
        <v>2706</v>
      </c>
      <c r="V469" s="301" t="s">
        <v>78</v>
      </c>
      <c r="W469" s="301" t="s">
        <v>5253</v>
      </c>
      <c r="X469" s="371">
        <v>44356.0</v>
      </c>
      <c r="Y469" s="371">
        <v>44358.0</v>
      </c>
      <c r="Z469" s="377"/>
      <c r="AA469" s="373" t="s">
        <v>3682</v>
      </c>
      <c r="AB469" s="374">
        <v>44349.0</v>
      </c>
      <c r="AC469" s="373" t="s">
        <v>3682</v>
      </c>
      <c r="AD469" s="374">
        <v>44356.0</v>
      </c>
      <c r="AE469" s="92"/>
      <c r="AF469" s="375"/>
      <c r="AG469" s="92"/>
      <c r="AH469" s="375"/>
      <c r="AI469" s="375"/>
      <c r="AJ469" s="375"/>
      <c r="AK469" s="373" t="s">
        <v>111</v>
      </c>
      <c r="AL469" s="373" t="s">
        <v>2706</v>
      </c>
      <c r="AM469" s="375"/>
      <c r="AN469" s="375"/>
      <c r="AO469" s="375"/>
      <c r="AP469" s="376" t="s">
        <v>3683</v>
      </c>
      <c r="AQ469" s="375"/>
    </row>
    <row r="470">
      <c r="A470" s="257" t="s">
        <v>1469</v>
      </c>
      <c r="B470" s="257" t="s">
        <v>1470</v>
      </c>
      <c r="C470" s="257" t="str">
        <f>VLOOKUP(A470,import!A:J,3,0)</f>
        <v>DOĞRU</v>
      </c>
      <c r="D470" s="257" t="s">
        <v>3676</v>
      </c>
      <c r="E470" s="257">
        <f>VLOOKUP(A470,import!A:J,5,0)</f>
        <v>3719</v>
      </c>
      <c r="F470" s="257">
        <f>VLOOKUP(A470,import!A:J,6,0)</f>
        <v>64</v>
      </c>
      <c r="G470" s="257">
        <f>VLOOKUP(A470,import!A:J,7,0)</f>
        <v>4</v>
      </c>
      <c r="H470" s="257">
        <f>VLOOKUP(A470,import!A:J,8,0)</f>
        <v>0</v>
      </c>
      <c r="I470" s="257">
        <f>VLOOKUP(A470,import!A:J,9,0)</f>
        <v>4</v>
      </c>
      <c r="J470" s="369">
        <f>VLOOKUP(A470,import!A:J,10,0)</f>
        <v>1</v>
      </c>
      <c r="K470" s="257" t="s">
        <v>5254</v>
      </c>
      <c r="L470" s="257">
        <v>5.322320535E9</v>
      </c>
      <c r="M470" s="257" t="s">
        <v>3707</v>
      </c>
      <c r="N470" s="257" t="s">
        <v>5255</v>
      </c>
      <c r="O470" s="257" t="s">
        <v>1473</v>
      </c>
      <c r="P470" s="370" t="str">
        <f>VLOOKUP(A470,import!A:P,16,0)</f>
        <v>Geleneksel</v>
      </c>
      <c r="Q470" s="370"/>
      <c r="R470" s="370" t="b">
        <v>1</v>
      </c>
      <c r="S470" s="370" t="b">
        <v>0</v>
      </c>
      <c r="T470" s="301" t="s">
        <v>3679</v>
      </c>
      <c r="U470" s="301" t="s">
        <v>3752</v>
      </c>
      <c r="V470" s="301" t="s">
        <v>78</v>
      </c>
      <c r="W470" s="379"/>
      <c r="X470" s="371">
        <v>44391.0</v>
      </c>
      <c r="Y470" s="371">
        <v>44392.0</v>
      </c>
      <c r="Z470" s="372"/>
      <c r="AA470" s="373" t="s">
        <v>3682</v>
      </c>
      <c r="AB470" s="371">
        <v>44391.0</v>
      </c>
      <c r="AC470" s="375"/>
      <c r="AD470" s="375"/>
      <c r="AE470" s="92"/>
      <c r="AF470" s="375"/>
      <c r="AG470" s="92"/>
      <c r="AH470" s="375"/>
      <c r="AI470" s="375"/>
      <c r="AJ470" s="375"/>
      <c r="AK470" s="373" t="s">
        <v>3752</v>
      </c>
      <c r="AL470" s="375"/>
      <c r="AM470" s="375"/>
      <c r="AN470" s="375"/>
      <c r="AO470" s="375"/>
      <c r="AP470" s="376" t="s">
        <v>3686</v>
      </c>
      <c r="AQ470" s="375"/>
    </row>
    <row r="471">
      <c r="A471" s="376" t="s">
        <v>5256</v>
      </c>
      <c r="B471" s="376" t="s">
        <v>5257</v>
      </c>
      <c r="C471" s="257" t="str">
        <f>VLOOKUP(A471,import!A:J,3,0)</f>
        <v>DOĞRU</v>
      </c>
      <c r="D471" s="376" t="s">
        <v>4572</v>
      </c>
      <c r="E471" s="257">
        <f>VLOOKUP(A471,import!A:J,5,0)</f>
        <v>1</v>
      </c>
      <c r="F471" s="257">
        <f>VLOOKUP(A471,import!A:J,6,0)</f>
        <v>1</v>
      </c>
      <c r="G471" s="257">
        <f>VLOOKUP(A471,import!A:J,7,0)</f>
        <v>0</v>
      </c>
      <c r="H471" s="257">
        <f>VLOOKUP(A471,import!A:J,8,0)</f>
        <v>23</v>
      </c>
      <c r="I471" s="257">
        <f>VLOOKUP(A471,import!A:J,9,0)</f>
        <v>23</v>
      </c>
      <c r="J471" s="369">
        <f>VLOOKUP(A471,import!A:J,10,0)</f>
        <v>0</v>
      </c>
      <c r="K471" s="376" t="s">
        <v>5258</v>
      </c>
      <c r="L471" s="376">
        <v>5.428105618E9</v>
      </c>
      <c r="M471" s="376" t="s">
        <v>286</v>
      </c>
      <c r="N471" s="376" t="s">
        <v>4798</v>
      </c>
      <c r="O471" s="376" t="s">
        <v>5259</v>
      </c>
      <c r="P471" s="370" t="str">
        <f>VLOOKUP(A471,import!A:P,16,0)</f>
        <v>Geleneksel</v>
      </c>
      <c r="Q471" s="370"/>
      <c r="R471" s="370" t="b">
        <v>0</v>
      </c>
      <c r="S471" s="370" t="b">
        <v>0</v>
      </c>
      <c r="T471" s="301"/>
      <c r="U471" s="301"/>
      <c r="V471" s="301"/>
      <c r="W471" s="301"/>
      <c r="X471" s="371"/>
      <c r="Y471" s="371"/>
      <c r="Z471" s="372"/>
      <c r="AA471" s="373"/>
      <c r="AB471" s="374"/>
      <c r="AC471" s="373"/>
      <c r="AD471" s="374"/>
      <c r="AE471" s="373"/>
      <c r="AF471" s="374"/>
      <c r="AG471" s="373"/>
      <c r="AH471" s="374"/>
      <c r="AI471" s="373"/>
      <c r="AJ471" s="374"/>
      <c r="AK471" s="373"/>
      <c r="AL471" s="373"/>
      <c r="AM471" s="373"/>
      <c r="AN471" s="373"/>
      <c r="AO471" s="373"/>
      <c r="AP471" s="376"/>
      <c r="AQ471" s="373"/>
    </row>
    <row r="472">
      <c r="A472" s="257" t="s">
        <v>3203</v>
      </c>
      <c r="B472" s="257" t="s">
        <v>3204</v>
      </c>
      <c r="C472" s="257" t="str">
        <f>VLOOKUP(A472,import!A:J,3,0)</f>
        <v>DOĞRU</v>
      </c>
      <c r="D472" s="257" t="s">
        <v>4907</v>
      </c>
      <c r="E472" s="257">
        <f>VLOOKUP(A472,import!A:J,5,0)</f>
        <v>12</v>
      </c>
      <c r="F472" s="257">
        <f>VLOOKUP(A472,import!A:J,6,0)</f>
        <v>1</v>
      </c>
      <c r="G472" s="257">
        <f>VLOOKUP(A472,import!A:J,7,0)</f>
        <v>8</v>
      </c>
      <c r="H472" s="257">
        <f>VLOOKUP(A472,import!A:J,8,0)</f>
        <v>1</v>
      </c>
      <c r="I472" s="257">
        <f>VLOOKUP(A472,import!A:J,9,0)</f>
        <v>9</v>
      </c>
      <c r="J472" s="369">
        <f>VLOOKUP(A472,import!A:J,10,0)</f>
        <v>0.89</v>
      </c>
      <c r="K472" s="257" t="s">
        <v>5260</v>
      </c>
      <c r="L472" s="257">
        <v>5.300628501E9</v>
      </c>
      <c r="M472" s="257" t="s">
        <v>14</v>
      </c>
      <c r="N472" s="257" t="s">
        <v>3797</v>
      </c>
      <c r="O472" s="257" t="s">
        <v>3206</v>
      </c>
      <c r="P472" s="370" t="str">
        <f>VLOOKUP(A472,import!A:P,16,0)</f>
        <v>Geleneksel</v>
      </c>
      <c r="Q472" s="370"/>
      <c r="R472" s="370" t="b">
        <v>1</v>
      </c>
      <c r="S472" s="370" t="b">
        <v>0</v>
      </c>
      <c r="T472" s="301" t="s">
        <v>3679</v>
      </c>
      <c r="U472" s="301" t="s">
        <v>2192</v>
      </c>
      <c r="V472" s="403" t="s">
        <v>78</v>
      </c>
      <c r="W472" s="301" t="s">
        <v>5261</v>
      </c>
      <c r="X472" s="371">
        <v>44539.0</v>
      </c>
      <c r="Y472" s="371">
        <v>44540.0</v>
      </c>
      <c r="Z472" s="372"/>
      <c r="AA472" s="373" t="s">
        <v>3682</v>
      </c>
      <c r="AB472" s="374">
        <v>44536.0</v>
      </c>
      <c r="AC472" s="373"/>
      <c r="AD472" s="374"/>
      <c r="AE472" s="373"/>
      <c r="AF472" s="374"/>
      <c r="AG472" s="373"/>
      <c r="AH472" s="374"/>
      <c r="AI472" s="375"/>
      <c r="AJ472" s="375"/>
      <c r="AK472" s="373" t="s">
        <v>2192</v>
      </c>
      <c r="AL472" s="375"/>
      <c r="AM472" s="375"/>
      <c r="AN472" s="373"/>
      <c r="AO472" s="375"/>
      <c r="AP472" s="376" t="s">
        <v>3683</v>
      </c>
      <c r="AQ472" s="375"/>
    </row>
    <row r="473">
      <c r="A473" s="257" t="s">
        <v>3474</v>
      </c>
      <c r="B473" s="257" t="s">
        <v>3475</v>
      </c>
      <c r="C473" s="257" t="str">
        <f>VLOOKUP(A473,import!A:J,3,0)</f>
        <v>DOĞRU</v>
      </c>
      <c r="D473" s="257" t="s">
        <v>3883</v>
      </c>
      <c r="E473" s="257">
        <f>VLOOKUP(A473,import!A:J,5,0)</f>
        <v>148</v>
      </c>
      <c r="F473" s="257">
        <f>VLOOKUP(A473,import!A:J,6,0)</f>
        <v>16</v>
      </c>
      <c r="G473" s="257">
        <f>VLOOKUP(A473,import!A:J,7,0)</f>
        <v>5</v>
      </c>
      <c r="H473" s="257">
        <f>VLOOKUP(A473,import!A:J,8,0)</f>
        <v>11</v>
      </c>
      <c r="I473" s="257">
        <f>VLOOKUP(A473,import!A:J,9,0)</f>
        <v>16</v>
      </c>
      <c r="J473" s="369">
        <f>VLOOKUP(A473,import!A:J,10,0)</f>
        <v>0.31</v>
      </c>
      <c r="K473" s="257" t="s">
        <v>5262</v>
      </c>
      <c r="L473" s="257">
        <v>5.052364924E9</v>
      </c>
      <c r="M473" s="257" t="s">
        <v>14</v>
      </c>
      <c r="N473" s="257" t="s">
        <v>3826</v>
      </c>
      <c r="O473" s="257" t="s">
        <v>3477</v>
      </c>
      <c r="P473" s="370" t="str">
        <f>VLOOKUP(A473,import!A:P,16,0)</f>
        <v>Geleneksel</v>
      </c>
      <c r="Q473" s="370"/>
      <c r="R473" s="370" t="b">
        <v>1</v>
      </c>
      <c r="S473" s="370" t="b">
        <v>0</v>
      </c>
      <c r="T473" s="301" t="s">
        <v>3679</v>
      </c>
      <c r="U473" s="301" t="s">
        <v>2542</v>
      </c>
      <c r="V473" s="394" t="s">
        <v>3331</v>
      </c>
      <c r="W473" s="301"/>
      <c r="X473" s="371">
        <v>44630.0</v>
      </c>
      <c r="Y473" s="371">
        <v>44631.0</v>
      </c>
      <c r="Z473" s="372"/>
      <c r="AA473" s="373" t="s">
        <v>3682</v>
      </c>
      <c r="AB473" s="371">
        <v>44630.0</v>
      </c>
      <c r="AC473" s="373"/>
      <c r="AD473" s="374"/>
      <c r="AE473" s="373"/>
      <c r="AF473" s="374"/>
      <c r="AG473" s="373"/>
      <c r="AH473" s="374"/>
      <c r="AI473" s="375"/>
      <c r="AJ473" s="375"/>
      <c r="AK473" s="373" t="s">
        <v>2542</v>
      </c>
      <c r="AL473" s="375"/>
      <c r="AM473" s="375"/>
      <c r="AN473" s="373"/>
      <c r="AO473" s="375"/>
      <c r="AP473" s="376"/>
      <c r="AQ473" s="375"/>
    </row>
    <row r="474">
      <c r="A474" s="257" t="s">
        <v>428</v>
      </c>
      <c r="B474" s="257" t="s">
        <v>429</v>
      </c>
      <c r="C474" s="257" t="str">
        <f>VLOOKUP(A474,import!A:J,3,0)</f>
        <v>DOĞRU</v>
      </c>
      <c r="D474" s="257" t="s">
        <v>3676</v>
      </c>
      <c r="E474" s="257">
        <f>VLOOKUP(A474,import!A:J,5,0)</f>
        <v>4983</v>
      </c>
      <c r="F474" s="257">
        <f>VLOOKUP(A474,import!A:J,6,0)</f>
        <v>209</v>
      </c>
      <c r="G474" s="257">
        <f>VLOOKUP(A474,import!A:J,7,0)</f>
        <v>11</v>
      </c>
      <c r="H474" s="257">
        <f>VLOOKUP(A474,import!A:J,8,0)</f>
        <v>9</v>
      </c>
      <c r="I474" s="257">
        <f>VLOOKUP(A474,import!A:J,9,0)</f>
        <v>20</v>
      </c>
      <c r="J474" s="369">
        <f>VLOOKUP(A474,import!A:J,10,0)</f>
        <v>0.55</v>
      </c>
      <c r="K474" s="257" t="s">
        <v>5263</v>
      </c>
      <c r="L474" s="257">
        <v>3.222483828E9</v>
      </c>
      <c r="M474" s="257" t="s">
        <v>14</v>
      </c>
      <c r="N474" s="257" t="s">
        <v>3935</v>
      </c>
      <c r="O474" s="257" t="s">
        <v>431</v>
      </c>
      <c r="P474" s="370" t="str">
        <f>VLOOKUP(A474,import!A:P,16,0)</f>
        <v>Geleneksel</v>
      </c>
      <c r="Q474" s="370"/>
      <c r="R474" s="370" t="b">
        <v>1</v>
      </c>
      <c r="S474" s="370" t="b">
        <v>0</v>
      </c>
      <c r="T474" s="301" t="s">
        <v>3679</v>
      </c>
      <c r="U474" s="301" t="s">
        <v>3789</v>
      </c>
      <c r="V474" s="301" t="s">
        <v>78</v>
      </c>
      <c r="W474" s="301"/>
      <c r="X474" s="371">
        <v>44357.0</v>
      </c>
      <c r="Y474" s="371">
        <v>44361.0</v>
      </c>
      <c r="Z474" s="377"/>
      <c r="AA474" s="373" t="s">
        <v>3682</v>
      </c>
      <c r="AB474" s="374">
        <v>44357.0</v>
      </c>
      <c r="AC474" s="375"/>
      <c r="AD474" s="375"/>
      <c r="AE474" s="92"/>
      <c r="AF474" s="375"/>
      <c r="AG474" s="92"/>
      <c r="AH474" s="375"/>
      <c r="AI474" s="375"/>
      <c r="AJ474" s="375"/>
      <c r="AK474" s="373" t="s">
        <v>3789</v>
      </c>
      <c r="AL474" s="375"/>
      <c r="AM474" s="375"/>
      <c r="AN474" s="375"/>
      <c r="AO474" s="375"/>
      <c r="AP474" s="376" t="s">
        <v>3683</v>
      </c>
      <c r="AQ474" s="375"/>
    </row>
    <row r="475">
      <c r="A475" s="257" t="s">
        <v>137</v>
      </c>
      <c r="B475" s="257" t="s">
        <v>138</v>
      </c>
      <c r="C475" s="257" t="str">
        <f>VLOOKUP(A475,import!A:J,3,0)</f>
        <v>DOĞRU</v>
      </c>
      <c r="D475" s="257" t="s">
        <v>3699</v>
      </c>
      <c r="E475" s="257">
        <f>VLOOKUP(A475,import!A:J,5,0)</f>
        <v>1437</v>
      </c>
      <c r="F475" s="257">
        <f>VLOOKUP(A475,import!A:J,6,0)</f>
        <v>76</v>
      </c>
      <c r="G475" s="257">
        <f>VLOOKUP(A475,import!A:J,7,0)</f>
        <v>92</v>
      </c>
      <c r="H475" s="257">
        <f>VLOOKUP(A475,import!A:J,8,0)</f>
        <v>18</v>
      </c>
      <c r="I475" s="257">
        <f>VLOOKUP(A475,import!A:J,9,0)</f>
        <v>110</v>
      </c>
      <c r="J475" s="369">
        <f>VLOOKUP(A475,import!A:J,10,0)</f>
        <v>0.84</v>
      </c>
      <c r="K475" s="257" t="s">
        <v>5264</v>
      </c>
      <c r="L475" s="257">
        <v>5.558657375E9</v>
      </c>
      <c r="M475" s="257" t="s">
        <v>14</v>
      </c>
      <c r="N475" s="257" t="s">
        <v>3767</v>
      </c>
      <c r="O475" s="257" t="s">
        <v>140</v>
      </c>
      <c r="P475" s="370" t="str">
        <f>VLOOKUP(A475,import!A:P,16,0)</f>
        <v>Geleneksel</v>
      </c>
      <c r="Q475" s="370"/>
      <c r="R475" s="370" t="b">
        <v>1</v>
      </c>
      <c r="S475" s="370" t="b">
        <v>0</v>
      </c>
      <c r="T475" s="301" t="s">
        <v>3679</v>
      </c>
      <c r="U475" s="301" t="s">
        <v>1947</v>
      </c>
      <c r="V475" s="301" t="s">
        <v>78</v>
      </c>
      <c r="W475" s="301" t="s">
        <v>5265</v>
      </c>
      <c r="X475" s="371">
        <v>44424.0</v>
      </c>
      <c r="Y475" s="371">
        <v>44427.0</v>
      </c>
      <c r="Z475" s="377"/>
      <c r="AA475" s="373" t="s">
        <v>3682</v>
      </c>
      <c r="AB475" s="374">
        <v>44355.0</v>
      </c>
      <c r="AC475" s="373" t="s">
        <v>3682</v>
      </c>
      <c r="AD475" s="374">
        <v>44403.0</v>
      </c>
      <c r="AE475" s="373" t="s">
        <v>3682</v>
      </c>
      <c r="AF475" s="374">
        <v>44424.0</v>
      </c>
      <c r="AG475" s="92"/>
      <c r="AH475" s="375"/>
      <c r="AI475" s="375"/>
      <c r="AJ475" s="375"/>
      <c r="AK475" s="373" t="s">
        <v>399</v>
      </c>
      <c r="AL475" s="375"/>
      <c r="AM475" s="373" t="s">
        <v>1947</v>
      </c>
      <c r="AN475" s="375"/>
      <c r="AO475" s="375"/>
      <c r="AP475" s="376" t="s">
        <v>3683</v>
      </c>
      <c r="AQ475" s="375"/>
    </row>
    <row r="476">
      <c r="A476" s="376" t="s">
        <v>5266</v>
      </c>
      <c r="B476" s="376" t="s">
        <v>5267</v>
      </c>
      <c r="C476" s="257" t="str">
        <f>VLOOKUP(A476,import!A:J,3,0)</f>
        <v>DOĞRU</v>
      </c>
      <c r="D476" s="376" t="s">
        <v>4000</v>
      </c>
      <c r="E476" s="257">
        <f>VLOOKUP(A476,import!A:J,5,0)</f>
        <v>8</v>
      </c>
      <c r="F476" s="257">
        <f>VLOOKUP(A476,import!A:J,6,0)</f>
        <v>8</v>
      </c>
      <c r="G476" s="257">
        <f>VLOOKUP(A476,import!A:J,7,0)</f>
        <v>0</v>
      </c>
      <c r="H476" s="257">
        <f>VLOOKUP(A476,import!A:J,8,0)</f>
        <v>76</v>
      </c>
      <c r="I476" s="257">
        <f>VLOOKUP(A476,import!A:J,9,0)</f>
        <v>76</v>
      </c>
      <c r="J476" s="369">
        <f>VLOOKUP(A476,import!A:J,10,0)</f>
        <v>0</v>
      </c>
      <c r="K476" s="376" t="s">
        <v>5268</v>
      </c>
      <c r="L476" s="376">
        <v>3.22325001E9</v>
      </c>
      <c r="M476" s="376" t="s">
        <v>3707</v>
      </c>
      <c r="N476" s="376" t="s">
        <v>4627</v>
      </c>
      <c r="O476" s="376" t="s">
        <v>5269</v>
      </c>
      <c r="P476" s="370" t="str">
        <f>VLOOKUP(A476,import!A:P,16,0)</f>
        <v>Geleneksel</v>
      </c>
      <c r="Q476" s="370"/>
      <c r="R476" s="370" t="b">
        <v>0</v>
      </c>
      <c r="S476" s="370" t="b">
        <v>0</v>
      </c>
      <c r="T476" s="301"/>
      <c r="U476" s="301"/>
      <c r="V476" s="380"/>
      <c r="W476" s="36"/>
      <c r="X476" s="371"/>
      <c r="Y476" s="371"/>
      <c r="Z476" s="372"/>
      <c r="AA476" s="373"/>
      <c r="AB476" s="374"/>
      <c r="AC476" s="373"/>
      <c r="AD476" s="374"/>
      <c r="AE476" s="373"/>
      <c r="AF476" s="374"/>
      <c r="AG476" s="373"/>
      <c r="AH476" s="374"/>
      <c r="AI476" s="373"/>
      <c r="AJ476" s="374"/>
      <c r="AK476" s="373"/>
      <c r="AL476" s="373"/>
      <c r="AM476" s="373"/>
      <c r="AN476" s="373"/>
      <c r="AO476" s="373"/>
      <c r="AP476" s="376"/>
      <c r="AQ476" s="373"/>
    </row>
    <row r="477">
      <c r="A477" s="257" t="s">
        <v>2916</v>
      </c>
      <c r="B477" s="257" t="s">
        <v>2917</v>
      </c>
      <c r="C477" s="257" t="str">
        <f>VLOOKUP(A477,import!A:J,3,0)</f>
        <v>DOĞRU</v>
      </c>
      <c r="D477" s="257" t="s">
        <v>3676</v>
      </c>
      <c r="E477" s="257">
        <f>VLOOKUP(A477,import!A:J,5,0)</f>
        <v>567</v>
      </c>
      <c r="F477" s="257">
        <f>VLOOKUP(A477,import!A:J,6,0)</f>
        <v>28</v>
      </c>
      <c r="G477" s="257">
        <f>VLOOKUP(A477,import!A:J,7,0)</f>
        <v>4</v>
      </c>
      <c r="H477" s="257">
        <f>VLOOKUP(A477,import!A:J,8,0)</f>
        <v>8</v>
      </c>
      <c r="I477" s="257">
        <f>VLOOKUP(A477,import!A:J,9,0)</f>
        <v>12</v>
      </c>
      <c r="J477" s="369">
        <f>VLOOKUP(A477,import!A:J,10,0)</f>
        <v>0.33</v>
      </c>
      <c r="K477" s="257" t="s">
        <v>5270</v>
      </c>
      <c r="L477" s="257">
        <v>5.445407846E9</v>
      </c>
      <c r="M477" s="257" t="s">
        <v>3707</v>
      </c>
      <c r="N477" s="257" t="s">
        <v>4176</v>
      </c>
      <c r="O477" s="257" t="s">
        <v>2920</v>
      </c>
      <c r="P477" s="370" t="str">
        <f>VLOOKUP(A477,import!A:P,16,0)</f>
        <v>Geleneksel</v>
      </c>
      <c r="Q477" s="370"/>
      <c r="R477" s="370" t="b">
        <v>1</v>
      </c>
      <c r="S477" s="370" t="b">
        <v>0</v>
      </c>
      <c r="T477" s="301" t="s">
        <v>3679</v>
      </c>
      <c r="U477" s="301" t="s">
        <v>2706</v>
      </c>
      <c r="V477" s="301" t="s">
        <v>78</v>
      </c>
      <c r="W477" s="301"/>
      <c r="X477" s="371">
        <v>44504.0</v>
      </c>
      <c r="Y477" s="371">
        <v>44505.0</v>
      </c>
      <c r="Z477" s="372"/>
      <c r="AA477" s="373" t="s">
        <v>3448</v>
      </c>
      <c r="AB477" s="374">
        <v>44432.0</v>
      </c>
      <c r="AC477" s="373" t="s">
        <v>3682</v>
      </c>
      <c r="AD477" s="374">
        <v>44504.0</v>
      </c>
      <c r="AE477" s="92"/>
      <c r="AF477" s="375"/>
      <c r="AG477" s="92"/>
      <c r="AH477" s="375"/>
      <c r="AI477" s="375"/>
      <c r="AJ477" s="375"/>
      <c r="AK477" s="375"/>
      <c r="AL477" s="373" t="s">
        <v>2706</v>
      </c>
      <c r="AM477" s="375"/>
      <c r="AN477" s="375"/>
      <c r="AO477" s="375"/>
      <c r="AP477" s="376" t="s">
        <v>3686</v>
      </c>
      <c r="AQ477" s="375"/>
    </row>
    <row r="478">
      <c r="A478" s="257" t="s">
        <v>5271</v>
      </c>
      <c r="B478" s="257" t="s">
        <v>5272</v>
      </c>
      <c r="C478" s="257" t="str">
        <f>VLOOKUP(A478,import!A:J,3,0)</f>
        <v>DOĞRU</v>
      </c>
      <c r="D478" s="257" t="s">
        <v>3713</v>
      </c>
      <c r="E478" s="257">
        <f>VLOOKUP(A478,import!A:J,5,0)</f>
        <v>94</v>
      </c>
      <c r="F478" s="257">
        <f>VLOOKUP(A478,import!A:J,6,0)</f>
        <v>10</v>
      </c>
      <c r="G478" s="257">
        <f>VLOOKUP(A478,import!A:J,7,0)</f>
        <v>0</v>
      </c>
      <c r="H478" s="257">
        <f>VLOOKUP(A478,import!A:J,8,0)</f>
        <v>24</v>
      </c>
      <c r="I478" s="257">
        <f>VLOOKUP(A478,import!A:J,9,0)</f>
        <v>24</v>
      </c>
      <c r="J478" s="369">
        <f>VLOOKUP(A478,import!A:J,10,0)</f>
        <v>0</v>
      </c>
      <c r="K478" s="257" t="s">
        <v>5273</v>
      </c>
      <c r="L478" s="257">
        <v>5.37649812E9</v>
      </c>
      <c r="M478" s="257" t="s">
        <v>3692</v>
      </c>
      <c r="N478" s="257" t="s">
        <v>5147</v>
      </c>
      <c r="O478" s="257" t="s">
        <v>5274</v>
      </c>
      <c r="P478" s="370" t="str">
        <f>VLOOKUP(A478,import!A:P,16,0)</f>
        <v>Geleneksel</v>
      </c>
      <c r="Q478" s="370"/>
      <c r="R478" s="370" t="b">
        <v>1</v>
      </c>
      <c r="S478" s="370" t="b">
        <v>0</v>
      </c>
      <c r="T478" s="301" t="s">
        <v>3770</v>
      </c>
      <c r="U478" s="301" t="s">
        <v>79</v>
      </c>
      <c r="V478" s="301"/>
      <c r="W478" s="301" t="s">
        <v>5275</v>
      </c>
      <c r="X478" s="371"/>
      <c r="Y478" s="371"/>
      <c r="Z478" s="377"/>
      <c r="AA478" s="373" t="s">
        <v>3682</v>
      </c>
      <c r="AB478" s="374">
        <v>44407.0</v>
      </c>
      <c r="AC478" s="373" t="s">
        <v>3682</v>
      </c>
      <c r="AD478" s="374">
        <v>44471.0</v>
      </c>
      <c r="AE478" s="92"/>
      <c r="AF478" s="375"/>
      <c r="AG478" s="92"/>
      <c r="AH478" s="375"/>
      <c r="AI478" s="375"/>
      <c r="AJ478" s="375"/>
      <c r="AK478" s="375"/>
      <c r="AL478" s="373" t="s">
        <v>79</v>
      </c>
      <c r="AM478" s="375"/>
      <c r="AN478" s="375"/>
      <c r="AO478" s="375"/>
      <c r="AP478" s="376" t="s">
        <v>3686</v>
      </c>
      <c r="AQ478" s="375"/>
    </row>
    <row r="479">
      <c r="A479" s="257" t="s">
        <v>5276</v>
      </c>
      <c r="B479" s="257" t="s">
        <v>5277</v>
      </c>
      <c r="C479" s="257" t="str">
        <f>VLOOKUP(A479,import!A:J,3,0)</f>
        <v>DOĞRU</v>
      </c>
      <c r="D479" s="257" t="s">
        <v>3713</v>
      </c>
      <c r="E479" s="257">
        <f>VLOOKUP(A479,import!A:J,5,0)</f>
        <v>1274</v>
      </c>
      <c r="F479" s="257">
        <f>VLOOKUP(A479,import!A:J,6,0)</f>
        <v>66</v>
      </c>
      <c r="G479" s="257">
        <f>VLOOKUP(A479,import!A:J,7,0)</f>
        <v>0</v>
      </c>
      <c r="H479" s="257">
        <f>VLOOKUP(A479,import!A:J,8,0)</f>
        <v>59</v>
      </c>
      <c r="I479" s="257">
        <f>VLOOKUP(A479,import!A:J,9,0)</f>
        <v>59</v>
      </c>
      <c r="J479" s="369">
        <f>VLOOKUP(A479,import!A:J,10,0)</f>
        <v>0</v>
      </c>
      <c r="K479" s="257" t="s">
        <v>5278</v>
      </c>
      <c r="L479" s="257">
        <v>5.446560801E9</v>
      </c>
      <c r="M479" s="257" t="s">
        <v>286</v>
      </c>
      <c r="N479" s="257" t="s">
        <v>3754</v>
      </c>
      <c r="O479" s="257" t="s">
        <v>5279</v>
      </c>
      <c r="P479" s="370" t="str">
        <f>VLOOKUP(A479,import!A:P,16,0)</f>
        <v>Geleneksel</v>
      </c>
      <c r="Q479" s="370"/>
      <c r="R479" s="370" t="b">
        <v>1</v>
      </c>
      <c r="S479" s="370" t="b">
        <v>0</v>
      </c>
      <c r="T479" s="301" t="s">
        <v>3770</v>
      </c>
      <c r="U479" s="379"/>
      <c r="V479" s="379"/>
      <c r="W479" s="301" t="s">
        <v>5280</v>
      </c>
      <c r="X479" s="381"/>
      <c r="Y479" s="381"/>
      <c r="Z479" s="372"/>
      <c r="AA479" s="373" t="s">
        <v>3448</v>
      </c>
      <c r="AB479" s="374">
        <v>44347.0</v>
      </c>
      <c r="AC479" s="373" t="s">
        <v>3682</v>
      </c>
      <c r="AD479" s="374">
        <v>44385.0</v>
      </c>
      <c r="AE479" s="373" t="s">
        <v>3682</v>
      </c>
      <c r="AF479" s="374">
        <v>44390.0</v>
      </c>
      <c r="AG479" s="92"/>
      <c r="AH479" s="375"/>
      <c r="AI479" s="375"/>
      <c r="AJ479" s="375"/>
      <c r="AK479" s="375"/>
      <c r="AL479" s="373" t="s">
        <v>79</v>
      </c>
      <c r="AM479" s="373" t="s">
        <v>3719</v>
      </c>
      <c r="AN479" s="375"/>
      <c r="AO479" s="375"/>
      <c r="AP479" s="376" t="s">
        <v>3686</v>
      </c>
      <c r="AQ479" s="375"/>
    </row>
    <row r="480">
      <c r="A480" s="266" t="s">
        <v>5281</v>
      </c>
      <c r="B480" s="266" t="s">
        <v>5282</v>
      </c>
      <c r="C480" s="257" t="str">
        <f>VLOOKUP(A480,import!A:J,3,0)</f>
        <v>DOĞRU</v>
      </c>
      <c r="D480" s="266" t="s">
        <v>3699</v>
      </c>
      <c r="E480" s="257">
        <f>VLOOKUP(A480,import!A:J,5,0)</f>
        <v>1868</v>
      </c>
      <c r="F480" s="257">
        <f>VLOOKUP(A480,import!A:J,6,0)</f>
        <v>120</v>
      </c>
      <c r="G480" s="257">
        <f>VLOOKUP(A480,import!A:J,7,0)</f>
        <v>0</v>
      </c>
      <c r="H480" s="257">
        <f>VLOOKUP(A480,import!A:J,8,0)</f>
        <v>92</v>
      </c>
      <c r="I480" s="257">
        <f>VLOOKUP(A480,import!A:J,9,0)</f>
        <v>92</v>
      </c>
      <c r="J480" s="369">
        <f>VLOOKUP(A480,import!A:J,10,0)</f>
        <v>0</v>
      </c>
      <c r="K480" s="266" t="s">
        <v>5283</v>
      </c>
      <c r="L480" s="266">
        <v>3.222480248E9</v>
      </c>
      <c r="M480" s="266" t="s">
        <v>14</v>
      </c>
      <c r="N480" s="266" t="s">
        <v>3718</v>
      </c>
      <c r="O480" s="266" t="s">
        <v>5284</v>
      </c>
      <c r="P480" s="370" t="str">
        <f>VLOOKUP(A480,import!A:P,16,0)</f>
        <v>Geleneksel</v>
      </c>
      <c r="Q480" s="370"/>
      <c r="R480" s="370" t="b">
        <v>1</v>
      </c>
      <c r="S480" s="370" t="b">
        <v>1</v>
      </c>
      <c r="T480" s="301"/>
      <c r="U480" s="301"/>
      <c r="V480" s="301"/>
      <c r="W480" s="301" t="s">
        <v>5285</v>
      </c>
      <c r="X480" s="371"/>
      <c r="Y480" s="371"/>
      <c r="Z480" s="377"/>
      <c r="AA480" s="373" t="s">
        <v>3682</v>
      </c>
      <c r="AB480" s="374">
        <v>44440.0</v>
      </c>
      <c r="AC480" s="373" t="s">
        <v>3695</v>
      </c>
      <c r="AD480" s="374">
        <v>44495.0</v>
      </c>
      <c r="AE480" s="92"/>
      <c r="AF480" s="375"/>
      <c r="AG480" s="92"/>
      <c r="AH480" s="375"/>
      <c r="AI480" s="375"/>
      <c r="AJ480" s="375"/>
      <c r="AK480" s="373" t="s">
        <v>2542</v>
      </c>
      <c r="AL480" s="373" t="s">
        <v>2542</v>
      </c>
      <c r="AM480" s="375"/>
      <c r="AN480" s="375"/>
      <c r="AO480" s="375"/>
      <c r="AP480" s="376" t="s">
        <v>3683</v>
      </c>
      <c r="AQ480" s="375"/>
    </row>
    <row r="481">
      <c r="A481" s="376" t="s">
        <v>5286</v>
      </c>
      <c r="B481" s="376" t="s">
        <v>5287</v>
      </c>
      <c r="C481" s="257" t="str">
        <f>VLOOKUP(A481,import!A:J,3,0)</f>
        <v>DOĞRU</v>
      </c>
      <c r="D481" s="376" t="s">
        <v>3842</v>
      </c>
      <c r="E481" s="257">
        <f>VLOOKUP(A481,import!A:J,5,0)</f>
        <v>1</v>
      </c>
      <c r="F481" s="257">
        <f>VLOOKUP(A481,import!A:J,6,0)</f>
        <v>1</v>
      </c>
      <c r="G481" s="257">
        <f>VLOOKUP(A481,import!A:J,7,0)</f>
        <v>0</v>
      </c>
      <c r="H481" s="257">
        <f>VLOOKUP(A481,import!A:J,8,0)</f>
        <v>7</v>
      </c>
      <c r="I481" s="257">
        <f>VLOOKUP(A481,import!A:J,9,0)</f>
        <v>7</v>
      </c>
      <c r="J481" s="369">
        <f>VLOOKUP(A481,import!A:J,10,0)</f>
        <v>0</v>
      </c>
      <c r="K481" s="376" t="s">
        <v>5288</v>
      </c>
      <c r="L481" s="376">
        <v>5.333904626E9</v>
      </c>
      <c r="M481" s="376" t="s">
        <v>286</v>
      </c>
      <c r="N481" s="376" t="s">
        <v>3855</v>
      </c>
      <c r="O481" s="376" t="s">
        <v>5289</v>
      </c>
      <c r="P481" s="370" t="str">
        <f>VLOOKUP(A481,import!A:P,16,0)</f>
        <v>Geleneksel</v>
      </c>
      <c r="Q481" s="370"/>
      <c r="R481" s="370" t="b">
        <v>0</v>
      </c>
      <c r="S481" s="370" t="b">
        <v>0</v>
      </c>
      <c r="T481" s="301"/>
      <c r="U481" s="301"/>
      <c r="V481" s="301"/>
      <c r="W481" s="301"/>
      <c r="X481" s="371"/>
      <c r="Y481" s="371"/>
      <c r="Z481" s="372"/>
      <c r="AA481" s="373"/>
      <c r="AB481" s="374"/>
      <c r="AC481" s="373"/>
      <c r="AD481" s="374"/>
      <c r="AE481" s="373"/>
      <c r="AF481" s="374"/>
      <c r="AG481" s="373"/>
      <c r="AH481" s="374"/>
      <c r="AI481" s="373"/>
      <c r="AJ481" s="374"/>
      <c r="AK481" s="373"/>
      <c r="AL481" s="373"/>
      <c r="AM481" s="373"/>
      <c r="AN481" s="373"/>
      <c r="AO481" s="373"/>
      <c r="AP481" s="376"/>
      <c r="AQ481" s="373"/>
    </row>
    <row r="482">
      <c r="A482" s="257" t="s">
        <v>5290</v>
      </c>
      <c r="B482" s="257" t="s">
        <v>5291</v>
      </c>
      <c r="C482" s="257" t="str">
        <f>VLOOKUP(A482,import!A:J,3,0)</f>
        <v>DOĞRU</v>
      </c>
      <c r="D482" s="257" t="s">
        <v>3713</v>
      </c>
      <c r="E482" s="257">
        <f>VLOOKUP(A482,import!A:J,5,0)</f>
        <v>1496</v>
      </c>
      <c r="F482" s="257">
        <f>VLOOKUP(A482,import!A:J,6,0)</f>
        <v>31</v>
      </c>
      <c r="G482" s="257">
        <f>VLOOKUP(A482,import!A:J,7,0)</f>
        <v>0</v>
      </c>
      <c r="H482" s="257">
        <f>VLOOKUP(A482,import!A:J,8,0)</f>
        <v>7</v>
      </c>
      <c r="I482" s="257">
        <f>VLOOKUP(A482,import!A:J,9,0)</f>
        <v>7</v>
      </c>
      <c r="J482" s="369">
        <f>VLOOKUP(A482,import!A:J,10,0)</f>
        <v>0</v>
      </c>
      <c r="K482" s="257" t="s">
        <v>5292</v>
      </c>
      <c r="L482" s="257">
        <v>5.510772661E9</v>
      </c>
      <c r="M482" s="257" t="s">
        <v>3814</v>
      </c>
      <c r="N482" s="257" t="s">
        <v>3815</v>
      </c>
      <c r="O482" s="257" t="s">
        <v>5293</v>
      </c>
      <c r="P482" s="370" t="str">
        <f>VLOOKUP(A482,import!A:P,16,0)</f>
        <v>Geleneksel</v>
      </c>
      <c r="Q482" s="370"/>
      <c r="R482" s="370" t="b">
        <v>0</v>
      </c>
      <c r="S482" s="370" t="b">
        <v>0</v>
      </c>
      <c r="T482" s="301" t="s">
        <v>3862</v>
      </c>
      <c r="U482" s="301"/>
      <c r="V482" s="301"/>
      <c r="W482" s="301"/>
      <c r="X482" s="371"/>
      <c r="Y482" s="371"/>
      <c r="Z482" s="372"/>
      <c r="AA482" s="373"/>
      <c r="AB482" s="374"/>
      <c r="AC482" s="373"/>
      <c r="AD482" s="374"/>
      <c r="AE482" s="373"/>
      <c r="AF482" s="374"/>
      <c r="AG482" s="373"/>
      <c r="AH482" s="374"/>
      <c r="AI482" s="375"/>
      <c r="AJ482" s="375"/>
      <c r="AK482" s="373"/>
      <c r="AL482" s="375"/>
      <c r="AM482" s="375"/>
      <c r="AN482" s="373"/>
      <c r="AO482" s="375"/>
      <c r="AP482" s="376" t="s">
        <v>3686</v>
      </c>
      <c r="AQ482" s="375"/>
    </row>
    <row r="483">
      <c r="A483" s="257" t="s">
        <v>5294</v>
      </c>
      <c r="B483" s="257" t="s">
        <v>5295</v>
      </c>
      <c r="C483" s="257" t="str">
        <f>VLOOKUP(A483,import!A:J,3,0)</f>
        <v>DOĞRU</v>
      </c>
      <c r="D483" s="257" t="s">
        <v>3676</v>
      </c>
      <c r="E483" s="257" t="str">
        <f>VLOOKUP(A483,import!A:J,5,0)</f>
        <v/>
      </c>
      <c r="F483" s="257" t="str">
        <f>VLOOKUP(A483,import!A:J,6,0)</f>
        <v/>
      </c>
      <c r="G483" s="257">
        <f>VLOOKUP(A483,import!A:J,7,0)</f>
        <v>0</v>
      </c>
      <c r="H483" s="257">
        <f>VLOOKUP(A483,import!A:J,8,0)</f>
        <v>15</v>
      </c>
      <c r="I483" s="257">
        <f>VLOOKUP(A483,import!A:J,9,0)</f>
        <v>15</v>
      </c>
      <c r="J483" s="369">
        <f>VLOOKUP(A483,import!A:J,10,0)</f>
        <v>0</v>
      </c>
      <c r="K483" s="257" t="s">
        <v>5296</v>
      </c>
      <c r="L483" s="257">
        <v>5.446986206E9</v>
      </c>
      <c r="M483" s="257" t="s">
        <v>3814</v>
      </c>
      <c r="N483" s="257" t="s">
        <v>5297</v>
      </c>
      <c r="O483" s="257" t="s">
        <v>5298</v>
      </c>
      <c r="P483" s="370" t="str">
        <f>VLOOKUP(A483,import!A:P,16,0)</f>
        <v>Geleneksel</v>
      </c>
      <c r="Q483" s="370"/>
      <c r="R483" s="370" t="b">
        <v>0</v>
      </c>
      <c r="S483" s="370" t="b">
        <v>0</v>
      </c>
      <c r="T483" s="301"/>
      <c r="U483" s="379"/>
      <c r="V483" s="379"/>
      <c r="W483" s="301"/>
      <c r="X483" s="381"/>
      <c r="Y483" s="381"/>
      <c r="Z483" s="372"/>
      <c r="AA483" s="373"/>
      <c r="AB483" s="374"/>
      <c r="AC483" s="373"/>
      <c r="AD483" s="374"/>
      <c r="AE483" s="373"/>
      <c r="AF483" s="374"/>
      <c r="AG483" s="373"/>
      <c r="AH483" s="374"/>
      <c r="AI483" s="375"/>
      <c r="AJ483" s="375"/>
      <c r="AK483" s="373"/>
      <c r="AL483" s="375"/>
      <c r="AM483" s="375"/>
      <c r="AN483" s="373"/>
      <c r="AO483" s="375"/>
      <c r="AP483" s="376"/>
      <c r="AQ483" s="375"/>
    </row>
    <row r="484">
      <c r="A484" s="257" t="s">
        <v>5299</v>
      </c>
      <c r="B484" s="257" t="s">
        <v>5300</v>
      </c>
      <c r="C484" s="257" t="str">
        <f>VLOOKUP(A484,import!A:J,3,0)</f>
        <v>DOĞRU</v>
      </c>
      <c r="D484" s="257" t="s">
        <v>3822</v>
      </c>
      <c r="E484" s="257">
        <f>VLOOKUP(A484,import!A:J,5,0)</f>
        <v>387</v>
      </c>
      <c r="F484" s="257">
        <f>VLOOKUP(A484,import!A:J,6,0)</f>
        <v>17</v>
      </c>
      <c r="G484" s="257">
        <f>VLOOKUP(A484,import!A:J,7,0)</f>
        <v>0</v>
      </c>
      <c r="H484" s="257">
        <f>VLOOKUP(A484,import!A:J,8,0)</f>
        <v>28</v>
      </c>
      <c r="I484" s="257">
        <f>VLOOKUP(A484,import!A:J,9,0)</f>
        <v>28</v>
      </c>
      <c r="J484" s="369">
        <f>VLOOKUP(A484,import!A:J,10,0)</f>
        <v>0</v>
      </c>
      <c r="K484" s="257" t="s">
        <v>5301</v>
      </c>
      <c r="L484" s="257">
        <v>5.336425087E9</v>
      </c>
      <c r="M484" s="257" t="s">
        <v>286</v>
      </c>
      <c r="N484" s="257" t="s">
        <v>3737</v>
      </c>
      <c r="O484" s="257" t="s">
        <v>5302</v>
      </c>
      <c r="P484" s="370" t="str">
        <f>VLOOKUP(A484,import!A:P,16,0)</f>
        <v>Geleneksel</v>
      </c>
      <c r="Q484" s="370"/>
      <c r="R484" s="370" t="b">
        <v>1</v>
      </c>
      <c r="S484" s="370" t="b">
        <v>1</v>
      </c>
      <c r="T484" s="301"/>
      <c r="U484" s="379"/>
      <c r="V484" s="379"/>
      <c r="W484" s="301" t="s">
        <v>5303</v>
      </c>
      <c r="X484" s="381"/>
      <c r="Y484" s="381"/>
      <c r="Z484" s="372"/>
      <c r="AA484" s="373" t="s">
        <v>3682</v>
      </c>
      <c r="AB484" s="374">
        <v>44494.0</v>
      </c>
      <c r="AC484" s="373" t="s">
        <v>3682</v>
      </c>
      <c r="AD484" s="374">
        <v>44502.0</v>
      </c>
      <c r="AE484" s="373"/>
      <c r="AF484" s="374"/>
      <c r="AG484" s="373"/>
      <c r="AH484" s="374"/>
      <c r="AI484" s="375"/>
      <c r="AJ484" s="375"/>
      <c r="AK484" s="373" t="s">
        <v>2706</v>
      </c>
      <c r="AL484" s="373" t="s">
        <v>2542</v>
      </c>
      <c r="AM484" s="375"/>
      <c r="AN484" s="373"/>
      <c r="AO484" s="375"/>
      <c r="AP484" s="376" t="s">
        <v>3683</v>
      </c>
      <c r="AQ484" s="375"/>
    </row>
    <row r="485">
      <c r="A485" s="257" t="s">
        <v>2729</v>
      </c>
      <c r="B485" s="257" t="s">
        <v>2730</v>
      </c>
      <c r="C485" s="257" t="str">
        <f>VLOOKUP(A485,import!A:J,3,0)</f>
        <v>YANLIŞ</v>
      </c>
      <c r="D485" s="257" t="s">
        <v>3801</v>
      </c>
      <c r="E485" s="257">
        <f>VLOOKUP(A485,import!A:J,5,0)</f>
        <v>70</v>
      </c>
      <c r="F485" s="257" t="str">
        <f>VLOOKUP(A485,import!A:J,6,0)</f>
        <v/>
      </c>
      <c r="G485" s="257">
        <f>VLOOKUP(A485,import!A:J,7,0)</f>
        <v>0</v>
      </c>
      <c r="H485" s="257">
        <f>VLOOKUP(A485,import!A:J,8,0)</f>
        <v>10</v>
      </c>
      <c r="I485" s="257">
        <f>VLOOKUP(A485,import!A:J,9,0)</f>
        <v>10</v>
      </c>
      <c r="J485" s="369">
        <f>VLOOKUP(A485,import!A:J,10,0)</f>
        <v>0</v>
      </c>
      <c r="K485" s="257" t="s">
        <v>5304</v>
      </c>
      <c r="L485" s="257">
        <v>5.432013481E9</v>
      </c>
      <c r="M485" s="257" t="s">
        <v>3692</v>
      </c>
      <c r="N485" s="257" t="s">
        <v>3693</v>
      </c>
      <c r="O485" s="257" t="s">
        <v>2732</v>
      </c>
      <c r="P485" s="370" t="str">
        <f>VLOOKUP(A485,import!A:P,16,0)</f>
        <v>Geleneksel</v>
      </c>
      <c r="Q485" s="370"/>
      <c r="R485" s="370" t="b">
        <v>1</v>
      </c>
      <c r="S485" s="370" t="b">
        <v>1</v>
      </c>
      <c r="T485" s="301"/>
      <c r="U485" s="301" t="s">
        <v>79</v>
      </c>
      <c r="V485" s="301" t="s">
        <v>78</v>
      </c>
      <c r="W485" s="301">
        <v>5.426470702E9</v>
      </c>
      <c r="X485" s="371">
        <v>44470.0</v>
      </c>
      <c r="Y485" s="371">
        <v>44473.0</v>
      </c>
      <c r="Z485" s="372"/>
      <c r="AA485" s="373" t="s">
        <v>3682</v>
      </c>
      <c r="AB485" s="374">
        <v>44428.0</v>
      </c>
      <c r="AC485" s="373" t="s">
        <v>3448</v>
      </c>
      <c r="AD485" s="374">
        <v>44455.0</v>
      </c>
      <c r="AE485" s="373" t="s">
        <v>3448</v>
      </c>
      <c r="AF485" s="374">
        <v>44459.0</v>
      </c>
      <c r="AG485" s="373" t="s">
        <v>3682</v>
      </c>
      <c r="AH485" s="374">
        <v>44470.0</v>
      </c>
      <c r="AI485" s="373" t="s">
        <v>3682</v>
      </c>
      <c r="AJ485" s="374">
        <v>44496.0</v>
      </c>
      <c r="AK485" s="373" t="s">
        <v>1953</v>
      </c>
      <c r="AL485" s="373" t="s">
        <v>79</v>
      </c>
      <c r="AM485" s="373" t="s">
        <v>2542</v>
      </c>
      <c r="AN485" s="373" t="s">
        <v>79</v>
      </c>
      <c r="AO485" s="373" t="s">
        <v>2282</v>
      </c>
      <c r="AP485" s="376" t="s">
        <v>3686</v>
      </c>
      <c r="AQ485" s="373"/>
    </row>
    <row r="486">
      <c r="A486" s="257" t="s">
        <v>3159</v>
      </c>
      <c r="B486" s="257" t="s">
        <v>3023</v>
      </c>
      <c r="C486" s="257" t="str">
        <f>VLOOKUP(A486,import!A:J,3,0)</f>
        <v>DOĞRU</v>
      </c>
      <c r="D486" s="257" t="s">
        <v>3801</v>
      </c>
      <c r="E486" s="257">
        <f>VLOOKUP(A486,import!A:J,5,0)</f>
        <v>71</v>
      </c>
      <c r="F486" s="257">
        <f>VLOOKUP(A486,import!A:J,6,0)</f>
        <v>17</v>
      </c>
      <c r="G486" s="257">
        <f>VLOOKUP(A486,import!A:J,7,0)</f>
        <v>6</v>
      </c>
      <c r="H486" s="257">
        <f>VLOOKUP(A486,import!A:J,8,0)</f>
        <v>7</v>
      </c>
      <c r="I486" s="257">
        <f>VLOOKUP(A486,import!A:J,9,0)</f>
        <v>13</v>
      </c>
      <c r="J486" s="369">
        <f>VLOOKUP(A486,import!A:J,10,0)</f>
        <v>0.46</v>
      </c>
      <c r="K486" s="257" t="s">
        <v>5305</v>
      </c>
      <c r="L486" s="257">
        <v>5.347143127E9</v>
      </c>
      <c r="M486" s="257" t="s">
        <v>286</v>
      </c>
      <c r="N486" s="257" t="s">
        <v>3782</v>
      </c>
      <c r="O486" s="257" t="s">
        <v>3161</v>
      </c>
      <c r="P486" s="370" t="str">
        <f>VLOOKUP(A486,import!A:P,16,0)</f>
        <v>Geleneksel</v>
      </c>
      <c r="Q486" s="370"/>
      <c r="R486" s="370" t="b">
        <v>1</v>
      </c>
      <c r="S486" s="370" t="b">
        <v>0</v>
      </c>
      <c r="T486" s="301" t="s">
        <v>3679</v>
      </c>
      <c r="U486" s="301" t="s">
        <v>2941</v>
      </c>
      <c r="V486" s="301" t="s">
        <v>78</v>
      </c>
      <c r="W486" s="301"/>
      <c r="X486" s="371">
        <v>44530.0</v>
      </c>
      <c r="Y486" s="371">
        <v>44531.0</v>
      </c>
      <c r="Z486" s="372"/>
      <c r="AA486" s="373" t="s">
        <v>3682</v>
      </c>
      <c r="AB486" s="374">
        <v>44530.0</v>
      </c>
      <c r="AC486" s="373"/>
      <c r="AD486" s="374"/>
      <c r="AE486" s="373"/>
      <c r="AF486" s="374"/>
      <c r="AG486" s="373"/>
      <c r="AH486" s="374"/>
      <c r="AI486" s="375"/>
      <c r="AJ486" s="375"/>
      <c r="AK486" s="373" t="s">
        <v>2941</v>
      </c>
      <c r="AL486" s="375"/>
      <c r="AM486" s="375"/>
      <c r="AN486" s="373"/>
      <c r="AO486" s="375"/>
      <c r="AP486" s="376" t="s">
        <v>3686</v>
      </c>
      <c r="AQ486" s="375"/>
    </row>
    <row r="487">
      <c r="A487" s="257" t="s">
        <v>3022</v>
      </c>
      <c r="B487" s="257" t="s">
        <v>3023</v>
      </c>
      <c r="C487" s="257" t="str">
        <f>VLOOKUP(A487,import!A:J,3,0)</f>
        <v>DOĞRU</v>
      </c>
      <c r="D487" s="257" t="s">
        <v>3801</v>
      </c>
      <c r="E487" s="257">
        <f>VLOOKUP(A487,import!A:J,5,0)</f>
        <v>316</v>
      </c>
      <c r="F487" s="257">
        <f>VLOOKUP(A487,import!A:J,6,0)</f>
        <v>23</v>
      </c>
      <c r="G487" s="257">
        <f>VLOOKUP(A487,import!A:J,7,0)</f>
        <v>15</v>
      </c>
      <c r="H487" s="257">
        <f>VLOOKUP(A487,import!A:J,8,0)</f>
        <v>8</v>
      </c>
      <c r="I487" s="257">
        <f>VLOOKUP(A487,import!A:J,9,0)</f>
        <v>23</v>
      </c>
      <c r="J487" s="369">
        <f>VLOOKUP(A487,import!A:J,10,0)</f>
        <v>0.65</v>
      </c>
      <c r="K487" s="257" t="s">
        <v>5306</v>
      </c>
      <c r="L487" s="257">
        <v>5.423132185E9</v>
      </c>
      <c r="M487" s="257" t="s">
        <v>286</v>
      </c>
      <c r="N487" s="257" t="s">
        <v>3782</v>
      </c>
      <c r="O487" s="257" t="s">
        <v>3026</v>
      </c>
      <c r="P487" s="370" t="str">
        <f>VLOOKUP(A487,import!A:P,16,0)</f>
        <v>Geleneksel</v>
      </c>
      <c r="Q487" s="370"/>
      <c r="R487" s="370" t="b">
        <v>1</v>
      </c>
      <c r="S487" s="370" t="b">
        <v>0</v>
      </c>
      <c r="T487" s="301" t="s">
        <v>3679</v>
      </c>
      <c r="U487" s="301" t="s">
        <v>2576</v>
      </c>
      <c r="V487" s="380" t="s">
        <v>78</v>
      </c>
      <c r="W487" s="301"/>
      <c r="X487" s="371">
        <v>44505.0</v>
      </c>
      <c r="Y487" s="371">
        <v>44508.0</v>
      </c>
      <c r="Z487" s="372"/>
      <c r="AA487" s="373" t="s">
        <v>3682</v>
      </c>
      <c r="AB487" s="374">
        <v>44505.0</v>
      </c>
      <c r="AC487" s="373"/>
      <c r="AD487" s="374"/>
      <c r="AE487" s="373"/>
      <c r="AF487" s="374"/>
      <c r="AG487" s="373"/>
      <c r="AH487" s="374"/>
      <c r="AI487" s="375"/>
      <c r="AJ487" s="375"/>
      <c r="AK487" s="373" t="s">
        <v>2576</v>
      </c>
      <c r="AL487" s="375"/>
      <c r="AM487" s="375"/>
      <c r="AN487" s="373"/>
      <c r="AO487" s="375"/>
      <c r="AP487" s="376" t="s">
        <v>3686</v>
      </c>
      <c r="AQ487" s="375"/>
    </row>
    <row r="488">
      <c r="A488" s="257" t="s">
        <v>5307</v>
      </c>
      <c r="B488" s="257" t="s">
        <v>5308</v>
      </c>
      <c r="C488" s="257" t="str">
        <f>VLOOKUP(A488,import!A:J,3,0)</f>
        <v>DOĞRU</v>
      </c>
      <c r="D488" s="257" t="s">
        <v>3759</v>
      </c>
      <c r="E488" s="257">
        <f>VLOOKUP(A488,import!A:J,5,0)</f>
        <v>3355</v>
      </c>
      <c r="F488" s="257">
        <f>VLOOKUP(A488,import!A:J,6,0)</f>
        <v>220</v>
      </c>
      <c r="G488" s="257">
        <f>VLOOKUP(A488,import!A:J,7,0)</f>
        <v>0</v>
      </c>
      <c r="H488" s="257">
        <f>VLOOKUP(A488,import!A:J,8,0)</f>
        <v>73</v>
      </c>
      <c r="I488" s="257">
        <f>VLOOKUP(A488,import!A:J,9,0)</f>
        <v>73</v>
      </c>
      <c r="J488" s="369">
        <f>VLOOKUP(A488,import!A:J,10,0)</f>
        <v>0</v>
      </c>
      <c r="K488" s="257" t="s">
        <v>5309</v>
      </c>
      <c r="L488" s="257">
        <v>3.222242426E9</v>
      </c>
      <c r="M488" s="257" t="s">
        <v>286</v>
      </c>
      <c r="N488" s="257" t="s">
        <v>3769</v>
      </c>
      <c r="O488" s="257" t="s">
        <v>5310</v>
      </c>
      <c r="P488" s="370" t="str">
        <f>VLOOKUP(A488,import!A:P,16,0)</f>
        <v>Geleneksel</v>
      </c>
      <c r="Q488" s="370"/>
      <c r="R488" s="370" t="b">
        <v>1</v>
      </c>
      <c r="S488" s="370" t="b">
        <v>0</v>
      </c>
      <c r="T488" s="301"/>
      <c r="U488" s="379"/>
      <c r="V488" s="301"/>
      <c r="W488" s="301" t="s">
        <v>5311</v>
      </c>
      <c r="X488" s="381"/>
      <c r="Y488" s="381"/>
      <c r="Z488" s="372"/>
      <c r="AA488" s="373" t="s">
        <v>3682</v>
      </c>
      <c r="AB488" s="374">
        <v>44377.0</v>
      </c>
      <c r="AC488" s="375"/>
      <c r="AD488" s="375"/>
      <c r="AE488" s="92"/>
      <c r="AF488" s="375"/>
      <c r="AG488" s="92"/>
      <c r="AH488" s="375"/>
      <c r="AI488" s="375"/>
      <c r="AJ488" s="375"/>
      <c r="AK488" s="373" t="s">
        <v>399</v>
      </c>
      <c r="AL488" s="375"/>
      <c r="AM488" s="375"/>
      <c r="AN488" s="375"/>
      <c r="AO488" s="375"/>
      <c r="AP488" s="376" t="s">
        <v>3686</v>
      </c>
      <c r="AQ488" s="375"/>
    </row>
    <row r="489">
      <c r="A489" s="257" t="s">
        <v>747</v>
      </c>
      <c r="B489" s="257" t="s">
        <v>748</v>
      </c>
      <c r="C489" s="257" t="str">
        <f>VLOOKUP(A489,import!A:J,3,0)</f>
        <v>DOĞRU</v>
      </c>
      <c r="D489" s="257" t="s">
        <v>3759</v>
      </c>
      <c r="E489" s="257">
        <f>VLOOKUP(A489,import!A:J,5,0)</f>
        <v>1519</v>
      </c>
      <c r="F489" s="257">
        <f>VLOOKUP(A489,import!A:J,6,0)</f>
        <v>56</v>
      </c>
      <c r="G489" s="257">
        <f>VLOOKUP(A489,import!A:J,7,0)</f>
        <v>0</v>
      </c>
      <c r="H489" s="257">
        <f>VLOOKUP(A489,import!A:J,8,0)</f>
        <v>55</v>
      </c>
      <c r="I489" s="257">
        <f>VLOOKUP(A489,import!A:J,9,0)</f>
        <v>55</v>
      </c>
      <c r="J489" s="369">
        <f>VLOOKUP(A489,import!A:J,10,0)</f>
        <v>0</v>
      </c>
      <c r="K489" s="257" t="s">
        <v>5312</v>
      </c>
      <c r="L489" s="257">
        <v>5.550747305E9</v>
      </c>
      <c r="M489" s="257" t="s">
        <v>14</v>
      </c>
      <c r="N489" s="257" t="s">
        <v>3678</v>
      </c>
      <c r="O489" s="257" t="s">
        <v>750</v>
      </c>
      <c r="P489" s="370" t="str">
        <f>VLOOKUP(A489,import!A:P,16,0)</f>
        <v>Geleneksel</v>
      </c>
      <c r="Q489" s="370"/>
      <c r="R489" s="370" t="b">
        <v>1</v>
      </c>
      <c r="S489" s="370" t="b">
        <v>0</v>
      </c>
      <c r="T489" s="301" t="s">
        <v>3679</v>
      </c>
      <c r="U489" s="301" t="s">
        <v>3729</v>
      </c>
      <c r="V489" s="301" t="s">
        <v>78</v>
      </c>
      <c r="W489" s="301" t="s">
        <v>5313</v>
      </c>
      <c r="X489" s="371">
        <v>44431.0</v>
      </c>
      <c r="Y489" s="371">
        <v>44432.0</v>
      </c>
      <c r="Z489" s="377"/>
      <c r="AA489" s="373" t="s">
        <v>3682</v>
      </c>
      <c r="AB489" s="374">
        <v>44377.0</v>
      </c>
      <c r="AC489" s="373" t="s">
        <v>3682</v>
      </c>
      <c r="AD489" s="374">
        <v>44382.0</v>
      </c>
      <c r="AE489" s="373" t="s">
        <v>3682</v>
      </c>
      <c r="AF489" s="374">
        <v>44412.0</v>
      </c>
      <c r="AG489" s="373" t="s">
        <v>3448</v>
      </c>
      <c r="AH489" s="374">
        <v>44427.0</v>
      </c>
      <c r="AI489" s="373" t="s">
        <v>3682</v>
      </c>
      <c r="AJ489" s="374">
        <v>44209.0</v>
      </c>
      <c r="AK489" s="373" t="s">
        <v>399</v>
      </c>
      <c r="AL489" s="373" t="s">
        <v>79</v>
      </c>
      <c r="AM489" s="373" t="s">
        <v>3723</v>
      </c>
      <c r="AN489" s="373" t="s">
        <v>3723</v>
      </c>
      <c r="AO489" s="373" t="s">
        <v>2706</v>
      </c>
      <c r="AP489" s="376" t="s">
        <v>3683</v>
      </c>
      <c r="AQ489" s="373"/>
    </row>
    <row r="490">
      <c r="A490" s="257" t="s">
        <v>5314</v>
      </c>
      <c r="B490" s="257" t="s">
        <v>5315</v>
      </c>
      <c r="C490" s="257" t="str">
        <f>VLOOKUP(A490,import!A:J,3,0)</f>
        <v>DOĞRU</v>
      </c>
      <c r="D490" s="257" t="s">
        <v>3759</v>
      </c>
      <c r="E490" s="257">
        <f>VLOOKUP(A490,import!A:J,5,0)</f>
        <v>1079</v>
      </c>
      <c r="F490" s="257">
        <f>VLOOKUP(A490,import!A:J,6,0)</f>
        <v>15</v>
      </c>
      <c r="G490" s="257">
        <f>VLOOKUP(A490,import!A:J,7,0)</f>
        <v>0</v>
      </c>
      <c r="H490" s="257">
        <f>VLOOKUP(A490,import!A:J,8,0)</f>
        <v>23</v>
      </c>
      <c r="I490" s="257">
        <f>VLOOKUP(A490,import!A:J,9,0)</f>
        <v>23</v>
      </c>
      <c r="J490" s="369">
        <f>VLOOKUP(A490,import!A:J,10,0)</f>
        <v>0</v>
      </c>
      <c r="K490" s="257" t="s">
        <v>5312</v>
      </c>
      <c r="L490" s="257">
        <v>3.222242426E9</v>
      </c>
      <c r="M490" s="257" t="s">
        <v>286</v>
      </c>
      <c r="N490" s="257" t="s">
        <v>3769</v>
      </c>
      <c r="O490" s="257" t="s">
        <v>5316</v>
      </c>
      <c r="P490" s="370" t="str">
        <f>VLOOKUP(A490,import!A:P,16,0)</f>
        <v>Geleneksel</v>
      </c>
      <c r="Q490" s="370"/>
      <c r="R490" s="370" t="b">
        <v>1</v>
      </c>
      <c r="S490" s="370" t="b">
        <v>0</v>
      </c>
      <c r="T490" s="301"/>
      <c r="U490" s="379"/>
      <c r="V490" s="384"/>
      <c r="W490" s="301" t="s">
        <v>5311</v>
      </c>
      <c r="X490" s="381"/>
      <c r="Y490" s="381"/>
      <c r="Z490" s="372"/>
      <c r="AA490" s="373" t="s">
        <v>3682</v>
      </c>
      <c r="AB490" s="374">
        <v>44377.0</v>
      </c>
      <c r="AC490" s="375"/>
      <c r="AD490" s="375"/>
      <c r="AE490" s="92"/>
      <c r="AF490" s="375"/>
      <c r="AG490" s="92"/>
      <c r="AH490" s="375"/>
      <c r="AI490" s="375"/>
      <c r="AJ490" s="375"/>
      <c r="AK490" s="373" t="s">
        <v>399</v>
      </c>
      <c r="AL490" s="375"/>
      <c r="AM490" s="375"/>
      <c r="AN490" s="375"/>
      <c r="AO490" s="375"/>
      <c r="AP490" s="376" t="s">
        <v>3686</v>
      </c>
      <c r="AQ490" s="375"/>
    </row>
    <row r="491">
      <c r="A491" s="257" t="s">
        <v>846</v>
      </c>
      <c r="B491" s="257" t="s">
        <v>847</v>
      </c>
      <c r="C491" s="257" t="str">
        <f>VLOOKUP(A491,import!A:J,3,0)</f>
        <v>DOĞRU</v>
      </c>
      <c r="D491" s="257" t="s">
        <v>3676</v>
      </c>
      <c r="E491" s="257">
        <f>VLOOKUP(A491,import!A:J,5,0)</f>
        <v>2655</v>
      </c>
      <c r="F491" s="257">
        <f>VLOOKUP(A491,import!A:J,6,0)</f>
        <v>156</v>
      </c>
      <c r="G491" s="257">
        <f>VLOOKUP(A491,import!A:J,7,0)</f>
        <v>23</v>
      </c>
      <c r="H491" s="257">
        <f>VLOOKUP(A491,import!A:J,8,0)</f>
        <v>4</v>
      </c>
      <c r="I491" s="257">
        <f>VLOOKUP(A491,import!A:J,9,0)</f>
        <v>27</v>
      </c>
      <c r="J491" s="369">
        <f>VLOOKUP(A491,import!A:J,10,0)</f>
        <v>0.85</v>
      </c>
      <c r="K491" s="257" t="s">
        <v>5317</v>
      </c>
      <c r="L491" s="257">
        <v>3.222256988E9</v>
      </c>
      <c r="M491" s="257" t="s">
        <v>286</v>
      </c>
      <c r="N491" s="257" t="s">
        <v>3782</v>
      </c>
      <c r="O491" s="257" t="s">
        <v>849</v>
      </c>
      <c r="P491" s="370" t="str">
        <f>VLOOKUP(A491,import!A:P,16,0)</f>
        <v>Geleneksel</v>
      </c>
      <c r="Q491" s="370"/>
      <c r="R491" s="370" t="b">
        <v>1</v>
      </c>
      <c r="S491" s="370" t="b">
        <v>0</v>
      </c>
      <c r="T491" s="301" t="s">
        <v>3679</v>
      </c>
      <c r="U491" s="301" t="s">
        <v>1947</v>
      </c>
      <c r="V491" s="301" t="s">
        <v>78</v>
      </c>
      <c r="W491" s="301" t="s">
        <v>5318</v>
      </c>
      <c r="X491" s="371">
        <v>44415.0</v>
      </c>
      <c r="Y491" s="371">
        <v>44421.0</v>
      </c>
      <c r="Z491" s="372"/>
      <c r="AA491" s="373" t="s">
        <v>3448</v>
      </c>
      <c r="AB491" s="374">
        <v>44407.0</v>
      </c>
      <c r="AC491" s="373" t="s">
        <v>3682</v>
      </c>
      <c r="AD491" s="374">
        <v>44410.0</v>
      </c>
      <c r="AE491" s="373" t="s">
        <v>3682</v>
      </c>
      <c r="AF491" s="374">
        <v>44421.0</v>
      </c>
      <c r="AG491" s="92"/>
      <c r="AH491" s="375"/>
      <c r="AI491" s="375"/>
      <c r="AJ491" s="375"/>
      <c r="AK491" s="373" t="s">
        <v>79</v>
      </c>
      <c r="AL491" s="373" t="s">
        <v>3719</v>
      </c>
      <c r="AM491" s="373" t="s">
        <v>1947</v>
      </c>
      <c r="AN491" s="375"/>
      <c r="AO491" s="375"/>
      <c r="AP491" s="376" t="s">
        <v>3686</v>
      </c>
      <c r="AQ491" s="375"/>
    </row>
    <row r="492">
      <c r="A492" s="257" t="s">
        <v>5319</v>
      </c>
      <c r="B492" s="257" t="s">
        <v>5320</v>
      </c>
      <c r="C492" s="257" t="str">
        <f>VLOOKUP(A492,import!A:J,3,0)</f>
        <v>DOĞRU</v>
      </c>
      <c r="D492" s="257" t="s">
        <v>3699</v>
      </c>
      <c r="E492" s="257">
        <f>VLOOKUP(A492,import!A:J,5,0)</f>
        <v>57</v>
      </c>
      <c r="F492" s="257">
        <f>VLOOKUP(A492,import!A:J,6,0)</f>
        <v>1</v>
      </c>
      <c r="G492" s="257">
        <f>VLOOKUP(A492,import!A:J,7,0)</f>
        <v>19</v>
      </c>
      <c r="H492" s="257">
        <f>VLOOKUP(A492,import!A:J,8,0)</f>
        <v>5</v>
      </c>
      <c r="I492" s="257">
        <f>VLOOKUP(A492,import!A:J,9,0)</f>
        <v>24</v>
      </c>
      <c r="J492" s="369">
        <f>VLOOKUP(A492,import!A:J,10,0)</f>
        <v>0.79</v>
      </c>
      <c r="K492" s="257" t="s">
        <v>5321</v>
      </c>
      <c r="L492" s="257">
        <v>3.224229712E9</v>
      </c>
      <c r="M492" s="257" t="s">
        <v>14</v>
      </c>
      <c r="N492" s="257" t="s">
        <v>3935</v>
      </c>
      <c r="O492" s="257" t="s">
        <v>5322</v>
      </c>
      <c r="P492" s="370" t="str">
        <f>VLOOKUP(A492,import!A:P,16,0)</f>
        <v>Geleneksel</v>
      </c>
      <c r="Q492" s="370"/>
      <c r="R492" s="370" t="b">
        <v>1</v>
      </c>
      <c r="S492" s="370" t="b">
        <v>0</v>
      </c>
      <c r="T492" s="301" t="s">
        <v>3735</v>
      </c>
      <c r="U492" s="379"/>
      <c r="V492" s="379"/>
      <c r="W492" s="301">
        <v>5.372774378E9</v>
      </c>
      <c r="X492" s="381"/>
      <c r="Y492" s="381"/>
      <c r="Z492" s="372"/>
      <c r="AA492" s="373" t="s">
        <v>3448</v>
      </c>
      <c r="AB492" s="374">
        <v>44362.0</v>
      </c>
      <c r="AC492" s="373" t="s">
        <v>3682</v>
      </c>
      <c r="AD492" s="374">
        <v>44379.0</v>
      </c>
      <c r="AE492" s="92"/>
      <c r="AF492" s="375"/>
      <c r="AG492" s="92"/>
      <c r="AH492" s="375"/>
      <c r="AI492" s="375"/>
      <c r="AJ492" s="375"/>
      <c r="AK492" s="373" t="s">
        <v>3916</v>
      </c>
      <c r="AL492" s="373" t="s">
        <v>1014</v>
      </c>
      <c r="AM492" s="375"/>
      <c r="AN492" s="375"/>
      <c r="AO492" s="375"/>
      <c r="AP492" s="376" t="s">
        <v>3683</v>
      </c>
      <c r="AQ492" s="375"/>
    </row>
    <row r="493">
      <c r="A493" s="257" t="s">
        <v>5323</v>
      </c>
      <c r="B493" s="257" t="s">
        <v>5324</v>
      </c>
      <c r="C493" s="257" t="str">
        <f>VLOOKUP(A493,import!A:J,3,0)</f>
        <v>YANLIŞ</v>
      </c>
      <c r="D493" s="257" t="s">
        <v>3699</v>
      </c>
      <c r="E493" s="257">
        <f>VLOOKUP(A493,import!A:J,5,0)</f>
        <v>19</v>
      </c>
      <c r="F493" s="257" t="str">
        <f>VLOOKUP(A493,import!A:J,6,0)</f>
        <v/>
      </c>
      <c r="G493" s="257">
        <f>VLOOKUP(A493,import!A:J,7,0)</f>
        <v>23</v>
      </c>
      <c r="H493" s="257">
        <f>VLOOKUP(A493,import!A:J,8,0)</f>
        <v>6</v>
      </c>
      <c r="I493" s="257">
        <f>VLOOKUP(A493,import!A:J,9,0)</f>
        <v>29</v>
      </c>
      <c r="J493" s="369">
        <f>VLOOKUP(A493,import!A:J,10,0)</f>
        <v>0.79</v>
      </c>
      <c r="K493" s="257" t="s">
        <v>5321</v>
      </c>
      <c r="L493" s="257">
        <v>3.222353444E9</v>
      </c>
      <c r="M493" s="257" t="s">
        <v>14</v>
      </c>
      <c r="N493" s="257" t="s">
        <v>3767</v>
      </c>
      <c r="O493" s="257" t="s">
        <v>5325</v>
      </c>
      <c r="P493" s="370" t="str">
        <f>VLOOKUP(A493,import!A:P,16,0)</f>
        <v>Geleneksel</v>
      </c>
      <c r="Q493" s="370"/>
      <c r="R493" s="370" t="b">
        <v>1</v>
      </c>
      <c r="S493" s="370" t="b">
        <v>0</v>
      </c>
      <c r="T493" s="301" t="s">
        <v>3735</v>
      </c>
      <c r="U493" s="379"/>
      <c r="V493" s="379"/>
      <c r="W493" s="301">
        <v>5.372774378E9</v>
      </c>
      <c r="X493" s="381"/>
      <c r="Y493" s="381"/>
      <c r="Z493" s="372"/>
      <c r="AA493" s="373" t="s">
        <v>3448</v>
      </c>
      <c r="AB493" s="374">
        <v>44365.0</v>
      </c>
      <c r="AC493" s="373" t="s">
        <v>3448</v>
      </c>
      <c r="AD493" s="374">
        <v>44365.0</v>
      </c>
      <c r="AE493" s="373" t="s">
        <v>3682</v>
      </c>
      <c r="AF493" s="374">
        <v>44365.0</v>
      </c>
      <c r="AG493" s="373" t="s">
        <v>3682</v>
      </c>
      <c r="AH493" s="374">
        <v>44379.0</v>
      </c>
      <c r="AI493" s="375"/>
      <c r="AJ493" s="375"/>
      <c r="AK493" s="373" t="s">
        <v>79</v>
      </c>
      <c r="AL493" s="373" t="s">
        <v>79</v>
      </c>
      <c r="AM493" s="373" t="s">
        <v>79</v>
      </c>
      <c r="AN493" s="373" t="s">
        <v>1014</v>
      </c>
      <c r="AO493" s="375"/>
      <c r="AP493" s="376" t="s">
        <v>3683</v>
      </c>
      <c r="AQ493" s="375"/>
    </row>
    <row r="494">
      <c r="A494" s="257" t="s">
        <v>5326</v>
      </c>
      <c r="B494" s="257" t="s">
        <v>5327</v>
      </c>
      <c r="C494" s="257" t="str">
        <f>VLOOKUP(A494,import!A:J,3,0)</f>
        <v>DOĞRU</v>
      </c>
      <c r="D494" s="257" t="s">
        <v>3699</v>
      </c>
      <c r="E494" s="257">
        <f>VLOOKUP(A494,import!A:J,5,0)</f>
        <v>4</v>
      </c>
      <c r="F494" s="257" t="str">
        <f>VLOOKUP(A494,import!A:J,6,0)</f>
        <v/>
      </c>
      <c r="G494" s="257">
        <f>VLOOKUP(A494,import!A:J,7,0)</f>
        <v>16</v>
      </c>
      <c r="H494" s="257">
        <f>VLOOKUP(A494,import!A:J,8,0)</f>
        <v>5</v>
      </c>
      <c r="I494" s="257">
        <f>VLOOKUP(A494,import!A:J,9,0)</f>
        <v>21</v>
      </c>
      <c r="J494" s="369">
        <f>VLOOKUP(A494,import!A:J,10,0)</f>
        <v>0.76</v>
      </c>
      <c r="K494" s="257" t="s">
        <v>5321</v>
      </c>
      <c r="L494" s="257">
        <v>3.222270921E9</v>
      </c>
      <c r="M494" s="257" t="s">
        <v>286</v>
      </c>
      <c r="N494" s="257" t="s">
        <v>3754</v>
      </c>
      <c r="O494" s="257" t="s">
        <v>5328</v>
      </c>
      <c r="P494" s="370" t="str">
        <f>VLOOKUP(A494,import!A:P,16,0)</f>
        <v>Geleneksel</v>
      </c>
      <c r="Q494" s="370"/>
      <c r="R494" s="370" t="b">
        <v>1</v>
      </c>
      <c r="S494" s="370" t="b">
        <v>0</v>
      </c>
      <c r="T494" s="301" t="s">
        <v>3735</v>
      </c>
      <c r="U494" s="379"/>
      <c r="V494" s="379"/>
      <c r="W494" s="301">
        <v>5.372774378E9</v>
      </c>
      <c r="X494" s="381"/>
      <c r="Y494" s="381"/>
      <c r="Z494" s="372"/>
      <c r="AA494" s="373" t="s">
        <v>3682</v>
      </c>
      <c r="AB494" s="374">
        <v>44379.0</v>
      </c>
      <c r="AC494" s="375"/>
      <c r="AD494" s="375"/>
      <c r="AE494" s="92"/>
      <c r="AF494" s="375"/>
      <c r="AG494" s="92"/>
      <c r="AH494" s="375"/>
      <c r="AI494" s="375"/>
      <c r="AJ494" s="375"/>
      <c r="AK494" s="373" t="s">
        <v>1014</v>
      </c>
      <c r="AL494" s="375"/>
      <c r="AM494" s="375"/>
      <c r="AN494" s="375"/>
      <c r="AO494" s="375"/>
      <c r="AP494" s="376" t="s">
        <v>3686</v>
      </c>
      <c r="AQ494" s="375"/>
    </row>
    <row r="495">
      <c r="A495" s="376" t="s">
        <v>5329</v>
      </c>
      <c r="B495" s="376" t="s">
        <v>5330</v>
      </c>
      <c r="C495" s="257" t="str">
        <f>VLOOKUP(A495,import!A:J,3,0)</f>
        <v>DOĞRU</v>
      </c>
      <c r="D495" s="376" t="s">
        <v>3690</v>
      </c>
      <c r="E495" s="257" t="str">
        <f>VLOOKUP(A495,import!A:J,5,0)</f>
        <v/>
      </c>
      <c r="F495" s="257" t="str">
        <f>VLOOKUP(A495,import!A:J,6,0)</f>
        <v/>
      </c>
      <c r="G495" s="257">
        <f>VLOOKUP(A495,import!A:J,7,0)</f>
        <v>0</v>
      </c>
      <c r="H495" s="257">
        <f>VLOOKUP(A495,import!A:J,8,0)</f>
        <v>29</v>
      </c>
      <c r="I495" s="257">
        <f>VLOOKUP(A495,import!A:J,9,0)</f>
        <v>29</v>
      </c>
      <c r="J495" s="369">
        <f>VLOOKUP(A495,import!A:J,10,0)</f>
        <v>0</v>
      </c>
      <c r="K495" s="376" t="s">
        <v>5331</v>
      </c>
      <c r="L495" s="376">
        <v>5.393490139E9</v>
      </c>
      <c r="M495" s="376" t="s">
        <v>14</v>
      </c>
      <c r="N495" s="376" t="s">
        <v>3733</v>
      </c>
      <c r="O495" s="376" t="s">
        <v>323</v>
      </c>
      <c r="P495" s="370" t="str">
        <f>VLOOKUP(A495,import!A:P,16,0)</f>
        <v>Geleneksel</v>
      </c>
      <c r="Q495" s="370"/>
      <c r="R495" s="370" t="b">
        <v>0</v>
      </c>
      <c r="S495" s="370" t="b">
        <v>0</v>
      </c>
      <c r="T495" s="301"/>
      <c r="U495" s="301"/>
      <c r="V495" s="301"/>
      <c r="W495" s="301"/>
      <c r="X495" s="371"/>
      <c r="Y495" s="371"/>
      <c r="Z495" s="372"/>
      <c r="AA495" s="373"/>
      <c r="AB495" s="374"/>
      <c r="AC495" s="373"/>
      <c r="AD495" s="374"/>
      <c r="AE495" s="373"/>
      <c r="AF495" s="374"/>
      <c r="AG495" s="373"/>
      <c r="AH495" s="374"/>
      <c r="AI495" s="373"/>
      <c r="AJ495" s="374"/>
      <c r="AK495" s="373"/>
      <c r="AL495" s="373"/>
      <c r="AM495" s="373"/>
      <c r="AN495" s="373"/>
      <c r="AO495" s="373"/>
      <c r="AP495" s="376"/>
      <c r="AQ495" s="373"/>
    </row>
    <row r="496">
      <c r="A496" s="266" t="s">
        <v>5332</v>
      </c>
      <c r="B496" s="266" t="s">
        <v>5333</v>
      </c>
      <c r="C496" s="257" t="str">
        <f>VLOOKUP(A496,import!A:J,3,0)</f>
        <v>DOĞRU</v>
      </c>
      <c r="D496" s="266" t="s">
        <v>3699</v>
      </c>
      <c r="E496" s="257">
        <f>VLOOKUP(A496,import!A:J,5,0)</f>
        <v>536</v>
      </c>
      <c r="F496" s="257">
        <f>VLOOKUP(A496,import!A:J,6,0)</f>
        <v>41</v>
      </c>
      <c r="G496" s="257">
        <f>VLOOKUP(A496,import!A:J,7,0)</f>
        <v>0</v>
      </c>
      <c r="H496" s="257">
        <f>VLOOKUP(A496,import!A:J,8,0)</f>
        <v>4</v>
      </c>
      <c r="I496" s="257">
        <f>VLOOKUP(A496,import!A:J,9,0)</f>
        <v>4</v>
      </c>
      <c r="J496" s="369">
        <f>VLOOKUP(A496,import!A:J,10,0)</f>
        <v>0</v>
      </c>
      <c r="K496" s="266" t="s">
        <v>5334</v>
      </c>
      <c r="L496" s="266">
        <v>5.49899798E9</v>
      </c>
      <c r="M496" s="266" t="s">
        <v>286</v>
      </c>
      <c r="N496" s="266" t="s">
        <v>3746</v>
      </c>
      <c r="O496" s="266" t="s">
        <v>5335</v>
      </c>
      <c r="P496" s="370" t="str">
        <f>VLOOKUP(A496,import!A:P,16,0)</f>
        <v>Geleneksel</v>
      </c>
      <c r="Q496" s="370"/>
      <c r="R496" s="370" t="b">
        <v>1</v>
      </c>
      <c r="S496" s="370" t="b">
        <v>0</v>
      </c>
      <c r="T496" s="301" t="s">
        <v>3770</v>
      </c>
      <c r="U496" s="301"/>
      <c r="V496" s="301"/>
      <c r="W496" s="301" t="s">
        <v>5336</v>
      </c>
      <c r="X496" s="381"/>
      <c r="Y496" s="381"/>
      <c r="Z496" s="301" t="s">
        <v>3957</v>
      </c>
      <c r="AA496" s="373" t="s">
        <v>3682</v>
      </c>
      <c r="AB496" s="374">
        <v>44377.0</v>
      </c>
      <c r="AC496" s="373" t="s">
        <v>3682</v>
      </c>
      <c r="AD496" s="374">
        <v>44389.0</v>
      </c>
      <c r="AE496" s="373" t="s">
        <v>3448</v>
      </c>
      <c r="AF496" s="374">
        <v>44390.0</v>
      </c>
      <c r="AG496" s="373" t="s">
        <v>3682</v>
      </c>
      <c r="AH496" s="375"/>
      <c r="AI496" s="375"/>
      <c r="AJ496" s="375"/>
      <c r="AK496" s="373" t="s">
        <v>399</v>
      </c>
      <c r="AL496" s="373" t="s">
        <v>79</v>
      </c>
      <c r="AM496" s="373" t="s">
        <v>3719</v>
      </c>
      <c r="AN496" s="373" t="s">
        <v>1953</v>
      </c>
      <c r="AO496" s="375"/>
      <c r="AP496" s="376" t="s">
        <v>3686</v>
      </c>
      <c r="AQ496" s="375"/>
    </row>
    <row r="497">
      <c r="A497" s="257" t="s">
        <v>1858</v>
      </c>
      <c r="B497" s="257" t="s">
        <v>1859</v>
      </c>
      <c r="C497" s="257" t="str">
        <f>VLOOKUP(A497,import!A:J,3,0)</f>
        <v>DOĞRU</v>
      </c>
      <c r="D497" s="257" t="s">
        <v>3759</v>
      </c>
      <c r="E497" s="257">
        <f>VLOOKUP(A497,import!A:J,5,0)</f>
        <v>1241</v>
      </c>
      <c r="F497" s="257">
        <f>VLOOKUP(A497,import!A:J,6,0)</f>
        <v>93</v>
      </c>
      <c r="G497" s="257">
        <f>VLOOKUP(A497,import!A:J,7,0)</f>
        <v>24</v>
      </c>
      <c r="H497" s="257">
        <f>VLOOKUP(A497,import!A:J,8,0)</f>
        <v>4</v>
      </c>
      <c r="I497" s="257">
        <f>VLOOKUP(A497,import!A:J,9,0)</f>
        <v>28</v>
      </c>
      <c r="J497" s="369">
        <f>VLOOKUP(A497,import!A:J,10,0)</f>
        <v>0.86</v>
      </c>
      <c r="K497" s="257" t="s">
        <v>5337</v>
      </c>
      <c r="L497" s="257">
        <v>5.012420077E9</v>
      </c>
      <c r="M497" s="257" t="s">
        <v>286</v>
      </c>
      <c r="N497" s="257" t="s">
        <v>3961</v>
      </c>
      <c r="O497" s="257" t="s">
        <v>1861</v>
      </c>
      <c r="P497" s="370" t="str">
        <f>VLOOKUP(A497,import!A:P,16,0)</f>
        <v>Geleneksel</v>
      </c>
      <c r="Q497" s="370"/>
      <c r="R497" s="370" t="b">
        <v>1</v>
      </c>
      <c r="S497" s="370" t="b">
        <v>0</v>
      </c>
      <c r="T497" s="301" t="s">
        <v>3679</v>
      </c>
      <c r="U497" s="301" t="s">
        <v>2706</v>
      </c>
      <c r="V497" s="301" t="s">
        <v>78</v>
      </c>
      <c r="W497" s="301" t="s">
        <v>5338</v>
      </c>
      <c r="X497" s="371">
        <v>44494.0</v>
      </c>
      <c r="Y497" s="371">
        <v>44495.0</v>
      </c>
      <c r="Z497" s="372"/>
      <c r="AA497" s="373" t="s">
        <v>3682</v>
      </c>
      <c r="AB497" s="374">
        <v>44414.0</v>
      </c>
      <c r="AC497" s="373" t="s">
        <v>3682</v>
      </c>
      <c r="AD497" s="374">
        <v>44494.0</v>
      </c>
      <c r="AE497" s="92"/>
      <c r="AF497" s="375"/>
      <c r="AG497" s="92"/>
      <c r="AH497" s="375"/>
      <c r="AI497" s="375"/>
      <c r="AJ497" s="375"/>
      <c r="AK497" s="373"/>
      <c r="AL497" s="373" t="s">
        <v>2706</v>
      </c>
      <c r="AM497" s="375"/>
      <c r="AN497" s="375"/>
      <c r="AO497" s="375"/>
      <c r="AP497" s="376" t="s">
        <v>3686</v>
      </c>
      <c r="AQ497" s="375"/>
    </row>
    <row r="498">
      <c r="A498" s="257" t="s">
        <v>5339</v>
      </c>
      <c r="B498" s="257" t="s">
        <v>5340</v>
      </c>
      <c r="C498" s="257" t="str">
        <f>VLOOKUP(A498,import!A:J,3,0)</f>
        <v>DOĞRU</v>
      </c>
      <c r="D498" s="257" t="s">
        <v>3713</v>
      </c>
      <c r="E498" s="257">
        <f>VLOOKUP(A498,import!A:J,5,0)</f>
        <v>1800</v>
      </c>
      <c r="F498" s="257">
        <f>VLOOKUP(A498,import!A:J,6,0)</f>
        <v>64</v>
      </c>
      <c r="G498" s="257">
        <f>VLOOKUP(A498,import!A:J,7,0)</f>
        <v>0</v>
      </c>
      <c r="H498" s="257">
        <f>VLOOKUP(A498,import!A:J,8,0)</f>
        <v>30</v>
      </c>
      <c r="I498" s="257">
        <f>VLOOKUP(A498,import!A:J,9,0)</f>
        <v>30</v>
      </c>
      <c r="J498" s="369">
        <f>VLOOKUP(A498,import!A:J,10,0)</f>
        <v>0</v>
      </c>
      <c r="K498" s="257" t="s">
        <v>5341</v>
      </c>
      <c r="L498" s="257">
        <v>5.35602973E9</v>
      </c>
      <c r="M498" s="257" t="s">
        <v>3707</v>
      </c>
      <c r="N498" s="257" t="s">
        <v>5342</v>
      </c>
      <c r="O498" s="257" t="s">
        <v>5343</v>
      </c>
      <c r="P498" s="370" t="str">
        <f>VLOOKUP(A498,import!A:P,16,0)</f>
        <v>Geleneksel</v>
      </c>
      <c r="Q498" s="370"/>
      <c r="R498" s="370" t="b">
        <v>1</v>
      </c>
      <c r="S498" s="370" t="b">
        <v>0</v>
      </c>
      <c r="T498" s="301" t="s">
        <v>3710</v>
      </c>
      <c r="U498" s="301" t="s">
        <v>3752</v>
      </c>
      <c r="V498" s="301" t="s">
        <v>78</v>
      </c>
      <c r="W498" s="301" t="s">
        <v>5344</v>
      </c>
      <c r="X498" s="371">
        <v>44393.0</v>
      </c>
      <c r="Y498" s="371">
        <v>44404.0</v>
      </c>
      <c r="Z498" s="377"/>
      <c r="AA498" s="373" t="s">
        <v>3695</v>
      </c>
      <c r="AB498" s="374">
        <v>44390.0</v>
      </c>
      <c r="AC498" s="373" t="s">
        <v>3695</v>
      </c>
      <c r="AD498" s="374">
        <v>44392.0</v>
      </c>
      <c r="AE498" s="373" t="s">
        <v>3682</v>
      </c>
      <c r="AF498" s="374">
        <v>44393.0</v>
      </c>
      <c r="AG498" s="373" t="s">
        <v>3682</v>
      </c>
      <c r="AH498" s="374">
        <v>44432.0</v>
      </c>
      <c r="AI498" s="373" t="s">
        <v>3682</v>
      </c>
      <c r="AJ498" s="374">
        <v>44491.0</v>
      </c>
      <c r="AK498" s="373" t="s">
        <v>4088</v>
      </c>
      <c r="AL498" s="373" t="s">
        <v>3719</v>
      </c>
      <c r="AM498" s="373" t="s">
        <v>3752</v>
      </c>
      <c r="AN498" s="373" t="s">
        <v>3729</v>
      </c>
      <c r="AO498" s="373" t="s">
        <v>2542</v>
      </c>
      <c r="AP498" s="376" t="s">
        <v>3686</v>
      </c>
      <c r="AQ498" s="373"/>
    </row>
    <row r="499">
      <c r="A499" s="257" t="s">
        <v>365</v>
      </c>
      <c r="B499" s="257" t="s">
        <v>366</v>
      </c>
      <c r="C499" s="257" t="str">
        <f>VLOOKUP(A499,import!A:J,3,0)</f>
        <v>DOĞRU</v>
      </c>
      <c r="D499" s="257" t="s">
        <v>3759</v>
      </c>
      <c r="E499" s="257">
        <f>VLOOKUP(A499,import!A:J,5,0)</f>
        <v>3230</v>
      </c>
      <c r="F499" s="257">
        <f>VLOOKUP(A499,import!A:J,6,0)</f>
        <v>110</v>
      </c>
      <c r="G499" s="257">
        <f>VLOOKUP(A499,import!A:J,7,0)</f>
        <v>10</v>
      </c>
      <c r="H499" s="257">
        <f>VLOOKUP(A499,import!A:J,8,0)</f>
        <v>24</v>
      </c>
      <c r="I499" s="257">
        <f>VLOOKUP(A499,import!A:J,9,0)</f>
        <v>34</v>
      </c>
      <c r="J499" s="369">
        <f>VLOOKUP(A499,import!A:J,10,0)</f>
        <v>0.29</v>
      </c>
      <c r="K499" s="257" t="s">
        <v>5345</v>
      </c>
      <c r="L499" s="257">
        <v>5.536136768E9</v>
      </c>
      <c r="M499" s="257" t="s">
        <v>286</v>
      </c>
      <c r="N499" s="257" t="s">
        <v>3855</v>
      </c>
      <c r="O499" s="257" t="s">
        <v>369</v>
      </c>
      <c r="P499" s="370" t="str">
        <f>VLOOKUP(A499,import!A:P,16,0)</f>
        <v>Geleneksel</v>
      </c>
      <c r="Q499" s="370"/>
      <c r="R499" s="370" t="b">
        <v>1</v>
      </c>
      <c r="S499" s="370" t="b">
        <v>0</v>
      </c>
      <c r="T499" s="301" t="s">
        <v>3679</v>
      </c>
      <c r="U499" s="301" t="s">
        <v>79</v>
      </c>
      <c r="V499" s="301" t="s">
        <v>342</v>
      </c>
      <c r="W499" s="301" t="s">
        <v>5346</v>
      </c>
      <c r="X499" s="371">
        <v>44306.0</v>
      </c>
      <c r="Y499" s="371">
        <v>44307.0</v>
      </c>
      <c r="Z499" s="377"/>
      <c r="AA499" s="375"/>
      <c r="AB499" s="375"/>
      <c r="AC499" s="375"/>
      <c r="AD499" s="375"/>
      <c r="AE499" s="92"/>
      <c r="AF499" s="375"/>
      <c r="AG499" s="92"/>
      <c r="AH499" s="375"/>
      <c r="AI499" s="375"/>
      <c r="AJ499" s="375"/>
      <c r="AK499" s="375"/>
      <c r="AL499" s="375"/>
      <c r="AM499" s="375"/>
      <c r="AN499" s="375"/>
      <c r="AO499" s="375"/>
      <c r="AP499" s="376" t="s">
        <v>3686</v>
      </c>
      <c r="AQ499" s="375"/>
    </row>
    <row r="500">
      <c r="A500" s="257" t="s">
        <v>5347</v>
      </c>
      <c r="B500" s="257" t="s">
        <v>5348</v>
      </c>
      <c r="C500" s="257" t="str">
        <f>VLOOKUP(A500,import!A:J,3,0)</f>
        <v>DOĞRU</v>
      </c>
      <c r="D500" s="257" t="s">
        <v>3676</v>
      </c>
      <c r="E500" s="257">
        <f>VLOOKUP(A500,import!A:J,5,0)</f>
        <v>2689</v>
      </c>
      <c r="F500" s="257">
        <f>VLOOKUP(A500,import!A:J,6,0)</f>
        <v>300</v>
      </c>
      <c r="G500" s="257">
        <f>VLOOKUP(A500,import!A:J,7,0)</f>
        <v>0</v>
      </c>
      <c r="H500" s="257">
        <f>VLOOKUP(A500,import!A:J,8,0)</f>
        <v>16</v>
      </c>
      <c r="I500" s="257">
        <f>VLOOKUP(A500,import!A:J,9,0)</f>
        <v>16</v>
      </c>
      <c r="J500" s="369">
        <f>VLOOKUP(A500,import!A:J,10,0)</f>
        <v>0</v>
      </c>
      <c r="K500" s="257" t="s">
        <v>5349</v>
      </c>
      <c r="L500" s="257">
        <v>3.225045226E9</v>
      </c>
      <c r="M500" s="257" t="s">
        <v>3692</v>
      </c>
      <c r="N500" s="257" t="s">
        <v>3721</v>
      </c>
      <c r="O500" s="257" t="s">
        <v>5350</v>
      </c>
      <c r="P500" s="370" t="str">
        <f>VLOOKUP(A500,import!A:P,16,0)</f>
        <v>Geleneksel</v>
      </c>
      <c r="Q500" s="370"/>
      <c r="R500" s="370" t="b">
        <v>0</v>
      </c>
      <c r="S500" s="370" t="b">
        <v>0</v>
      </c>
      <c r="T500" s="301"/>
      <c r="U500" s="379"/>
      <c r="V500" s="15"/>
      <c r="W500" s="301"/>
      <c r="X500" s="381"/>
      <c r="Y500" s="381"/>
      <c r="Z500" s="372"/>
      <c r="AA500" s="373"/>
      <c r="AB500" s="374"/>
      <c r="AC500" s="373"/>
      <c r="AD500" s="374"/>
      <c r="AE500" s="373"/>
      <c r="AF500" s="374"/>
      <c r="AG500" s="373"/>
      <c r="AH500" s="374"/>
      <c r="AI500" s="375"/>
      <c r="AJ500" s="375"/>
      <c r="AK500" s="373"/>
      <c r="AL500" s="375"/>
      <c r="AM500" s="375"/>
      <c r="AN500" s="373"/>
      <c r="AO500" s="375"/>
      <c r="AP500" s="376"/>
      <c r="AQ500" s="375"/>
    </row>
    <row r="501">
      <c r="A501" s="257" t="s">
        <v>5351</v>
      </c>
      <c r="B501" s="257" t="s">
        <v>5352</v>
      </c>
      <c r="C501" s="257" t="str">
        <f>VLOOKUP(A501,import!A:J,3,0)</f>
        <v>DOĞRU</v>
      </c>
      <c r="D501" s="257" t="s">
        <v>3676</v>
      </c>
      <c r="E501" s="257">
        <f>VLOOKUP(A501,import!A:J,5,0)</f>
        <v>398</v>
      </c>
      <c r="F501" s="257">
        <f>VLOOKUP(A501,import!A:J,6,0)</f>
        <v>158</v>
      </c>
      <c r="G501" s="257">
        <f>VLOOKUP(A501,import!A:J,7,0)</f>
        <v>0</v>
      </c>
      <c r="H501" s="257">
        <f>VLOOKUP(A501,import!A:J,8,0)</f>
        <v>36</v>
      </c>
      <c r="I501" s="257">
        <f>VLOOKUP(A501,import!A:J,9,0)</f>
        <v>36</v>
      </c>
      <c r="J501" s="369">
        <f>VLOOKUP(A501,import!A:J,10,0)</f>
        <v>0</v>
      </c>
      <c r="K501" s="257" t="s">
        <v>5353</v>
      </c>
      <c r="L501" s="257">
        <v>3.22231303E9</v>
      </c>
      <c r="M501" s="257" t="s">
        <v>14</v>
      </c>
      <c r="N501" s="257" t="s">
        <v>3797</v>
      </c>
      <c r="O501" s="257" t="s">
        <v>5354</v>
      </c>
      <c r="P501" s="370" t="str">
        <f>VLOOKUP(A501,import!A:P,16,0)</f>
        <v>Geleneksel</v>
      </c>
      <c r="Q501" s="370"/>
      <c r="R501" s="370" t="b">
        <v>1</v>
      </c>
      <c r="S501" s="370" t="b">
        <v>0</v>
      </c>
      <c r="T501" s="301" t="s">
        <v>3696</v>
      </c>
      <c r="U501" s="301"/>
      <c r="V501" s="301"/>
      <c r="W501" s="301" t="s">
        <v>5355</v>
      </c>
      <c r="X501" s="371"/>
      <c r="Y501" s="371"/>
      <c r="Z501" s="372"/>
      <c r="AA501" s="373" t="s">
        <v>3696</v>
      </c>
      <c r="AB501" s="374">
        <v>44630.0</v>
      </c>
      <c r="AC501" s="373"/>
      <c r="AD501" s="374"/>
      <c r="AE501" s="373"/>
      <c r="AF501" s="374"/>
      <c r="AG501" s="373"/>
      <c r="AH501" s="374"/>
      <c r="AI501" s="373"/>
      <c r="AJ501" s="374"/>
      <c r="AK501" s="373" t="s">
        <v>2576</v>
      </c>
      <c r="AL501" s="373"/>
      <c r="AM501" s="373"/>
      <c r="AN501" s="373"/>
      <c r="AO501" s="373"/>
      <c r="AP501" s="376"/>
      <c r="AQ501" s="373"/>
    </row>
    <row r="502">
      <c r="A502" s="257" t="s">
        <v>3293</v>
      </c>
      <c r="B502" s="257" t="s">
        <v>3294</v>
      </c>
      <c r="C502" s="257" t="str">
        <f>VLOOKUP(A502,import!A:J,3,0)</f>
        <v>DOĞRU</v>
      </c>
      <c r="D502" s="257" t="s">
        <v>3713</v>
      </c>
      <c r="E502" s="257">
        <f>VLOOKUP(A502,import!A:J,5,0)</f>
        <v>295</v>
      </c>
      <c r="F502" s="257">
        <f>VLOOKUP(A502,import!A:J,6,0)</f>
        <v>8</v>
      </c>
      <c r="G502" s="257">
        <f>VLOOKUP(A502,import!A:J,7,0)</f>
        <v>0</v>
      </c>
      <c r="H502" s="257">
        <f>VLOOKUP(A502,import!A:J,8,0)</f>
        <v>19</v>
      </c>
      <c r="I502" s="257">
        <f>VLOOKUP(A502,import!A:J,9,0)</f>
        <v>19</v>
      </c>
      <c r="J502" s="369">
        <f>VLOOKUP(A502,import!A:J,10,0)</f>
        <v>0</v>
      </c>
      <c r="K502" s="257" t="s">
        <v>5356</v>
      </c>
      <c r="L502" s="257">
        <v>3.224291428E9</v>
      </c>
      <c r="M502" s="257" t="s">
        <v>286</v>
      </c>
      <c r="N502" s="257" t="s">
        <v>4874</v>
      </c>
      <c r="O502" s="257" t="s">
        <v>5357</v>
      </c>
      <c r="P502" s="370" t="str">
        <f>VLOOKUP(A502,import!A:P,16,0)</f>
        <v>Geleneksel</v>
      </c>
      <c r="Q502" s="370"/>
      <c r="R502" s="370" t="b">
        <v>1</v>
      </c>
      <c r="S502" s="370" t="b">
        <v>0</v>
      </c>
      <c r="T502" s="301" t="s">
        <v>3787</v>
      </c>
      <c r="U502" s="301" t="s">
        <v>3213</v>
      </c>
      <c r="V502" s="301" t="s">
        <v>78</v>
      </c>
      <c r="W502" s="301"/>
      <c r="X502" s="371">
        <v>44566.0</v>
      </c>
      <c r="Y502" s="371">
        <v>44567.0</v>
      </c>
      <c r="Z502" s="372"/>
      <c r="AA502" s="373" t="s">
        <v>3682</v>
      </c>
      <c r="AB502" s="374">
        <v>44201.0</v>
      </c>
      <c r="AC502" s="373"/>
      <c r="AD502" s="374"/>
      <c r="AE502" s="373"/>
      <c r="AF502" s="374"/>
      <c r="AG502" s="373"/>
      <c r="AH502" s="374"/>
      <c r="AI502" s="375"/>
      <c r="AJ502" s="375"/>
      <c r="AK502" s="373" t="s">
        <v>2542</v>
      </c>
      <c r="AL502" s="375"/>
      <c r="AM502" s="375"/>
      <c r="AN502" s="373"/>
      <c r="AO502" s="375"/>
      <c r="AP502" s="376"/>
      <c r="AQ502" s="375"/>
    </row>
    <row r="503">
      <c r="A503" s="257" t="s">
        <v>5358</v>
      </c>
      <c r="B503" s="257" t="s">
        <v>5359</v>
      </c>
      <c r="C503" s="257" t="str">
        <f>VLOOKUP(A503,import!A:J,3,0)</f>
        <v>DOĞRU</v>
      </c>
      <c r="D503" s="257" t="s">
        <v>3699</v>
      </c>
      <c r="E503" s="257">
        <f>VLOOKUP(A503,import!A:J,5,0)</f>
        <v>10</v>
      </c>
      <c r="F503" s="257">
        <f>VLOOKUP(A503,import!A:J,6,0)</f>
        <v>5</v>
      </c>
      <c r="G503" s="257">
        <f>VLOOKUP(A503,import!A:J,7,0)</f>
        <v>0</v>
      </c>
      <c r="H503" s="257">
        <f>VLOOKUP(A503,import!A:J,8,0)</f>
        <v>24</v>
      </c>
      <c r="I503" s="257">
        <f>VLOOKUP(A503,import!A:J,9,0)</f>
        <v>24</v>
      </c>
      <c r="J503" s="369">
        <f>VLOOKUP(A503,import!A:J,10,0)</f>
        <v>0</v>
      </c>
      <c r="K503" s="257" t="s">
        <v>5360</v>
      </c>
      <c r="L503" s="257">
        <v>5.539373685E9</v>
      </c>
      <c r="M503" s="257" t="s">
        <v>286</v>
      </c>
      <c r="N503" s="257" t="s">
        <v>3751</v>
      </c>
      <c r="O503" s="257" t="s">
        <v>1249</v>
      </c>
      <c r="P503" s="370" t="str">
        <f>VLOOKUP(A503,import!A:P,16,0)</f>
        <v>Geleneksel</v>
      </c>
      <c r="Q503" s="370"/>
      <c r="R503" s="370" t="b">
        <v>0</v>
      </c>
      <c r="S503" s="370" t="b">
        <v>0</v>
      </c>
      <c r="T503" s="301"/>
      <c r="U503" s="301"/>
      <c r="V503" s="301"/>
      <c r="W503" s="301"/>
      <c r="X503" s="371"/>
      <c r="Y503" s="371"/>
      <c r="Z503" s="372"/>
      <c r="AA503" s="373"/>
      <c r="AB503" s="374"/>
      <c r="AC503" s="373"/>
      <c r="AD503" s="374"/>
      <c r="AE503" s="373"/>
      <c r="AF503" s="374"/>
      <c r="AG503" s="373"/>
      <c r="AH503" s="374"/>
      <c r="AI503" s="373"/>
      <c r="AJ503" s="374"/>
      <c r="AK503" s="373"/>
      <c r="AL503" s="373"/>
      <c r="AM503" s="373"/>
      <c r="AN503" s="373"/>
      <c r="AO503" s="373"/>
      <c r="AP503" s="376"/>
      <c r="AQ503" s="373"/>
    </row>
    <row r="504">
      <c r="A504" s="257" t="s">
        <v>5361</v>
      </c>
      <c r="B504" s="257" t="s">
        <v>5362</v>
      </c>
      <c r="C504" s="257" t="str">
        <f>VLOOKUP(A504,import!A:J,3,0)</f>
        <v>DOĞRU</v>
      </c>
      <c r="D504" s="257" t="s">
        <v>3699</v>
      </c>
      <c r="E504" s="257">
        <f>VLOOKUP(A504,import!A:J,5,0)</f>
        <v>1291</v>
      </c>
      <c r="F504" s="257">
        <f>VLOOKUP(A504,import!A:J,6,0)</f>
        <v>38</v>
      </c>
      <c r="G504" s="257">
        <f>VLOOKUP(A504,import!A:J,7,0)</f>
        <v>8</v>
      </c>
      <c r="H504" s="257">
        <f>VLOOKUP(A504,import!A:J,8,0)</f>
        <v>9</v>
      </c>
      <c r="I504" s="257">
        <f>VLOOKUP(A504,import!A:J,9,0)</f>
        <v>17</v>
      </c>
      <c r="J504" s="369">
        <f>VLOOKUP(A504,import!A:J,10,0)</f>
        <v>0.47</v>
      </c>
      <c r="K504" s="257" t="s">
        <v>5363</v>
      </c>
      <c r="L504" s="257">
        <v>3.2236539E9</v>
      </c>
      <c r="M504" s="257" t="s">
        <v>286</v>
      </c>
      <c r="N504" s="257" t="s">
        <v>5364</v>
      </c>
      <c r="O504" s="257" t="s">
        <v>5365</v>
      </c>
      <c r="P504" s="370" t="str">
        <f>VLOOKUP(A504,import!A:P,16,0)</f>
        <v>Geleneksel</v>
      </c>
      <c r="Q504" s="370"/>
      <c r="R504" s="370" t="b">
        <v>1</v>
      </c>
      <c r="S504" s="370" t="b">
        <v>0</v>
      </c>
      <c r="T504" s="300" t="s">
        <v>3735</v>
      </c>
      <c r="U504" s="301"/>
      <c r="V504" s="301"/>
      <c r="W504" s="301"/>
      <c r="X504" s="371"/>
      <c r="Y504" s="371"/>
      <c r="Z504" s="377"/>
      <c r="AA504" s="375"/>
      <c r="AB504" s="375"/>
      <c r="AC504" s="375"/>
      <c r="AD504" s="375"/>
      <c r="AE504" s="92"/>
      <c r="AF504" s="375"/>
      <c r="AG504" s="92"/>
      <c r="AH504" s="375"/>
      <c r="AI504" s="375"/>
      <c r="AJ504" s="375"/>
      <c r="AK504" s="375"/>
      <c r="AL504" s="375"/>
      <c r="AM504" s="375"/>
      <c r="AN504" s="375"/>
      <c r="AO504" s="375"/>
      <c r="AP504" s="376" t="s">
        <v>3686</v>
      </c>
      <c r="AQ504" s="375"/>
    </row>
    <row r="505">
      <c r="A505" s="257" t="s">
        <v>5366</v>
      </c>
      <c r="B505" s="257" t="s">
        <v>5367</v>
      </c>
      <c r="C505" s="257" t="str">
        <f>VLOOKUP(A505,import!A:J,3,0)</f>
        <v>DOĞRU</v>
      </c>
      <c r="D505" s="257" t="s">
        <v>3699</v>
      </c>
      <c r="E505" s="257">
        <f>VLOOKUP(A505,import!A:J,5,0)</f>
        <v>4651</v>
      </c>
      <c r="F505" s="257">
        <f>VLOOKUP(A505,import!A:J,6,0)</f>
        <v>146</v>
      </c>
      <c r="G505" s="257">
        <f>VLOOKUP(A505,import!A:J,7,0)</f>
        <v>9</v>
      </c>
      <c r="H505" s="257">
        <f>VLOOKUP(A505,import!A:J,8,0)</f>
        <v>5</v>
      </c>
      <c r="I505" s="257">
        <f>VLOOKUP(A505,import!A:J,9,0)</f>
        <v>14</v>
      </c>
      <c r="J505" s="369">
        <f>VLOOKUP(A505,import!A:J,10,0)</f>
        <v>0.64</v>
      </c>
      <c r="K505" s="257" t="s">
        <v>5363</v>
      </c>
      <c r="L505" s="257">
        <v>3.222320203E9</v>
      </c>
      <c r="M505" s="257" t="s">
        <v>14</v>
      </c>
      <c r="N505" s="257" t="s">
        <v>3733</v>
      </c>
      <c r="O505" s="257" t="s">
        <v>5368</v>
      </c>
      <c r="P505" s="370" t="str">
        <f>VLOOKUP(A505,import!A:P,16,0)</f>
        <v>Geleneksel</v>
      </c>
      <c r="Q505" s="370"/>
      <c r="R505" s="370" t="b">
        <v>1</v>
      </c>
      <c r="S505" s="370" t="b">
        <v>0</v>
      </c>
      <c r="T505" s="300" t="s">
        <v>3735</v>
      </c>
      <c r="U505" s="379"/>
      <c r="V505" s="379"/>
      <c r="W505" s="379"/>
      <c r="X505" s="381"/>
      <c r="Y505" s="381"/>
      <c r="Z505" s="372"/>
      <c r="AA505" s="375"/>
      <c r="AB505" s="375"/>
      <c r="AC505" s="375"/>
      <c r="AD505" s="375"/>
      <c r="AE505" s="92"/>
      <c r="AF505" s="375"/>
      <c r="AG505" s="92"/>
      <c r="AH505" s="375"/>
      <c r="AI505" s="375"/>
      <c r="AJ505" s="375"/>
      <c r="AK505" s="375"/>
      <c r="AL505" s="375"/>
      <c r="AM505" s="375"/>
      <c r="AN505" s="375"/>
      <c r="AO505" s="375"/>
      <c r="AP505" s="376" t="s">
        <v>3683</v>
      </c>
      <c r="AQ505" s="375"/>
    </row>
    <row r="506">
      <c r="A506" s="257" t="s">
        <v>509</v>
      </c>
      <c r="B506" s="257" t="s">
        <v>510</v>
      </c>
      <c r="C506" s="257" t="str">
        <f>VLOOKUP(A506,import!A:J,3,0)</f>
        <v>DOĞRU</v>
      </c>
      <c r="D506" s="257" t="s">
        <v>3699</v>
      </c>
      <c r="E506" s="257">
        <f>VLOOKUP(A506,import!A:J,5,0)</f>
        <v>1800</v>
      </c>
      <c r="F506" s="257">
        <f>VLOOKUP(A506,import!A:J,6,0)</f>
        <v>46</v>
      </c>
      <c r="G506" s="257">
        <f>VLOOKUP(A506,import!A:J,7,0)</f>
        <v>8</v>
      </c>
      <c r="H506" s="257">
        <f>VLOOKUP(A506,import!A:J,8,0)</f>
        <v>5</v>
      </c>
      <c r="I506" s="257">
        <f>VLOOKUP(A506,import!A:J,9,0)</f>
        <v>13</v>
      </c>
      <c r="J506" s="369">
        <f>VLOOKUP(A506,import!A:J,10,0)</f>
        <v>0.62</v>
      </c>
      <c r="K506" s="257" t="s">
        <v>5363</v>
      </c>
      <c r="L506" s="257">
        <v>3.224577707E9</v>
      </c>
      <c r="M506" s="257" t="s">
        <v>286</v>
      </c>
      <c r="N506" s="257" t="s">
        <v>3737</v>
      </c>
      <c r="O506" s="257" t="s">
        <v>512</v>
      </c>
      <c r="P506" s="370" t="str">
        <f>VLOOKUP(A506,import!A:P,16,0)</f>
        <v>Geleneksel</v>
      </c>
      <c r="Q506" s="370"/>
      <c r="R506" s="370" t="b">
        <v>1</v>
      </c>
      <c r="S506" s="370" t="b">
        <v>0</v>
      </c>
      <c r="T506" s="301" t="s">
        <v>3679</v>
      </c>
      <c r="U506" s="301" t="s">
        <v>79</v>
      </c>
      <c r="V506" s="301" t="s">
        <v>4866</v>
      </c>
      <c r="W506" s="301"/>
      <c r="X506" s="371">
        <v>44310.0</v>
      </c>
      <c r="Y506" s="371">
        <v>44313.0</v>
      </c>
      <c r="Z506" s="377"/>
      <c r="AA506" s="375"/>
      <c r="AB506" s="375"/>
      <c r="AC506" s="375"/>
      <c r="AD506" s="375"/>
      <c r="AE506" s="92"/>
      <c r="AF506" s="375"/>
      <c r="AG506" s="92"/>
      <c r="AH506" s="375"/>
      <c r="AI506" s="375"/>
      <c r="AJ506" s="375"/>
      <c r="AK506" s="375"/>
      <c r="AL506" s="375"/>
      <c r="AM506" s="375"/>
      <c r="AN506" s="375"/>
      <c r="AO506" s="375"/>
      <c r="AP506" s="376" t="s">
        <v>3683</v>
      </c>
      <c r="AQ506" s="375"/>
    </row>
    <row r="507">
      <c r="A507" s="257" t="s">
        <v>405</v>
      </c>
      <c r="B507" s="257" t="s">
        <v>406</v>
      </c>
      <c r="C507" s="257" t="str">
        <f>VLOOKUP(A507,import!A:J,3,0)</f>
        <v>DOĞRU</v>
      </c>
      <c r="D507" s="257" t="s">
        <v>3801</v>
      </c>
      <c r="E507" s="257">
        <f>VLOOKUP(A507,import!A:J,5,0)</f>
        <v>1900</v>
      </c>
      <c r="F507" s="257">
        <f>VLOOKUP(A507,import!A:J,6,0)</f>
        <v>51</v>
      </c>
      <c r="G507" s="257">
        <f>VLOOKUP(A507,import!A:J,7,0)</f>
        <v>0</v>
      </c>
      <c r="H507" s="257">
        <f>VLOOKUP(A507,import!A:J,8,0)</f>
        <v>11</v>
      </c>
      <c r="I507" s="257">
        <f>VLOOKUP(A507,import!A:J,9,0)</f>
        <v>11</v>
      </c>
      <c r="J507" s="369">
        <f>VLOOKUP(A507,import!A:J,10,0)</f>
        <v>0</v>
      </c>
      <c r="K507" s="257" t="s">
        <v>5369</v>
      </c>
      <c r="L507" s="257">
        <v>5.380443909E9</v>
      </c>
      <c r="M507" s="257" t="s">
        <v>286</v>
      </c>
      <c r="N507" s="257" t="s">
        <v>3746</v>
      </c>
      <c r="O507" s="257" t="s">
        <v>5370</v>
      </c>
      <c r="P507" s="370" t="str">
        <f>VLOOKUP(A507,import!A:P,16,0)</f>
        <v>Geleneksel</v>
      </c>
      <c r="Q507" s="370"/>
      <c r="R507" s="370" t="b">
        <v>1</v>
      </c>
      <c r="S507" s="370" t="b">
        <v>0</v>
      </c>
      <c r="T507" s="370" t="s">
        <v>3787</v>
      </c>
      <c r="U507" s="301" t="s">
        <v>79</v>
      </c>
      <c r="V507" s="299" t="s">
        <v>78</v>
      </c>
      <c r="W507" s="267" t="s">
        <v>5371</v>
      </c>
      <c r="X507" s="371">
        <v>44476.0</v>
      </c>
      <c r="Y507" s="371">
        <v>44477.0</v>
      </c>
      <c r="Z507" s="377"/>
      <c r="AA507" s="373" t="s">
        <v>3682</v>
      </c>
      <c r="AB507" s="374">
        <v>44377.0</v>
      </c>
      <c r="AC507" s="373" t="s">
        <v>3448</v>
      </c>
      <c r="AD507" s="374">
        <v>44390.0</v>
      </c>
      <c r="AE507" s="373" t="s">
        <v>3682</v>
      </c>
      <c r="AF507" s="374">
        <v>44431.0</v>
      </c>
      <c r="AG507" s="373" t="s">
        <v>3448</v>
      </c>
      <c r="AH507" s="374">
        <v>44434.0</v>
      </c>
      <c r="AI507" s="373" t="s">
        <v>3682</v>
      </c>
      <c r="AJ507" s="374">
        <v>44457.0</v>
      </c>
      <c r="AK507" s="373" t="s">
        <v>79</v>
      </c>
      <c r="AL507" s="373" t="s">
        <v>3719</v>
      </c>
      <c r="AM507" s="373" t="s">
        <v>1953</v>
      </c>
      <c r="AN507" s="373" t="s">
        <v>79</v>
      </c>
      <c r="AO507" s="373" t="s">
        <v>79</v>
      </c>
      <c r="AP507" s="376" t="s">
        <v>3686</v>
      </c>
      <c r="AQ507" s="373"/>
    </row>
    <row r="508">
      <c r="A508" s="257" t="s">
        <v>1885</v>
      </c>
      <c r="B508" s="257" t="s">
        <v>1886</v>
      </c>
      <c r="C508" s="257" t="str">
        <f>VLOOKUP(A508,import!A:J,3,0)</f>
        <v>DOĞRU</v>
      </c>
      <c r="D508" s="257" t="s">
        <v>3676</v>
      </c>
      <c r="E508" s="257">
        <f>VLOOKUP(A508,import!A:J,5,0)</f>
        <v>2388</v>
      </c>
      <c r="F508" s="257">
        <f>VLOOKUP(A508,import!A:J,6,0)</f>
        <v>94</v>
      </c>
      <c r="G508" s="257">
        <f>VLOOKUP(A508,import!A:J,7,0)</f>
        <v>9</v>
      </c>
      <c r="H508" s="257">
        <f>VLOOKUP(A508,import!A:J,8,0)</f>
        <v>0</v>
      </c>
      <c r="I508" s="257">
        <f>VLOOKUP(A508,import!A:J,9,0)</f>
        <v>9</v>
      </c>
      <c r="J508" s="369">
        <f>VLOOKUP(A508,import!A:J,10,0)</f>
        <v>1</v>
      </c>
      <c r="K508" s="257" t="s">
        <v>5372</v>
      </c>
      <c r="L508" s="257">
        <v>3.225020144E9</v>
      </c>
      <c r="M508" s="257" t="s">
        <v>286</v>
      </c>
      <c r="N508" s="257" t="s">
        <v>3688</v>
      </c>
      <c r="O508" s="257" t="s">
        <v>1888</v>
      </c>
      <c r="P508" s="370" t="str">
        <f>VLOOKUP(A508,import!A:P,16,0)</f>
        <v>Geleneksel</v>
      </c>
      <c r="Q508" s="370"/>
      <c r="R508" s="370" t="b">
        <v>1</v>
      </c>
      <c r="S508" s="370" t="b">
        <v>0</v>
      </c>
      <c r="T508" s="301" t="s">
        <v>3679</v>
      </c>
      <c r="U508" s="301" t="s">
        <v>79</v>
      </c>
      <c r="V508" s="301" t="s">
        <v>78</v>
      </c>
      <c r="W508" s="301" t="s">
        <v>5373</v>
      </c>
      <c r="X508" s="371">
        <v>44445.0</v>
      </c>
      <c r="Y508" s="371">
        <v>44447.0</v>
      </c>
      <c r="Z508" s="372"/>
      <c r="AA508" s="373"/>
      <c r="AB508" s="374"/>
      <c r="AC508" s="373"/>
      <c r="AD508" s="374"/>
      <c r="AE508" s="92"/>
      <c r="AF508" s="375"/>
      <c r="AG508" s="92"/>
      <c r="AH508" s="375"/>
      <c r="AI508" s="375"/>
      <c r="AJ508" s="375"/>
      <c r="AK508" s="373"/>
      <c r="AL508" s="375"/>
      <c r="AM508" s="375"/>
      <c r="AN508" s="375"/>
      <c r="AO508" s="375"/>
      <c r="AP508" s="376" t="s">
        <v>3686</v>
      </c>
      <c r="AQ508" s="375"/>
    </row>
    <row r="509">
      <c r="A509" s="257" t="s">
        <v>227</v>
      </c>
      <c r="B509" s="257" t="s">
        <v>228</v>
      </c>
      <c r="C509" s="257" t="str">
        <f>VLOOKUP(A509,import!A:J,3,0)</f>
        <v>DOĞRU</v>
      </c>
      <c r="D509" s="257" t="s">
        <v>3713</v>
      </c>
      <c r="E509" s="257">
        <f>VLOOKUP(A509,import!A:J,5,0)</f>
        <v>1162</v>
      </c>
      <c r="F509" s="257">
        <f>VLOOKUP(A509,import!A:J,6,0)</f>
        <v>41</v>
      </c>
      <c r="G509" s="257">
        <f>VLOOKUP(A509,import!A:J,7,0)</f>
        <v>3</v>
      </c>
      <c r="H509" s="257">
        <f>VLOOKUP(A509,import!A:J,8,0)</f>
        <v>29</v>
      </c>
      <c r="I509" s="257">
        <f>VLOOKUP(A509,import!A:J,9,0)</f>
        <v>32</v>
      </c>
      <c r="J509" s="369">
        <f>VLOOKUP(A509,import!A:J,10,0)</f>
        <v>0.09</v>
      </c>
      <c r="K509" s="257" t="s">
        <v>5374</v>
      </c>
      <c r="L509" s="257">
        <v>3.222350515E9</v>
      </c>
      <c r="M509" s="257" t="s">
        <v>14</v>
      </c>
      <c r="N509" s="257" t="s">
        <v>3797</v>
      </c>
      <c r="O509" s="257" t="s">
        <v>230</v>
      </c>
      <c r="P509" s="370" t="str">
        <f>VLOOKUP(A509,import!A:P,16,0)</f>
        <v>Geleneksel</v>
      </c>
      <c r="Q509" s="370"/>
      <c r="R509" s="370" t="b">
        <v>1</v>
      </c>
      <c r="S509" s="370" t="b">
        <v>0</v>
      </c>
      <c r="T509" s="389" t="s">
        <v>3679</v>
      </c>
      <c r="U509" s="389" t="s">
        <v>79</v>
      </c>
      <c r="V509" s="389" t="s">
        <v>78</v>
      </c>
      <c r="W509" s="389" t="s">
        <v>5076</v>
      </c>
      <c r="X509" s="390">
        <v>44300.0</v>
      </c>
      <c r="Y509" s="390">
        <v>44301.0</v>
      </c>
      <c r="Z509" s="391"/>
      <c r="AA509" s="375"/>
      <c r="AB509" s="375"/>
      <c r="AC509" s="375"/>
      <c r="AD509" s="375"/>
      <c r="AE509" s="92"/>
      <c r="AF509" s="375"/>
      <c r="AG509" s="92"/>
      <c r="AH509" s="375"/>
      <c r="AI509" s="375"/>
      <c r="AJ509" s="375"/>
      <c r="AK509" s="375"/>
      <c r="AL509" s="375"/>
      <c r="AM509" s="375"/>
      <c r="AN509" s="375"/>
      <c r="AO509" s="375"/>
      <c r="AP509" s="376" t="s">
        <v>3683</v>
      </c>
      <c r="AQ509" s="375"/>
    </row>
    <row r="510">
      <c r="A510" s="257" t="s">
        <v>3590</v>
      </c>
      <c r="B510" s="257" t="s">
        <v>3591</v>
      </c>
      <c r="C510" s="257" t="str">
        <f>VLOOKUP(A510,import!A:J,3,0)</f>
        <v>DOĞRU</v>
      </c>
      <c r="D510" s="257" t="s">
        <v>3690</v>
      </c>
      <c r="E510" s="257">
        <f>VLOOKUP(A510,import!A:J,5,0)</f>
        <v>823</v>
      </c>
      <c r="F510" s="257">
        <f>VLOOKUP(A510,import!A:J,6,0)</f>
        <v>118</v>
      </c>
      <c r="G510" s="257">
        <f>VLOOKUP(A510,import!A:J,7,0)</f>
        <v>0</v>
      </c>
      <c r="H510" s="257">
        <f>VLOOKUP(A510,import!A:J,8,0)</f>
        <v>37</v>
      </c>
      <c r="I510" s="257">
        <f>VLOOKUP(A510,import!A:J,9,0)</f>
        <v>37</v>
      </c>
      <c r="J510" s="369">
        <f>VLOOKUP(A510,import!A:J,10,0)</f>
        <v>0</v>
      </c>
      <c r="K510" s="257" t="s">
        <v>5375</v>
      </c>
      <c r="L510" s="257">
        <v>3.223633781E9</v>
      </c>
      <c r="M510" s="257" t="s">
        <v>286</v>
      </c>
      <c r="N510" s="257" t="s">
        <v>4451</v>
      </c>
      <c r="O510" s="257" t="s">
        <v>3594</v>
      </c>
      <c r="P510" s="370" t="str">
        <f>VLOOKUP(A510,import!A:P,16,0)</f>
        <v>Geleneksel</v>
      </c>
      <c r="Q510" s="370"/>
      <c r="R510" s="370" t="b">
        <v>1</v>
      </c>
      <c r="S510" s="370" t="b">
        <v>0</v>
      </c>
      <c r="T510" s="301" t="s">
        <v>3679</v>
      </c>
      <c r="U510" s="301" t="s">
        <v>2542</v>
      </c>
      <c r="V510" s="394" t="s">
        <v>3331</v>
      </c>
      <c r="W510" s="301" t="s">
        <v>5376</v>
      </c>
      <c r="X510" s="371">
        <v>44638.0</v>
      </c>
      <c r="Y510" s="371">
        <v>44642.0</v>
      </c>
      <c r="Z510" s="372"/>
      <c r="AA510" s="373" t="s">
        <v>3682</v>
      </c>
      <c r="AB510" s="371">
        <v>44638.0</v>
      </c>
      <c r="AC510" s="373" t="s">
        <v>3682</v>
      </c>
      <c r="AD510" s="374">
        <v>44641.0</v>
      </c>
      <c r="AE510" s="373"/>
      <c r="AF510" s="374"/>
      <c r="AG510" s="373"/>
      <c r="AH510" s="374"/>
      <c r="AI510" s="375"/>
      <c r="AJ510" s="375"/>
      <c r="AK510" s="373" t="s">
        <v>2542</v>
      </c>
      <c r="AL510" s="373" t="s">
        <v>2542</v>
      </c>
      <c r="AM510" s="375"/>
      <c r="AN510" s="373"/>
      <c r="AO510" s="375"/>
      <c r="AP510" s="376"/>
      <c r="AQ510" s="375"/>
    </row>
    <row r="511">
      <c r="A511" s="257" t="s">
        <v>343</v>
      </c>
      <c r="B511" s="257" t="s">
        <v>344</v>
      </c>
      <c r="C511" s="257" t="str">
        <f>VLOOKUP(A511,import!A:J,3,0)</f>
        <v>DOĞRU</v>
      </c>
      <c r="D511" s="257" t="s">
        <v>3699</v>
      </c>
      <c r="E511" s="406">
        <f>VLOOKUP(A511,import!A:J,5,0)</f>
        <v>735</v>
      </c>
      <c r="F511" s="257">
        <f>VLOOKUP(A511,import!A:J,6,0)</f>
        <v>46</v>
      </c>
      <c r="G511" s="257">
        <f>VLOOKUP(A511,import!A:J,7,0)</f>
        <v>0</v>
      </c>
      <c r="H511" s="257">
        <f>VLOOKUP(A511,import!A:J,8,0)</f>
        <v>20</v>
      </c>
      <c r="I511" s="257">
        <f>VLOOKUP(A511,import!A:J,9,0)</f>
        <v>20</v>
      </c>
      <c r="J511" s="369">
        <f>VLOOKUP(A511,import!A:J,10,0)</f>
        <v>0</v>
      </c>
      <c r="K511" s="257" t="s">
        <v>5377</v>
      </c>
      <c r="L511" s="257">
        <v>5.334704014E9</v>
      </c>
      <c r="M511" s="257" t="s">
        <v>14</v>
      </c>
      <c r="N511" s="257" t="s">
        <v>3733</v>
      </c>
      <c r="O511" s="257" t="s">
        <v>346</v>
      </c>
      <c r="P511" s="370" t="str">
        <f>VLOOKUP(A511,import!A:P,16,0)</f>
        <v>Geleneksel</v>
      </c>
      <c r="Q511" s="370"/>
      <c r="R511" s="370" t="b">
        <v>1</v>
      </c>
      <c r="S511" s="370" t="b">
        <v>0</v>
      </c>
      <c r="T511" s="301" t="s">
        <v>3770</v>
      </c>
      <c r="U511" s="301" t="s">
        <v>1371</v>
      </c>
      <c r="V511" s="301" t="s">
        <v>78</v>
      </c>
      <c r="W511" s="301" t="s">
        <v>5378</v>
      </c>
      <c r="X511" s="371">
        <v>44305.0</v>
      </c>
      <c r="Y511" s="371">
        <v>44307.0</v>
      </c>
      <c r="Z511" s="377"/>
      <c r="AA511" s="373" t="s">
        <v>3681</v>
      </c>
      <c r="AB511" s="374">
        <v>44362.0</v>
      </c>
      <c r="AC511" s="373" t="s">
        <v>3448</v>
      </c>
      <c r="AD511" s="374">
        <v>44365.0</v>
      </c>
      <c r="AE511" s="373" t="s">
        <v>3448</v>
      </c>
      <c r="AF511" s="374">
        <v>44384.0</v>
      </c>
      <c r="AG511" s="373" t="s">
        <v>3448</v>
      </c>
      <c r="AH511" s="374">
        <v>44382.0</v>
      </c>
      <c r="AI511" s="373" t="s">
        <v>3682</v>
      </c>
      <c r="AJ511" s="374">
        <v>44471.0</v>
      </c>
      <c r="AK511" s="373" t="s">
        <v>2706</v>
      </c>
      <c r="AL511" s="373" t="s">
        <v>79</v>
      </c>
      <c r="AM511" s="373" t="s">
        <v>1014</v>
      </c>
      <c r="AN511" s="373" t="s">
        <v>3719</v>
      </c>
      <c r="AO511" s="373" t="s">
        <v>79</v>
      </c>
      <c r="AP511" s="376" t="s">
        <v>3683</v>
      </c>
      <c r="AQ511" s="373"/>
    </row>
    <row r="512">
      <c r="A512" s="266" t="s">
        <v>482</v>
      </c>
      <c r="B512" s="266" t="s">
        <v>483</v>
      </c>
      <c r="C512" s="257" t="str">
        <f>VLOOKUP(A512,import!A:J,3,0)</f>
        <v>DOĞRU</v>
      </c>
      <c r="D512" s="266" t="s">
        <v>3699</v>
      </c>
      <c r="E512" s="257">
        <f>VLOOKUP(A512,import!A:J,5,0)</f>
        <v>1299</v>
      </c>
      <c r="F512" s="257">
        <f>VLOOKUP(A512,import!A:J,6,0)</f>
        <v>74</v>
      </c>
      <c r="G512" s="257">
        <f>VLOOKUP(A512,import!A:J,7,0)</f>
        <v>31</v>
      </c>
      <c r="H512" s="257">
        <f>VLOOKUP(A512,import!A:J,8,0)</f>
        <v>40</v>
      </c>
      <c r="I512" s="257">
        <f>VLOOKUP(A512,import!A:J,9,0)</f>
        <v>71</v>
      </c>
      <c r="J512" s="369">
        <f>VLOOKUP(A512,import!A:J,10,0)</f>
        <v>0.44</v>
      </c>
      <c r="K512" s="266" t="s">
        <v>5379</v>
      </c>
      <c r="L512" s="266">
        <v>5.353375796E9</v>
      </c>
      <c r="M512" s="266" t="s">
        <v>14</v>
      </c>
      <c r="N512" s="266" t="s">
        <v>3826</v>
      </c>
      <c r="O512" s="266" t="s">
        <v>485</v>
      </c>
      <c r="P512" s="370" t="str">
        <f>VLOOKUP(A512,import!A:P,16,0)</f>
        <v>Geleneksel</v>
      </c>
      <c r="Q512" s="370"/>
      <c r="R512" s="370" t="b">
        <v>1</v>
      </c>
      <c r="S512" s="370" t="b">
        <v>0</v>
      </c>
      <c r="T512" s="301" t="s">
        <v>3679</v>
      </c>
      <c r="U512" s="301" t="s">
        <v>1947</v>
      </c>
      <c r="V512" s="301" t="s">
        <v>78</v>
      </c>
      <c r="W512" s="301" t="s">
        <v>5380</v>
      </c>
      <c r="X512" s="371">
        <v>44345.0</v>
      </c>
      <c r="Y512" s="371">
        <v>44348.0</v>
      </c>
      <c r="Z512" s="377"/>
      <c r="AA512" s="375"/>
      <c r="AB512" s="375"/>
      <c r="AC512" s="373" t="s">
        <v>3682</v>
      </c>
      <c r="AD512" s="374">
        <v>44427.0</v>
      </c>
      <c r="AE512" s="92"/>
      <c r="AF512" s="375"/>
      <c r="AG512" s="92"/>
      <c r="AH512" s="375"/>
      <c r="AI512" s="375"/>
      <c r="AJ512" s="375"/>
      <c r="AK512" s="375"/>
      <c r="AL512" s="373" t="s">
        <v>1947</v>
      </c>
      <c r="AM512" s="375"/>
      <c r="AN512" s="375"/>
      <c r="AO512" s="375"/>
      <c r="AP512" s="376" t="s">
        <v>3683</v>
      </c>
      <c r="AQ512" s="375"/>
    </row>
    <row r="513">
      <c r="A513" s="257" t="s">
        <v>1743</v>
      </c>
      <c r="B513" s="257" t="s">
        <v>1744</v>
      </c>
      <c r="C513" s="257" t="str">
        <f>VLOOKUP(A513,import!A:J,3,0)</f>
        <v>DOĞRU</v>
      </c>
      <c r="D513" s="257" t="s">
        <v>3822</v>
      </c>
      <c r="E513" s="257">
        <f>VLOOKUP(A513,import!A:J,5,0)</f>
        <v>811</v>
      </c>
      <c r="F513" s="257">
        <f>VLOOKUP(A513,import!A:J,6,0)</f>
        <v>8</v>
      </c>
      <c r="G513" s="257">
        <f>VLOOKUP(A513,import!A:J,7,0)</f>
        <v>10</v>
      </c>
      <c r="H513" s="257">
        <f>VLOOKUP(A513,import!A:J,8,0)</f>
        <v>7</v>
      </c>
      <c r="I513" s="257">
        <f>VLOOKUP(A513,import!A:J,9,0)</f>
        <v>17</v>
      </c>
      <c r="J513" s="369">
        <f>VLOOKUP(A513,import!A:J,10,0)</f>
        <v>0.59</v>
      </c>
      <c r="K513" s="257" t="s">
        <v>5381</v>
      </c>
      <c r="L513" s="257">
        <v>5.330485908E9</v>
      </c>
      <c r="M513" s="257" t="s">
        <v>14</v>
      </c>
      <c r="N513" s="257" t="s">
        <v>3935</v>
      </c>
      <c r="O513" s="257" t="s">
        <v>1746</v>
      </c>
      <c r="P513" s="370" t="str">
        <f>VLOOKUP(A513,import!A:P,16,0)</f>
        <v>Geleneksel</v>
      </c>
      <c r="Q513" s="370"/>
      <c r="R513" s="370" t="b">
        <v>1</v>
      </c>
      <c r="S513" s="370" t="b">
        <v>0</v>
      </c>
      <c r="T513" s="301" t="s">
        <v>3679</v>
      </c>
      <c r="U513" s="301" t="s">
        <v>2282</v>
      </c>
      <c r="V513" s="301" t="s">
        <v>78</v>
      </c>
      <c r="W513" s="301" t="s">
        <v>5382</v>
      </c>
      <c r="X513" s="371">
        <v>44469.0</v>
      </c>
      <c r="Y513" s="371">
        <v>44470.0</v>
      </c>
      <c r="Z513" s="372"/>
      <c r="AA513" s="373" t="s">
        <v>3682</v>
      </c>
      <c r="AB513" s="374">
        <v>44412.0</v>
      </c>
      <c r="AC513" s="373" t="s">
        <v>3682</v>
      </c>
      <c r="AD513" s="374">
        <v>44436.0</v>
      </c>
      <c r="AE513" s="373" t="s">
        <v>3682</v>
      </c>
      <c r="AF513" s="374">
        <v>44445.0</v>
      </c>
      <c r="AG513" s="373" t="s">
        <v>3682</v>
      </c>
      <c r="AH513" s="374">
        <v>44469.0</v>
      </c>
      <c r="AI513" s="375"/>
      <c r="AJ513" s="375"/>
      <c r="AK513" s="373" t="s">
        <v>3723</v>
      </c>
      <c r="AL513" s="373" t="s">
        <v>3729</v>
      </c>
      <c r="AM513" s="373" t="s">
        <v>79</v>
      </c>
      <c r="AN513" s="373" t="s">
        <v>2282</v>
      </c>
      <c r="AO513" s="375"/>
      <c r="AP513" s="376" t="s">
        <v>3683</v>
      </c>
      <c r="AQ513" s="375"/>
    </row>
    <row r="514">
      <c r="A514" s="257" t="s">
        <v>3422</v>
      </c>
      <c r="B514" s="257" t="s">
        <v>3423</v>
      </c>
      <c r="C514" s="257" t="str">
        <f>VLOOKUP(A514,import!A:J,3,0)</f>
        <v>DOĞRU</v>
      </c>
      <c r="D514" s="257" t="s">
        <v>3699</v>
      </c>
      <c r="E514" s="257">
        <f>VLOOKUP(A514,import!A:J,5,0)</f>
        <v>76</v>
      </c>
      <c r="F514" s="257">
        <f>VLOOKUP(A514,import!A:J,6,0)</f>
        <v>6</v>
      </c>
      <c r="G514" s="257">
        <f>VLOOKUP(A514,import!A:J,7,0)</f>
        <v>0</v>
      </c>
      <c r="H514" s="257">
        <f>VLOOKUP(A514,import!A:J,8,0)</f>
        <v>20</v>
      </c>
      <c r="I514" s="257">
        <f>VLOOKUP(A514,import!A:J,9,0)</f>
        <v>20</v>
      </c>
      <c r="J514" s="369">
        <f>VLOOKUP(A514,import!A:J,10,0)</f>
        <v>0</v>
      </c>
      <c r="K514" s="257" t="s">
        <v>5383</v>
      </c>
      <c r="L514" s="257">
        <v>5.528542302E9</v>
      </c>
      <c r="M514" s="257" t="s">
        <v>286</v>
      </c>
      <c r="N514" s="257" t="s">
        <v>3754</v>
      </c>
      <c r="O514" s="257" t="s">
        <v>3425</v>
      </c>
      <c r="P514" s="370" t="str">
        <f>VLOOKUP(A514,import!A:P,16,0)</f>
        <v>Geleneksel</v>
      </c>
      <c r="Q514" s="370"/>
      <c r="R514" s="370" t="b">
        <v>1</v>
      </c>
      <c r="S514" s="370" t="b">
        <v>0</v>
      </c>
      <c r="T514" s="301" t="s">
        <v>3710</v>
      </c>
      <c r="U514" s="301" t="s">
        <v>2576</v>
      </c>
      <c r="V514" s="380" t="s">
        <v>3331</v>
      </c>
      <c r="W514" s="301" t="s">
        <v>5384</v>
      </c>
      <c r="X514" s="371">
        <v>44621.0</v>
      </c>
      <c r="Y514" s="371">
        <v>44622.0</v>
      </c>
      <c r="Z514" s="372"/>
      <c r="AA514" s="373" t="s">
        <v>3682</v>
      </c>
      <c r="AB514" s="374">
        <v>44621.0</v>
      </c>
      <c r="AC514" s="373"/>
      <c r="AD514" s="374"/>
      <c r="AE514" s="373"/>
      <c r="AF514" s="374"/>
      <c r="AG514" s="373"/>
      <c r="AH514" s="374"/>
      <c r="AI514" s="375"/>
      <c r="AJ514" s="375"/>
      <c r="AK514" s="373" t="s">
        <v>2576</v>
      </c>
      <c r="AL514" s="375"/>
      <c r="AM514" s="375"/>
      <c r="AN514" s="373"/>
      <c r="AO514" s="375"/>
      <c r="AP514" s="376"/>
      <c r="AQ514" s="375"/>
    </row>
    <row r="515">
      <c r="A515" s="257" t="s">
        <v>3626</v>
      </c>
      <c r="B515" s="257" t="s">
        <v>3627</v>
      </c>
      <c r="C515" s="257" t="str">
        <f>VLOOKUP(A515,import!A:J,3,0)</f>
        <v>DOĞRU</v>
      </c>
      <c r="D515" s="257" t="s">
        <v>3713</v>
      </c>
      <c r="E515" s="257">
        <f>VLOOKUP(A515,import!A:J,5,0)</f>
        <v>113</v>
      </c>
      <c r="F515" s="257">
        <f>VLOOKUP(A515,import!A:J,6,0)</f>
        <v>18</v>
      </c>
      <c r="G515" s="257">
        <f>VLOOKUP(A515,import!A:J,7,0)</f>
        <v>0</v>
      </c>
      <c r="H515" s="257">
        <f>VLOOKUP(A515,import!A:J,8,0)</f>
        <v>22</v>
      </c>
      <c r="I515" s="257">
        <f>VLOOKUP(A515,import!A:J,9,0)</f>
        <v>22</v>
      </c>
      <c r="J515" s="369">
        <f>VLOOKUP(A515,import!A:J,10,0)</f>
        <v>0</v>
      </c>
      <c r="K515" s="257" t="s">
        <v>5385</v>
      </c>
      <c r="L515" s="257">
        <v>3.222272777E9</v>
      </c>
      <c r="M515" s="257" t="s">
        <v>286</v>
      </c>
      <c r="N515" s="257" t="s">
        <v>3782</v>
      </c>
      <c r="O515" s="257" t="s">
        <v>3629</v>
      </c>
      <c r="P515" s="370" t="str">
        <f>VLOOKUP(A515,import!A:P,16,0)</f>
        <v>Geleneksel</v>
      </c>
      <c r="Q515" s="370"/>
      <c r="R515" s="370" t="b">
        <v>1</v>
      </c>
      <c r="S515" s="370" t="b">
        <v>0</v>
      </c>
      <c r="T515" s="301" t="s">
        <v>3679</v>
      </c>
      <c r="U515" s="301" t="s">
        <v>2542</v>
      </c>
      <c r="V515" s="394" t="s">
        <v>3331</v>
      </c>
      <c r="W515" s="301">
        <v>5.421262679E9</v>
      </c>
      <c r="X515" s="371">
        <v>44641.0</v>
      </c>
      <c r="Y515" s="371">
        <v>44642.0</v>
      </c>
      <c r="Z515" s="372"/>
      <c r="AA515" s="373" t="s">
        <v>3682</v>
      </c>
      <c r="AB515" s="371">
        <v>44641.0</v>
      </c>
      <c r="AC515" s="373"/>
      <c r="AD515" s="374"/>
      <c r="AE515" s="373"/>
      <c r="AF515" s="374"/>
      <c r="AG515" s="373"/>
      <c r="AH515" s="374"/>
      <c r="AI515" s="373"/>
      <c r="AJ515" s="374"/>
      <c r="AK515" s="373" t="s">
        <v>2542</v>
      </c>
      <c r="AL515" s="373"/>
      <c r="AM515" s="373"/>
      <c r="AN515" s="373"/>
      <c r="AO515" s="373"/>
      <c r="AP515" s="376"/>
      <c r="AQ515" s="373"/>
    </row>
    <row r="516">
      <c r="A516" s="257" t="s">
        <v>5386</v>
      </c>
      <c r="B516" s="257" t="s">
        <v>5387</v>
      </c>
      <c r="C516" s="257" t="str">
        <f>VLOOKUP(A516,import!A:J,3,0)</f>
        <v>DOĞRU</v>
      </c>
      <c r="D516" s="257" t="s">
        <v>3676</v>
      </c>
      <c r="E516" s="257">
        <f>VLOOKUP(A516,import!A:J,5,0)</f>
        <v>8</v>
      </c>
      <c r="F516" s="257">
        <f>VLOOKUP(A516,import!A:J,6,0)</f>
        <v>2</v>
      </c>
      <c r="G516" s="257">
        <f>VLOOKUP(A516,import!A:J,7,0)</f>
        <v>0</v>
      </c>
      <c r="H516" s="257">
        <f>VLOOKUP(A516,import!A:J,8,0)</f>
        <v>4</v>
      </c>
      <c r="I516" s="257">
        <f>VLOOKUP(A516,import!A:J,9,0)</f>
        <v>4</v>
      </c>
      <c r="J516" s="369">
        <f>VLOOKUP(A516,import!A:J,10,0)</f>
        <v>0</v>
      </c>
      <c r="K516" s="257" t="s">
        <v>5388</v>
      </c>
      <c r="L516" s="257">
        <v>5.464357272E9</v>
      </c>
      <c r="M516" s="257" t="s">
        <v>286</v>
      </c>
      <c r="N516" s="257" t="s">
        <v>5389</v>
      </c>
      <c r="O516" s="257" t="s">
        <v>5390</v>
      </c>
      <c r="P516" s="370" t="str">
        <f>VLOOKUP(A516,import!A:P,16,0)</f>
        <v>Geleneksel</v>
      </c>
      <c r="Q516" s="370"/>
      <c r="R516" s="370" t="b">
        <v>0</v>
      </c>
      <c r="S516" s="370" t="b">
        <v>0</v>
      </c>
      <c r="T516" s="301"/>
      <c r="U516" s="301"/>
      <c r="V516" s="301"/>
      <c r="W516" s="301"/>
      <c r="X516" s="371"/>
      <c r="Y516" s="371"/>
      <c r="Z516" s="372"/>
      <c r="AA516" s="373"/>
      <c r="AB516" s="374"/>
      <c r="AC516" s="373"/>
      <c r="AD516" s="374"/>
      <c r="AE516" s="373"/>
      <c r="AF516" s="374"/>
      <c r="AG516" s="373"/>
      <c r="AH516" s="374"/>
      <c r="AI516" s="373"/>
      <c r="AJ516" s="374"/>
      <c r="AK516" s="373"/>
      <c r="AL516" s="373"/>
      <c r="AM516" s="373"/>
      <c r="AN516" s="373"/>
      <c r="AO516" s="373"/>
      <c r="AP516" s="376"/>
      <c r="AQ516" s="373"/>
    </row>
    <row r="517">
      <c r="A517" s="257" t="s">
        <v>3596</v>
      </c>
      <c r="B517" s="257" t="s">
        <v>3597</v>
      </c>
      <c r="C517" s="257" t="str">
        <f>VLOOKUP(A517,import!A:J,3,0)</f>
        <v>DOĞRU</v>
      </c>
      <c r="D517" s="257" t="s">
        <v>3759</v>
      </c>
      <c r="E517" s="257">
        <f>VLOOKUP(A517,import!A:J,5,0)</f>
        <v>161</v>
      </c>
      <c r="F517" s="257">
        <f>VLOOKUP(A517,import!A:J,6,0)</f>
        <v>26</v>
      </c>
      <c r="G517" s="257">
        <f>VLOOKUP(A517,import!A:J,7,0)</f>
        <v>0</v>
      </c>
      <c r="H517" s="257">
        <f>VLOOKUP(A517,import!A:J,8,0)</f>
        <v>71</v>
      </c>
      <c r="I517" s="257">
        <f>VLOOKUP(A517,import!A:J,9,0)</f>
        <v>71</v>
      </c>
      <c r="J517" s="369">
        <f>VLOOKUP(A517,import!A:J,10,0)</f>
        <v>0</v>
      </c>
      <c r="K517" s="257" t="s">
        <v>5391</v>
      </c>
      <c r="L517" s="257">
        <v>5.399353009E9</v>
      </c>
      <c r="M517" s="257" t="s">
        <v>286</v>
      </c>
      <c r="N517" s="257" t="s">
        <v>3769</v>
      </c>
      <c r="O517" s="257" t="s">
        <v>5392</v>
      </c>
      <c r="P517" s="370" t="str">
        <f>VLOOKUP(A517,import!A:P,16,0)</f>
        <v>Geleneksel</v>
      </c>
      <c r="Q517" s="370"/>
      <c r="R517" s="370" t="b">
        <v>1</v>
      </c>
      <c r="S517" s="370" t="b">
        <v>0</v>
      </c>
      <c r="T517" s="301" t="s">
        <v>3679</v>
      </c>
      <c r="U517" s="301" t="s">
        <v>2542</v>
      </c>
      <c r="V517" s="394" t="s">
        <v>3331</v>
      </c>
      <c r="W517" s="301" t="s">
        <v>5393</v>
      </c>
      <c r="X517" s="371">
        <v>44638.0</v>
      </c>
      <c r="Y517" s="371">
        <v>44641.0</v>
      </c>
      <c r="Z517" s="372"/>
      <c r="AA517" s="373" t="s">
        <v>3682</v>
      </c>
      <c r="AB517" s="371">
        <v>44638.0</v>
      </c>
      <c r="AC517" s="373"/>
      <c r="AD517" s="374"/>
      <c r="AE517" s="373"/>
      <c r="AF517" s="374"/>
      <c r="AG517" s="373"/>
      <c r="AH517" s="374"/>
      <c r="AI517" s="375"/>
      <c r="AJ517" s="375"/>
      <c r="AK517" s="373" t="s">
        <v>2542</v>
      </c>
      <c r="AL517" s="375"/>
      <c r="AM517" s="375"/>
      <c r="AN517" s="373"/>
      <c r="AO517" s="375"/>
      <c r="AP517" s="376"/>
      <c r="AQ517" s="375"/>
    </row>
    <row r="518">
      <c r="A518" s="257" t="s">
        <v>3253</v>
      </c>
      <c r="B518" s="257" t="s">
        <v>3254</v>
      </c>
      <c r="C518" s="257" t="str">
        <f>VLOOKUP(A518,import!A:J,3,0)</f>
        <v>DOĞRU</v>
      </c>
      <c r="D518" s="257" t="s">
        <v>3699</v>
      </c>
      <c r="E518" s="257">
        <f>VLOOKUP(A518,import!A:J,5,0)</f>
        <v>832</v>
      </c>
      <c r="F518" s="257">
        <f>VLOOKUP(A518,import!A:J,6,0)</f>
        <v>62</v>
      </c>
      <c r="G518" s="257">
        <f>VLOOKUP(A518,import!A:J,7,0)</f>
        <v>24</v>
      </c>
      <c r="H518" s="257">
        <f>VLOOKUP(A518,import!A:J,8,0)</f>
        <v>25</v>
      </c>
      <c r="I518" s="257">
        <f>VLOOKUP(A518,import!A:J,9,0)</f>
        <v>49</v>
      </c>
      <c r="J518" s="369">
        <f>VLOOKUP(A518,import!A:J,10,0)</f>
        <v>0.49</v>
      </c>
      <c r="K518" s="257" t="s">
        <v>5394</v>
      </c>
      <c r="L518" s="257">
        <v>3.222550013E9</v>
      </c>
      <c r="M518" s="257" t="s">
        <v>14</v>
      </c>
      <c r="N518" s="257" t="s">
        <v>3935</v>
      </c>
      <c r="O518" s="257" t="s">
        <v>3257</v>
      </c>
      <c r="P518" s="370" t="str">
        <f>VLOOKUP(A518,import!A:P,16,0)</f>
        <v>Geleneksel</v>
      </c>
      <c r="Q518" s="370"/>
      <c r="R518" s="370" t="b">
        <v>1</v>
      </c>
      <c r="S518" s="370" t="b">
        <v>0</v>
      </c>
      <c r="T518" s="301" t="s">
        <v>3679</v>
      </c>
      <c r="U518" s="301" t="s">
        <v>3213</v>
      </c>
      <c r="V518" s="301" t="s">
        <v>78</v>
      </c>
      <c r="W518" s="301"/>
      <c r="X518" s="371">
        <v>44550.0</v>
      </c>
      <c r="Y518" s="371">
        <v>44552.0</v>
      </c>
      <c r="Z518" s="372"/>
      <c r="AA518" s="373" t="s">
        <v>3682</v>
      </c>
      <c r="AB518" s="374">
        <v>44550.0</v>
      </c>
      <c r="AC518" s="373"/>
      <c r="AD518" s="374"/>
      <c r="AE518" s="373"/>
      <c r="AF518" s="374"/>
      <c r="AG518" s="373"/>
      <c r="AH518" s="374"/>
      <c r="AI518" s="375"/>
      <c r="AJ518" s="375"/>
      <c r="AK518" s="373" t="s">
        <v>3213</v>
      </c>
      <c r="AL518" s="375"/>
      <c r="AM518" s="375"/>
      <c r="AN518" s="373"/>
      <c r="AO518" s="375"/>
      <c r="AP518" s="376"/>
      <c r="AQ518" s="375"/>
    </row>
    <row r="519">
      <c r="A519" s="257" t="s">
        <v>333</v>
      </c>
      <c r="B519" s="257" t="s">
        <v>334</v>
      </c>
      <c r="C519" s="257" t="str">
        <f>VLOOKUP(A519,import!A:J,3,0)</f>
        <v>DOĞRU</v>
      </c>
      <c r="D519" s="257" t="s">
        <v>3699</v>
      </c>
      <c r="E519" s="257">
        <f>VLOOKUP(A519,import!A:J,5,0)</f>
        <v>1636</v>
      </c>
      <c r="F519" s="257">
        <f>VLOOKUP(A519,import!A:J,6,0)</f>
        <v>5</v>
      </c>
      <c r="G519" s="257">
        <f>VLOOKUP(A519,import!A:J,7,0)</f>
        <v>19</v>
      </c>
      <c r="H519" s="257">
        <f>VLOOKUP(A519,import!A:J,8,0)</f>
        <v>4</v>
      </c>
      <c r="I519" s="257">
        <f>VLOOKUP(A519,import!A:J,9,0)</f>
        <v>23</v>
      </c>
      <c r="J519" s="369">
        <f>VLOOKUP(A519,import!A:J,10,0)</f>
        <v>0.83</v>
      </c>
      <c r="K519" s="257" t="s">
        <v>5395</v>
      </c>
      <c r="L519" s="257">
        <v>3.222420029E9</v>
      </c>
      <c r="M519" s="257" t="s">
        <v>286</v>
      </c>
      <c r="N519" s="257" t="s">
        <v>3764</v>
      </c>
      <c r="O519" s="257" t="s">
        <v>336</v>
      </c>
      <c r="P519" s="370" t="str">
        <f>VLOOKUP(A519,import!A:P,16,0)</f>
        <v>Geleneksel</v>
      </c>
      <c r="Q519" s="370"/>
      <c r="R519" s="370" t="b">
        <v>1</v>
      </c>
      <c r="S519" s="370" t="b">
        <v>0</v>
      </c>
      <c r="T519" s="301" t="s">
        <v>3679</v>
      </c>
      <c r="U519" s="301" t="s">
        <v>79</v>
      </c>
      <c r="V519" s="301" t="s">
        <v>4866</v>
      </c>
      <c r="W519" s="379"/>
      <c r="X519" s="371">
        <v>44302.0</v>
      </c>
      <c r="Y519" s="371">
        <v>44306.0</v>
      </c>
      <c r="Z519" s="377"/>
      <c r="AA519" s="375"/>
      <c r="AB519" s="375"/>
      <c r="AC519" s="375"/>
      <c r="AD519" s="375"/>
      <c r="AE519" s="92"/>
      <c r="AF519" s="375"/>
      <c r="AG519" s="92"/>
      <c r="AH519" s="375"/>
      <c r="AI519" s="375"/>
      <c r="AJ519" s="375"/>
      <c r="AK519" s="375"/>
      <c r="AL519" s="375"/>
      <c r="AM519" s="375"/>
      <c r="AN519" s="375"/>
      <c r="AO519" s="375"/>
      <c r="AP519" s="376" t="s">
        <v>3686</v>
      </c>
      <c r="AQ519" s="375"/>
    </row>
    <row r="520">
      <c r="A520" s="257" t="s">
        <v>986</v>
      </c>
      <c r="B520" s="257" t="s">
        <v>987</v>
      </c>
      <c r="C520" s="257" t="str">
        <f>VLOOKUP(A520,import!A:J,3,0)</f>
        <v>DOĞRU</v>
      </c>
      <c r="D520" s="257" t="s">
        <v>3994</v>
      </c>
      <c r="E520" s="257">
        <f>VLOOKUP(A520,import!A:J,5,0)</f>
        <v>856</v>
      </c>
      <c r="F520" s="257">
        <f>VLOOKUP(A520,import!A:J,6,0)</f>
        <v>33</v>
      </c>
      <c r="G520" s="257">
        <f>VLOOKUP(A520,import!A:J,7,0)</f>
        <v>74</v>
      </c>
      <c r="H520" s="257">
        <f>VLOOKUP(A520,import!A:J,8,0)</f>
        <v>10</v>
      </c>
      <c r="I520" s="257">
        <f>VLOOKUP(A520,import!A:J,9,0)</f>
        <v>84</v>
      </c>
      <c r="J520" s="369">
        <f>VLOOKUP(A520,import!A:J,10,0)</f>
        <v>0.88</v>
      </c>
      <c r="K520" s="257" t="s">
        <v>5396</v>
      </c>
      <c r="L520" s="257">
        <v>3.222332545E9</v>
      </c>
      <c r="M520" s="257" t="s">
        <v>14</v>
      </c>
      <c r="N520" s="257" t="s">
        <v>3797</v>
      </c>
      <c r="O520" s="257" t="s">
        <v>989</v>
      </c>
      <c r="P520" s="370" t="str">
        <f>VLOOKUP(A520,import!A:P,16,0)</f>
        <v>Geleneksel</v>
      </c>
      <c r="Q520" s="370"/>
      <c r="R520" s="370" t="b">
        <v>1</v>
      </c>
      <c r="S520" s="370" t="b">
        <v>0</v>
      </c>
      <c r="T520" s="301" t="s">
        <v>3679</v>
      </c>
      <c r="U520" s="301" t="s">
        <v>3789</v>
      </c>
      <c r="V520" s="301" t="s">
        <v>78</v>
      </c>
      <c r="W520" s="301" t="s">
        <v>5397</v>
      </c>
      <c r="X520" s="371">
        <v>44372.0</v>
      </c>
      <c r="Y520" s="371">
        <v>44377.0</v>
      </c>
      <c r="Z520" s="372"/>
      <c r="AA520" s="373" t="s">
        <v>3682</v>
      </c>
      <c r="AB520" s="374">
        <v>44354.0</v>
      </c>
      <c r="AC520" s="373" t="s">
        <v>3682</v>
      </c>
      <c r="AD520" s="374">
        <v>44372.0</v>
      </c>
      <c r="AE520" s="373" t="s">
        <v>3682</v>
      </c>
      <c r="AF520" s="374">
        <v>44404.0</v>
      </c>
      <c r="AG520" s="373" t="s">
        <v>3682</v>
      </c>
      <c r="AH520" s="374">
        <v>44406.0</v>
      </c>
      <c r="AI520" s="375"/>
      <c r="AJ520" s="375"/>
      <c r="AK520" s="373" t="s">
        <v>3789</v>
      </c>
      <c r="AL520" s="373" t="s">
        <v>3789</v>
      </c>
      <c r="AM520" s="373" t="s">
        <v>3752</v>
      </c>
      <c r="AN520" s="373" t="s">
        <v>3719</v>
      </c>
      <c r="AO520" s="375"/>
      <c r="AP520" s="376" t="s">
        <v>3683</v>
      </c>
      <c r="AQ520" s="375"/>
    </row>
    <row r="521">
      <c r="A521" s="257" t="s">
        <v>2776</v>
      </c>
      <c r="B521" s="257" t="s">
        <v>2777</v>
      </c>
      <c r="C521" s="257" t="str">
        <f>VLOOKUP(A521,import!A:J,3,0)</f>
        <v>DOĞRU</v>
      </c>
      <c r="D521" s="257" t="s">
        <v>3690</v>
      </c>
      <c r="E521" s="257">
        <f>VLOOKUP(A521,import!A:J,5,0)</f>
        <v>179</v>
      </c>
      <c r="F521" s="257" t="str">
        <f>VLOOKUP(A521,import!A:J,6,0)</f>
        <v/>
      </c>
      <c r="G521" s="257">
        <f>VLOOKUP(A521,import!A:J,7,0)</f>
        <v>0</v>
      </c>
      <c r="H521" s="257">
        <f>VLOOKUP(A521,import!A:J,8,0)</f>
        <v>5</v>
      </c>
      <c r="I521" s="257">
        <f>VLOOKUP(A521,import!A:J,9,0)</f>
        <v>5</v>
      </c>
      <c r="J521" s="369">
        <f>VLOOKUP(A521,import!A:J,10,0)</f>
        <v>0</v>
      </c>
      <c r="K521" s="257" t="s">
        <v>5398</v>
      </c>
      <c r="L521" s="257">
        <v>5.30499871E9</v>
      </c>
      <c r="M521" s="257" t="s">
        <v>286</v>
      </c>
      <c r="N521" s="257" t="s">
        <v>4400</v>
      </c>
      <c r="O521" s="257" t="s">
        <v>2780</v>
      </c>
      <c r="P521" s="370" t="str">
        <f>VLOOKUP(A521,import!A:P,16,0)</f>
        <v>Geleneksel</v>
      </c>
      <c r="Q521" s="370"/>
      <c r="R521" s="370" t="b">
        <v>1</v>
      </c>
      <c r="S521" s="370" t="b">
        <v>0</v>
      </c>
      <c r="T521" s="301" t="s">
        <v>3787</v>
      </c>
      <c r="U521" s="301" t="s">
        <v>79</v>
      </c>
      <c r="V521" s="301" t="s">
        <v>78</v>
      </c>
      <c r="W521" s="301"/>
      <c r="X521" s="371">
        <v>44474.0</v>
      </c>
      <c r="Y521" s="371">
        <v>44475.0</v>
      </c>
      <c r="Z521" s="372"/>
      <c r="AA521" s="373" t="s">
        <v>3682</v>
      </c>
      <c r="AB521" s="374">
        <v>44474.0</v>
      </c>
      <c r="AC521" s="373"/>
      <c r="AD521" s="374"/>
      <c r="AE521" s="373"/>
      <c r="AF521" s="374"/>
      <c r="AG521" s="373"/>
      <c r="AH521" s="374"/>
      <c r="AI521" s="375"/>
      <c r="AJ521" s="375"/>
      <c r="AK521" s="373" t="s">
        <v>79</v>
      </c>
      <c r="AL521" s="375"/>
      <c r="AM521" s="375"/>
      <c r="AN521" s="373"/>
      <c r="AO521" s="375"/>
      <c r="AP521" s="376" t="s">
        <v>3686</v>
      </c>
      <c r="AQ521" s="375"/>
    </row>
    <row r="522">
      <c r="A522" s="257" t="s">
        <v>2401</v>
      </c>
      <c r="B522" s="257" t="s">
        <v>2402</v>
      </c>
      <c r="C522" s="257" t="str">
        <f>VLOOKUP(A522,import!A:J,3,0)</f>
        <v>DOĞRU</v>
      </c>
      <c r="D522" s="257" t="s">
        <v>3713</v>
      </c>
      <c r="E522" s="257">
        <f>VLOOKUP(A522,import!A:J,5,0)</f>
        <v>7170</v>
      </c>
      <c r="F522" s="257">
        <f>VLOOKUP(A522,import!A:J,6,0)</f>
        <v>131</v>
      </c>
      <c r="G522" s="257">
        <f>VLOOKUP(A522,import!A:J,7,0)</f>
        <v>0</v>
      </c>
      <c r="H522" s="257">
        <f>VLOOKUP(A522,import!A:J,8,0)</f>
        <v>29</v>
      </c>
      <c r="I522" s="257">
        <f>VLOOKUP(A522,import!A:J,9,0)</f>
        <v>29</v>
      </c>
      <c r="J522" s="369">
        <f>VLOOKUP(A522,import!A:J,10,0)</f>
        <v>0</v>
      </c>
      <c r="K522" s="257" t="s">
        <v>5399</v>
      </c>
      <c r="L522" s="257">
        <v>3.222346444E9</v>
      </c>
      <c r="M522" s="257" t="s">
        <v>14</v>
      </c>
      <c r="N522" s="257" t="s">
        <v>3733</v>
      </c>
      <c r="O522" s="257" t="s">
        <v>2404</v>
      </c>
      <c r="P522" s="370" t="str">
        <f>VLOOKUP(A522,import!A:P,16,0)</f>
        <v>Geleneksel</v>
      </c>
      <c r="Q522" s="370"/>
      <c r="R522" s="370" t="b">
        <v>1</v>
      </c>
      <c r="S522" s="370" t="b">
        <v>1</v>
      </c>
      <c r="T522" s="301"/>
      <c r="U522" s="301" t="s">
        <v>2542</v>
      </c>
      <c r="V522" s="301" t="s">
        <v>78</v>
      </c>
      <c r="W522" s="301" t="s">
        <v>5400</v>
      </c>
      <c r="X522" s="371">
        <v>44450.0</v>
      </c>
      <c r="Y522" s="371">
        <v>44452.0</v>
      </c>
      <c r="Z522" s="372"/>
      <c r="AA522" s="373" t="s">
        <v>3682</v>
      </c>
      <c r="AB522" s="374">
        <v>44382.0</v>
      </c>
      <c r="AC522" s="373" t="s">
        <v>3448</v>
      </c>
      <c r="AD522" s="374">
        <v>44440.0</v>
      </c>
      <c r="AE522" s="373" t="s">
        <v>3682</v>
      </c>
      <c r="AF522" s="374">
        <v>44450.0</v>
      </c>
      <c r="AG522" s="373" t="s">
        <v>3682</v>
      </c>
      <c r="AH522" s="374">
        <v>44459.0</v>
      </c>
      <c r="AI522" s="375"/>
      <c r="AJ522" s="375"/>
      <c r="AK522" s="373" t="s">
        <v>399</v>
      </c>
      <c r="AL522" s="373" t="s">
        <v>2542</v>
      </c>
      <c r="AM522" s="373" t="s">
        <v>2542</v>
      </c>
      <c r="AN522" s="373" t="s">
        <v>3127</v>
      </c>
      <c r="AO522" s="375"/>
      <c r="AP522" s="376" t="s">
        <v>3683</v>
      </c>
      <c r="AQ522" s="375"/>
    </row>
    <row r="523">
      <c r="A523" s="257" t="s">
        <v>2151</v>
      </c>
      <c r="B523" s="257" t="s">
        <v>2152</v>
      </c>
      <c r="C523" s="257" t="str">
        <f>VLOOKUP(A523,import!A:J,3,0)</f>
        <v>DOĞRU</v>
      </c>
      <c r="D523" s="257" t="s">
        <v>3713</v>
      </c>
      <c r="E523" s="257">
        <f>VLOOKUP(A523,import!A:J,5,0)</f>
        <v>2358</v>
      </c>
      <c r="F523" s="257">
        <f>VLOOKUP(A523,import!A:J,6,0)</f>
        <v>142</v>
      </c>
      <c r="G523" s="257">
        <f>VLOOKUP(A523,import!A:J,7,0)</f>
        <v>15</v>
      </c>
      <c r="H523" s="257">
        <f>VLOOKUP(A523,import!A:J,8,0)</f>
        <v>7</v>
      </c>
      <c r="I523" s="257">
        <f>VLOOKUP(A523,import!A:J,9,0)</f>
        <v>22</v>
      </c>
      <c r="J523" s="369">
        <f>VLOOKUP(A523,import!A:J,10,0)</f>
        <v>0.68</v>
      </c>
      <c r="K523" s="257" t="s">
        <v>5401</v>
      </c>
      <c r="L523" s="257">
        <v>3.223513512E9</v>
      </c>
      <c r="M523" s="257" t="s">
        <v>286</v>
      </c>
      <c r="N523" s="257" t="s">
        <v>5402</v>
      </c>
      <c r="O523" s="257" t="s">
        <v>2155</v>
      </c>
      <c r="P523" s="370" t="str">
        <f>VLOOKUP(A523,import!A:P,16,0)</f>
        <v>Geleneksel</v>
      </c>
      <c r="Q523" s="370"/>
      <c r="R523" s="370" t="b">
        <v>1</v>
      </c>
      <c r="S523" s="370" t="b">
        <v>0</v>
      </c>
      <c r="T523" s="301" t="s">
        <v>3679</v>
      </c>
      <c r="U523" s="301" t="s">
        <v>1953</v>
      </c>
      <c r="V523" s="301" t="s">
        <v>78</v>
      </c>
      <c r="W523" s="301" t="s">
        <v>5403</v>
      </c>
      <c r="X523" s="371">
        <v>44433.0</v>
      </c>
      <c r="Y523" s="371">
        <v>44438.0</v>
      </c>
      <c r="Z523" s="372"/>
      <c r="AA523" s="373" t="s">
        <v>3695</v>
      </c>
      <c r="AB523" s="374">
        <v>44385.0</v>
      </c>
      <c r="AC523" s="373" t="s">
        <v>3695</v>
      </c>
      <c r="AD523" s="374">
        <v>44392.0</v>
      </c>
      <c r="AE523" s="373" t="s">
        <v>3681</v>
      </c>
      <c r="AF523" s="374">
        <v>44427.0</v>
      </c>
      <c r="AG523" s="373" t="s">
        <v>3682</v>
      </c>
      <c r="AH523" s="374">
        <v>44433.0</v>
      </c>
      <c r="AI523" s="375"/>
      <c r="AJ523" s="375"/>
      <c r="AK523" s="373"/>
      <c r="AL523" s="373" t="s">
        <v>4089</v>
      </c>
      <c r="AM523" s="373" t="s">
        <v>3723</v>
      </c>
      <c r="AN523" s="373" t="s">
        <v>1953</v>
      </c>
      <c r="AO523" s="375"/>
      <c r="AP523" s="376" t="s">
        <v>3686</v>
      </c>
      <c r="AQ523" s="375"/>
    </row>
    <row r="524">
      <c r="A524" s="257" t="s">
        <v>2357</v>
      </c>
      <c r="B524" s="257" t="s">
        <v>2358</v>
      </c>
      <c r="C524" s="257" t="str">
        <f>VLOOKUP(A524,import!A:J,3,0)</f>
        <v>DOĞRU</v>
      </c>
      <c r="D524" s="257" t="s">
        <v>3713</v>
      </c>
      <c r="E524" s="257">
        <f>VLOOKUP(A524,import!A:J,5,0)</f>
        <v>408</v>
      </c>
      <c r="F524" s="257">
        <f>VLOOKUP(A524,import!A:J,6,0)</f>
        <v>13</v>
      </c>
      <c r="G524" s="257">
        <f>VLOOKUP(A524,import!A:J,7,0)</f>
        <v>11</v>
      </c>
      <c r="H524" s="257">
        <f>VLOOKUP(A524,import!A:J,8,0)</f>
        <v>20</v>
      </c>
      <c r="I524" s="257">
        <f>VLOOKUP(A524,import!A:J,9,0)</f>
        <v>31</v>
      </c>
      <c r="J524" s="369">
        <f>VLOOKUP(A524,import!A:J,10,0)</f>
        <v>0.35</v>
      </c>
      <c r="K524" s="257" t="s">
        <v>5404</v>
      </c>
      <c r="L524" s="257">
        <v>3.224586432E9</v>
      </c>
      <c r="M524" s="257" t="s">
        <v>286</v>
      </c>
      <c r="N524" s="257" t="s">
        <v>3688</v>
      </c>
      <c r="O524" s="257" t="s">
        <v>2361</v>
      </c>
      <c r="P524" s="370" t="str">
        <f>VLOOKUP(A524,import!A:P,16,0)</f>
        <v>Geleneksel</v>
      </c>
      <c r="Q524" s="370"/>
      <c r="R524" s="370" t="b">
        <v>1</v>
      </c>
      <c r="S524" s="370" t="b">
        <v>1</v>
      </c>
      <c r="T524" s="301" t="s">
        <v>3679</v>
      </c>
      <c r="U524" s="301" t="s">
        <v>2542</v>
      </c>
      <c r="V524" s="301" t="s">
        <v>78</v>
      </c>
      <c r="W524" s="301" t="s">
        <v>5405</v>
      </c>
      <c r="X524" s="371">
        <v>44447.0</v>
      </c>
      <c r="Y524" s="371">
        <v>44448.0</v>
      </c>
      <c r="Z524" s="372"/>
      <c r="AA524" s="373" t="s">
        <v>3682</v>
      </c>
      <c r="AB524" s="374">
        <v>44385.0</v>
      </c>
      <c r="AC524" s="373" t="s">
        <v>3682</v>
      </c>
      <c r="AD524" s="374">
        <v>44447.0</v>
      </c>
      <c r="AE524" s="373" t="s">
        <v>3682</v>
      </c>
      <c r="AF524" s="374">
        <v>44510.0</v>
      </c>
      <c r="AG524" s="92"/>
      <c r="AH524" s="375"/>
      <c r="AI524" s="375"/>
      <c r="AJ524" s="375"/>
      <c r="AK524" s="373" t="s">
        <v>3719</v>
      </c>
      <c r="AL524" s="373" t="s">
        <v>2542</v>
      </c>
      <c r="AM524" s="373" t="s">
        <v>3073</v>
      </c>
      <c r="AN524" s="375"/>
      <c r="AO524" s="375"/>
      <c r="AP524" s="376" t="s">
        <v>3686</v>
      </c>
      <c r="AQ524" s="375"/>
    </row>
    <row r="525">
      <c r="A525" s="266" t="s">
        <v>5406</v>
      </c>
      <c r="B525" s="266" t="s">
        <v>5407</v>
      </c>
      <c r="C525" s="257" t="str">
        <f>VLOOKUP(A525,import!A:J,3,0)</f>
        <v>DOĞRU</v>
      </c>
      <c r="D525" s="266" t="s">
        <v>3713</v>
      </c>
      <c r="E525" s="257">
        <f>VLOOKUP(A525,import!A:J,5,0)</f>
        <v>2000</v>
      </c>
      <c r="F525" s="257">
        <f>VLOOKUP(A525,import!A:J,6,0)</f>
        <v>80</v>
      </c>
      <c r="G525" s="257">
        <f>VLOOKUP(A525,import!A:J,7,0)</f>
        <v>0</v>
      </c>
      <c r="H525" s="257">
        <f>VLOOKUP(A525,import!A:J,8,0)</f>
        <v>14</v>
      </c>
      <c r="I525" s="257">
        <f>VLOOKUP(A525,import!A:J,9,0)</f>
        <v>14</v>
      </c>
      <c r="J525" s="369">
        <f>VLOOKUP(A525,import!A:J,10,0)</f>
        <v>0</v>
      </c>
      <c r="K525" s="266" t="s">
        <v>5408</v>
      </c>
      <c r="L525" s="266">
        <v>5.467874686E9</v>
      </c>
      <c r="M525" s="266" t="s">
        <v>286</v>
      </c>
      <c r="N525" s="266" t="s">
        <v>4086</v>
      </c>
      <c r="O525" s="266" t="s">
        <v>5409</v>
      </c>
      <c r="P525" s="370" t="str">
        <f>VLOOKUP(A525,import!A:P,16,0)</f>
        <v>Geleneksel</v>
      </c>
      <c r="Q525" s="370"/>
      <c r="R525" s="370" t="b">
        <v>1</v>
      </c>
      <c r="S525" s="370" t="b">
        <v>1</v>
      </c>
      <c r="T525" s="301"/>
      <c r="U525" s="379"/>
      <c r="V525" s="379"/>
      <c r="W525" s="301" t="s">
        <v>5410</v>
      </c>
      <c r="X525" s="381"/>
      <c r="Y525" s="381"/>
      <c r="Z525" s="372"/>
      <c r="AA525" s="373" t="s">
        <v>3448</v>
      </c>
      <c r="AB525" s="374">
        <v>44372.0</v>
      </c>
      <c r="AC525" s="373" t="s">
        <v>3696</v>
      </c>
      <c r="AD525" s="374">
        <v>44379.0</v>
      </c>
      <c r="AE525" s="373" t="s">
        <v>3696</v>
      </c>
      <c r="AF525" s="374">
        <v>44390.0</v>
      </c>
      <c r="AG525" s="373" t="s">
        <v>3695</v>
      </c>
      <c r="AH525" s="374">
        <v>44390.0</v>
      </c>
      <c r="AI525" s="373" t="s">
        <v>3695</v>
      </c>
      <c r="AJ525" s="374">
        <v>44463.0</v>
      </c>
      <c r="AK525" s="373" t="s">
        <v>3719</v>
      </c>
      <c r="AL525" s="373" t="s">
        <v>1014</v>
      </c>
      <c r="AM525" s="373" t="s">
        <v>3719</v>
      </c>
      <c r="AN525" s="373" t="s">
        <v>4088</v>
      </c>
      <c r="AO525" s="373" t="s">
        <v>2542</v>
      </c>
      <c r="AP525" s="376" t="s">
        <v>3686</v>
      </c>
      <c r="AQ525" s="373"/>
    </row>
    <row r="526">
      <c r="A526" s="257" t="s">
        <v>2794</v>
      </c>
      <c r="B526" s="257" t="s">
        <v>2795</v>
      </c>
      <c r="C526" s="257" t="str">
        <f>VLOOKUP(A526,import!A:J,3,0)</f>
        <v>DOĞRU</v>
      </c>
      <c r="D526" s="257" t="s">
        <v>3713</v>
      </c>
      <c r="E526" s="257">
        <f>VLOOKUP(A526,import!A:J,5,0)</f>
        <v>925</v>
      </c>
      <c r="F526" s="257">
        <f>VLOOKUP(A526,import!A:J,6,0)</f>
        <v>118</v>
      </c>
      <c r="G526" s="257">
        <f>VLOOKUP(A526,import!A:J,7,0)</f>
        <v>11</v>
      </c>
      <c r="H526" s="257">
        <f>VLOOKUP(A526,import!A:J,8,0)</f>
        <v>27</v>
      </c>
      <c r="I526" s="257">
        <f>VLOOKUP(A526,import!A:J,9,0)</f>
        <v>38</v>
      </c>
      <c r="J526" s="369">
        <f>VLOOKUP(A526,import!A:J,10,0)</f>
        <v>0.29</v>
      </c>
      <c r="K526" s="257" t="s">
        <v>5411</v>
      </c>
      <c r="L526" s="257">
        <v>3.224544701E9</v>
      </c>
      <c r="M526" s="257" t="s">
        <v>286</v>
      </c>
      <c r="N526" s="257" t="s">
        <v>3754</v>
      </c>
      <c r="O526" s="257" t="s">
        <v>2797</v>
      </c>
      <c r="P526" s="370" t="str">
        <f>VLOOKUP(A526,import!A:P,16,0)</f>
        <v>Geleneksel</v>
      </c>
      <c r="Q526" s="370"/>
      <c r="R526" s="370" t="b">
        <v>1</v>
      </c>
      <c r="S526" s="370" t="b">
        <v>0</v>
      </c>
      <c r="T526" s="301" t="s">
        <v>3679</v>
      </c>
      <c r="U526" s="301" t="s">
        <v>79</v>
      </c>
      <c r="V526" s="301" t="s">
        <v>78</v>
      </c>
      <c r="W526" s="301" t="s">
        <v>5412</v>
      </c>
      <c r="X526" s="371">
        <v>44476.0</v>
      </c>
      <c r="Y526" s="371">
        <v>44477.0</v>
      </c>
      <c r="Z526" s="372"/>
      <c r="AA526" s="373" t="s">
        <v>3681</v>
      </c>
      <c r="AB526" s="374">
        <v>44474.0</v>
      </c>
      <c r="AC526" s="373"/>
      <c r="AD526" s="374"/>
      <c r="AE526" s="373"/>
      <c r="AF526" s="374"/>
      <c r="AG526" s="373"/>
      <c r="AH526" s="374"/>
      <c r="AI526" s="375"/>
      <c r="AJ526" s="375"/>
      <c r="AK526" s="373" t="s">
        <v>79</v>
      </c>
      <c r="AL526" s="375"/>
      <c r="AM526" s="375"/>
      <c r="AN526" s="373"/>
      <c r="AO526" s="375"/>
      <c r="AP526" s="376" t="s">
        <v>3686</v>
      </c>
      <c r="AQ526" s="375"/>
    </row>
    <row r="527">
      <c r="A527" s="257" t="s">
        <v>5413</v>
      </c>
      <c r="B527" s="257" t="s">
        <v>5414</v>
      </c>
      <c r="C527" s="257" t="str">
        <f>VLOOKUP(A527,import!A:J,3,0)</f>
        <v>DOĞRU</v>
      </c>
      <c r="D527" s="257" t="s">
        <v>3713</v>
      </c>
      <c r="E527" s="257">
        <f>VLOOKUP(A527,import!A:J,5,0)</f>
        <v>346</v>
      </c>
      <c r="F527" s="257">
        <f>VLOOKUP(A527,import!A:J,6,0)</f>
        <v>80</v>
      </c>
      <c r="G527" s="257">
        <f>VLOOKUP(A527,import!A:J,7,0)</f>
        <v>0</v>
      </c>
      <c r="H527" s="257">
        <f>VLOOKUP(A527,import!A:J,8,0)</f>
        <v>25</v>
      </c>
      <c r="I527" s="257">
        <f>VLOOKUP(A527,import!A:J,9,0)</f>
        <v>25</v>
      </c>
      <c r="J527" s="369">
        <f>VLOOKUP(A527,import!A:J,10,0)</f>
        <v>0</v>
      </c>
      <c r="K527" s="257" t="s">
        <v>5415</v>
      </c>
      <c r="L527" s="257">
        <v>3.222341443E9</v>
      </c>
      <c r="M527" s="257" t="s">
        <v>286</v>
      </c>
      <c r="N527" s="257" t="s">
        <v>3754</v>
      </c>
      <c r="O527" s="257" t="s">
        <v>5416</v>
      </c>
      <c r="P527" s="370" t="str">
        <f>VLOOKUP(A527,import!A:P,16,0)</f>
        <v>Geleneksel</v>
      </c>
      <c r="Q527" s="370"/>
      <c r="R527" s="370" t="b">
        <v>0</v>
      </c>
      <c r="S527" s="370" t="b">
        <v>0</v>
      </c>
      <c r="T527" s="301"/>
      <c r="U527" s="301"/>
      <c r="V527" s="301"/>
      <c r="W527" s="301" t="s">
        <v>5417</v>
      </c>
      <c r="X527" s="371"/>
      <c r="Y527" s="371"/>
      <c r="Z527" s="372"/>
      <c r="AA527" s="373" t="s">
        <v>3682</v>
      </c>
      <c r="AB527" s="374">
        <v>44638.0</v>
      </c>
      <c r="AC527" s="373"/>
      <c r="AD527" s="374"/>
      <c r="AE527" s="373"/>
      <c r="AF527" s="374"/>
      <c r="AG527" s="373"/>
      <c r="AH527" s="374"/>
      <c r="AI527" s="373"/>
      <c r="AJ527" s="374"/>
      <c r="AK527" s="373" t="s">
        <v>2542</v>
      </c>
      <c r="AL527" s="373"/>
      <c r="AM527" s="373"/>
      <c r="AN527" s="373"/>
      <c r="AO527" s="373"/>
      <c r="AP527" s="376"/>
      <c r="AQ527" s="373"/>
    </row>
    <row r="528">
      <c r="A528" s="257" t="s">
        <v>813</v>
      </c>
      <c r="B528" s="257" t="s">
        <v>814</v>
      </c>
      <c r="C528" s="257" t="str">
        <f>VLOOKUP(A528,import!A:J,3,0)</f>
        <v>DOĞRU</v>
      </c>
      <c r="D528" s="257" t="s">
        <v>3713</v>
      </c>
      <c r="E528" s="257">
        <f>VLOOKUP(A528,import!A:J,5,0)</f>
        <v>943</v>
      </c>
      <c r="F528" s="257">
        <f>VLOOKUP(A528,import!A:J,6,0)</f>
        <v>42</v>
      </c>
      <c r="G528" s="257">
        <f>VLOOKUP(A528,import!A:J,7,0)</f>
        <v>12</v>
      </c>
      <c r="H528" s="257">
        <f>VLOOKUP(A528,import!A:J,8,0)</f>
        <v>5</v>
      </c>
      <c r="I528" s="257">
        <f>VLOOKUP(A528,import!A:J,9,0)</f>
        <v>17</v>
      </c>
      <c r="J528" s="369">
        <f>VLOOKUP(A528,import!A:J,10,0)</f>
        <v>0.71</v>
      </c>
      <c r="K528" s="257" t="s">
        <v>5418</v>
      </c>
      <c r="L528" s="257">
        <v>3.222230101E9</v>
      </c>
      <c r="M528" s="257" t="s">
        <v>286</v>
      </c>
      <c r="N528" s="257" t="s">
        <v>3737</v>
      </c>
      <c r="O528" s="257" t="s">
        <v>816</v>
      </c>
      <c r="P528" s="370" t="str">
        <f>VLOOKUP(A528,import!A:P,16,0)</f>
        <v>Geleneksel</v>
      </c>
      <c r="Q528" s="370"/>
      <c r="R528" s="370" t="b">
        <v>1</v>
      </c>
      <c r="S528" s="370" t="b">
        <v>0</v>
      </c>
      <c r="T528" s="301" t="s">
        <v>3679</v>
      </c>
      <c r="U528" s="301" t="s">
        <v>2542</v>
      </c>
      <c r="V528" s="301" t="s">
        <v>78</v>
      </c>
      <c r="W528" s="301" t="s">
        <v>5419</v>
      </c>
      <c r="X528" s="371">
        <v>44448.0</v>
      </c>
      <c r="Y528" s="371">
        <v>44449.0</v>
      </c>
      <c r="Z528" s="372"/>
      <c r="AA528" s="373" t="s">
        <v>3681</v>
      </c>
      <c r="AB528" s="374">
        <v>44376.0</v>
      </c>
      <c r="AC528" s="373" t="s">
        <v>3682</v>
      </c>
      <c r="AD528" s="374">
        <v>44378.0</v>
      </c>
      <c r="AE528" s="373" t="s">
        <v>3682</v>
      </c>
      <c r="AF528" s="374">
        <v>44385.0</v>
      </c>
      <c r="AG528" s="373" t="s">
        <v>3448</v>
      </c>
      <c r="AH528" s="374">
        <v>44424.0</v>
      </c>
      <c r="AI528" s="373" t="s">
        <v>3682</v>
      </c>
      <c r="AJ528" s="374">
        <v>44448.0</v>
      </c>
      <c r="AK528" s="373" t="s">
        <v>1014</v>
      </c>
      <c r="AL528" s="373" t="s">
        <v>111</v>
      </c>
      <c r="AM528" s="373" t="s">
        <v>79</v>
      </c>
      <c r="AN528" s="375"/>
      <c r="AO528" s="373" t="s">
        <v>2542</v>
      </c>
      <c r="AP528" s="376" t="s">
        <v>3683</v>
      </c>
      <c r="AQ528" s="373"/>
    </row>
    <row r="529">
      <c r="A529" s="257" t="s">
        <v>2899</v>
      </c>
      <c r="B529" s="257" t="s">
        <v>2900</v>
      </c>
      <c r="C529" s="257" t="str">
        <f>VLOOKUP(A529,import!A:J,3,0)</f>
        <v>DOĞRU</v>
      </c>
      <c r="D529" s="257" t="s">
        <v>3713</v>
      </c>
      <c r="E529" s="257">
        <f>VLOOKUP(A529,import!A:J,5,0)</f>
        <v>854</v>
      </c>
      <c r="F529" s="257">
        <f>VLOOKUP(A529,import!A:J,6,0)</f>
        <v>12</v>
      </c>
      <c r="G529" s="257">
        <f>VLOOKUP(A529,import!A:J,7,0)</f>
        <v>8</v>
      </c>
      <c r="H529" s="257">
        <f>VLOOKUP(A529,import!A:J,8,0)</f>
        <v>3</v>
      </c>
      <c r="I529" s="257">
        <f>VLOOKUP(A529,import!A:J,9,0)</f>
        <v>11</v>
      </c>
      <c r="J529" s="369">
        <f>VLOOKUP(A529,import!A:J,10,0)</f>
        <v>0.73</v>
      </c>
      <c r="K529" s="257" t="s">
        <v>5420</v>
      </c>
      <c r="L529" s="257">
        <v>3.222611515E9</v>
      </c>
      <c r="M529" s="257" t="s">
        <v>286</v>
      </c>
      <c r="N529" s="257" t="s">
        <v>3769</v>
      </c>
      <c r="O529" s="257" t="s">
        <v>2902</v>
      </c>
      <c r="P529" s="370" t="str">
        <f>VLOOKUP(A529,import!A:P,16,0)</f>
        <v>Geleneksel</v>
      </c>
      <c r="Q529" s="370"/>
      <c r="R529" s="370" t="b">
        <v>1</v>
      </c>
      <c r="S529" s="370" t="b">
        <v>0</v>
      </c>
      <c r="T529" s="301" t="s">
        <v>3679</v>
      </c>
      <c r="U529" s="301" t="s">
        <v>2542</v>
      </c>
      <c r="V529" s="301" t="s">
        <v>78</v>
      </c>
      <c r="W529" s="301" t="s">
        <v>5421</v>
      </c>
      <c r="X529" s="371">
        <v>44488.0</v>
      </c>
      <c r="Y529" s="371">
        <v>44489.0</v>
      </c>
      <c r="Z529" s="372"/>
      <c r="AA529" s="373" t="s">
        <v>3682</v>
      </c>
      <c r="AB529" s="374">
        <v>44484.0</v>
      </c>
      <c r="AC529" s="373" t="s">
        <v>3682</v>
      </c>
      <c r="AD529" s="374">
        <v>44488.0</v>
      </c>
      <c r="AE529" s="373"/>
      <c r="AF529" s="374"/>
      <c r="AG529" s="373"/>
      <c r="AH529" s="374"/>
      <c r="AI529" s="375"/>
      <c r="AJ529" s="375"/>
      <c r="AK529" s="373" t="s">
        <v>2542</v>
      </c>
      <c r="AL529" s="373" t="s">
        <v>2542</v>
      </c>
      <c r="AM529" s="375"/>
      <c r="AN529" s="373"/>
      <c r="AO529" s="375"/>
      <c r="AP529" s="376" t="s">
        <v>3686</v>
      </c>
      <c r="AQ529" s="375"/>
    </row>
    <row r="530">
      <c r="A530" s="257" t="s">
        <v>5422</v>
      </c>
      <c r="B530" s="257" t="s">
        <v>5423</v>
      </c>
      <c r="C530" s="257" t="str">
        <f>VLOOKUP(A530,import!A:J,3,0)</f>
        <v>DOĞRU</v>
      </c>
      <c r="D530" s="257" t="s">
        <v>3713</v>
      </c>
      <c r="E530" s="257">
        <f>VLOOKUP(A530,import!A:J,5,0)</f>
        <v>1146</v>
      </c>
      <c r="F530" s="257">
        <f>VLOOKUP(A530,import!A:J,6,0)</f>
        <v>142</v>
      </c>
      <c r="G530" s="257">
        <f>VLOOKUP(A530,import!A:J,7,0)</f>
        <v>1</v>
      </c>
      <c r="H530" s="257">
        <f>VLOOKUP(A530,import!A:J,8,0)</f>
        <v>51</v>
      </c>
      <c r="I530" s="257">
        <f>VLOOKUP(A530,import!A:J,9,0)</f>
        <v>52</v>
      </c>
      <c r="J530" s="369">
        <f>VLOOKUP(A530,import!A:J,10,0)</f>
        <v>0.02</v>
      </c>
      <c r="K530" s="257" t="s">
        <v>5424</v>
      </c>
      <c r="L530" s="257">
        <v>3.225160449E9</v>
      </c>
      <c r="M530" s="257" t="s">
        <v>3814</v>
      </c>
      <c r="N530" s="257" t="s">
        <v>4072</v>
      </c>
      <c r="O530" s="257" t="s">
        <v>5425</v>
      </c>
      <c r="P530" s="370" t="str">
        <f>VLOOKUP(A530,import!A:P,16,0)</f>
        <v>Geleneksel</v>
      </c>
      <c r="Q530" s="370"/>
      <c r="R530" s="370" t="b">
        <v>0</v>
      </c>
      <c r="S530" s="370" t="b">
        <v>0</v>
      </c>
      <c r="T530" s="301"/>
      <c r="U530" s="379"/>
      <c r="V530" s="379"/>
      <c r="W530" s="301"/>
      <c r="X530" s="381"/>
      <c r="Y530" s="381"/>
      <c r="Z530" s="372"/>
      <c r="AA530" s="373"/>
      <c r="AB530" s="374"/>
      <c r="AC530" s="373"/>
      <c r="AD530" s="374"/>
      <c r="AE530" s="373"/>
      <c r="AF530" s="374"/>
      <c r="AG530" s="373"/>
      <c r="AH530" s="374"/>
      <c r="AI530" s="375"/>
      <c r="AJ530" s="375"/>
      <c r="AK530" s="373"/>
      <c r="AL530" s="375"/>
      <c r="AM530" s="375"/>
      <c r="AN530" s="373"/>
      <c r="AO530" s="375"/>
      <c r="AP530" s="376"/>
      <c r="AQ530" s="375"/>
    </row>
    <row r="531">
      <c r="A531" s="376" t="s">
        <v>5426</v>
      </c>
      <c r="B531" s="376" t="s">
        <v>5427</v>
      </c>
      <c r="C531" s="257" t="str">
        <f>VLOOKUP(A531,import!A:J,3,0)</f>
        <v>DOĞRU</v>
      </c>
      <c r="D531" s="376" t="s">
        <v>3759</v>
      </c>
      <c r="E531" s="257">
        <f>VLOOKUP(A531,import!A:J,5,0)</f>
        <v>6</v>
      </c>
      <c r="F531" s="257">
        <f>VLOOKUP(A531,import!A:J,6,0)</f>
        <v>6</v>
      </c>
      <c r="G531" s="257">
        <f>VLOOKUP(A531,import!A:J,7,0)</f>
        <v>0</v>
      </c>
      <c r="H531" s="257">
        <f>VLOOKUP(A531,import!A:J,8,0)</f>
        <v>8</v>
      </c>
      <c r="I531" s="257">
        <f>VLOOKUP(A531,import!A:J,9,0)</f>
        <v>8</v>
      </c>
      <c r="J531" s="369">
        <f>VLOOKUP(A531,import!A:J,10,0)</f>
        <v>0</v>
      </c>
      <c r="K531" s="376" t="s">
        <v>5428</v>
      </c>
      <c r="L531" s="376">
        <v>3.223229999E9</v>
      </c>
      <c r="M531" s="376" t="s">
        <v>3707</v>
      </c>
      <c r="N531" s="376" t="s">
        <v>5429</v>
      </c>
      <c r="O531" s="376" t="s">
        <v>5430</v>
      </c>
      <c r="P531" s="370" t="str">
        <f>VLOOKUP(A531,import!A:P,16,0)</f>
        <v>Geleneksel</v>
      </c>
      <c r="Q531" s="370"/>
      <c r="R531" s="370" t="b">
        <v>0</v>
      </c>
      <c r="S531" s="370" t="b">
        <v>0</v>
      </c>
      <c r="T531" s="301"/>
      <c r="U531" s="301"/>
      <c r="V531" s="301"/>
      <c r="W531" s="301"/>
      <c r="X531" s="371"/>
      <c r="Y531" s="371"/>
      <c r="Z531" s="372"/>
      <c r="AA531" s="373"/>
      <c r="AB531" s="374"/>
      <c r="AC531" s="373"/>
      <c r="AD531" s="374"/>
      <c r="AE531" s="373"/>
      <c r="AF531" s="374"/>
      <c r="AG531" s="373"/>
      <c r="AH531" s="374"/>
      <c r="AI531" s="373"/>
      <c r="AJ531" s="374"/>
      <c r="AK531" s="373"/>
      <c r="AL531" s="373"/>
      <c r="AM531" s="373"/>
      <c r="AN531" s="373"/>
      <c r="AO531" s="373"/>
      <c r="AP531" s="376"/>
      <c r="AQ531" s="373"/>
    </row>
    <row r="532">
      <c r="A532" s="257" t="s">
        <v>5431</v>
      </c>
      <c r="B532" s="257" t="s">
        <v>5432</v>
      </c>
      <c r="C532" s="257" t="str">
        <f>VLOOKUP(A532,import!A:J,3,0)</f>
        <v>DOĞRU</v>
      </c>
      <c r="D532" s="257" t="s">
        <v>3699</v>
      </c>
      <c r="E532" s="257">
        <f>VLOOKUP(A532,import!A:J,5,0)</f>
        <v>698</v>
      </c>
      <c r="F532" s="257">
        <f>VLOOKUP(A532,import!A:J,6,0)</f>
        <v>161</v>
      </c>
      <c r="G532" s="257">
        <f>VLOOKUP(A532,import!A:J,7,0)</f>
        <v>0</v>
      </c>
      <c r="H532" s="257">
        <f>VLOOKUP(A532,import!A:J,8,0)</f>
        <v>17</v>
      </c>
      <c r="I532" s="257">
        <f>VLOOKUP(A532,import!A:J,9,0)</f>
        <v>17</v>
      </c>
      <c r="J532" s="369">
        <f>VLOOKUP(A532,import!A:J,10,0)</f>
        <v>0</v>
      </c>
      <c r="K532" s="257" t="s">
        <v>4703</v>
      </c>
      <c r="L532" s="257">
        <v>3.222484248E9</v>
      </c>
      <c r="M532" s="257" t="s">
        <v>14</v>
      </c>
      <c r="N532" s="257" t="s">
        <v>5433</v>
      </c>
      <c r="O532" s="257" t="s">
        <v>5434</v>
      </c>
      <c r="P532" s="370" t="str">
        <f>VLOOKUP(A532,import!A:P,16,0)</f>
        <v>Geleneksel</v>
      </c>
      <c r="Q532" s="370"/>
      <c r="R532" s="370" t="b">
        <v>1</v>
      </c>
      <c r="S532" s="370" t="b">
        <v>0</v>
      </c>
      <c r="T532" s="301" t="s">
        <v>3770</v>
      </c>
      <c r="U532" s="379"/>
      <c r="V532" s="379"/>
      <c r="W532" s="301" t="s">
        <v>5435</v>
      </c>
      <c r="X532" s="381"/>
      <c r="Y532" s="381"/>
      <c r="Z532" s="372"/>
      <c r="AA532" s="373" t="s">
        <v>3682</v>
      </c>
      <c r="AB532" s="374">
        <v>44557.0</v>
      </c>
      <c r="AC532" s="373"/>
      <c r="AD532" s="374"/>
      <c r="AE532" s="373"/>
      <c r="AF532" s="374"/>
      <c r="AG532" s="373"/>
      <c r="AH532" s="374"/>
      <c r="AI532" s="375"/>
      <c r="AJ532" s="375"/>
      <c r="AK532" s="373" t="s">
        <v>2542</v>
      </c>
      <c r="AL532" s="375"/>
      <c r="AM532" s="375"/>
      <c r="AN532" s="373"/>
      <c r="AO532" s="375"/>
      <c r="AP532" s="376"/>
      <c r="AQ532" s="375"/>
    </row>
    <row r="533">
      <c r="A533" s="257" t="s">
        <v>963</v>
      </c>
      <c r="B533" s="257" t="s">
        <v>964</v>
      </c>
      <c r="C533" s="257" t="str">
        <f>VLOOKUP(A533,import!A:J,3,0)</f>
        <v>DOĞRU</v>
      </c>
      <c r="D533" s="257" t="s">
        <v>3713</v>
      </c>
      <c r="E533" s="257">
        <f>VLOOKUP(A533,import!A:J,5,0)</f>
        <v>8924</v>
      </c>
      <c r="F533" s="257">
        <f>VLOOKUP(A533,import!A:J,6,0)</f>
        <v>261</v>
      </c>
      <c r="G533" s="257">
        <f>VLOOKUP(A533,import!A:J,7,0)</f>
        <v>0</v>
      </c>
      <c r="H533" s="257">
        <f>VLOOKUP(A533,import!A:J,8,0)</f>
        <v>81</v>
      </c>
      <c r="I533" s="257">
        <f>VLOOKUP(A533,import!A:J,9,0)</f>
        <v>81</v>
      </c>
      <c r="J533" s="369">
        <f>VLOOKUP(A533,import!A:J,10,0)</f>
        <v>0</v>
      </c>
      <c r="K533" s="257" t="s">
        <v>5436</v>
      </c>
      <c r="L533" s="257">
        <v>3.22212E9</v>
      </c>
      <c r="M533" s="257" t="s">
        <v>14</v>
      </c>
      <c r="N533" s="257" t="s">
        <v>3797</v>
      </c>
      <c r="O533" s="257" t="s">
        <v>966</v>
      </c>
      <c r="P533" s="370" t="str">
        <f>VLOOKUP(A533,import!A:P,16,0)</f>
        <v>Geleneksel</v>
      </c>
      <c r="Q533" s="370"/>
      <c r="R533" s="370" t="b">
        <v>1</v>
      </c>
      <c r="S533" s="370" t="b">
        <v>0</v>
      </c>
      <c r="T533" s="301" t="s">
        <v>3787</v>
      </c>
      <c r="U533" s="301" t="s">
        <v>2576</v>
      </c>
      <c r="V533" s="301" t="s">
        <v>78</v>
      </c>
      <c r="W533" s="267" t="s">
        <v>5437</v>
      </c>
      <c r="X533" s="371">
        <v>44464.0</v>
      </c>
      <c r="Y533" s="371">
        <v>44467.0</v>
      </c>
      <c r="Z533" s="372"/>
      <c r="AA533" s="373" t="s">
        <v>3681</v>
      </c>
      <c r="AB533" s="374">
        <v>44348.0</v>
      </c>
      <c r="AC533" s="373" t="s">
        <v>3695</v>
      </c>
      <c r="AD533" s="374">
        <v>44349.0</v>
      </c>
      <c r="AE533" s="373" t="s">
        <v>3682</v>
      </c>
      <c r="AF533" s="374">
        <v>44351.0</v>
      </c>
      <c r="AG533" s="373" t="s">
        <v>3448</v>
      </c>
      <c r="AH533" s="374">
        <v>44377.0</v>
      </c>
      <c r="AI533" s="373" t="s">
        <v>3682</v>
      </c>
      <c r="AJ533" s="374">
        <v>44464.0</v>
      </c>
      <c r="AK533" s="373" t="s">
        <v>79</v>
      </c>
      <c r="AL533" s="373" t="s">
        <v>111</v>
      </c>
      <c r="AM533" s="373" t="s">
        <v>3789</v>
      </c>
      <c r="AN533" s="373" t="s">
        <v>79</v>
      </c>
      <c r="AO533" s="373" t="s">
        <v>2576</v>
      </c>
      <c r="AP533" s="376" t="s">
        <v>3683</v>
      </c>
      <c r="AQ533" s="373"/>
    </row>
    <row r="534">
      <c r="A534" s="257" t="s">
        <v>5438</v>
      </c>
      <c r="B534" s="257" t="s">
        <v>5439</v>
      </c>
      <c r="C534" s="257" t="str">
        <f>VLOOKUP(A534,import!A:J,3,0)</f>
        <v>DOĞRU</v>
      </c>
      <c r="D534" s="257" t="s">
        <v>4000</v>
      </c>
      <c r="E534" s="257">
        <f>VLOOKUP(A534,import!A:J,5,0)</f>
        <v>633</v>
      </c>
      <c r="F534" s="257">
        <f>VLOOKUP(A534,import!A:J,6,0)</f>
        <v>39</v>
      </c>
      <c r="G534" s="257">
        <f>VLOOKUP(A534,import!A:J,7,0)</f>
        <v>0</v>
      </c>
      <c r="H534" s="257">
        <f>VLOOKUP(A534,import!A:J,8,0)</f>
        <v>53</v>
      </c>
      <c r="I534" s="257">
        <f>VLOOKUP(A534,import!A:J,9,0)</f>
        <v>53</v>
      </c>
      <c r="J534" s="369">
        <f>VLOOKUP(A534,import!A:J,10,0)</f>
        <v>0</v>
      </c>
      <c r="K534" s="257" t="s">
        <v>5440</v>
      </c>
      <c r="L534" s="257">
        <v>5.551900222E9</v>
      </c>
      <c r="M534" s="257" t="s">
        <v>3814</v>
      </c>
      <c r="N534" s="257" t="s">
        <v>3815</v>
      </c>
      <c r="O534" s="257" t="s">
        <v>5441</v>
      </c>
      <c r="P534" s="370" t="str">
        <f>VLOOKUP(A534,import!A:P,16,0)</f>
        <v>Geleneksel</v>
      </c>
      <c r="Q534" s="370"/>
      <c r="R534" s="370" t="b">
        <v>0</v>
      </c>
      <c r="S534" s="370" t="b">
        <v>0</v>
      </c>
      <c r="T534" s="301" t="s">
        <v>3862</v>
      </c>
      <c r="U534" s="379"/>
      <c r="V534" s="379"/>
      <c r="W534" s="301"/>
      <c r="X534" s="381"/>
      <c r="Y534" s="381"/>
      <c r="Z534" s="372"/>
      <c r="AA534" s="375"/>
      <c r="AB534" s="375"/>
      <c r="AC534" s="375"/>
      <c r="AD534" s="375"/>
      <c r="AE534" s="92"/>
      <c r="AF534" s="375"/>
      <c r="AG534" s="92"/>
      <c r="AH534" s="375"/>
      <c r="AI534" s="375"/>
      <c r="AJ534" s="375"/>
      <c r="AK534" s="375"/>
      <c r="AL534" s="375"/>
      <c r="AM534" s="375"/>
      <c r="AN534" s="375"/>
      <c r="AO534" s="375"/>
      <c r="AP534" s="376" t="s">
        <v>3686</v>
      </c>
      <c r="AQ534" s="375"/>
    </row>
    <row r="535">
      <c r="A535" s="257" t="s">
        <v>1501</v>
      </c>
      <c r="B535" s="257" t="s">
        <v>1502</v>
      </c>
      <c r="C535" s="257" t="str">
        <f>VLOOKUP(A535,import!A:J,3,0)</f>
        <v>DOĞRU</v>
      </c>
      <c r="D535" s="257" t="s">
        <v>3713</v>
      </c>
      <c r="E535" s="257">
        <f>VLOOKUP(A535,import!A:J,5,0)</f>
        <v>130</v>
      </c>
      <c r="F535" s="257" t="str">
        <f>VLOOKUP(A535,import!A:J,6,0)</f>
        <v/>
      </c>
      <c r="G535" s="257">
        <f>VLOOKUP(A535,import!A:J,7,0)</f>
        <v>22</v>
      </c>
      <c r="H535" s="257">
        <f>VLOOKUP(A535,import!A:J,8,0)</f>
        <v>11</v>
      </c>
      <c r="I535" s="257">
        <f>VLOOKUP(A535,import!A:J,9,0)</f>
        <v>33</v>
      </c>
      <c r="J535" s="369">
        <f>VLOOKUP(A535,import!A:J,10,0)</f>
        <v>0.67</v>
      </c>
      <c r="K535" s="257" t="s">
        <v>5442</v>
      </c>
      <c r="L535" s="257">
        <v>5.413527217E9</v>
      </c>
      <c r="M535" s="257" t="s">
        <v>3707</v>
      </c>
      <c r="N535" s="257" t="s">
        <v>5130</v>
      </c>
      <c r="O535" s="257" t="s">
        <v>1504</v>
      </c>
      <c r="P535" s="370" t="str">
        <f>VLOOKUP(A535,import!A:P,16,0)</f>
        <v>Geleneksel</v>
      </c>
      <c r="Q535" s="370"/>
      <c r="R535" s="370" t="b">
        <v>1</v>
      </c>
      <c r="S535" s="370" t="b">
        <v>0</v>
      </c>
      <c r="T535" s="301" t="s">
        <v>3679</v>
      </c>
      <c r="U535" s="301" t="s">
        <v>4088</v>
      </c>
      <c r="V535" s="301" t="s">
        <v>78</v>
      </c>
      <c r="W535" s="379"/>
      <c r="X535" s="371">
        <v>44390.0</v>
      </c>
      <c r="Y535" s="371">
        <v>44393.0</v>
      </c>
      <c r="Z535" s="372"/>
      <c r="AA535" s="373" t="s">
        <v>3682</v>
      </c>
      <c r="AB535" s="374">
        <v>44390.0</v>
      </c>
      <c r="AC535" s="375"/>
      <c r="AD535" s="375"/>
      <c r="AE535" s="92"/>
      <c r="AF535" s="375"/>
      <c r="AG535" s="92"/>
      <c r="AH535" s="375"/>
      <c r="AI535" s="375"/>
      <c r="AJ535" s="375"/>
      <c r="AK535" s="373" t="s">
        <v>4088</v>
      </c>
      <c r="AL535" s="375"/>
      <c r="AM535" s="375"/>
      <c r="AN535" s="375"/>
      <c r="AO535" s="375"/>
      <c r="AP535" s="376" t="s">
        <v>3686</v>
      </c>
      <c r="AQ535" s="375"/>
    </row>
    <row r="536">
      <c r="A536" s="257" t="s">
        <v>560</v>
      </c>
      <c r="B536" s="257" t="s">
        <v>561</v>
      </c>
      <c r="C536" s="257" t="str">
        <f>VLOOKUP(A536,import!A:J,3,0)</f>
        <v>DOĞRU</v>
      </c>
      <c r="D536" s="257" t="s">
        <v>3699</v>
      </c>
      <c r="E536" s="257">
        <f>VLOOKUP(A536,import!A:J,5,0)</f>
        <v>3003</v>
      </c>
      <c r="F536" s="257">
        <f>VLOOKUP(A536,import!A:J,6,0)</f>
        <v>71</v>
      </c>
      <c r="G536" s="257">
        <f>VLOOKUP(A536,import!A:J,7,0)</f>
        <v>18</v>
      </c>
      <c r="H536" s="257">
        <f>VLOOKUP(A536,import!A:J,8,0)</f>
        <v>11</v>
      </c>
      <c r="I536" s="257">
        <f>VLOOKUP(A536,import!A:J,9,0)</f>
        <v>29</v>
      </c>
      <c r="J536" s="369">
        <f>VLOOKUP(A536,import!A:J,10,0)</f>
        <v>0.62</v>
      </c>
      <c r="K536" s="257" t="s">
        <v>5443</v>
      </c>
      <c r="L536" s="257">
        <v>5.344147928E9</v>
      </c>
      <c r="M536" s="257" t="s">
        <v>286</v>
      </c>
      <c r="N536" s="257" t="s">
        <v>3746</v>
      </c>
      <c r="O536" s="257" t="s">
        <v>5444</v>
      </c>
      <c r="P536" s="370" t="str">
        <f>VLOOKUP(A536,import!A:P,16,0)</f>
        <v>Geleneksel</v>
      </c>
      <c r="Q536" s="370"/>
      <c r="R536" s="370" t="b">
        <v>1</v>
      </c>
      <c r="S536" s="370" t="b">
        <v>0</v>
      </c>
      <c r="T536" s="301" t="s">
        <v>3679</v>
      </c>
      <c r="U536" s="301" t="s">
        <v>79</v>
      </c>
      <c r="V536" s="301" t="s">
        <v>5445</v>
      </c>
      <c r="W536" s="301" t="s">
        <v>5446</v>
      </c>
      <c r="X536" s="371">
        <v>44312.0</v>
      </c>
      <c r="Y536" s="371">
        <v>44314.0</v>
      </c>
      <c r="Z536" s="377"/>
      <c r="AA536" s="375"/>
      <c r="AB536" s="375"/>
      <c r="AC536" s="375"/>
      <c r="AD536" s="375"/>
      <c r="AE536" s="92"/>
      <c r="AF536" s="375"/>
      <c r="AG536" s="92"/>
      <c r="AH536" s="375"/>
      <c r="AI536" s="375"/>
      <c r="AJ536" s="375"/>
      <c r="AK536" s="375"/>
      <c r="AL536" s="375"/>
      <c r="AM536" s="375"/>
      <c r="AN536" s="375"/>
      <c r="AO536" s="375"/>
      <c r="AP536" s="376" t="s">
        <v>3686</v>
      </c>
      <c r="AQ536" s="375"/>
    </row>
    <row r="537">
      <c r="A537" s="257" t="s">
        <v>5447</v>
      </c>
      <c r="B537" s="257" t="s">
        <v>5448</v>
      </c>
      <c r="C537" s="257" t="str">
        <f>VLOOKUP(A537,import!A:J,3,0)</f>
        <v>DOĞRU</v>
      </c>
      <c r="D537" s="257" t="s">
        <v>3690</v>
      </c>
      <c r="E537" s="257">
        <f>VLOOKUP(A537,import!A:J,5,0)</f>
        <v>11</v>
      </c>
      <c r="F537" s="257" t="str">
        <f>VLOOKUP(A537,import!A:J,6,0)</f>
        <v/>
      </c>
      <c r="G537" s="257">
        <f>VLOOKUP(A537,import!A:J,7,0)</f>
        <v>0</v>
      </c>
      <c r="H537" s="257">
        <f>VLOOKUP(A537,import!A:J,8,0)</f>
        <v>8</v>
      </c>
      <c r="I537" s="257">
        <f>VLOOKUP(A537,import!A:J,9,0)</f>
        <v>8</v>
      </c>
      <c r="J537" s="369">
        <f>VLOOKUP(A537,import!A:J,10,0)</f>
        <v>0</v>
      </c>
      <c r="K537" s="257" t="s">
        <v>5449</v>
      </c>
      <c r="L537" s="257">
        <v>5.356685673E9</v>
      </c>
      <c r="M537" s="257" t="s">
        <v>286</v>
      </c>
      <c r="N537" s="257" t="s">
        <v>3758</v>
      </c>
      <c r="O537" s="257" t="s">
        <v>5450</v>
      </c>
      <c r="P537" s="370" t="str">
        <f>VLOOKUP(A537,import!A:P,16,0)</f>
        <v>Geleneksel</v>
      </c>
      <c r="Q537" s="370"/>
      <c r="R537" s="370" t="b">
        <v>0</v>
      </c>
      <c r="S537" s="370" t="b">
        <v>0</v>
      </c>
      <c r="T537" s="301"/>
      <c r="U537" s="379"/>
      <c r="V537" s="379"/>
      <c r="W537" s="301"/>
      <c r="X537" s="381"/>
      <c r="Y537" s="381"/>
      <c r="Z537" s="372"/>
      <c r="AA537" s="373"/>
      <c r="AB537" s="374"/>
      <c r="AC537" s="373"/>
      <c r="AD537" s="374"/>
      <c r="AE537" s="373"/>
      <c r="AF537" s="374"/>
      <c r="AG537" s="373"/>
      <c r="AH537" s="374"/>
      <c r="AI537" s="375"/>
      <c r="AJ537" s="375"/>
      <c r="AK537" s="373"/>
      <c r="AL537" s="375"/>
      <c r="AM537" s="375"/>
      <c r="AN537" s="373"/>
      <c r="AO537" s="375"/>
      <c r="AP537" s="376"/>
      <c r="AQ537" s="375"/>
    </row>
    <row r="538">
      <c r="A538" s="257" t="s">
        <v>5451</v>
      </c>
      <c r="B538" s="257" t="s">
        <v>5452</v>
      </c>
      <c r="C538" s="257" t="str">
        <f>VLOOKUP(A538,import!A:J,3,0)</f>
        <v>DOĞRU</v>
      </c>
      <c r="D538" s="257" t="s">
        <v>3690</v>
      </c>
      <c r="E538" s="257">
        <f>VLOOKUP(A538,import!A:J,5,0)</f>
        <v>831</v>
      </c>
      <c r="F538" s="257">
        <f>VLOOKUP(A538,import!A:J,6,0)</f>
        <v>60</v>
      </c>
      <c r="G538" s="257">
        <f>VLOOKUP(A538,import!A:J,7,0)</f>
        <v>0</v>
      </c>
      <c r="H538" s="257">
        <f>VLOOKUP(A538,import!A:J,8,0)</f>
        <v>11</v>
      </c>
      <c r="I538" s="257">
        <f>VLOOKUP(A538,import!A:J,9,0)</f>
        <v>11</v>
      </c>
      <c r="J538" s="369">
        <f>VLOOKUP(A538,import!A:J,10,0)</f>
        <v>0</v>
      </c>
      <c r="K538" s="257" t="s">
        <v>5035</v>
      </c>
      <c r="L538" s="257">
        <v>5.451450127E9</v>
      </c>
      <c r="M538" s="257" t="s">
        <v>286</v>
      </c>
      <c r="N538" s="257" t="s">
        <v>3746</v>
      </c>
      <c r="O538" s="257" t="s">
        <v>5453</v>
      </c>
      <c r="P538" s="370" t="str">
        <f>VLOOKUP(A538,import!A:P,16,0)</f>
        <v>Geleneksel</v>
      </c>
      <c r="Q538" s="370"/>
      <c r="R538" s="370" t="b">
        <v>1</v>
      </c>
      <c r="S538" s="370" t="b">
        <v>0</v>
      </c>
      <c r="T538" s="301"/>
      <c r="U538" s="379"/>
      <c r="V538" s="379"/>
      <c r="W538" s="301"/>
      <c r="X538" s="381"/>
      <c r="Y538" s="381"/>
      <c r="Z538" s="372"/>
      <c r="AA538" s="242" t="s">
        <v>3448</v>
      </c>
      <c r="AB538" s="383">
        <v>44566.0</v>
      </c>
      <c r="AC538" s="373"/>
      <c r="AD538" s="383"/>
      <c r="AE538" s="373"/>
      <c r="AF538" s="383"/>
      <c r="AG538" s="373"/>
      <c r="AH538" s="383"/>
      <c r="AI538" s="375"/>
      <c r="AJ538" s="382"/>
      <c r="AK538" s="373" t="s">
        <v>2192</v>
      </c>
      <c r="AL538" s="375"/>
      <c r="AM538" s="375"/>
      <c r="AN538" s="373"/>
      <c r="AO538" s="375"/>
      <c r="AP538" s="376" t="s">
        <v>3686</v>
      </c>
      <c r="AQ538" s="375"/>
    </row>
    <row r="539">
      <c r="A539" s="257" t="s">
        <v>5454</v>
      </c>
      <c r="B539" s="257" t="s">
        <v>5455</v>
      </c>
      <c r="C539" s="257" t="str">
        <f>VLOOKUP(A539,import!A:J,3,0)</f>
        <v>YANLIŞ</v>
      </c>
      <c r="D539" s="257" t="s">
        <v>3690</v>
      </c>
      <c r="E539" s="257">
        <f>VLOOKUP(A539,import!A:J,5,0)</f>
        <v>277</v>
      </c>
      <c r="F539" s="257" t="str">
        <f>VLOOKUP(A539,import!A:J,6,0)</f>
        <v/>
      </c>
      <c r="G539" s="257">
        <f>VLOOKUP(A539,import!A:J,7,0)</f>
        <v>0</v>
      </c>
      <c r="H539" s="257">
        <f>VLOOKUP(A539,import!A:J,8,0)</f>
        <v>11</v>
      </c>
      <c r="I539" s="257">
        <f>VLOOKUP(A539,import!A:J,9,0)</f>
        <v>11</v>
      </c>
      <c r="J539" s="369">
        <f>VLOOKUP(A539,import!A:J,10,0)</f>
        <v>0</v>
      </c>
      <c r="K539" s="257" t="s">
        <v>4501</v>
      </c>
      <c r="L539" s="257">
        <v>5.46194194E9</v>
      </c>
      <c r="M539" s="257" t="s">
        <v>286</v>
      </c>
      <c r="N539" s="257" t="s">
        <v>3737</v>
      </c>
      <c r="O539" s="257" t="s">
        <v>5456</v>
      </c>
      <c r="P539" s="370" t="str">
        <f>VLOOKUP(A539,import!A:P,16,0)</f>
        <v>Geleneksel</v>
      </c>
      <c r="Q539" s="370"/>
      <c r="R539" s="370" t="b">
        <v>1</v>
      </c>
      <c r="S539" s="370" t="b">
        <v>0</v>
      </c>
      <c r="T539" s="301" t="s">
        <v>3448</v>
      </c>
      <c r="U539" s="301"/>
      <c r="V539" s="301"/>
      <c r="W539" s="301" t="s">
        <v>3968</v>
      </c>
      <c r="X539" s="371"/>
      <c r="Y539" s="371"/>
      <c r="Z539" s="377"/>
      <c r="AA539" s="242" t="s">
        <v>3448</v>
      </c>
      <c r="AB539" s="383">
        <v>44433.0</v>
      </c>
      <c r="AC539" s="373" t="s">
        <v>3448</v>
      </c>
      <c r="AD539" s="383">
        <v>44446.0</v>
      </c>
      <c r="AE539" s="373" t="s">
        <v>3448</v>
      </c>
      <c r="AF539" s="383">
        <v>44450.0</v>
      </c>
      <c r="AG539" s="373" t="s">
        <v>3448</v>
      </c>
      <c r="AH539" s="383">
        <v>44484.0</v>
      </c>
      <c r="AI539" s="373" t="s">
        <v>3448</v>
      </c>
      <c r="AJ539" s="383">
        <v>44508.0</v>
      </c>
      <c r="AK539" s="375"/>
      <c r="AL539" s="373" t="s">
        <v>79</v>
      </c>
      <c r="AM539" s="373" t="s">
        <v>2418</v>
      </c>
      <c r="AN539" s="373" t="s">
        <v>2542</v>
      </c>
      <c r="AO539" s="373" t="s">
        <v>2192</v>
      </c>
      <c r="AP539" s="376" t="s">
        <v>3683</v>
      </c>
      <c r="AQ539" s="373"/>
    </row>
    <row r="540">
      <c r="A540" s="257" t="s">
        <v>5457</v>
      </c>
      <c r="B540" s="257" t="s">
        <v>5458</v>
      </c>
      <c r="C540" s="257" t="str">
        <f>VLOOKUP(A540,import!A:J,3,0)</f>
        <v>DOĞRU</v>
      </c>
      <c r="D540" s="257" t="s">
        <v>3713</v>
      </c>
      <c r="E540" s="257">
        <f>VLOOKUP(A540,import!A:J,5,0)</f>
        <v>764</v>
      </c>
      <c r="F540" s="257">
        <f>VLOOKUP(A540,import!A:J,6,0)</f>
        <v>13</v>
      </c>
      <c r="G540" s="257">
        <f>VLOOKUP(A540,import!A:J,7,0)</f>
        <v>0</v>
      </c>
      <c r="H540" s="257">
        <f>VLOOKUP(A540,import!A:J,8,0)</f>
        <v>25</v>
      </c>
      <c r="I540" s="257">
        <f>VLOOKUP(A540,import!A:J,9,0)</f>
        <v>25</v>
      </c>
      <c r="J540" s="369">
        <f>VLOOKUP(A540,import!A:J,10,0)</f>
        <v>0</v>
      </c>
      <c r="K540" s="257" t="s">
        <v>5459</v>
      </c>
      <c r="L540" s="257">
        <v>3.222281744E9</v>
      </c>
      <c r="M540" s="257" t="s">
        <v>14</v>
      </c>
      <c r="N540" s="257" t="s">
        <v>3767</v>
      </c>
      <c r="O540" s="257" t="s">
        <v>5460</v>
      </c>
      <c r="P540" s="370" t="str">
        <f>VLOOKUP(A540,import!A:P,16,0)</f>
        <v>Geleneksel</v>
      </c>
      <c r="Q540" s="370"/>
      <c r="R540" s="370" t="b">
        <v>1</v>
      </c>
      <c r="S540" s="370" t="b">
        <v>1</v>
      </c>
      <c r="T540" s="301"/>
      <c r="U540" s="379"/>
      <c r="V540" s="379"/>
      <c r="W540" s="301" t="s">
        <v>5461</v>
      </c>
      <c r="X540" s="381"/>
      <c r="Y540" s="381"/>
      <c r="Z540" s="372"/>
      <c r="AA540" s="373" t="s">
        <v>3448</v>
      </c>
      <c r="AB540" s="374">
        <v>44349.0</v>
      </c>
      <c r="AC540" s="373" t="s">
        <v>3696</v>
      </c>
      <c r="AD540" s="374">
        <v>44363.0</v>
      </c>
      <c r="AE540" s="373" t="s">
        <v>3695</v>
      </c>
      <c r="AF540" s="374">
        <v>44382.0</v>
      </c>
      <c r="AG540" s="373" t="s">
        <v>3682</v>
      </c>
      <c r="AH540" s="374">
        <v>44383.0</v>
      </c>
      <c r="AI540" s="373" t="s">
        <v>3682</v>
      </c>
      <c r="AJ540" s="374">
        <v>44441.0</v>
      </c>
      <c r="AK540" s="373" t="s">
        <v>111</v>
      </c>
      <c r="AL540" s="373" t="s">
        <v>79</v>
      </c>
      <c r="AM540" s="373" t="s">
        <v>79</v>
      </c>
      <c r="AN540" s="373" t="s">
        <v>1014</v>
      </c>
      <c r="AO540" s="373" t="s">
        <v>2542</v>
      </c>
      <c r="AP540" s="376" t="s">
        <v>3683</v>
      </c>
      <c r="AQ540" s="373"/>
    </row>
    <row r="541">
      <c r="A541" s="376" t="s">
        <v>5462</v>
      </c>
      <c r="B541" s="376" t="s">
        <v>5463</v>
      </c>
      <c r="C541" s="257" t="str">
        <f>VLOOKUP(A541,import!A:J,3,0)</f>
        <v>DOĞRU</v>
      </c>
      <c r="D541" s="376" t="s">
        <v>3699</v>
      </c>
      <c r="E541" s="257" t="str">
        <f>VLOOKUP(A541,import!A:J,5,0)</f>
        <v/>
      </c>
      <c r="F541" s="257" t="str">
        <f>VLOOKUP(A541,import!A:J,6,0)</f>
        <v/>
      </c>
      <c r="G541" s="257">
        <f>VLOOKUP(A541,import!A:J,7,0)</f>
        <v>0</v>
      </c>
      <c r="H541" s="257">
        <f>VLOOKUP(A541,import!A:J,8,0)</f>
        <v>18</v>
      </c>
      <c r="I541" s="257">
        <f>VLOOKUP(A541,import!A:J,9,0)</f>
        <v>18</v>
      </c>
      <c r="J541" s="369">
        <f>VLOOKUP(A541,import!A:J,10,0)</f>
        <v>0</v>
      </c>
      <c r="K541" s="376" t="s">
        <v>5464</v>
      </c>
      <c r="L541" s="376">
        <v>5.524374401E9</v>
      </c>
      <c r="M541" s="376" t="s">
        <v>286</v>
      </c>
      <c r="N541" s="376" t="s">
        <v>3746</v>
      </c>
      <c r="O541" s="376" t="s">
        <v>5465</v>
      </c>
      <c r="P541" s="370" t="str">
        <f>VLOOKUP(A541,import!A:P,16,0)</f>
        <v>Geleneksel</v>
      </c>
      <c r="Q541" s="370"/>
      <c r="R541" s="370" t="b">
        <v>0</v>
      </c>
      <c r="S541" s="370" t="b">
        <v>0</v>
      </c>
      <c r="T541" s="301"/>
      <c r="U541" s="301"/>
      <c r="V541" s="301"/>
      <c r="W541" s="301"/>
      <c r="X541" s="371"/>
      <c r="Y541" s="371"/>
      <c r="Z541" s="372"/>
      <c r="AA541" s="373"/>
      <c r="AB541" s="374"/>
      <c r="AC541" s="373"/>
      <c r="AD541" s="374"/>
      <c r="AE541" s="373"/>
      <c r="AF541" s="374"/>
      <c r="AG541" s="373"/>
      <c r="AH541" s="374"/>
      <c r="AI541" s="373"/>
      <c r="AJ541" s="374"/>
      <c r="AK541" s="373"/>
      <c r="AL541" s="373"/>
      <c r="AM541" s="373"/>
      <c r="AN541" s="373"/>
      <c r="AO541" s="373"/>
      <c r="AP541" s="376"/>
      <c r="AQ541" s="373"/>
    </row>
    <row r="542">
      <c r="A542" s="257" t="s">
        <v>5466</v>
      </c>
      <c r="B542" s="257" t="s">
        <v>5467</v>
      </c>
      <c r="C542" s="257" t="str">
        <f>VLOOKUP(A542,import!A:J,3,0)</f>
        <v>DOĞRU</v>
      </c>
      <c r="D542" s="257" t="s">
        <v>3699</v>
      </c>
      <c r="E542" s="257">
        <f>VLOOKUP(A542,import!A:J,5,0)</f>
        <v>284</v>
      </c>
      <c r="F542" s="257">
        <f>VLOOKUP(A542,import!A:J,6,0)</f>
        <v>24</v>
      </c>
      <c r="G542" s="257">
        <f>VLOOKUP(A542,import!A:J,7,0)</f>
        <v>0</v>
      </c>
      <c r="H542" s="257">
        <f>VLOOKUP(A542,import!A:J,8,0)</f>
        <v>6</v>
      </c>
      <c r="I542" s="257">
        <f>VLOOKUP(A542,import!A:J,9,0)</f>
        <v>6</v>
      </c>
      <c r="J542" s="369">
        <f>VLOOKUP(A542,import!A:J,10,0)</f>
        <v>0</v>
      </c>
      <c r="K542" s="257" t="s">
        <v>5468</v>
      </c>
      <c r="L542" s="257">
        <v>5.456524087E9</v>
      </c>
      <c r="M542" s="257" t="s">
        <v>3701</v>
      </c>
      <c r="N542" s="257" t="s">
        <v>3803</v>
      </c>
      <c r="O542" s="257" t="s">
        <v>5469</v>
      </c>
      <c r="P542" s="370" t="str">
        <f>VLOOKUP(A542,import!A:P,16,0)</f>
        <v>Geleneksel</v>
      </c>
      <c r="Q542" s="370"/>
      <c r="R542" s="370" t="b">
        <v>0</v>
      </c>
      <c r="S542" s="370" t="b">
        <v>0</v>
      </c>
      <c r="T542" s="301" t="s">
        <v>3862</v>
      </c>
      <c r="U542" s="379"/>
      <c r="V542" s="379"/>
      <c r="W542" s="301"/>
      <c r="X542" s="381"/>
      <c r="Y542" s="381"/>
      <c r="Z542" s="372"/>
      <c r="AA542" s="373"/>
      <c r="AB542" s="374"/>
      <c r="AC542" s="373"/>
      <c r="AD542" s="374"/>
      <c r="AE542" s="373"/>
      <c r="AF542" s="374"/>
      <c r="AG542" s="373"/>
      <c r="AH542" s="374"/>
      <c r="AI542" s="375"/>
      <c r="AJ542" s="375"/>
      <c r="AK542" s="373"/>
      <c r="AL542" s="375"/>
      <c r="AM542" s="375"/>
      <c r="AN542" s="373"/>
      <c r="AO542" s="375"/>
      <c r="AP542" s="376" t="s">
        <v>3686</v>
      </c>
      <c r="AQ542" s="375"/>
    </row>
    <row r="543">
      <c r="A543" s="257" t="s">
        <v>5470</v>
      </c>
      <c r="B543" s="257" t="s">
        <v>1584</v>
      </c>
      <c r="C543" s="257" t="str">
        <f>VLOOKUP(A543,import!A:J,3,0)</f>
        <v>DOĞRU</v>
      </c>
      <c r="D543" s="257" t="s">
        <v>4092</v>
      </c>
      <c r="E543" s="257">
        <f>VLOOKUP(A543,import!A:J,5,0)</f>
        <v>190</v>
      </c>
      <c r="F543" s="257">
        <f>VLOOKUP(A543,import!A:J,6,0)</f>
        <v>23</v>
      </c>
      <c r="G543" s="257">
        <f>VLOOKUP(A543,import!A:J,7,0)</f>
        <v>0</v>
      </c>
      <c r="H543" s="257">
        <f>VLOOKUP(A543,import!A:J,8,0)</f>
        <v>20</v>
      </c>
      <c r="I543" s="257">
        <f>VLOOKUP(A543,import!A:J,9,0)</f>
        <v>20</v>
      </c>
      <c r="J543" s="369">
        <f>VLOOKUP(A543,import!A:J,10,0)</f>
        <v>0</v>
      </c>
      <c r="K543" s="257" t="s">
        <v>5471</v>
      </c>
      <c r="L543" s="257">
        <v>5.536288275E9</v>
      </c>
      <c r="M543" s="257" t="s">
        <v>14</v>
      </c>
      <c r="N543" s="257" t="s">
        <v>3733</v>
      </c>
      <c r="O543" s="257" t="s">
        <v>5472</v>
      </c>
      <c r="P543" s="370" t="str">
        <f>VLOOKUP(A543,import!A:P,16,0)</f>
        <v>Geleneksel</v>
      </c>
      <c r="Q543" s="370"/>
      <c r="R543" s="370" t="b">
        <v>1</v>
      </c>
      <c r="S543" s="370" t="b">
        <v>0</v>
      </c>
      <c r="T543" s="301" t="s">
        <v>3770</v>
      </c>
      <c r="U543" s="379"/>
      <c r="V543" s="379"/>
      <c r="W543" s="301" t="s">
        <v>5473</v>
      </c>
      <c r="X543" s="381"/>
      <c r="Y543" s="381"/>
      <c r="Z543" s="372"/>
      <c r="AA543" s="373" t="s">
        <v>3682</v>
      </c>
      <c r="AB543" s="374">
        <v>44557.0</v>
      </c>
      <c r="AC543" s="373" t="s">
        <v>3682</v>
      </c>
      <c r="AD543" s="374">
        <v>44635.0</v>
      </c>
      <c r="AE543" s="373"/>
      <c r="AF543" s="374"/>
      <c r="AG543" s="373"/>
      <c r="AH543" s="374"/>
      <c r="AI543" s="375"/>
      <c r="AJ543" s="375"/>
      <c r="AK543" s="373" t="s">
        <v>2542</v>
      </c>
      <c r="AL543" s="373" t="s">
        <v>2192</v>
      </c>
      <c r="AM543" s="375"/>
      <c r="AN543" s="373"/>
      <c r="AO543" s="375"/>
      <c r="AP543" s="376"/>
      <c r="AQ543" s="375"/>
    </row>
    <row r="544">
      <c r="A544" s="257" t="s">
        <v>735</v>
      </c>
      <c r="B544" s="257" t="s">
        <v>736</v>
      </c>
      <c r="C544" s="257" t="str">
        <f>VLOOKUP(A544,import!A:J,3,0)</f>
        <v>DOĞRU</v>
      </c>
      <c r="D544" s="257" t="s">
        <v>4092</v>
      </c>
      <c r="E544" s="257">
        <f>VLOOKUP(A544,import!A:J,5,0)</f>
        <v>2840</v>
      </c>
      <c r="F544" s="257">
        <f>VLOOKUP(A544,import!A:J,6,0)</f>
        <v>19</v>
      </c>
      <c r="G544" s="257">
        <f>VLOOKUP(A544,import!A:J,7,0)</f>
        <v>10</v>
      </c>
      <c r="H544" s="257">
        <f>VLOOKUP(A544,import!A:J,8,0)</f>
        <v>6</v>
      </c>
      <c r="I544" s="257">
        <f>VLOOKUP(A544,import!A:J,9,0)</f>
        <v>16</v>
      </c>
      <c r="J544" s="369">
        <f>VLOOKUP(A544,import!A:J,10,0)</f>
        <v>0.63</v>
      </c>
      <c r="K544" s="257" t="s">
        <v>5474</v>
      </c>
      <c r="L544" s="257">
        <v>5.522455856E9</v>
      </c>
      <c r="M544" s="257" t="s">
        <v>286</v>
      </c>
      <c r="N544" s="257" t="s">
        <v>3754</v>
      </c>
      <c r="O544" s="257" t="s">
        <v>738</v>
      </c>
      <c r="P544" s="370" t="str">
        <f>VLOOKUP(A544,import!A:P,16,0)</f>
        <v>Geleneksel</v>
      </c>
      <c r="Q544" s="370"/>
      <c r="R544" s="370" t="b">
        <v>1</v>
      </c>
      <c r="S544" s="370" t="b">
        <v>0</v>
      </c>
      <c r="T544" s="301" t="s">
        <v>3679</v>
      </c>
      <c r="U544" s="301" t="s">
        <v>79</v>
      </c>
      <c r="V544" s="301" t="s">
        <v>78</v>
      </c>
      <c r="W544" s="301" t="s">
        <v>5475</v>
      </c>
      <c r="X544" s="371">
        <v>44385.0</v>
      </c>
      <c r="Y544" s="371">
        <v>44389.0</v>
      </c>
      <c r="Z544" s="377"/>
      <c r="AA544" s="373" t="s">
        <v>3682</v>
      </c>
      <c r="AB544" s="374">
        <v>44377.0</v>
      </c>
      <c r="AC544" s="373" t="s">
        <v>3682</v>
      </c>
      <c r="AD544" s="374">
        <v>44385.0</v>
      </c>
      <c r="AE544" s="92"/>
      <c r="AF544" s="375"/>
      <c r="AG544" s="92"/>
      <c r="AH544" s="375"/>
      <c r="AI544" s="375"/>
      <c r="AJ544" s="375"/>
      <c r="AK544" s="373" t="s">
        <v>79</v>
      </c>
      <c r="AL544" s="373" t="s">
        <v>79</v>
      </c>
      <c r="AM544" s="375"/>
      <c r="AN544" s="375"/>
      <c r="AO544" s="375"/>
      <c r="AP544" s="376" t="s">
        <v>3686</v>
      </c>
      <c r="AQ544" s="375"/>
    </row>
    <row r="545">
      <c r="A545" s="257" t="s">
        <v>3541</v>
      </c>
      <c r="B545" s="257" t="s">
        <v>3542</v>
      </c>
      <c r="C545" s="257" t="str">
        <f>VLOOKUP(A545,import!A:J,3,0)</f>
        <v>DOĞRU</v>
      </c>
      <c r="D545" s="257" t="s">
        <v>3801</v>
      </c>
      <c r="E545" s="257">
        <f>VLOOKUP(A545,import!A:J,5,0)</f>
        <v>25</v>
      </c>
      <c r="F545" s="257">
        <f>VLOOKUP(A545,import!A:J,6,0)</f>
        <v>4</v>
      </c>
      <c r="G545" s="257">
        <f>VLOOKUP(A545,import!A:J,7,0)</f>
        <v>0</v>
      </c>
      <c r="H545" s="257">
        <f>VLOOKUP(A545,import!A:J,8,0)</f>
        <v>16</v>
      </c>
      <c r="I545" s="257">
        <f>VLOOKUP(A545,import!A:J,9,0)</f>
        <v>16</v>
      </c>
      <c r="J545" s="369">
        <f>VLOOKUP(A545,import!A:J,10,0)</f>
        <v>0</v>
      </c>
      <c r="K545" s="257" t="s">
        <v>5476</v>
      </c>
      <c r="L545" s="257">
        <v>5.378381781E9</v>
      </c>
      <c r="M545" s="257" t="s">
        <v>14</v>
      </c>
      <c r="N545" s="257" t="s">
        <v>3718</v>
      </c>
      <c r="O545" s="257" t="s">
        <v>3545</v>
      </c>
      <c r="P545" s="370" t="str">
        <f>VLOOKUP(A545,import!A:P,16,0)</f>
        <v>Geleneksel</v>
      </c>
      <c r="Q545" s="370"/>
      <c r="R545" s="370" t="b">
        <v>1</v>
      </c>
      <c r="S545" s="370" t="b">
        <v>0</v>
      </c>
      <c r="T545" s="301" t="s">
        <v>3679</v>
      </c>
      <c r="U545" s="301" t="s">
        <v>2418</v>
      </c>
      <c r="V545" s="394" t="s">
        <v>3331</v>
      </c>
      <c r="W545" s="301"/>
      <c r="X545" s="371">
        <v>44634.0</v>
      </c>
      <c r="Y545" s="371">
        <v>44636.0</v>
      </c>
      <c r="Z545" s="372"/>
      <c r="AA545" s="373" t="s">
        <v>3682</v>
      </c>
      <c r="AB545" s="374">
        <v>44634.0</v>
      </c>
      <c r="AC545" s="373"/>
      <c r="AD545" s="374"/>
      <c r="AE545" s="373"/>
      <c r="AF545" s="374"/>
      <c r="AG545" s="373"/>
      <c r="AH545" s="374"/>
      <c r="AI545" s="373"/>
      <c r="AJ545" s="374"/>
      <c r="AK545" s="373" t="s">
        <v>2418</v>
      </c>
      <c r="AL545" s="373"/>
      <c r="AM545" s="373"/>
      <c r="AN545" s="373"/>
      <c r="AO545" s="373"/>
      <c r="AP545" s="376"/>
      <c r="AQ545" s="373"/>
    </row>
    <row r="546">
      <c r="A546" s="257" t="s">
        <v>1792</v>
      </c>
      <c r="B546" s="257" t="s">
        <v>1793</v>
      </c>
      <c r="C546" s="257" t="str">
        <f>VLOOKUP(A546,import!A:J,3,0)</f>
        <v>DOĞRU</v>
      </c>
      <c r="D546" s="257" t="s">
        <v>3801</v>
      </c>
      <c r="E546" s="257">
        <f>VLOOKUP(A546,import!A:J,5,0)</f>
        <v>416</v>
      </c>
      <c r="F546" s="257">
        <f>VLOOKUP(A546,import!A:J,6,0)</f>
        <v>5</v>
      </c>
      <c r="G546" s="257">
        <f>VLOOKUP(A546,import!A:J,7,0)</f>
        <v>11</v>
      </c>
      <c r="H546" s="257">
        <f>VLOOKUP(A546,import!A:J,8,0)</f>
        <v>8</v>
      </c>
      <c r="I546" s="257">
        <f>VLOOKUP(A546,import!A:J,9,0)</f>
        <v>19</v>
      </c>
      <c r="J546" s="369">
        <f>VLOOKUP(A546,import!A:J,10,0)</f>
        <v>0.58</v>
      </c>
      <c r="K546" s="257" t="s">
        <v>5477</v>
      </c>
      <c r="L546" s="257">
        <v>5.050238236E9</v>
      </c>
      <c r="M546" s="257" t="s">
        <v>3692</v>
      </c>
      <c r="N546" s="257" t="s">
        <v>3901</v>
      </c>
      <c r="O546" s="257" t="s">
        <v>1796</v>
      </c>
      <c r="P546" s="370" t="str">
        <f>VLOOKUP(A546,import!A:P,16,0)</f>
        <v>Geleneksel</v>
      </c>
      <c r="Q546" s="370"/>
      <c r="R546" s="370" t="b">
        <v>1</v>
      </c>
      <c r="S546" s="370" t="b">
        <v>0</v>
      </c>
      <c r="T546" s="300" t="s">
        <v>3735</v>
      </c>
      <c r="U546" s="301" t="s">
        <v>1953</v>
      </c>
      <c r="V546" s="301" t="s">
        <v>5478</v>
      </c>
      <c r="W546" s="301" t="s">
        <v>5479</v>
      </c>
      <c r="X546" s="371">
        <v>44413.0</v>
      </c>
      <c r="Y546" s="371">
        <v>44418.0</v>
      </c>
      <c r="Z546" s="372"/>
      <c r="AA546" s="373" t="s">
        <v>3682</v>
      </c>
      <c r="AB546" s="374">
        <v>44413.0</v>
      </c>
      <c r="AC546" s="373" t="s">
        <v>3448</v>
      </c>
      <c r="AD546" s="374">
        <v>44455.0</v>
      </c>
      <c r="AE546" s="373" t="s">
        <v>3682</v>
      </c>
      <c r="AF546" s="374">
        <v>44459.0</v>
      </c>
      <c r="AG546" s="92"/>
      <c r="AH546" s="375"/>
      <c r="AI546" s="375"/>
      <c r="AJ546" s="375"/>
      <c r="AK546" s="373" t="s">
        <v>1953</v>
      </c>
      <c r="AL546" s="373" t="s">
        <v>79</v>
      </c>
      <c r="AM546" s="373" t="s">
        <v>2542</v>
      </c>
      <c r="AN546" s="375"/>
      <c r="AO546" s="375"/>
      <c r="AP546" s="376" t="s">
        <v>3686</v>
      </c>
      <c r="AQ546" s="375"/>
    </row>
    <row r="547">
      <c r="A547" s="257" t="s">
        <v>5480</v>
      </c>
      <c r="B547" s="257" t="s">
        <v>5481</v>
      </c>
      <c r="C547" s="257" t="str">
        <f>VLOOKUP(A547,import!A:J,3,0)</f>
        <v>DOĞRU</v>
      </c>
      <c r="D547" s="257" t="s">
        <v>3801</v>
      </c>
      <c r="E547" s="257">
        <f>VLOOKUP(A547,import!A:J,5,0)</f>
        <v>55</v>
      </c>
      <c r="F547" s="257" t="str">
        <f>VLOOKUP(A547,import!A:J,6,0)</f>
        <v/>
      </c>
      <c r="G547" s="257">
        <f>VLOOKUP(A547,import!A:J,7,0)</f>
        <v>0</v>
      </c>
      <c r="H547" s="257">
        <f>VLOOKUP(A547,import!A:J,8,0)</f>
        <v>17</v>
      </c>
      <c r="I547" s="257">
        <f>VLOOKUP(A547,import!A:J,9,0)</f>
        <v>17</v>
      </c>
      <c r="J547" s="369">
        <f>VLOOKUP(A547,import!A:J,10,0)</f>
        <v>0</v>
      </c>
      <c r="K547" s="257" t="s">
        <v>5482</v>
      </c>
      <c r="L547" s="257">
        <v>5.070855066E9</v>
      </c>
      <c r="M547" s="257" t="s">
        <v>286</v>
      </c>
      <c r="N547" s="257" t="s">
        <v>3754</v>
      </c>
      <c r="O547" s="257" t="s">
        <v>5483</v>
      </c>
      <c r="P547" s="370" t="str">
        <f>VLOOKUP(A547,import!A:P,16,0)</f>
        <v>Geleneksel</v>
      </c>
      <c r="Q547" s="370"/>
      <c r="R547" s="370" t="b">
        <v>1</v>
      </c>
      <c r="S547" s="370" t="b">
        <v>0</v>
      </c>
      <c r="T547" s="300" t="s">
        <v>3735</v>
      </c>
      <c r="U547" s="379"/>
      <c r="V547" s="379"/>
      <c r="W547" s="301" t="s">
        <v>5484</v>
      </c>
      <c r="X547" s="381"/>
      <c r="Y547" s="381"/>
      <c r="Z547" s="372"/>
      <c r="AA547" s="373" t="s">
        <v>3448</v>
      </c>
      <c r="AB547" s="374">
        <v>44442.0</v>
      </c>
      <c r="AC547" s="373"/>
      <c r="AD547" s="374"/>
      <c r="AE547" s="373"/>
      <c r="AF547" s="374"/>
      <c r="AG547" s="92"/>
      <c r="AH547" s="375"/>
      <c r="AI547" s="375"/>
      <c r="AJ547" s="375"/>
      <c r="AK547" s="373" t="s">
        <v>399</v>
      </c>
      <c r="AL547" s="375"/>
      <c r="AM547" s="375"/>
      <c r="AN547" s="375"/>
      <c r="AO547" s="375"/>
      <c r="AP547" s="376" t="s">
        <v>3686</v>
      </c>
      <c r="AQ547" s="375"/>
    </row>
    <row r="548">
      <c r="A548" s="257" t="s">
        <v>5485</v>
      </c>
      <c r="B548" s="257" t="s">
        <v>1274</v>
      </c>
      <c r="C548" s="257" t="str">
        <f>VLOOKUP(A548,import!A:J,3,0)</f>
        <v>DOĞRU</v>
      </c>
      <c r="D548" s="257" t="s">
        <v>3801</v>
      </c>
      <c r="E548" s="257">
        <f>VLOOKUP(A548,import!A:J,5,0)</f>
        <v>2325</v>
      </c>
      <c r="F548" s="257">
        <f>VLOOKUP(A548,import!A:J,6,0)</f>
        <v>112</v>
      </c>
      <c r="G548" s="257">
        <f>VLOOKUP(A548,import!A:J,7,0)</f>
        <v>17</v>
      </c>
      <c r="H548" s="257">
        <f>VLOOKUP(A548,import!A:J,8,0)</f>
        <v>15</v>
      </c>
      <c r="I548" s="257">
        <f>VLOOKUP(A548,import!A:J,9,0)</f>
        <v>32</v>
      </c>
      <c r="J548" s="369">
        <f>VLOOKUP(A548,import!A:J,10,0)</f>
        <v>0.53</v>
      </c>
      <c r="K548" s="257" t="s">
        <v>5486</v>
      </c>
      <c r="L548" s="257">
        <v>5.52558818E9</v>
      </c>
      <c r="M548" s="257" t="s">
        <v>286</v>
      </c>
      <c r="N548" s="257" t="s">
        <v>3769</v>
      </c>
      <c r="O548" s="257" t="s">
        <v>1277</v>
      </c>
      <c r="P548" s="370" t="str">
        <f>VLOOKUP(A548,import!A:P,16,0)</f>
        <v>Geleneksel</v>
      </c>
      <c r="Q548" s="370"/>
      <c r="R548" s="370" t="b">
        <v>1</v>
      </c>
      <c r="S548" s="370" t="b">
        <v>0</v>
      </c>
      <c r="T548" s="301" t="s">
        <v>3735</v>
      </c>
      <c r="U548" s="379"/>
      <c r="V548" s="379"/>
      <c r="W548" s="301"/>
      <c r="X548" s="381"/>
      <c r="Y548" s="381"/>
      <c r="Z548" s="372"/>
      <c r="AA548" s="373" t="s">
        <v>3682</v>
      </c>
      <c r="AB548" s="374">
        <v>44431.0</v>
      </c>
      <c r="AC548" s="373"/>
      <c r="AD548" s="374"/>
      <c r="AE548" s="373"/>
      <c r="AF548" s="374"/>
      <c r="AG548" s="92"/>
      <c r="AH548" s="375"/>
      <c r="AI548" s="375"/>
      <c r="AJ548" s="375"/>
      <c r="AK548" s="373" t="s">
        <v>3729</v>
      </c>
      <c r="AL548" s="375"/>
      <c r="AM548" s="375"/>
      <c r="AN548" s="375"/>
      <c r="AO548" s="375"/>
      <c r="AP548" s="376" t="s">
        <v>3686</v>
      </c>
      <c r="AQ548" s="375"/>
    </row>
    <row r="549">
      <c r="A549" s="257" t="s">
        <v>5487</v>
      </c>
      <c r="B549" s="257" t="s">
        <v>1547</v>
      </c>
      <c r="C549" s="257" t="str">
        <f>VLOOKUP(A549,import!A:J,3,0)</f>
        <v>YANLIŞ</v>
      </c>
      <c r="D549" s="257" t="s">
        <v>3699</v>
      </c>
      <c r="E549" s="257">
        <f>VLOOKUP(A549,import!A:J,5,0)</f>
        <v>1926</v>
      </c>
      <c r="F549" s="257" t="str">
        <f>VLOOKUP(A549,import!A:J,6,0)</f>
        <v/>
      </c>
      <c r="G549" s="257">
        <f>VLOOKUP(A549,import!A:J,7,0)</f>
        <v>11</v>
      </c>
      <c r="H549" s="257">
        <f>VLOOKUP(A549,import!A:J,8,0)</f>
        <v>18</v>
      </c>
      <c r="I549" s="257">
        <f>VLOOKUP(A549,import!A:J,9,0)</f>
        <v>29</v>
      </c>
      <c r="J549" s="369">
        <f>VLOOKUP(A549,import!A:J,10,0)</f>
        <v>0.38</v>
      </c>
      <c r="K549" s="257" t="s">
        <v>5488</v>
      </c>
      <c r="L549" s="257">
        <v>5.38097666E9</v>
      </c>
      <c r="M549" s="257" t="s">
        <v>14</v>
      </c>
      <c r="N549" s="257" t="s">
        <v>3678</v>
      </c>
      <c r="O549" s="257" t="s">
        <v>1549</v>
      </c>
      <c r="P549" s="370" t="str">
        <f>VLOOKUP(A549,import!A:P,16,0)</f>
        <v>Geleneksel</v>
      </c>
      <c r="Q549" s="370"/>
      <c r="R549" s="370" t="b">
        <v>1</v>
      </c>
      <c r="S549" s="370" t="b">
        <v>0</v>
      </c>
      <c r="T549" s="300" t="s">
        <v>3817</v>
      </c>
      <c r="U549" s="301" t="s">
        <v>3752</v>
      </c>
      <c r="V549" s="301" t="s">
        <v>78</v>
      </c>
      <c r="W549" s="301" t="s">
        <v>5489</v>
      </c>
      <c r="X549" s="371">
        <v>44393.0</v>
      </c>
      <c r="Y549" s="371">
        <v>44404.0</v>
      </c>
      <c r="Z549" s="372"/>
      <c r="AA549" s="373" t="s">
        <v>3682</v>
      </c>
      <c r="AB549" s="374">
        <v>44368.0</v>
      </c>
      <c r="AC549" s="373" t="s">
        <v>3682</v>
      </c>
      <c r="AD549" s="374">
        <v>44393.0</v>
      </c>
      <c r="AE549" s="373" t="s">
        <v>3682</v>
      </c>
      <c r="AF549" s="374">
        <v>44544.0</v>
      </c>
      <c r="AG549" s="92"/>
      <c r="AH549" s="375"/>
      <c r="AI549" s="375"/>
      <c r="AJ549" s="375"/>
      <c r="AK549" s="373" t="s">
        <v>79</v>
      </c>
      <c r="AL549" s="373" t="s">
        <v>3073</v>
      </c>
      <c r="AM549" s="375"/>
      <c r="AN549" s="375"/>
      <c r="AO549" s="375"/>
      <c r="AP549" s="376" t="s">
        <v>3683</v>
      </c>
      <c r="AQ549" s="375"/>
    </row>
    <row r="550">
      <c r="A550" s="257" t="s">
        <v>5490</v>
      </c>
      <c r="B550" s="257" t="s">
        <v>5491</v>
      </c>
      <c r="C550" s="257" t="str">
        <f>VLOOKUP(A550,import!A:J,3,0)</f>
        <v>DOĞRU</v>
      </c>
      <c r="D550" s="257" t="s">
        <v>3699</v>
      </c>
      <c r="E550" s="257">
        <f>VLOOKUP(A550,import!A:J,5,0)</f>
        <v>3647</v>
      </c>
      <c r="F550" s="257">
        <f>VLOOKUP(A550,import!A:J,6,0)</f>
        <v>172</v>
      </c>
      <c r="G550" s="257">
        <f>VLOOKUP(A550,import!A:J,7,0)</f>
        <v>7</v>
      </c>
      <c r="H550" s="257">
        <f>VLOOKUP(A550,import!A:J,8,0)</f>
        <v>21</v>
      </c>
      <c r="I550" s="257">
        <f>VLOOKUP(A550,import!A:J,9,0)</f>
        <v>28</v>
      </c>
      <c r="J550" s="369">
        <f>VLOOKUP(A550,import!A:J,10,0)</f>
        <v>0.25</v>
      </c>
      <c r="K550" s="257" t="s">
        <v>5492</v>
      </c>
      <c r="L550" s="257">
        <v>5.359770301E9</v>
      </c>
      <c r="M550" s="257" t="s">
        <v>14</v>
      </c>
      <c r="N550" s="257" t="s">
        <v>3826</v>
      </c>
      <c r="O550" s="257" t="s">
        <v>5493</v>
      </c>
      <c r="P550" s="370" t="str">
        <f>VLOOKUP(A550,import!A:P,16,0)</f>
        <v>Geleneksel</v>
      </c>
      <c r="Q550" s="370"/>
      <c r="R550" s="370" t="b">
        <v>0</v>
      </c>
      <c r="S550" s="370" t="b">
        <v>0</v>
      </c>
      <c r="T550" s="301" t="s">
        <v>3817</v>
      </c>
      <c r="U550" s="379"/>
      <c r="V550" s="379"/>
      <c r="W550" s="301"/>
      <c r="X550" s="381"/>
      <c r="Y550" s="381"/>
      <c r="Z550" s="372"/>
      <c r="AA550" s="375"/>
      <c r="AB550" s="375"/>
      <c r="AC550" s="375"/>
      <c r="AD550" s="375"/>
      <c r="AE550" s="92"/>
      <c r="AF550" s="375"/>
      <c r="AG550" s="92"/>
      <c r="AH550" s="375"/>
      <c r="AI550" s="375"/>
      <c r="AJ550" s="375"/>
      <c r="AK550" s="375"/>
      <c r="AL550" s="375"/>
      <c r="AM550" s="375"/>
      <c r="AN550" s="375"/>
      <c r="AO550" s="375"/>
      <c r="AP550" s="376" t="s">
        <v>3683</v>
      </c>
      <c r="AQ550" s="375"/>
    </row>
    <row r="551">
      <c r="A551" s="257" t="s">
        <v>5494</v>
      </c>
      <c r="B551" s="257" t="s">
        <v>5495</v>
      </c>
      <c r="C551" s="257" t="str">
        <f>VLOOKUP(A551,import!A:J,3,0)</f>
        <v>DOĞRU</v>
      </c>
      <c r="D551" s="257" t="s">
        <v>4124</v>
      </c>
      <c r="E551" s="257">
        <f>VLOOKUP(A551,import!A:J,5,0)</f>
        <v>5187</v>
      </c>
      <c r="F551" s="257">
        <f>VLOOKUP(A551,import!A:J,6,0)</f>
        <v>106</v>
      </c>
      <c r="G551" s="257">
        <f>VLOOKUP(A551,import!A:J,7,0)</f>
        <v>11</v>
      </c>
      <c r="H551" s="257">
        <f>VLOOKUP(A551,import!A:J,8,0)</f>
        <v>16</v>
      </c>
      <c r="I551" s="257">
        <f>VLOOKUP(A551,import!A:J,9,0)</f>
        <v>27</v>
      </c>
      <c r="J551" s="369">
        <f>VLOOKUP(A551,import!A:J,10,0)</f>
        <v>0.41</v>
      </c>
      <c r="K551" s="257" t="s">
        <v>5496</v>
      </c>
      <c r="L551" s="257">
        <v>5.559659095E9</v>
      </c>
      <c r="M551" s="257" t="s">
        <v>14</v>
      </c>
      <c r="N551" s="257" t="s">
        <v>3767</v>
      </c>
      <c r="O551" s="257" t="s">
        <v>5497</v>
      </c>
      <c r="P551" s="370" t="str">
        <f>VLOOKUP(A551,import!A:P,16,0)</f>
        <v>Geleneksel</v>
      </c>
      <c r="Q551" s="370"/>
      <c r="R551" s="370" t="b">
        <v>1</v>
      </c>
      <c r="S551" s="370" t="b">
        <v>0</v>
      </c>
      <c r="T551" s="301" t="s">
        <v>3817</v>
      </c>
      <c r="U551" s="379"/>
      <c r="V551" s="379"/>
      <c r="W551" s="301"/>
      <c r="X551" s="381"/>
      <c r="Y551" s="381"/>
      <c r="Z551" s="372"/>
      <c r="AA551" s="375"/>
      <c r="AB551" s="375"/>
      <c r="AC551" s="375"/>
      <c r="AD551" s="375"/>
      <c r="AE551" s="92"/>
      <c r="AF551" s="375"/>
      <c r="AG551" s="92"/>
      <c r="AH551" s="375"/>
      <c r="AI551" s="375"/>
      <c r="AJ551" s="375"/>
      <c r="AK551" s="375"/>
      <c r="AL551" s="375"/>
      <c r="AM551" s="375"/>
      <c r="AN551" s="375"/>
      <c r="AO551" s="375"/>
      <c r="AP551" s="376" t="s">
        <v>3683</v>
      </c>
      <c r="AQ551" s="375"/>
    </row>
    <row r="552">
      <c r="A552" s="257" t="s">
        <v>5498</v>
      </c>
      <c r="B552" s="257" t="s">
        <v>5499</v>
      </c>
      <c r="C552" s="257" t="str">
        <f>VLOOKUP(A552,import!A:J,3,0)</f>
        <v>DOĞRU</v>
      </c>
      <c r="D552" s="257" t="s">
        <v>3699</v>
      </c>
      <c r="E552" s="257">
        <f>VLOOKUP(A552,import!A:J,5,0)</f>
        <v>3995</v>
      </c>
      <c r="F552" s="257">
        <f>VLOOKUP(A552,import!A:J,6,0)</f>
        <v>94</v>
      </c>
      <c r="G552" s="257">
        <f>VLOOKUP(A552,import!A:J,7,0)</f>
        <v>6</v>
      </c>
      <c r="H552" s="257">
        <f>VLOOKUP(A552,import!A:J,8,0)</f>
        <v>35</v>
      </c>
      <c r="I552" s="257">
        <f>VLOOKUP(A552,import!A:J,9,0)</f>
        <v>41</v>
      </c>
      <c r="J552" s="369">
        <f>VLOOKUP(A552,import!A:J,10,0)</f>
        <v>0.15</v>
      </c>
      <c r="K552" s="257" t="s">
        <v>5492</v>
      </c>
      <c r="L552" s="257">
        <v>3.22456055E9</v>
      </c>
      <c r="M552" s="257" t="s">
        <v>286</v>
      </c>
      <c r="N552" s="257" t="s">
        <v>4263</v>
      </c>
      <c r="O552" s="257" t="s">
        <v>5500</v>
      </c>
      <c r="P552" s="370" t="str">
        <f>VLOOKUP(A552,import!A:P,16,0)</f>
        <v>Geleneksel</v>
      </c>
      <c r="Q552" s="370"/>
      <c r="R552" s="370" t="b">
        <v>1</v>
      </c>
      <c r="S552" s="370" t="b">
        <v>0</v>
      </c>
      <c r="T552" s="301" t="s">
        <v>3770</v>
      </c>
      <c r="U552" s="379"/>
      <c r="V552" s="379"/>
      <c r="W552" s="301" t="s">
        <v>5501</v>
      </c>
      <c r="X552" s="381"/>
      <c r="Y552" s="381"/>
      <c r="Z552" s="372"/>
      <c r="AA552" s="373" t="s">
        <v>3681</v>
      </c>
      <c r="AB552" s="374">
        <v>44390.0</v>
      </c>
      <c r="AC552" s="373" t="s">
        <v>3696</v>
      </c>
      <c r="AD552" s="374">
        <v>44427.0</v>
      </c>
      <c r="AE552" s="373" t="s">
        <v>3682</v>
      </c>
      <c r="AF552" s="374">
        <v>44452.0</v>
      </c>
      <c r="AG552" s="92"/>
      <c r="AH552" s="375"/>
      <c r="AI552" s="375"/>
      <c r="AJ552" s="375"/>
      <c r="AK552" s="373" t="s">
        <v>79</v>
      </c>
      <c r="AL552" s="373" t="s">
        <v>3723</v>
      </c>
      <c r="AM552" s="373" t="s">
        <v>2542</v>
      </c>
      <c r="AN552" s="375"/>
      <c r="AO552" s="375"/>
      <c r="AP552" s="376" t="s">
        <v>3686</v>
      </c>
      <c r="AQ552" s="375"/>
    </row>
    <row r="553">
      <c r="A553" s="257" t="s">
        <v>3016</v>
      </c>
      <c r="B553" s="257" t="s">
        <v>3017</v>
      </c>
      <c r="C553" s="257" t="str">
        <f>VLOOKUP(A553,import!A:J,3,0)</f>
        <v>DOĞRU</v>
      </c>
      <c r="D553" s="257" t="s">
        <v>3699</v>
      </c>
      <c r="E553" s="257">
        <f>VLOOKUP(A553,import!A:J,5,0)</f>
        <v>1716</v>
      </c>
      <c r="F553" s="257">
        <f>VLOOKUP(A553,import!A:J,6,0)</f>
        <v>43</v>
      </c>
      <c r="G553" s="257">
        <f>VLOOKUP(A553,import!A:J,7,0)</f>
        <v>10</v>
      </c>
      <c r="H553" s="257">
        <f>VLOOKUP(A553,import!A:J,8,0)</f>
        <v>30</v>
      </c>
      <c r="I553" s="257">
        <f>VLOOKUP(A553,import!A:J,9,0)</f>
        <v>40</v>
      </c>
      <c r="J553" s="369">
        <f>VLOOKUP(A553,import!A:J,10,0)</f>
        <v>0.25</v>
      </c>
      <c r="K553" s="257" t="s">
        <v>5492</v>
      </c>
      <c r="L553" s="257">
        <v>3.22456055E9</v>
      </c>
      <c r="M553" s="257" t="s">
        <v>286</v>
      </c>
      <c r="N553" s="257" t="s">
        <v>5502</v>
      </c>
      <c r="O553" s="257" t="s">
        <v>5503</v>
      </c>
      <c r="P553" s="370" t="str">
        <f>VLOOKUP(A553,import!A:P,16,0)</f>
        <v>Geleneksel</v>
      </c>
      <c r="Q553" s="370"/>
      <c r="R553" s="370" t="b">
        <v>1</v>
      </c>
      <c r="S553" s="370" t="b">
        <v>0</v>
      </c>
      <c r="T553" s="300" t="s">
        <v>3817</v>
      </c>
      <c r="U553" s="301" t="s">
        <v>2941</v>
      </c>
      <c r="V553" s="301" t="s">
        <v>78</v>
      </c>
      <c r="W553" s="301" t="s">
        <v>5504</v>
      </c>
      <c r="X553" s="371">
        <v>44505.0</v>
      </c>
      <c r="Y553" s="371">
        <v>44508.0</v>
      </c>
      <c r="Z553" s="377"/>
      <c r="AA553" s="373" t="s">
        <v>3682</v>
      </c>
      <c r="AB553" s="374">
        <v>44349.0</v>
      </c>
      <c r="AC553" s="373" t="s">
        <v>3682</v>
      </c>
      <c r="AD553" s="374">
        <v>44392.0</v>
      </c>
      <c r="AE553" s="373" t="s">
        <v>3682</v>
      </c>
      <c r="AF553" s="374">
        <v>44440.0</v>
      </c>
      <c r="AG553" s="373" t="s">
        <v>3682</v>
      </c>
      <c r="AH553" s="374">
        <v>44454.0</v>
      </c>
      <c r="AI553" s="373" t="s">
        <v>3682</v>
      </c>
      <c r="AJ553" s="374">
        <v>44505.0</v>
      </c>
      <c r="AK553" s="373" t="s">
        <v>3789</v>
      </c>
      <c r="AL553" s="373" t="s">
        <v>4089</v>
      </c>
      <c r="AM553" s="373" t="s">
        <v>2542</v>
      </c>
      <c r="AN553" s="373" t="s">
        <v>2542</v>
      </c>
      <c r="AO553" s="373" t="s">
        <v>2941</v>
      </c>
      <c r="AP553" s="376" t="s">
        <v>3686</v>
      </c>
      <c r="AQ553" s="373"/>
    </row>
    <row r="554">
      <c r="A554" s="257" t="s">
        <v>5505</v>
      </c>
      <c r="B554" s="257" t="s">
        <v>5506</v>
      </c>
      <c r="C554" s="257" t="str">
        <f>VLOOKUP(A554,import!A:J,3,0)</f>
        <v>DOĞRU</v>
      </c>
      <c r="D554" s="257" t="s">
        <v>3699</v>
      </c>
      <c r="E554" s="257">
        <f>VLOOKUP(A554,import!A:J,5,0)</f>
        <v>5549</v>
      </c>
      <c r="F554" s="257">
        <f>VLOOKUP(A554,import!A:J,6,0)</f>
        <v>171</v>
      </c>
      <c r="G554" s="257">
        <f>VLOOKUP(A554,import!A:J,7,0)</f>
        <v>12</v>
      </c>
      <c r="H554" s="257">
        <f>VLOOKUP(A554,import!A:J,8,0)</f>
        <v>11</v>
      </c>
      <c r="I554" s="257">
        <f>VLOOKUP(A554,import!A:J,9,0)</f>
        <v>23</v>
      </c>
      <c r="J554" s="369">
        <f>VLOOKUP(A554,import!A:J,10,0)</f>
        <v>0.52</v>
      </c>
      <c r="K554" s="257" t="s">
        <v>5496</v>
      </c>
      <c r="L554" s="257">
        <v>5.559659089E9</v>
      </c>
      <c r="M554" s="257" t="s">
        <v>286</v>
      </c>
      <c r="N554" s="257" t="s">
        <v>3754</v>
      </c>
      <c r="O554" s="257" t="s">
        <v>5507</v>
      </c>
      <c r="P554" s="370" t="str">
        <f>VLOOKUP(A554,import!A:P,16,0)</f>
        <v>Geleneksel</v>
      </c>
      <c r="Q554" s="370"/>
      <c r="R554" s="370" t="b">
        <v>1</v>
      </c>
      <c r="S554" s="370" t="b">
        <v>1</v>
      </c>
      <c r="T554" s="301"/>
      <c r="U554" s="301"/>
      <c r="V554" s="379"/>
      <c r="W554" s="301" t="s">
        <v>5508</v>
      </c>
      <c r="X554" s="371"/>
      <c r="Y554" s="371"/>
      <c r="Z554" s="377"/>
      <c r="AA554" s="375"/>
      <c r="AB554" s="375"/>
      <c r="AC554" s="375"/>
      <c r="AD554" s="375"/>
      <c r="AE554" s="92"/>
      <c r="AF554" s="375"/>
      <c r="AG554" s="92"/>
      <c r="AH554" s="375"/>
      <c r="AI554" s="375"/>
      <c r="AJ554" s="375"/>
      <c r="AK554" s="375"/>
      <c r="AL554" s="375"/>
      <c r="AM554" s="375"/>
      <c r="AN554" s="375"/>
      <c r="AO554" s="375"/>
      <c r="AP554" s="376" t="s">
        <v>3686</v>
      </c>
      <c r="AQ554" s="375"/>
    </row>
    <row r="555">
      <c r="A555" s="257" t="s">
        <v>5509</v>
      </c>
      <c r="B555" s="257" t="s">
        <v>5510</v>
      </c>
      <c r="C555" s="257" t="str">
        <f>VLOOKUP(A555,import!A:J,3,0)</f>
        <v>DOĞRU</v>
      </c>
      <c r="D555" s="257" t="s">
        <v>3699</v>
      </c>
      <c r="E555" s="257">
        <f>VLOOKUP(A555,import!A:J,5,0)</f>
        <v>5651</v>
      </c>
      <c r="F555" s="257">
        <f>VLOOKUP(A555,import!A:J,6,0)</f>
        <v>174</v>
      </c>
      <c r="G555" s="257">
        <f>VLOOKUP(A555,import!A:J,7,0)</f>
        <v>9</v>
      </c>
      <c r="H555" s="257">
        <f>VLOOKUP(A555,import!A:J,8,0)</f>
        <v>18</v>
      </c>
      <c r="I555" s="257">
        <f>VLOOKUP(A555,import!A:J,9,0)</f>
        <v>27</v>
      </c>
      <c r="J555" s="369">
        <f>VLOOKUP(A555,import!A:J,10,0)</f>
        <v>0.33</v>
      </c>
      <c r="K555" s="257" t="s">
        <v>5496</v>
      </c>
      <c r="L555" s="257">
        <v>5.334157275E9</v>
      </c>
      <c r="M555" s="257" t="s">
        <v>286</v>
      </c>
      <c r="N555" s="257" t="s">
        <v>3769</v>
      </c>
      <c r="O555" s="257" t="s">
        <v>5511</v>
      </c>
      <c r="P555" s="370" t="str">
        <f>VLOOKUP(A555,import!A:P,16,0)</f>
        <v>Geleneksel</v>
      </c>
      <c r="Q555" s="370"/>
      <c r="R555" s="370" t="b">
        <v>1</v>
      </c>
      <c r="S555" s="370" t="b">
        <v>1</v>
      </c>
      <c r="T555" s="379"/>
      <c r="U555" s="379"/>
      <c r="V555" s="379"/>
      <c r="W555" s="301" t="s">
        <v>5512</v>
      </c>
      <c r="X555" s="381"/>
      <c r="Y555" s="381"/>
      <c r="Z555" s="372"/>
      <c r="AA555" s="373" t="s">
        <v>3682</v>
      </c>
      <c r="AB555" s="374">
        <v>44377.0</v>
      </c>
      <c r="AC555" s="375"/>
      <c r="AD555" s="375"/>
      <c r="AE555" s="92"/>
      <c r="AF555" s="375"/>
      <c r="AG555" s="92"/>
      <c r="AH555" s="375"/>
      <c r="AI555" s="375"/>
      <c r="AJ555" s="375"/>
      <c r="AK555" s="373" t="s">
        <v>399</v>
      </c>
      <c r="AL555" s="375"/>
      <c r="AM555" s="375"/>
      <c r="AN555" s="375"/>
      <c r="AO555" s="375"/>
      <c r="AP555" s="376" t="s">
        <v>3686</v>
      </c>
      <c r="AQ555" s="375"/>
    </row>
    <row r="556">
      <c r="A556" s="257" t="s">
        <v>3180</v>
      </c>
      <c r="B556" s="257" t="s">
        <v>2438</v>
      </c>
      <c r="C556" s="257" t="str">
        <f>VLOOKUP(A556,import!A:J,3,0)</f>
        <v>DOĞRU</v>
      </c>
      <c r="D556" s="257" t="s">
        <v>3676</v>
      </c>
      <c r="E556" s="257">
        <f>VLOOKUP(A556,import!A:J,5,0)</f>
        <v>1704</v>
      </c>
      <c r="F556" s="257">
        <f>VLOOKUP(A556,import!A:J,6,0)</f>
        <v>166</v>
      </c>
      <c r="G556" s="257">
        <f>VLOOKUP(A556,import!A:J,7,0)</f>
        <v>0</v>
      </c>
      <c r="H556" s="257">
        <f>VLOOKUP(A556,import!A:J,8,0)</f>
        <v>15</v>
      </c>
      <c r="I556" s="257">
        <f>VLOOKUP(A556,import!A:J,9,0)</f>
        <v>15</v>
      </c>
      <c r="J556" s="369">
        <f>VLOOKUP(A556,import!A:J,10,0)</f>
        <v>0</v>
      </c>
      <c r="K556" s="257" t="s">
        <v>5513</v>
      </c>
      <c r="L556" s="257">
        <v>5.34306076E9</v>
      </c>
      <c r="M556" s="257" t="s">
        <v>286</v>
      </c>
      <c r="N556" s="257" t="s">
        <v>3754</v>
      </c>
      <c r="O556" s="257" t="s">
        <v>3182</v>
      </c>
      <c r="P556" s="370" t="str">
        <f>VLOOKUP(A556,import!A:P,16,0)</f>
        <v>Geleneksel</v>
      </c>
      <c r="Q556" s="370"/>
      <c r="R556" s="370" t="b">
        <v>1</v>
      </c>
      <c r="S556" s="370" t="b">
        <v>0</v>
      </c>
      <c r="T556" s="301" t="s">
        <v>3679</v>
      </c>
      <c r="U556" s="301" t="s">
        <v>2192</v>
      </c>
      <c r="V556" s="301" t="s">
        <v>78</v>
      </c>
      <c r="W556" s="301" t="s">
        <v>5514</v>
      </c>
      <c r="X556" s="371">
        <v>44530.0</v>
      </c>
      <c r="Y556" s="371">
        <v>44532.0</v>
      </c>
      <c r="Z556" s="372"/>
      <c r="AA556" s="373" t="s">
        <v>3682</v>
      </c>
      <c r="AB556" s="374">
        <v>44530.0</v>
      </c>
      <c r="AC556" s="373"/>
      <c r="AD556" s="374"/>
      <c r="AE556" s="373"/>
      <c r="AF556" s="374"/>
      <c r="AG556" s="373"/>
      <c r="AH556" s="374"/>
      <c r="AI556" s="375"/>
      <c r="AJ556" s="375"/>
      <c r="AK556" s="373" t="s">
        <v>2192</v>
      </c>
      <c r="AL556" s="375"/>
      <c r="AM556" s="375"/>
      <c r="AN556" s="373"/>
      <c r="AO556" s="375"/>
      <c r="AP556" s="376" t="s">
        <v>3686</v>
      </c>
      <c r="AQ556" s="375"/>
    </row>
    <row r="557">
      <c r="A557" s="257" t="s">
        <v>5515</v>
      </c>
      <c r="B557" s="257" t="s">
        <v>5516</v>
      </c>
      <c r="C557" s="257" t="str">
        <f>VLOOKUP(A557,import!A:J,3,0)</f>
        <v>DOĞRU</v>
      </c>
      <c r="D557" s="257" t="s">
        <v>3912</v>
      </c>
      <c r="E557" s="257">
        <f>VLOOKUP(A557,import!A:J,5,0)</f>
        <v>269</v>
      </c>
      <c r="F557" s="257">
        <f>VLOOKUP(A557,import!A:J,6,0)</f>
        <v>6</v>
      </c>
      <c r="G557" s="257">
        <f>VLOOKUP(A557,import!A:J,7,0)</f>
        <v>0</v>
      </c>
      <c r="H557" s="257">
        <f>VLOOKUP(A557,import!A:J,8,0)</f>
        <v>3</v>
      </c>
      <c r="I557" s="257">
        <f>VLOOKUP(A557,import!A:J,9,0)</f>
        <v>3</v>
      </c>
      <c r="J557" s="369">
        <f>VLOOKUP(A557,import!A:J,10,0)</f>
        <v>0</v>
      </c>
      <c r="K557" s="257" t="s">
        <v>5517</v>
      </c>
      <c r="L557" s="257">
        <v>5.416815097E9</v>
      </c>
      <c r="M557" s="257" t="s">
        <v>3701</v>
      </c>
      <c r="N557" s="257" t="s">
        <v>5518</v>
      </c>
      <c r="O557" s="257" t="s">
        <v>5519</v>
      </c>
      <c r="P557" s="370" t="str">
        <f>VLOOKUP(A557,import!A:P,16,0)</f>
        <v>Geleneksel</v>
      </c>
      <c r="Q557" s="370"/>
      <c r="R557" s="370" t="b">
        <v>0</v>
      </c>
      <c r="S557" s="370" t="b">
        <v>0</v>
      </c>
      <c r="T557" s="301" t="s">
        <v>3862</v>
      </c>
      <c r="U557" s="379"/>
      <c r="V557" s="379"/>
      <c r="W557" s="301"/>
      <c r="X557" s="381"/>
      <c r="Y557" s="381"/>
      <c r="Z557" s="372"/>
      <c r="AA557" s="373"/>
      <c r="AB557" s="374"/>
      <c r="AC557" s="375"/>
      <c r="AD557" s="375"/>
      <c r="AE557" s="92"/>
      <c r="AF557" s="375"/>
      <c r="AG557" s="92"/>
      <c r="AH557" s="375"/>
      <c r="AI557" s="375"/>
      <c r="AJ557" s="375"/>
      <c r="AK557" s="373"/>
      <c r="AL557" s="375"/>
      <c r="AM557" s="375"/>
      <c r="AN557" s="375"/>
      <c r="AO557" s="375"/>
      <c r="AP557" s="376" t="s">
        <v>3686</v>
      </c>
      <c r="AQ557" s="375"/>
    </row>
    <row r="558">
      <c r="A558" s="257" t="s">
        <v>5520</v>
      </c>
      <c r="B558" s="257" t="s">
        <v>5521</v>
      </c>
      <c r="C558" s="257" t="str">
        <f>VLOOKUP(A558,import!A:J,3,0)</f>
        <v>DOĞRU</v>
      </c>
      <c r="D558" s="257" t="s">
        <v>3912</v>
      </c>
      <c r="E558" s="257">
        <f>VLOOKUP(A558,import!A:J,5,0)</f>
        <v>119</v>
      </c>
      <c r="F558" s="257">
        <f>VLOOKUP(A558,import!A:J,6,0)</f>
        <v>57</v>
      </c>
      <c r="G558" s="257">
        <f>VLOOKUP(A558,import!A:J,7,0)</f>
        <v>0</v>
      </c>
      <c r="H558" s="257">
        <f>VLOOKUP(A558,import!A:J,8,0)</f>
        <v>11</v>
      </c>
      <c r="I558" s="257">
        <f>VLOOKUP(A558,import!A:J,9,0)</f>
        <v>11</v>
      </c>
      <c r="J558" s="369">
        <f>VLOOKUP(A558,import!A:J,10,0)</f>
        <v>0</v>
      </c>
      <c r="K558" s="257" t="s">
        <v>5522</v>
      </c>
      <c r="L558" s="257">
        <v>5.062461303E9</v>
      </c>
      <c r="M558" s="257" t="s">
        <v>14</v>
      </c>
      <c r="N558" s="257" t="s">
        <v>3797</v>
      </c>
      <c r="O558" s="257" t="s">
        <v>5523</v>
      </c>
      <c r="P558" s="370" t="str">
        <f>VLOOKUP(A558,import!A:P,16,0)</f>
        <v>Geleneksel</v>
      </c>
      <c r="Q558" s="370"/>
      <c r="R558" s="370" t="b">
        <v>0</v>
      </c>
      <c r="S558" s="370" t="b">
        <v>0</v>
      </c>
      <c r="T558" s="301"/>
      <c r="U558" s="379"/>
      <c r="V558" s="379"/>
      <c r="W558" s="301" t="s">
        <v>5524</v>
      </c>
      <c r="X558" s="381"/>
      <c r="Y558" s="381"/>
      <c r="Z558" s="372"/>
      <c r="AA558" s="373"/>
      <c r="AB558" s="374"/>
      <c r="AC558" s="373"/>
      <c r="AD558" s="374"/>
      <c r="AE558" s="373"/>
      <c r="AF558" s="374"/>
      <c r="AG558" s="373"/>
      <c r="AH558" s="374"/>
      <c r="AI558" s="375"/>
      <c r="AJ558" s="375"/>
      <c r="AK558" s="373"/>
      <c r="AL558" s="375"/>
      <c r="AM558" s="375"/>
      <c r="AN558" s="373"/>
      <c r="AO558" s="375"/>
      <c r="AP558" s="376"/>
      <c r="AQ558" s="375"/>
    </row>
    <row r="559">
      <c r="A559" s="257" t="s">
        <v>3564</v>
      </c>
      <c r="B559" s="257" t="s">
        <v>3565</v>
      </c>
      <c r="C559" s="257" t="str">
        <f>VLOOKUP(A559,import!A:J,3,0)</f>
        <v>DOĞRU</v>
      </c>
      <c r="D559" s="257" t="s">
        <v>3912</v>
      </c>
      <c r="E559" s="257">
        <f>VLOOKUP(A559,import!A:J,5,0)</f>
        <v>227</v>
      </c>
      <c r="F559" s="257">
        <f>VLOOKUP(A559,import!A:J,6,0)</f>
        <v>35</v>
      </c>
      <c r="G559" s="257">
        <f>VLOOKUP(A559,import!A:J,7,0)</f>
        <v>0</v>
      </c>
      <c r="H559" s="257">
        <f>VLOOKUP(A559,import!A:J,8,0)</f>
        <v>14</v>
      </c>
      <c r="I559" s="257">
        <f>VLOOKUP(A559,import!A:J,9,0)</f>
        <v>14</v>
      </c>
      <c r="J559" s="369">
        <f>VLOOKUP(A559,import!A:J,10,0)</f>
        <v>0</v>
      </c>
      <c r="K559" s="257" t="s">
        <v>5525</v>
      </c>
      <c r="L559" s="257">
        <v>3.223650105E9</v>
      </c>
      <c r="M559" s="257" t="s">
        <v>286</v>
      </c>
      <c r="N559" s="257" t="s">
        <v>5364</v>
      </c>
      <c r="O559" s="257" t="s">
        <v>3568</v>
      </c>
      <c r="P559" s="386" t="str">
        <f>VLOOKUP(A559,import!A:P,16,0)</f>
        <v>Geleneksel</v>
      </c>
      <c r="Q559" s="370"/>
      <c r="R559" s="370" t="b">
        <v>1</v>
      </c>
      <c r="S559" s="370" t="b">
        <v>0</v>
      </c>
      <c r="T559" s="301" t="s">
        <v>3679</v>
      </c>
      <c r="U559" s="301" t="s">
        <v>2542</v>
      </c>
      <c r="V559" s="394" t="s">
        <v>3331</v>
      </c>
      <c r="W559" s="301" t="s">
        <v>5526</v>
      </c>
      <c r="X559" s="371">
        <v>44637.0</v>
      </c>
      <c r="Y559" s="371">
        <v>44638.0</v>
      </c>
      <c r="Z559" s="372"/>
      <c r="AA559" s="373" t="s">
        <v>3682</v>
      </c>
      <c r="AB559" s="371">
        <v>44637.0</v>
      </c>
      <c r="AC559" s="373"/>
      <c r="AD559" s="374"/>
      <c r="AE559" s="373"/>
      <c r="AF559" s="374"/>
      <c r="AG559" s="373"/>
      <c r="AH559" s="374"/>
      <c r="AI559" s="375"/>
      <c r="AJ559" s="375"/>
      <c r="AK559" s="373" t="s">
        <v>2542</v>
      </c>
      <c r="AL559" s="375"/>
      <c r="AM559" s="375"/>
      <c r="AN559" s="373"/>
      <c r="AO559" s="375"/>
      <c r="AP559" s="376"/>
      <c r="AQ559" s="375"/>
    </row>
    <row r="560">
      <c r="A560" s="257" t="s">
        <v>633</v>
      </c>
      <c r="B560" s="257" t="s">
        <v>634</v>
      </c>
      <c r="C560" s="257" t="str">
        <f>VLOOKUP(A560,import!A:J,3,0)</f>
        <v>DOĞRU</v>
      </c>
      <c r="D560" s="257" t="s">
        <v>4000</v>
      </c>
      <c r="E560" s="257">
        <f>VLOOKUP(A560,import!A:J,5,0)</f>
        <v>931</v>
      </c>
      <c r="F560" s="257">
        <f>VLOOKUP(A560,import!A:J,6,0)</f>
        <v>13</v>
      </c>
      <c r="G560" s="257">
        <f>VLOOKUP(A560,import!A:J,7,0)</f>
        <v>19</v>
      </c>
      <c r="H560" s="257">
        <f>VLOOKUP(A560,import!A:J,8,0)</f>
        <v>14</v>
      </c>
      <c r="I560" s="257">
        <f>VLOOKUP(A560,import!A:J,9,0)</f>
        <v>33</v>
      </c>
      <c r="J560" s="369">
        <f>VLOOKUP(A560,import!A:J,10,0)</f>
        <v>0.58</v>
      </c>
      <c r="K560" s="257" t="s">
        <v>4754</v>
      </c>
      <c r="L560" s="257">
        <v>5.3021107E9</v>
      </c>
      <c r="M560" s="257" t="s">
        <v>286</v>
      </c>
      <c r="N560" s="257" t="s">
        <v>4451</v>
      </c>
      <c r="O560" s="257" t="s">
        <v>637</v>
      </c>
      <c r="P560" s="370" t="str">
        <f>VLOOKUP(A560,import!A:P,16,0)</f>
        <v>Geleneksel</v>
      </c>
      <c r="Q560" s="370"/>
      <c r="R560" s="370" t="b">
        <v>1</v>
      </c>
      <c r="S560" s="370" t="b">
        <v>0</v>
      </c>
      <c r="T560" s="301" t="s">
        <v>3679</v>
      </c>
      <c r="U560" s="301" t="s">
        <v>3719</v>
      </c>
      <c r="V560" s="301" t="s">
        <v>78</v>
      </c>
      <c r="W560" s="301"/>
      <c r="X560" s="371">
        <v>44384.0</v>
      </c>
      <c r="Y560" s="371">
        <v>44386.0</v>
      </c>
      <c r="Z560" s="377"/>
      <c r="AA560" s="373" t="s">
        <v>3682</v>
      </c>
      <c r="AB560" s="374">
        <v>44377.0</v>
      </c>
      <c r="AC560" s="373" t="s">
        <v>3682</v>
      </c>
      <c r="AD560" s="374">
        <v>44384.0</v>
      </c>
      <c r="AE560" s="92"/>
      <c r="AF560" s="375"/>
      <c r="AG560" s="92"/>
      <c r="AH560" s="375"/>
      <c r="AI560" s="375"/>
      <c r="AJ560" s="375"/>
      <c r="AK560" s="373" t="s">
        <v>79</v>
      </c>
      <c r="AL560" s="373" t="s">
        <v>3719</v>
      </c>
      <c r="AM560" s="375"/>
      <c r="AN560" s="375"/>
      <c r="AO560" s="375"/>
      <c r="AP560" s="376" t="s">
        <v>3686</v>
      </c>
      <c r="AQ560" s="375"/>
    </row>
    <row r="561">
      <c r="A561" s="257" t="s">
        <v>583</v>
      </c>
      <c r="B561" s="257" t="s">
        <v>584</v>
      </c>
      <c r="C561" s="257" t="str">
        <f>VLOOKUP(A561,import!A:J,3,0)</f>
        <v>DOĞRU</v>
      </c>
      <c r="D561" s="257" t="s">
        <v>3883</v>
      </c>
      <c r="E561" s="257">
        <f>VLOOKUP(A561,import!A:J,5,0)</f>
        <v>1942</v>
      </c>
      <c r="F561" s="257">
        <f>VLOOKUP(A561,import!A:J,6,0)</f>
        <v>28</v>
      </c>
      <c r="G561" s="257">
        <f>VLOOKUP(A561,import!A:J,7,0)</f>
        <v>11</v>
      </c>
      <c r="H561" s="257">
        <f>VLOOKUP(A561,import!A:J,8,0)</f>
        <v>26</v>
      </c>
      <c r="I561" s="257">
        <f>VLOOKUP(A561,import!A:J,9,0)</f>
        <v>37</v>
      </c>
      <c r="J561" s="369">
        <f>VLOOKUP(A561,import!A:J,10,0)</f>
        <v>0.3</v>
      </c>
      <c r="K561" s="257" t="s">
        <v>5527</v>
      </c>
      <c r="L561" s="257">
        <v>5.523561544E9</v>
      </c>
      <c r="M561" s="257" t="s">
        <v>286</v>
      </c>
      <c r="N561" s="257" t="s">
        <v>3961</v>
      </c>
      <c r="O561" s="257" t="s">
        <v>587</v>
      </c>
      <c r="P561" s="370" t="str">
        <f>VLOOKUP(A561,import!A:P,16,0)</f>
        <v>Geleneksel</v>
      </c>
      <c r="Q561" s="370"/>
      <c r="R561" s="370" t="b">
        <v>1</v>
      </c>
      <c r="S561" s="370" t="b">
        <v>0</v>
      </c>
      <c r="T561" s="301" t="s">
        <v>3679</v>
      </c>
      <c r="U561" s="301" t="s">
        <v>79</v>
      </c>
      <c r="V561" s="36" t="s">
        <v>78</v>
      </c>
      <c r="W561" s="301" t="s">
        <v>5528</v>
      </c>
      <c r="X561" s="371">
        <v>44471.0</v>
      </c>
      <c r="Y561" s="371">
        <v>44474.0</v>
      </c>
      <c r="Z561" s="377"/>
      <c r="AA561" s="373" t="s">
        <v>3682</v>
      </c>
      <c r="AB561" s="374">
        <v>44386.0</v>
      </c>
      <c r="AC561" s="373" t="s">
        <v>3682</v>
      </c>
      <c r="AD561" s="374">
        <v>44420.0</v>
      </c>
      <c r="AE561" s="373" t="s">
        <v>3681</v>
      </c>
      <c r="AF561" s="374">
        <v>44433.0</v>
      </c>
      <c r="AG561" s="373" t="s">
        <v>3448</v>
      </c>
      <c r="AH561" s="374">
        <v>44448.0</v>
      </c>
      <c r="AI561" s="373" t="s">
        <v>3682</v>
      </c>
      <c r="AJ561" s="374">
        <v>44471.0</v>
      </c>
      <c r="AK561" s="373" t="s">
        <v>79</v>
      </c>
      <c r="AL561" s="373" t="s">
        <v>1947</v>
      </c>
      <c r="AM561" s="375"/>
      <c r="AN561" s="373" t="s">
        <v>2542</v>
      </c>
      <c r="AO561" s="373" t="s">
        <v>79</v>
      </c>
      <c r="AP561" s="376" t="s">
        <v>3686</v>
      </c>
      <c r="AQ561" s="373"/>
    </row>
    <row r="562">
      <c r="A562" s="257" t="s">
        <v>2004</v>
      </c>
      <c r="B562" s="257" t="s">
        <v>2005</v>
      </c>
      <c r="C562" s="257" t="str">
        <f>VLOOKUP(A562,import!A:J,3,0)</f>
        <v>DOĞRU</v>
      </c>
      <c r="D562" s="257" t="s">
        <v>3676</v>
      </c>
      <c r="E562" s="257">
        <f>VLOOKUP(A562,import!A:J,5,0)</f>
        <v>1486</v>
      </c>
      <c r="F562" s="257">
        <f>VLOOKUP(A562,import!A:J,6,0)</f>
        <v>106</v>
      </c>
      <c r="G562" s="257">
        <f>VLOOKUP(A562,import!A:J,7,0)</f>
        <v>7</v>
      </c>
      <c r="H562" s="257">
        <f>VLOOKUP(A562,import!A:J,8,0)</f>
        <v>11</v>
      </c>
      <c r="I562" s="257">
        <f>VLOOKUP(A562,import!A:J,9,0)</f>
        <v>18</v>
      </c>
      <c r="J562" s="369">
        <f>VLOOKUP(A562,import!A:J,10,0)</f>
        <v>0.39</v>
      </c>
      <c r="K562" s="257" t="s">
        <v>5529</v>
      </c>
      <c r="L562" s="257">
        <v>3.224313331E9</v>
      </c>
      <c r="M562" s="257" t="s">
        <v>286</v>
      </c>
      <c r="N562" s="257" t="s">
        <v>5012</v>
      </c>
      <c r="O562" s="257" t="s">
        <v>2008</v>
      </c>
      <c r="P562" s="370" t="str">
        <f>VLOOKUP(A562,import!A:P,16,0)</f>
        <v>Geleneksel</v>
      </c>
      <c r="Q562" s="370"/>
      <c r="R562" s="370" t="b">
        <v>1</v>
      </c>
      <c r="S562" s="370" t="b">
        <v>0</v>
      </c>
      <c r="T562" s="301" t="s">
        <v>3679</v>
      </c>
      <c r="U562" s="301" t="s">
        <v>1953</v>
      </c>
      <c r="V562" s="301" t="s">
        <v>78</v>
      </c>
      <c r="W562" s="301" t="s">
        <v>5530</v>
      </c>
      <c r="X562" s="381"/>
      <c r="Y562" s="381"/>
      <c r="Z562" s="372"/>
      <c r="AA562" s="373" t="s">
        <v>3448</v>
      </c>
      <c r="AB562" s="374">
        <v>44390.0</v>
      </c>
      <c r="AC562" s="373" t="s">
        <v>3681</v>
      </c>
      <c r="AD562" s="374">
        <v>44427.0</v>
      </c>
      <c r="AE562" s="373" t="s">
        <v>3682</v>
      </c>
      <c r="AF562" s="374">
        <v>44429.0</v>
      </c>
      <c r="AG562" s="92"/>
      <c r="AH562" s="375"/>
      <c r="AI562" s="375"/>
      <c r="AJ562" s="375"/>
      <c r="AK562" s="373" t="s">
        <v>3719</v>
      </c>
      <c r="AL562" s="373" t="s">
        <v>3723</v>
      </c>
      <c r="AM562" s="373" t="s">
        <v>1953</v>
      </c>
      <c r="AN562" s="375"/>
      <c r="AO562" s="375"/>
      <c r="AP562" s="376" t="s">
        <v>3686</v>
      </c>
      <c r="AQ562" s="375"/>
    </row>
    <row r="563">
      <c r="A563" s="376" t="s">
        <v>5531</v>
      </c>
      <c r="B563" s="376" t="s">
        <v>5532</v>
      </c>
      <c r="C563" s="257" t="str">
        <f>VLOOKUP(A563,import!A:J,3,0)</f>
        <v>DOĞRU</v>
      </c>
      <c r="D563" s="376" t="s">
        <v>3699</v>
      </c>
      <c r="E563" s="257">
        <f>VLOOKUP(A563,import!A:J,5,0)</f>
        <v>194</v>
      </c>
      <c r="F563" s="257">
        <f>VLOOKUP(A563,import!A:J,6,0)</f>
        <v>168</v>
      </c>
      <c r="G563" s="257">
        <f>VLOOKUP(A563,import!A:J,7,0)</f>
        <v>0</v>
      </c>
      <c r="H563" s="257">
        <f>VLOOKUP(A563,import!A:J,8,0)</f>
        <v>11</v>
      </c>
      <c r="I563" s="257">
        <f>VLOOKUP(A563,import!A:J,9,0)</f>
        <v>11</v>
      </c>
      <c r="J563" s="369">
        <f>VLOOKUP(A563,import!A:J,10,0)</f>
        <v>0</v>
      </c>
      <c r="K563" s="376" t="s">
        <v>5533</v>
      </c>
      <c r="L563" s="376">
        <v>3.222122212E9</v>
      </c>
      <c r="M563" s="376" t="s">
        <v>286</v>
      </c>
      <c r="N563" s="376" t="s">
        <v>3746</v>
      </c>
      <c r="O563" s="376" t="s">
        <v>5534</v>
      </c>
      <c r="P563" s="370" t="str">
        <f>VLOOKUP(A563,import!A:P,16,0)</f>
        <v>Geleneksel</v>
      </c>
      <c r="Q563" s="370"/>
      <c r="R563" s="370" t="b">
        <v>0</v>
      </c>
      <c r="S563" s="370" t="b">
        <v>0</v>
      </c>
      <c r="T563" s="301"/>
      <c r="U563" s="301"/>
      <c r="V563" s="301"/>
      <c r="W563" s="301"/>
      <c r="X563" s="371"/>
      <c r="Y563" s="371"/>
      <c r="Z563" s="372"/>
      <c r="AA563" s="373"/>
      <c r="AB563" s="374"/>
      <c r="AC563" s="373"/>
      <c r="AD563" s="374"/>
      <c r="AE563" s="373"/>
      <c r="AF563" s="374"/>
      <c r="AG563" s="373"/>
      <c r="AH563" s="374"/>
      <c r="AI563" s="373"/>
      <c r="AJ563" s="374"/>
      <c r="AK563" s="373"/>
      <c r="AL563" s="373"/>
      <c r="AM563" s="373"/>
      <c r="AN563" s="373"/>
      <c r="AO563" s="373"/>
      <c r="AP563" s="376"/>
      <c r="AQ563" s="373"/>
    </row>
    <row r="564">
      <c r="A564" s="257" t="s">
        <v>1431</v>
      </c>
      <c r="B564" s="257" t="s">
        <v>1432</v>
      </c>
      <c r="C564" s="257" t="str">
        <f>VLOOKUP(A564,import!A:J,3,0)</f>
        <v>DOĞRU</v>
      </c>
      <c r="D564" s="257" t="s">
        <v>3749</v>
      </c>
      <c r="E564" s="257">
        <f>VLOOKUP(A564,import!A:J,5,0)</f>
        <v>1175</v>
      </c>
      <c r="F564" s="257">
        <f>VLOOKUP(A564,import!A:J,6,0)</f>
        <v>66</v>
      </c>
      <c r="G564" s="257">
        <f>VLOOKUP(A564,import!A:J,7,0)</f>
        <v>12</v>
      </c>
      <c r="H564" s="257">
        <f>VLOOKUP(A564,import!A:J,8,0)</f>
        <v>2</v>
      </c>
      <c r="I564" s="257">
        <f>VLOOKUP(A564,import!A:J,9,0)</f>
        <v>14</v>
      </c>
      <c r="J564" s="369">
        <f>VLOOKUP(A564,import!A:J,10,0)</f>
        <v>0.86</v>
      </c>
      <c r="K564" s="257" t="s">
        <v>5535</v>
      </c>
      <c r="L564" s="257">
        <v>5.523559316E9</v>
      </c>
      <c r="M564" s="257" t="s">
        <v>286</v>
      </c>
      <c r="N564" s="257" t="s">
        <v>4235</v>
      </c>
      <c r="O564" s="257" t="s">
        <v>1435</v>
      </c>
      <c r="P564" s="370" t="str">
        <f>VLOOKUP(A564,import!A:P,16,0)</f>
        <v>Geleneksel</v>
      </c>
      <c r="Q564" s="370"/>
      <c r="R564" s="370" t="b">
        <v>1</v>
      </c>
      <c r="S564" s="370" t="b">
        <v>0</v>
      </c>
      <c r="T564" s="301" t="s">
        <v>3679</v>
      </c>
      <c r="U564" s="301" t="s">
        <v>79</v>
      </c>
      <c r="V564" s="301" t="s">
        <v>78</v>
      </c>
      <c r="W564" s="301"/>
      <c r="X564" s="371">
        <v>44389.0</v>
      </c>
      <c r="Y564" s="371">
        <v>44391.0</v>
      </c>
      <c r="Z564" s="372"/>
      <c r="AA564" s="373" t="s">
        <v>3682</v>
      </c>
      <c r="AB564" s="374">
        <v>44389.0</v>
      </c>
      <c r="AC564" s="375"/>
      <c r="AD564" s="375"/>
      <c r="AE564" s="92"/>
      <c r="AF564" s="375"/>
      <c r="AG564" s="92"/>
      <c r="AH564" s="375"/>
      <c r="AI564" s="375"/>
      <c r="AJ564" s="375"/>
      <c r="AK564" s="373" t="s">
        <v>4089</v>
      </c>
      <c r="AL564" s="375"/>
      <c r="AM564" s="375"/>
      <c r="AN564" s="375"/>
      <c r="AO564" s="375"/>
      <c r="AP564" s="376" t="s">
        <v>3686</v>
      </c>
      <c r="AQ564" s="375"/>
    </row>
    <row r="565">
      <c r="A565" s="257" t="s">
        <v>5536</v>
      </c>
      <c r="B565" s="257" t="s">
        <v>5537</v>
      </c>
      <c r="C565" s="257" t="str">
        <f>VLOOKUP(A565,import!A:J,3,0)</f>
        <v>DOĞRU</v>
      </c>
      <c r="D565" s="257" t="s">
        <v>3676</v>
      </c>
      <c r="E565" s="257">
        <f>VLOOKUP(A565,import!A:J,5,0)</f>
        <v>750</v>
      </c>
      <c r="F565" s="257">
        <f>VLOOKUP(A565,import!A:J,6,0)</f>
        <v>22</v>
      </c>
      <c r="G565" s="257">
        <f>VLOOKUP(A565,import!A:J,7,0)</f>
        <v>0</v>
      </c>
      <c r="H565" s="257">
        <f>VLOOKUP(A565,import!A:J,8,0)</f>
        <v>16</v>
      </c>
      <c r="I565" s="257">
        <f>VLOOKUP(A565,import!A:J,9,0)</f>
        <v>16</v>
      </c>
      <c r="J565" s="369">
        <f>VLOOKUP(A565,import!A:J,10,0)</f>
        <v>0</v>
      </c>
      <c r="K565" s="257" t="s">
        <v>5538</v>
      </c>
      <c r="L565" s="257">
        <v>3.224445872E9</v>
      </c>
      <c r="M565" s="257" t="s">
        <v>14</v>
      </c>
      <c r="N565" s="257" t="s">
        <v>3733</v>
      </c>
      <c r="O565" s="257" t="s">
        <v>5539</v>
      </c>
      <c r="P565" s="370" t="str">
        <f>VLOOKUP(A565,import!A:P,16,0)</f>
        <v>Geleneksel</v>
      </c>
      <c r="Q565" s="370"/>
      <c r="R565" s="370" t="b">
        <v>1</v>
      </c>
      <c r="S565" s="370" t="b">
        <v>0</v>
      </c>
      <c r="T565" s="301"/>
      <c r="U565" s="379"/>
      <c r="V565" s="379"/>
      <c r="W565" s="301" t="s">
        <v>5540</v>
      </c>
      <c r="X565" s="381"/>
      <c r="Y565" s="381"/>
      <c r="Z565" s="372"/>
      <c r="AA565" s="373" t="s">
        <v>3448</v>
      </c>
      <c r="AB565" s="374">
        <v>44349.0</v>
      </c>
      <c r="AC565" s="373" t="s">
        <v>3448</v>
      </c>
      <c r="AD565" s="374">
        <v>44469.0</v>
      </c>
      <c r="AE565" s="373" t="s">
        <v>3682</v>
      </c>
      <c r="AF565" s="374">
        <v>44565.0</v>
      </c>
      <c r="AG565" s="92"/>
      <c r="AH565" s="375"/>
      <c r="AI565" s="375"/>
      <c r="AJ565" s="375"/>
      <c r="AK565" s="373" t="s">
        <v>111</v>
      </c>
      <c r="AL565" s="373" t="s">
        <v>2282</v>
      </c>
      <c r="AM565" s="373" t="s">
        <v>2424</v>
      </c>
      <c r="AN565" s="375"/>
      <c r="AO565" s="375"/>
      <c r="AP565" s="376" t="s">
        <v>3683</v>
      </c>
      <c r="AQ565" s="375"/>
    </row>
    <row r="566">
      <c r="A566" s="257" t="s">
        <v>2377</v>
      </c>
      <c r="B566" s="257" t="s">
        <v>2378</v>
      </c>
      <c r="C566" s="257" t="str">
        <f>VLOOKUP(A566,import!A:J,3,0)</f>
        <v>DOĞRU</v>
      </c>
      <c r="D566" s="257" t="s">
        <v>3912</v>
      </c>
      <c r="E566" s="257">
        <f>VLOOKUP(A566,import!A:J,5,0)</f>
        <v>1840</v>
      </c>
      <c r="F566" s="257">
        <f>VLOOKUP(A566,import!A:J,6,0)</f>
        <v>128</v>
      </c>
      <c r="G566" s="257">
        <f>VLOOKUP(A566,import!A:J,7,0)</f>
        <v>9</v>
      </c>
      <c r="H566" s="257">
        <f>VLOOKUP(A566,import!A:J,8,0)</f>
        <v>18</v>
      </c>
      <c r="I566" s="257">
        <f>VLOOKUP(A566,import!A:J,9,0)</f>
        <v>27</v>
      </c>
      <c r="J566" s="369">
        <f>VLOOKUP(A566,import!A:J,10,0)</f>
        <v>0.33</v>
      </c>
      <c r="K566" s="257" t="s">
        <v>5541</v>
      </c>
      <c r="L566" s="257">
        <v>3.222338888E9</v>
      </c>
      <c r="M566" s="257" t="s">
        <v>14</v>
      </c>
      <c r="N566" s="257" t="s">
        <v>3718</v>
      </c>
      <c r="O566" s="257" t="s">
        <v>2380</v>
      </c>
      <c r="P566" s="370" t="str">
        <f>VLOOKUP(A566,import!A:P,16,0)</f>
        <v>Geleneksel</v>
      </c>
      <c r="Q566" s="370"/>
      <c r="R566" s="370" t="b">
        <v>1</v>
      </c>
      <c r="S566" s="370" t="b">
        <v>0</v>
      </c>
      <c r="T566" s="301" t="s">
        <v>3679</v>
      </c>
      <c r="U566" s="301" t="s">
        <v>2542</v>
      </c>
      <c r="V566" s="301" t="s">
        <v>78</v>
      </c>
      <c r="W566" s="301" t="s">
        <v>5542</v>
      </c>
      <c r="X566" s="371">
        <v>44447.0</v>
      </c>
      <c r="Y566" s="371">
        <v>44449.0</v>
      </c>
      <c r="Z566" s="372"/>
      <c r="AA566" s="373" t="s">
        <v>3682</v>
      </c>
      <c r="AB566" s="374">
        <v>44447.0</v>
      </c>
      <c r="AC566" s="373"/>
      <c r="AD566" s="374"/>
      <c r="AE566" s="373"/>
      <c r="AF566" s="374"/>
      <c r="AG566" s="92"/>
      <c r="AH566" s="375"/>
      <c r="AI566" s="375"/>
      <c r="AJ566" s="375"/>
      <c r="AK566" s="373" t="s">
        <v>2542</v>
      </c>
      <c r="AL566" s="375"/>
      <c r="AM566" s="375"/>
      <c r="AN566" s="375"/>
      <c r="AO566" s="375"/>
      <c r="AP566" s="376" t="s">
        <v>3683</v>
      </c>
      <c r="AQ566" s="375"/>
    </row>
    <row r="567">
      <c r="A567" s="257" t="s">
        <v>5543</v>
      </c>
      <c r="B567" s="257" t="s">
        <v>5544</v>
      </c>
      <c r="C567" s="257" t="str">
        <f>VLOOKUP(A567,import!A:J,3,0)</f>
        <v>DOĞRU</v>
      </c>
      <c r="D567" s="257" t="s">
        <v>3699</v>
      </c>
      <c r="E567" s="257">
        <f>VLOOKUP(A567,import!A:J,5,0)</f>
        <v>7</v>
      </c>
      <c r="F567" s="257">
        <f>VLOOKUP(A567,import!A:J,6,0)</f>
        <v>1</v>
      </c>
      <c r="G567" s="257">
        <f>VLOOKUP(A567,import!A:J,7,0)</f>
        <v>0</v>
      </c>
      <c r="H567" s="257">
        <f>VLOOKUP(A567,import!A:J,8,0)</f>
        <v>14</v>
      </c>
      <c r="I567" s="257">
        <f>VLOOKUP(A567,import!A:J,9,0)</f>
        <v>14</v>
      </c>
      <c r="J567" s="369">
        <f>VLOOKUP(A567,import!A:J,10,0)</f>
        <v>0</v>
      </c>
      <c r="K567" s="257" t="s">
        <v>5545</v>
      </c>
      <c r="L567" s="257">
        <v>5.422778875E9</v>
      </c>
      <c r="M567" s="257" t="s">
        <v>286</v>
      </c>
      <c r="N567" s="257" t="s">
        <v>3746</v>
      </c>
      <c r="O567" s="257" t="s">
        <v>5546</v>
      </c>
      <c r="P567" s="370" t="str">
        <f>VLOOKUP(A567,import!A:P,16,0)</f>
        <v>Geleneksel</v>
      </c>
      <c r="Q567" s="370"/>
      <c r="R567" s="370" t="b">
        <v>0</v>
      </c>
      <c r="S567" s="370" t="b">
        <v>0</v>
      </c>
      <c r="T567" s="301"/>
      <c r="U567" s="301"/>
      <c r="V567" s="301"/>
      <c r="W567" s="301"/>
      <c r="X567" s="371"/>
      <c r="Y567" s="371"/>
      <c r="Z567" s="372"/>
      <c r="AA567" s="373"/>
      <c r="AB567" s="374"/>
      <c r="AC567" s="373"/>
      <c r="AD567" s="374"/>
      <c r="AE567" s="373"/>
      <c r="AF567" s="374"/>
      <c r="AG567" s="373"/>
      <c r="AH567" s="374"/>
      <c r="AI567" s="373"/>
      <c r="AJ567" s="374"/>
      <c r="AK567" s="373"/>
      <c r="AL567" s="373"/>
      <c r="AM567" s="373"/>
      <c r="AN567" s="373"/>
      <c r="AO567" s="373"/>
      <c r="AP567" s="376"/>
      <c r="AQ567" s="373"/>
    </row>
    <row r="568">
      <c r="A568" s="257" t="s">
        <v>3570</v>
      </c>
      <c r="B568" s="257" t="s">
        <v>3571</v>
      </c>
      <c r="C568" s="257" t="str">
        <f>VLOOKUP(A568,import!A:J,3,0)</f>
        <v>DOĞRU</v>
      </c>
      <c r="D568" s="257" t="s">
        <v>3699</v>
      </c>
      <c r="E568" s="257">
        <f>VLOOKUP(A568,import!A:J,5,0)</f>
        <v>81</v>
      </c>
      <c r="F568" s="257">
        <f>VLOOKUP(A568,import!A:J,6,0)</f>
        <v>19</v>
      </c>
      <c r="G568" s="257">
        <f>VLOOKUP(A568,import!A:J,7,0)</f>
        <v>0</v>
      </c>
      <c r="H568" s="257">
        <f>VLOOKUP(A568,import!A:J,8,0)</f>
        <v>9</v>
      </c>
      <c r="I568" s="257">
        <f>VLOOKUP(A568,import!A:J,9,0)</f>
        <v>9</v>
      </c>
      <c r="J568" s="369">
        <f>VLOOKUP(A568,import!A:J,10,0)</f>
        <v>0</v>
      </c>
      <c r="K568" s="257" t="s">
        <v>5547</v>
      </c>
      <c r="L568" s="257">
        <v>5.071006433E9</v>
      </c>
      <c r="M568" s="257" t="s">
        <v>286</v>
      </c>
      <c r="N568" s="257" t="s">
        <v>4451</v>
      </c>
      <c r="O568" s="257" t="s">
        <v>3573</v>
      </c>
      <c r="P568" s="370" t="str">
        <f>VLOOKUP(A568,import!A:P,16,0)</f>
        <v>Geleneksel</v>
      </c>
      <c r="Q568" s="370"/>
      <c r="R568" s="370" t="b">
        <v>1</v>
      </c>
      <c r="S568" s="370" t="b">
        <v>0</v>
      </c>
      <c r="T568" s="301" t="s">
        <v>3679</v>
      </c>
      <c r="U568" s="301" t="s">
        <v>2542</v>
      </c>
      <c r="V568" s="394" t="s">
        <v>3331</v>
      </c>
      <c r="W568" s="301" t="s">
        <v>5548</v>
      </c>
      <c r="X568" s="371">
        <v>44637.0</v>
      </c>
      <c r="Y568" s="371">
        <v>44638.0</v>
      </c>
      <c r="Z568" s="372"/>
      <c r="AA568" s="373" t="s">
        <v>3682</v>
      </c>
      <c r="AB568" s="371">
        <v>44637.0</v>
      </c>
      <c r="AC568" s="373"/>
      <c r="AD568" s="374"/>
      <c r="AE568" s="373"/>
      <c r="AF568" s="374"/>
      <c r="AG568" s="373"/>
      <c r="AH568" s="374"/>
      <c r="AI568" s="375"/>
      <c r="AJ568" s="375"/>
      <c r="AK568" s="373" t="s">
        <v>2542</v>
      </c>
      <c r="AL568" s="375"/>
      <c r="AM568" s="375"/>
      <c r="AN568" s="373"/>
      <c r="AO568" s="375"/>
      <c r="AP568" s="376"/>
      <c r="AQ568" s="375"/>
    </row>
    <row r="569">
      <c r="A569" s="257" t="s">
        <v>3166</v>
      </c>
      <c r="B569" s="257" t="s">
        <v>3167</v>
      </c>
      <c r="C569" s="257" t="str">
        <f>VLOOKUP(A569,import!A:J,3,0)</f>
        <v>DOĞRU</v>
      </c>
      <c r="D569" s="257" t="s">
        <v>3699</v>
      </c>
      <c r="E569" s="257">
        <f>VLOOKUP(A569,import!A:J,5,0)</f>
        <v>229</v>
      </c>
      <c r="F569" s="257">
        <f>VLOOKUP(A569,import!A:J,6,0)</f>
        <v>10</v>
      </c>
      <c r="G569" s="257">
        <f>VLOOKUP(A569,import!A:J,7,0)</f>
        <v>0</v>
      </c>
      <c r="H569" s="257">
        <f>VLOOKUP(A569,import!A:J,8,0)</f>
        <v>7</v>
      </c>
      <c r="I569" s="257">
        <f>VLOOKUP(A569,import!A:J,9,0)</f>
        <v>7</v>
      </c>
      <c r="J569" s="369">
        <f>VLOOKUP(A569,import!A:J,10,0)</f>
        <v>0</v>
      </c>
      <c r="K569" s="257" t="s">
        <v>5547</v>
      </c>
      <c r="L569" s="257">
        <v>5.071006433E9</v>
      </c>
      <c r="M569" s="257" t="s">
        <v>286</v>
      </c>
      <c r="N569" s="257" t="s">
        <v>3855</v>
      </c>
      <c r="O569" s="257" t="s">
        <v>5549</v>
      </c>
      <c r="P569" s="370" t="str">
        <f>VLOOKUP(A569,import!A:P,16,0)</f>
        <v>Geleneksel</v>
      </c>
      <c r="Q569" s="370"/>
      <c r="R569" s="370" t="b">
        <v>1</v>
      </c>
      <c r="S569" s="370" t="b">
        <v>0</v>
      </c>
      <c r="T569" s="301" t="s">
        <v>3787</v>
      </c>
      <c r="U569" s="301" t="s">
        <v>2941</v>
      </c>
      <c r="V569" s="301" t="s">
        <v>78</v>
      </c>
      <c r="W569" s="301"/>
      <c r="X569" s="371">
        <v>44530.0</v>
      </c>
      <c r="Y569" s="371">
        <v>44531.0</v>
      </c>
      <c r="Z569" s="372"/>
      <c r="AA569" s="373" t="s">
        <v>3682</v>
      </c>
      <c r="AB569" s="374">
        <v>44530.0</v>
      </c>
      <c r="AC569" s="373"/>
      <c r="AD569" s="374"/>
      <c r="AE569" s="373"/>
      <c r="AF569" s="374"/>
      <c r="AG569" s="373"/>
      <c r="AH569" s="374"/>
      <c r="AI569" s="375"/>
      <c r="AJ569" s="375"/>
      <c r="AK569" s="373" t="s">
        <v>2941</v>
      </c>
      <c r="AL569" s="375"/>
      <c r="AM569" s="375"/>
      <c r="AN569" s="373"/>
      <c r="AO569" s="375"/>
      <c r="AP569" s="376" t="s">
        <v>3686</v>
      </c>
      <c r="AQ569" s="375"/>
    </row>
    <row r="570">
      <c r="A570" s="257" t="s">
        <v>2496</v>
      </c>
      <c r="B570" s="257" t="s">
        <v>2497</v>
      </c>
      <c r="C570" s="257" t="str">
        <f>VLOOKUP(A570,import!A:J,3,0)</f>
        <v>DOĞRU</v>
      </c>
      <c r="D570" s="257" t="s">
        <v>3994</v>
      </c>
      <c r="E570" s="257">
        <f>VLOOKUP(A570,import!A:J,5,0)</f>
        <v>632</v>
      </c>
      <c r="F570" s="257">
        <f>VLOOKUP(A570,import!A:J,6,0)</f>
        <v>39</v>
      </c>
      <c r="G570" s="257">
        <f>VLOOKUP(A570,import!A:J,7,0)</f>
        <v>29</v>
      </c>
      <c r="H570" s="257">
        <f>VLOOKUP(A570,import!A:J,8,0)</f>
        <v>7</v>
      </c>
      <c r="I570" s="257">
        <f>VLOOKUP(A570,import!A:J,9,0)</f>
        <v>36</v>
      </c>
      <c r="J570" s="369">
        <f>VLOOKUP(A570,import!A:J,10,0)</f>
        <v>0.81</v>
      </c>
      <c r="K570" s="257" t="s">
        <v>5550</v>
      </c>
      <c r="L570" s="257">
        <v>3.224226115E9</v>
      </c>
      <c r="M570" s="257" t="s">
        <v>286</v>
      </c>
      <c r="N570" s="257" t="s">
        <v>3688</v>
      </c>
      <c r="O570" s="257" t="s">
        <v>2499</v>
      </c>
      <c r="P570" s="370" t="str">
        <f>VLOOKUP(A570,import!A:P,16,0)</f>
        <v>Geleneksel</v>
      </c>
      <c r="Q570" s="370"/>
      <c r="R570" s="370" t="b">
        <v>1</v>
      </c>
      <c r="S570" s="370" t="b">
        <v>0</v>
      </c>
      <c r="T570" s="301" t="s">
        <v>3679</v>
      </c>
      <c r="U570" s="301" t="s">
        <v>2542</v>
      </c>
      <c r="V570" s="301" t="s">
        <v>78</v>
      </c>
      <c r="W570" s="301" t="s">
        <v>5551</v>
      </c>
      <c r="X570" s="371">
        <v>44454.0</v>
      </c>
      <c r="Y570" s="371">
        <v>44455.0</v>
      </c>
      <c r="Z570" s="372"/>
      <c r="AA570" s="373" t="s">
        <v>3682</v>
      </c>
      <c r="AB570" s="374">
        <v>44441.0</v>
      </c>
      <c r="AC570" s="373" t="s">
        <v>3682</v>
      </c>
      <c r="AD570" s="374">
        <v>44454.0</v>
      </c>
      <c r="AE570" s="92"/>
      <c r="AF570" s="375"/>
      <c r="AG570" s="92"/>
      <c r="AH570" s="375"/>
      <c r="AI570" s="375"/>
      <c r="AJ570" s="375"/>
      <c r="AK570" s="373" t="s">
        <v>2542</v>
      </c>
      <c r="AL570" s="373" t="s">
        <v>2542</v>
      </c>
      <c r="AM570" s="375"/>
      <c r="AN570" s="375"/>
      <c r="AO570" s="375"/>
      <c r="AP570" s="376" t="s">
        <v>3686</v>
      </c>
      <c r="AQ570" s="375"/>
    </row>
    <row r="571">
      <c r="A571" s="257" t="s">
        <v>5552</v>
      </c>
      <c r="B571" s="257" t="s">
        <v>5553</v>
      </c>
      <c r="C571" s="257" t="str">
        <f>VLOOKUP(A571,import!A:J,3,0)</f>
        <v>DOĞRU</v>
      </c>
      <c r="D571" s="257" t="s">
        <v>3878</v>
      </c>
      <c r="E571" s="257">
        <f>VLOOKUP(A571,import!A:J,5,0)</f>
        <v>180</v>
      </c>
      <c r="F571" s="257">
        <f>VLOOKUP(A571,import!A:J,6,0)</f>
        <v>114</v>
      </c>
      <c r="G571" s="257">
        <f>VLOOKUP(A571,import!A:J,7,0)</f>
        <v>0</v>
      </c>
      <c r="H571" s="257">
        <f>VLOOKUP(A571,import!A:J,8,0)</f>
        <v>36</v>
      </c>
      <c r="I571" s="257">
        <f>VLOOKUP(A571,import!A:J,9,0)</f>
        <v>36</v>
      </c>
      <c r="J571" s="369">
        <f>VLOOKUP(A571,import!A:J,10,0)</f>
        <v>0</v>
      </c>
      <c r="K571" s="257" t="s">
        <v>5554</v>
      </c>
      <c r="L571" s="257">
        <v>5.521076807E9</v>
      </c>
      <c r="M571" s="257" t="s">
        <v>14</v>
      </c>
      <c r="N571" s="257" t="s">
        <v>3733</v>
      </c>
      <c r="O571" s="257" t="s">
        <v>5555</v>
      </c>
      <c r="P571" s="370" t="str">
        <f>VLOOKUP(A571,import!A:P,16,0)</f>
        <v>Geleneksel</v>
      </c>
      <c r="Q571" s="370"/>
      <c r="R571" s="370" t="b">
        <v>0</v>
      </c>
      <c r="S571" s="370" t="b">
        <v>0</v>
      </c>
      <c r="T571" s="301"/>
      <c r="U571" s="301"/>
      <c r="V571" s="301"/>
      <c r="W571" s="301"/>
      <c r="X571" s="371"/>
      <c r="Y571" s="371"/>
      <c r="Z571" s="372"/>
      <c r="AA571" s="373"/>
      <c r="AB571" s="374"/>
      <c r="AC571" s="373"/>
      <c r="AD571" s="374"/>
      <c r="AE571" s="373"/>
      <c r="AF571" s="374"/>
      <c r="AG571" s="373"/>
      <c r="AH571" s="374"/>
      <c r="AI571" s="373"/>
      <c r="AJ571" s="374"/>
      <c r="AK571" s="373"/>
      <c r="AL571" s="373"/>
      <c r="AM571" s="373"/>
      <c r="AN571" s="373"/>
      <c r="AO571" s="373"/>
      <c r="AP571" s="376"/>
      <c r="AQ571" s="373"/>
    </row>
    <row r="572">
      <c r="A572" s="257" t="s">
        <v>5556</v>
      </c>
      <c r="B572" s="257" t="s">
        <v>5557</v>
      </c>
      <c r="C572" s="257" t="str">
        <f>VLOOKUP(A572,import!A:J,3,0)</f>
        <v>DOĞRU</v>
      </c>
      <c r="D572" s="257" t="s">
        <v>3759</v>
      </c>
      <c r="E572" s="257">
        <f>VLOOKUP(A572,import!A:J,5,0)</f>
        <v>7157</v>
      </c>
      <c r="F572" s="257">
        <f>VLOOKUP(A572,import!A:J,6,0)</f>
        <v>236</v>
      </c>
      <c r="G572" s="257">
        <f>VLOOKUP(A572,import!A:J,7,0)</f>
        <v>3</v>
      </c>
      <c r="H572" s="257">
        <f>VLOOKUP(A572,import!A:J,8,0)</f>
        <v>11</v>
      </c>
      <c r="I572" s="257">
        <f>VLOOKUP(A572,import!A:J,9,0)</f>
        <v>14</v>
      </c>
      <c r="J572" s="369">
        <f>VLOOKUP(A572,import!A:J,10,0)</f>
        <v>0.21</v>
      </c>
      <c r="K572" s="257" t="s">
        <v>5558</v>
      </c>
      <c r="L572" s="257">
        <v>3.222280634E9</v>
      </c>
      <c r="M572" s="257" t="s">
        <v>286</v>
      </c>
      <c r="N572" s="257" t="s">
        <v>3754</v>
      </c>
      <c r="O572" s="257" t="s">
        <v>5559</v>
      </c>
      <c r="P572" s="370" t="str">
        <f>VLOOKUP(A572,import!A:P,16,0)</f>
        <v>Geleneksel</v>
      </c>
      <c r="Q572" s="370"/>
      <c r="R572" s="370" t="b">
        <v>1</v>
      </c>
      <c r="S572" s="370" t="b">
        <v>0</v>
      </c>
      <c r="T572" s="300" t="s">
        <v>3735</v>
      </c>
      <c r="U572" s="379"/>
      <c r="V572" s="379"/>
      <c r="W572" s="407"/>
      <c r="X572" s="381"/>
      <c r="Y572" s="381"/>
      <c r="Z572" s="372"/>
      <c r="AA572" s="375"/>
      <c r="AB572" s="375"/>
      <c r="AC572" s="375"/>
      <c r="AD572" s="375"/>
      <c r="AE572" s="92"/>
      <c r="AF572" s="375"/>
      <c r="AG572" s="92"/>
      <c r="AH572" s="375"/>
      <c r="AI572" s="375"/>
      <c r="AJ572" s="375"/>
      <c r="AK572" s="375"/>
      <c r="AL572" s="375"/>
      <c r="AM572" s="375"/>
      <c r="AN572" s="375"/>
      <c r="AO572" s="375"/>
      <c r="AP572" s="376" t="s">
        <v>3686</v>
      </c>
      <c r="AQ572" s="375"/>
    </row>
    <row r="573">
      <c r="A573" s="257" t="s">
        <v>5560</v>
      </c>
      <c r="B573" s="257" t="s">
        <v>5561</v>
      </c>
      <c r="C573" s="257" t="str">
        <f>VLOOKUP(A573,import!A:J,3,0)</f>
        <v>DOĞRU</v>
      </c>
      <c r="D573" s="257" t="s">
        <v>3759</v>
      </c>
      <c r="E573" s="257">
        <f>VLOOKUP(A573,import!A:J,5,0)</f>
        <v>4668</v>
      </c>
      <c r="F573" s="257">
        <f>VLOOKUP(A573,import!A:J,6,0)</f>
        <v>235</v>
      </c>
      <c r="G573" s="257">
        <f>VLOOKUP(A573,import!A:J,7,0)</f>
        <v>5</v>
      </c>
      <c r="H573" s="257">
        <f>VLOOKUP(A573,import!A:J,8,0)</f>
        <v>3</v>
      </c>
      <c r="I573" s="257">
        <f>VLOOKUP(A573,import!A:J,9,0)</f>
        <v>8</v>
      </c>
      <c r="J573" s="369">
        <f>VLOOKUP(A573,import!A:J,10,0)</f>
        <v>0.63</v>
      </c>
      <c r="K573" s="257" t="s">
        <v>5562</v>
      </c>
      <c r="L573" s="257">
        <v>5.38437674E9</v>
      </c>
      <c r="M573" s="257" t="s">
        <v>286</v>
      </c>
      <c r="N573" s="257" t="s">
        <v>4217</v>
      </c>
      <c r="O573" s="257" t="s">
        <v>5563</v>
      </c>
      <c r="P573" s="370" t="str">
        <f>VLOOKUP(A573,import!A:P,16,0)</f>
        <v>Geleneksel</v>
      </c>
      <c r="Q573" s="370"/>
      <c r="R573" s="370" t="b">
        <v>1</v>
      </c>
      <c r="S573" s="370" t="b">
        <v>0</v>
      </c>
      <c r="T573" s="300" t="s">
        <v>3735</v>
      </c>
      <c r="U573" s="379"/>
      <c r="V573" s="379"/>
      <c r="W573" s="379"/>
      <c r="X573" s="381"/>
      <c r="Y573" s="381"/>
      <c r="Z573" s="372"/>
      <c r="AA573" s="375"/>
      <c r="AB573" s="375"/>
      <c r="AC573" s="375"/>
      <c r="AD573" s="375"/>
      <c r="AE573" s="92"/>
      <c r="AF573" s="375"/>
      <c r="AG573" s="92"/>
      <c r="AH573" s="375"/>
      <c r="AI573" s="375"/>
      <c r="AJ573" s="375"/>
      <c r="AK573" s="375"/>
      <c r="AL573" s="375"/>
      <c r="AM573" s="375"/>
      <c r="AN573" s="375"/>
      <c r="AO573" s="375"/>
      <c r="AP573" s="376" t="s">
        <v>3686</v>
      </c>
      <c r="AQ573" s="375"/>
    </row>
    <row r="574">
      <c r="A574" s="257" t="s">
        <v>5564</v>
      </c>
      <c r="B574" s="257" t="s">
        <v>5565</v>
      </c>
      <c r="C574" s="257" t="str">
        <f>VLOOKUP(A574,import!A:J,3,0)</f>
        <v>DOĞRU</v>
      </c>
      <c r="D574" s="257" t="s">
        <v>3759</v>
      </c>
      <c r="E574" s="257">
        <f>VLOOKUP(A574,import!A:J,5,0)</f>
        <v>1487</v>
      </c>
      <c r="F574" s="257">
        <f>VLOOKUP(A574,import!A:J,6,0)</f>
        <v>62</v>
      </c>
      <c r="G574" s="257">
        <f>VLOOKUP(A574,import!A:J,7,0)</f>
        <v>4</v>
      </c>
      <c r="H574" s="257">
        <f>VLOOKUP(A574,import!A:J,8,0)</f>
        <v>6</v>
      </c>
      <c r="I574" s="257">
        <f>VLOOKUP(A574,import!A:J,9,0)</f>
        <v>10</v>
      </c>
      <c r="J574" s="369">
        <f>VLOOKUP(A574,import!A:J,10,0)</f>
        <v>0.4</v>
      </c>
      <c r="K574" s="257" t="s">
        <v>5566</v>
      </c>
      <c r="L574" s="257">
        <v>3.22248507E9</v>
      </c>
      <c r="M574" s="257" t="s">
        <v>14</v>
      </c>
      <c r="N574" s="257" t="s">
        <v>5227</v>
      </c>
      <c r="O574" s="257" t="s">
        <v>5567</v>
      </c>
      <c r="P574" s="370" t="str">
        <f>VLOOKUP(A574,import!A:P,16,0)</f>
        <v>Geleneksel</v>
      </c>
      <c r="Q574" s="370"/>
      <c r="R574" s="370" t="b">
        <v>1</v>
      </c>
      <c r="S574" s="370" t="b">
        <v>0</v>
      </c>
      <c r="T574" s="300" t="s">
        <v>3735</v>
      </c>
      <c r="U574" s="301"/>
      <c r="V574" s="301"/>
      <c r="W574" s="301" t="s">
        <v>5568</v>
      </c>
      <c r="X574" s="371"/>
      <c r="Y574" s="371"/>
      <c r="Z574" s="377"/>
      <c r="AA574" s="375"/>
      <c r="AB574" s="375"/>
      <c r="AC574" s="375"/>
      <c r="AD574" s="375"/>
      <c r="AE574" s="92"/>
      <c r="AF574" s="375"/>
      <c r="AG574" s="92"/>
      <c r="AH574" s="375"/>
      <c r="AI574" s="375"/>
      <c r="AJ574" s="375"/>
      <c r="AK574" s="375"/>
      <c r="AL574" s="375"/>
      <c r="AM574" s="375"/>
      <c r="AN574" s="375"/>
      <c r="AO574" s="375"/>
      <c r="AP574" s="376" t="s">
        <v>3683</v>
      </c>
      <c r="AQ574" s="375"/>
    </row>
    <row r="575">
      <c r="A575" s="257" t="s">
        <v>141</v>
      </c>
      <c r="B575" s="257" t="s">
        <v>142</v>
      </c>
      <c r="C575" s="257" t="str">
        <f>VLOOKUP(A575,import!A:J,3,0)</f>
        <v>DOĞRU</v>
      </c>
      <c r="D575" s="257" t="s">
        <v>3759</v>
      </c>
      <c r="E575" s="257">
        <f>VLOOKUP(A575,import!A:J,5,0)</f>
        <v>4446</v>
      </c>
      <c r="F575" s="257">
        <f>VLOOKUP(A575,import!A:J,6,0)</f>
        <v>209</v>
      </c>
      <c r="G575" s="257">
        <f>VLOOKUP(A575,import!A:J,7,0)</f>
        <v>0</v>
      </c>
      <c r="H575" s="257">
        <f>VLOOKUP(A575,import!A:J,8,0)</f>
        <v>7</v>
      </c>
      <c r="I575" s="257">
        <f>VLOOKUP(A575,import!A:J,9,0)</f>
        <v>7</v>
      </c>
      <c r="J575" s="369">
        <f>VLOOKUP(A575,import!A:J,10,0)</f>
        <v>0</v>
      </c>
      <c r="K575" s="257" t="s">
        <v>5569</v>
      </c>
      <c r="L575" s="257">
        <v>3.222352028E9</v>
      </c>
      <c r="M575" s="257" t="s">
        <v>14</v>
      </c>
      <c r="N575" s="257" t="s">
        <v>3767</v>
      </c>
      <c r="O575" s="257" t="s">
        <v>144</v>
      </c>
      <c r="P575" s="370" t="str">
        <f>VLOOKUP(A575,import!A:P,16,0)</f>
        <v>Geleneksel</v>
      </c>
      <c r="Q575" s="370"/>
      <c r="R575" s="370" t="b">
        <v>1</v>
      </c>
      <c r="S575" s="370" t="b">
        <v>0</v>
      </c>
      <c r="T575" s="301" t="s">
        <v>3679</v>
      </c>
      <c r="U575" s="301" t="s">
        <v>131</v>
      </c>
      <c r="V575" s="301" t="s">
        <v>78</v>
      </c>
      <c r="W575" s="301"/>
      <c r="X575" s="371">
        <v>44293.0</v>
      </c>
      <c r="Y575" s="371">
        <v>44294.0</v>
      </c>
      <c r="Z575" s="377"/>
      <c r="AA575" s="375"/>
      <c r="AB575" s="375"/>
      <c r="AC575" s="375"/>
      <c r="AD575" s="375"/>
      <c r="AE575" s="92"/>
      <c r="AF575" s="375"/>
      <c r="AG575" s="92"/>
      <c r="AH575" s="375"/>
      <c r="AI575" s="375"/>
      <c r="AJ575" s="375"/>
      <c r="AK575" s="375"/>
      <c r="AL575" s="375"/>
      <c r="AM575" s="375"/>
      <c r="AN575" s="375"/>
      <c r="AO575" s="375"/>
      <c r="AP575" s="376" t="s">
        <v>3683</v>
      </c>
      <c r="AQ575" s="375"/>
    </row>
    <row r="576">
      <c r="A576" s="257" t="s">
        <v>94</v>
      </c>
      <c r="B576" s="257" t="s">
        <v>95</v>
      </c>
      <c r="C576" s="257" t="str">
        <f>VLOOKUP(A576,import!A:J,3,0)</f>
        <v>DOĞRU</v>
      </c>
      <c r="D576" s="257" t="s">
        <v>3759</v>
      </c>
      <c r="E576" s="257">
        <f>VLOOKUP(A576,import!A:J,5,0)</f>
        <v>5310</v>
      </c>
      <c r="F576" s="257">
        <f>VLOOKUP(A576,import!A:J,6,0)</f>
        <v>229</v>
      </c>
      <c r="G576" s="257">
        <f>VLOOKUP(A576,import!A:J,7,0)</f>
        <v>3</v>
      </c>
      <c r="H576" s="257">
        <f>VLOOKUP(A576,import!A:J,8,0)</f>
        <v>9</v>
      </c>
      <c r="I576" s="257">
        <f>VLOOKUP(A576,import!A:J,9,0)</f>
        <v>12</v>
      </c>
      <c r="J576" s="369">
        <f>VLOOKUP(A576,import!A:J,10,0)</f>
        <v>0.25</v>
      </c>
      <c r="K576" s="257" t="s">
        <v>5570</v>
      </c>
      <c r="L576" s="257">
        <v>3.222568885E9</v>
      </c>
      <c r="M576" s="257" t="s">
        <v>14</v>
      </c>
      <c r="N576" s="257" t="s">
        <v>3678</v>
      </c>
      <c r="O576" s="257" t="s">
        <v>97</v>
      </c>
      <c r="P576" s="370" t="str">
        <f>VLOOKUP(A576,import!A:P,16,0)</f>
        <v>Geleneksel</v>
      </c>
      <c r="Q576" s="370"/>
      <c r="R576" s="370" t="b">
        <v>1</v>
      </c>
      <c r="S576" s="370" t="b">
        <v>0</v>
      </c>
      <c r="T576" s="301" t="s">
        <v>3679</v>
      </c>
      <c r="U576" s="301" t="s">
        <v>16</v>
      </c>
      <c r="V576" s="301" t="s">
        <v>15</v>
      </c>
      <c r="W576" s="301">
        <v>5.467958513E9</v>
      </c>
      <c r="X576" s="371">
        <v>44286.0</v>
      </c>
      <c r="Y576" s="371">
        <v>44292.0</v>
      </c>
      <c r="Z576" s="377"/>
      <c r="AA576" s="375"/>
      <c r="AB576" s="375"/>
      <c r="AC576" s="375"/>
      <c r="AD576" s="375"/>
      <c r="AE576" s="92"/>
      <c r="AF576" s="375"/>
      <c r="AG576" s="92"/>
      <c r="AH576" s="375"/>
      <c r="AI576" s="375"/>
      <c r="AJ576" s="375"/>
      <c r="AK576" s="375"/>
      <c r="AL576" s="375"/>
      <c r="AM576" s="375"/>
      <c r="AN576" s="375"/>
      <c r="AO576" s="375"/>
      <c r="AP576" s="376" t="s">
        <v>3683</v>
      </c>
      <c r="AQ576" s="375"/>
    </row>
    <row r="577">
      <c r="A577" s="257" t="s">
        <v>5571</v>
      </c>
      <c r="B577" s="257" t="s">
        <v>5572</v>
      </c>
      <c r="C577" s="257" t="str">
        <f>VLOOKUP(A577,import!A:J,3,0)</f>
        <v>DOĞRU</v>
      </c>
      <c r="D577" s="257" t="s">
        <v>3759</v>
      </c>
      <c r="E577" s="257">
        <f>VLOOKUP(A577,import!A:J,5,0)</f>
        <v>3471</v>
      </c>
      <c r="F577" s="257">
        <f>VLOOKUP(A577,import!A:J,6,0)</f>
        <v>106</v>
      </c>
      <c r="G577" s="257">
        <f>VLOOKUP(A577,import!A:J,7,0)</f>
        <v>5</v>
      </c>
      <c r="H577" s="257">
        <f>VLOOKUP(A577,import!A:J,8,0)</f>
        <v>3</v>
      </c>
      <c r="I577" s="257">
        <f>VLOOKUP(A577,import!A:J,9,0)</f>
        <v>8</v>
      </c>
      <c r="J577" s="369">
        <f>VLOOKUP(A577,import!A:J,10,0)</f>
        <v>0.63</v>
      </c>
      <c r="K577" s="257" t="s">
        <v>5573</v>
      </c>
      <c r="L577" s="257">
        <v>3.222357507E9</v>
      </c>
      <c r="M577" s="257" t="s">
        <v>14</v>
      </c>
      <c r="N577" s="257" t="s">
        <v>3767</v>
      </c>
      <c r="O577" s="257" t="s">
        <v>5574</v>
      </c>
      <c r="P577" s="370" t="str">
        <f>VLOOKUP(A577,import!A:P,16,0)</f>
        <v>Geleneksel</v>
      </c>
      <c r="Q577" s="370"/>
      <c r="R577" s="370" t="b">
        <v>1</v>
      </c>
      <c r="S577" s="370" t="b">
        <v>0</v>
      </c>
      <c r="T577" s="300" t="s">
        <v>3735</v>
      </c>
      <c r="U577" s="389"/>
      <c r="V577" s="389"/>
      <c r="W577" s="389"/>
      <c r="X577" s="390"/>
      <c r="Y577" s="390"/>
      <c r="Z577" s="391"/>
      <c r="AA577" s="375"/>
      <c r="AB577" s="375"/>
      <c r="AC577" s="375"/>
      <c r="AD577" s="375"/>
      <c r="AE577" s="92"/>
      <c r="AF577" s="375"/>
      <c r="AG577" s="92"/>
      <c r="AH577" s="375"/>
      <c r="AI577" s="375"/>
      <c r="AJ577" s="375"/>
      <c r="AK577" s="375"/>
      <c r="AL577" s="375"/>
      <c r="AM577" s="375"/>
      <c r="AN577" s="375"/>
      <c r="AO577" s="375"/>
      <c r="AP577" s="376" t="s">
        <v>3683</v>
      </c>
      <c r="AQ577" s="375"/>
    </row>
    <row r="578">
      <c r="A578" s="266" t="s">
        <v>492</v>
      </c>
      <c r="B578" s="266" t="s">
        <v>493</v>
      </c>
      <c r="C578" s="257" t="str">
        <f>VLOOKUP(A578,import!A:J,3,0)</f>
        <v>DOĞRU</v>
      </c>
      <c r="D578" s="266" t="s">
        <v>3759</v>
      </c>
      <c r="E578" s="257">
        <f>VLOOKUP(A578,import!A:J,5,0)</f>
        <v>2758</v>
      </c>
      <c r="F578" s="257">
        <f>VLOOKUP(A578,import!A:J,6,0)</f>
        <v>127</v>
      </c>
      <c r="G578" s="257">
        <f>VLOOKUP(A578,import!A:J,7,0)</f>
        <v>9</v>
      </c>
      <c r="H578" s="257">
        <f>VLOOKUP(A578,import!A:J,8,0)</f>
        <v>7</v>
      </c>
      <c r="I578" s="257">
        <f>VLOOKUP(A578,import!A:J,9,0)</f>
        <v>16</v>
      </c>
      <c r="J578" s="369">
        <f>VLOOKUP(A578,import!A:J,10,0)</f>
        <v>0.56</v>
      </c>
      <c r="K578" s="266" t="s">
        <v>5562</v>
      </c>
      <c r="L578" s="266">
        <v>3.222391817E9</v>
      </c>
      <c r="M578" s="266" t="s">
        <v>14</v>
      </c>
      <c r="N578" s="266" t="s">
        <v>3826</v>
      </c>
      <c r="O578" s="266" t="s">
        <v>495</v>
      </c>
      <c r="P578" s="370" t="str">
        <f>VLOOKUP(A578,import!A:P,16,0)</f>
        <v>Geleneksel</v>
      </c>
      <c r="Q578" s="370"/>
      <c r="R578" s="370" t="b">
        <v>1</v>
      </c>
      <c r="S578" s="370" t="b">
        <v>0</v>
      </c>
      <c r="T578" s="301" t="s">
        <v>3679</v>
      </c>
      <c r="U578" s="301" t="s">
        <v>399</v>
      </c>
      <c r="V578" s="301" t="s">
        <v>78</v>
      </c>
      <c r="W578" s="301">
        <v>5.438406417E9</v>
      </c>
      <c r="X578" s="371">
        <v>44311.0</v>
      </c>
      <c r="Y578" s="371">
        <v>44313.0</v>
      </c>
      <c r="Z578" s="377"/>
      <c r="AA578" s="375"/>
      <c r="AB578" s="375"/>
      <c r="AC578" s="375"/>
      <c r="AD578" s="375"/>
      <c r="AE578" s="92"/>
      <c r="AF578" s="375"/>
      <c r="AG578" s="92"/>
      <c r="AH578" s="375"/>
      <c r="AI578" s="375"/>
      <c r="AJ578" s="375"/>
      <c r="AK578" s="375"/>
      <c r="AL578" s="375"/>
      <c r="AM578" s="375"/>
      <c r="AN578" s="375"/>
      <c r="AO578" s="375"/>
      <c r="AP578" s="376" t="s">
        <v>3683</v>
      </c>
      <c r="AQ578" s="375"/>
    </row>
    <row r="579">
      <c r="A579" s="257" t="s">
        <v>2086</v>
      </c>
      <c r="B579" s="257" t="s">
        <v>2087</v>
      </c>
      <c r="C579" s="257" t="str">
        <f>VLOOKUP(A579,import!A:J,3,0)</f>
        <v>DOĞRU</v>
      </c>
      <c r="D579" s="257" t="s">
        <v>3759</v>
      </c>
      <c r="E579" s="257">
        <f>VLOOKUP(A579,import!A:J,5,0)</f>
        <v>2570</v>
      </c>
      <c r="F579" s="257">
        <f>VLOOKUP(A579,import!A:J,6,0)</f>
        <v>125</v>
      </c>
      <c r="G579" s="257">
        <f>VLOOKUP(A579,import!A:J,7,0)</f>
        <v>3</v>
      </c>
      <c r="H579" s="257">
        <f>VLOOKUP(A579,import!A:J,8,0)</f>
        <v>8</v>
      </c>
      <c r="I579" s="257">
        <f>VLOOKUP(A579,import!A:J,9,0)</f>
        <v>11</v>
      </c>
      <c r="J579" s="369">
        <f>VLOOKUP(A579,import!A:J,10,0)</f>
        <v>0.27</v>
      </c>
      <c r="K579" s="257" t="s">
        <v>5566</v>
      </c>
      <c r="L579" s="257">
        <v>3.224502223E9</v>
      </c>
      <c r="M579" s="257" t="s">
        <v>3692</v>
      </c>
      <c r="N579" s="257" t="s">
        <v>3869</v>
      </c>
      <c r="O579" s="257" t="s">
        <v>2089</v>
      </c>
      <c r="P579" s="370" t="str">
        <f>VLOOKUP(A579,import!A:P,16,0)</f>
        <v>Geleneksel</v>
      </c>
      <c r="Q579" s="370"/>
      <c r="R579" s="370" t="b">
        <v>1</v>
      </c>
      <c r="S579" s="370" t="b">
        <v>0</v>
      </c>
      <c r="T579" s="301" t="s">
        <v>3679</v>
      </c>
      <c r="U579" s="301" t="s">
        <v>1953</v>
      </c>
      <c r="V579" s="301" t="s">
        <v>78</v>
      </c>
      <c r="W579" s="301">
        <v>5.384923391E9</v>
      </c>
      <c r="X579" s="371">
        <v>44433.0</v>
      </c>
      <c r="Y579" s="371">
        <v>44434.0</v>
      </c>
      <c r="Z579" s="372"/>
      <c r="AA579" s="373" t="s">
        <v>3682</v>
      </c>
      <c r="AB579" s="374"/>
      <c r="AC579" s="373"/>
      <c r="AD579" s="374"/>
      <c r="AE579" s="373"/>
      <c r="AF579" s="374"/>
      <c r="AG579" s="92"/>
      <c r="AH579" s="375"/>
      <c r="AI579" s="375"/>
      <c r="AJ579" s="375"/>
      <c r="AK579" s="373" t="s">
        <v>1953</v>
      </c>
      <c r="AL579" s="375"/>
      <c r="AM579" s="375"/>
      <c r="AN579" s="375"/>
      <c r="AO579" s="375"/>
      <c r="AP579" s="376" t="s">
        <v>3686</v>
      </c>
      <c r="AQ579" s="375"/>
    </row>
    <row r="580">
      <c r="A580" s="257" t="s">
        <v>5575</v>
      </c>
      <c r="B580" s="257" t="s">
        <v>5576</v>
      </c>
      <c r="C580" s="257" t="str">
        <f>VLOOKUP(A580,import!A:J,3,0)</f>
        <v>DOĞRU</v>
      </c>
      <c r="D580" s="257" t="s">
        <v>3759</v>
      </c>
      <c r="E580" s="257">
        <f>VLOOKUP(A580,import!A:J,5,0)</f>
        <v>3176</v>
      </c>
      <c r="F580" s="257">
        <f>VLOOKUP(A580,import!A:J,6,0)</f>
        <v>129</v>
      </c>
      <c r="G580" s="257">
        <f>VLOOKUP(A580,import!A:J,7,0)</f>
        <v>7</v>
      </c>
      <c r="H580" s="257">
        <f>VLOOKUP(A580,import!A:J,8,0)</f>
        <v>5</v>
      </c>
      <c r="I580" s="257">
        <f>VLOOKUP(A580,import!A:J,9,0)</f>
        <v>12</v>
      </c>
      <c r="J580" s="369">
        <f>VLOOKUP(A580,import!A:J,10,0)</f>
        <v>0.58</v>
      </c>
      <c r="K580" s="257" t="s">
        <v>5577</v>
      </c>
      <c r="L580" s="257">
        <v>5.31579688E9</v>
      </c>
      <c r="M580" s="257" t="s">
        <v>286</v>
      </c>
      <c r="N580" s="257" t="s">
        <v>3746</v>
      </c>
      <c r="O580" s="257" t="s">
        <v>5578</v>
      </c>
      <c r="P580" s="370" t="str">
        <f>VLOOKUP(A580,import!A:P,16,0)</f>
        <v>Geleneksel</v>
      </c>
      <c r="Q580" s="370"/>
      <c r="R580" s="370" t="b">
        <v>1</v>
      </c>
      <c r="S580" s="370" t="b">
        <v>0</v>
      </c>
      <c r="T580" s="300" t="s">
        <v>3735</v>
      </c>
      <c r="U580" s="301"/>
      <c r="V580" s="36"/>
      <c r="W580" s="301" t="s">
        <v>5579</v>
      </c>
      <c r="X580" s="371"/>
      <c r="Y580" s="371"/>
      <c r="Z580" s="301" t="s">
        <v>3957</v>
      </c>
      <c r="AA580" s="375"/>
      <c r="AB580" s="375"/>
      <c r="AC580" s="375"/>
      <c r="AD580" s="375"/>
      <c r="AE580" s="373" t="s">
        <v>3448</v>
      </c>
      <c r="AF580" s="374">
        <v>44434.0</v>
      </c>
      <c r="AG580" s="92"/>
      <c r="AH580" s="375"/>
      <c r="AI580" s="375"/>
      <c r="AJ580" s="375"/>
      <c r="AK580" s="375"/>
      <c r="AL580" s="375"/>
      <c r="AM580" s="373" t="s">
        <v>3723</v>
      </c>
      <c r="AN580" s="375"/>
      <c r="AO580" s="375"/>
      <c r="AP580" s="376" t="s">
        <v>3686</v>
      </c>
      <c r="AQ580" s="375"/>
    </row>
    <row r="581">
      <c r="A581" s="257" t="s">
        <v>5580</v>
      </c>
      <c r="B581" s="257" t="s">
        <v>5581</v>
      </c>
      <c r="C581" s="257" t="str">
        <f>VLOOKUP(A581,import!A:J,3,0)</f>
        <v>DOĞRU</v>
      </c>
      <c r="D581" s="257" t="s">
        <v>3759</v>
      </c>
      <c r="E581" s="257">
        <f>VLOOKUP(A581,import!A:J,5,0)</f>
        <v>4989</v>
      </c>
      <c r="F581" s="257">
        <f>VLOOKUP(A581,import!A:J,6,0)</f>
        <v>280</v>
      </c>
      <c r="G581" s="257">
        <f>VLOOKUP(A581,import!A:J,7,0)</f>
        <v>0</v>
      </c>
      <c r="H581" s="257">
        <f>VLOOKUP(A581,import!A:J,8,0)</f>
        <v>9</v>
      </c>
      <c r="I581" s="257">
        <f>VLOOKUP(A581,import!A:J,9,0)</f>
        <v>9</v>
      </c>
      <c r="J581" s="369">
        <f>VLOOKUP(A581,import!A:J,10,0)</f>
        <v>0</v>
      </c>
      <c r="K581" s="257" t="s">
        <v>5582</v>
      </c>
      <c r="L581" s="257">
        <v>3.22232309E9</v>
      </c>
      <c r="M581" s="257" t="s">
        <v>286</v>
      </c>
      <c r="N581" s="257" t="s">
        <v>3782</v>
      </c>
      <c r="O581" s="257" t="s">
        <v>5583</v>
      </c>
      <c r="P581" s="370" t="str">
        <f>VLOOKUP(A581,import!A:P,16,0)</f>
        <v>Geleneksel</v>
      </c>
      <c r="Q581" s="370"/>
      <c r="R581" s="370" t="b">
        <v>1</v>
      </c>
      <c r="S581" s="370" t="b">
        <v>0</v>
      </c>
      <c r="T581" s="300" t="s">
        <v>3735</v>
      </c>
      <c r="U581" s="408"/>
      <c r="V581" s="379"/>
      <c r="W581" s="301"/>
      <c r="X581" s="381"/>
      <c r="Y581" s="381"/>
      <c r="Z581" s="301" t="s">
        <v>3957</v>
      </c>
      <c r="AA581" s="375"/>
      <c r="AB581" s="375"/>
      <c r="AC581" s="375"/>
      <c r="AD581" s="375"/>
      <c r="AE581" s="92"/>
      <c r="AF581" s="375"/>
      <c r="AG581" s="92"/>
      <c r="AH581" s="375"/>
      <c r="AI581" s="375"/>
      <c r="AJ581" s="375"/>
      <c r="AK581" s="375"/>
      <c r="AL581" s="375"/>
      <c r="AM581" s="375"/>
      <c r="AN581" s="375"/>
      <c r="AO581" s="375"/>
      <c r="AP581" s="376" t="s">
        <v>3686</v>
      </c>
      <c r="AQ581" s="375"/>
    </row>
    <row r="582">
      <c r="A582" s="257" t="s">
        <v>5584</v>
      </c>
      <c r="B582" s="257" t="s">
        <v>5585</v>
      </c>
      <c r="C582" s="257" t="str">
        <f>VLOOKUP(A582,import!A:J,3,0)</f>
        <v>YANLIŞ</v>
      </c>
      <c r="D582" s="257" t="s">
        <v>3690</v>
      </c>
      <c r="E582" s="257">
        <f>VLOOKUP(A582,import!A:J,5,0)</f>
        <v>707</v>
      </c>
      <c r="F582" s="257" t="str">
        <f>VLOOKUP(A582,import!A:J,6,0)</f>
        <v/>
      </c>
      <c r="G582" s="257">
        <f>VLOOKUP(A582,import!A:J,7,0)</f>
        <v>0</v>
      </c>
      <c r="H582" s="257">
        <f>VLOOKUP(A582,import!A:J,8,0)</f>
        <v>14</v>
      </c>
      <c r="I582" s="257">
        <f>VLOOKUP(A582,import!A:J,9,0)</f>
        <v>14</v>
      </c>
      <c r="J582" s="369">
        <f>VLOOKUP(A582,import!A:J,10,0)</f>
        <v>0</v>
      </c>
      <c r="K582" s="257" t="s">
        <v>5586</v>
      </c>
      <c r="L582" s="257">
        <v>3.229994267E9</v>
      </c>
      <c r="M582" s="257" t="s">
        <v>14</v>
      </c>
      <c r="N582" s="257" t="s">
        <v>3914</v>
      </c>
      <c r="O582" s="257" t="s">
        <v>5587</v>
      </c>
      <c r="P582" s="370" t="str">
        <f>VLOOKUP(A582,import!A:P,16,0)</f>
        <v>Geleneksel</v>
      </c>
      <c r="Q582" s="370"/>
      <c r="R582" s="370" t="b">
        <v>1</v>
      </c>
      <c r="S582" s="370" t="b">
        <v>1</v>
      </c>
      <c r="T582" s="301"/>
      <c r="U582" s="379"/>
      <c r="V582" s="379"/>
      <c r="W582" s="301" t="s">
        <v>5588</v>
      </c>
      <c r="X582" s="381"/>
      <c r="Y582" s="381"/>
      <c r="Z582" s="372"/>
      <c r="AA582" s="373" t="s">
        <v>3448</v>
      </c>
      <c r="AB582" s="374">
        <v>44348.0</v>
      </c>
      <c r="AC582" s="373" t="s">
        <v>3448</v>
      </c>
      <c r="AD582" s="374">
        <v>44363.0</v>
      </c>
      <c r="AE582" s="373" t="s">
        <v>3448</v>
      </c>
      <c r="AF582" s="374">
        <v>44368.0</v>
      </c>
      <c r="AG582" s="373" t="s">
        <v>3448</v>
      </c>
      <c r="AH582" s="374">
        <v>44379.0</v>
      </c>
      <c r="AI582" s="373" t="s">
        <v>3682</v>
      </c>
      <c r="AJ582" s="374">
        <v>44467.0</v>
      </c>
      <c r="AK582" s="373" t="s">
        <v>111</v>
      </c>
      <c r="AL582" s="373" t="s">
        <v>79</v>
      </c>
      <c r="AM582" s="373" t="s">
        <v>1014</v>
      </c>
      <c r="AN582" s="373" t="s">
        <v>1014</v>
      </c>
      <c r="AO582" s="373" t="s">
        <v>2192</v>
      </c>
      <c r="AP582" s="376" t="s">
        <v>3683</v>
      </c>
      <c r="AQ582" s="373"/>
    </row>
    <row r="583">
      <c r="A583" s="257" t="s">
        <v>5589</v>
      </c>
      <c r="B583" s="257" t="s">
        <v>5585</v>
      </c>
      <c r="C583" s="257" t="str">
        <f>VLOOKUP(A583,import!A:J,3,0)</f>
        <v>DOĞRU</v>
      </c>
      <c r="D583" s="257" t="s">
        <v>3690</v>
      </c>
      <c r="E583" s="257">
        <f>VLOOKUP(A583,import!A:J,5,0)</f>
        <v>191</v>
      </c>
      <c r="F583" s="257">
        <f>VLOOKUP(A583,import!A:J,6,0)</f>
        <v>41</v>
      </c>
      <c r="G583" s="257">
        <f>VLOOKUP(A583,import!A:J,7,0)</f>
        <v>0</v>
      </c>
      <c r="H583" s="257">
        <f>VLOOKUP(A583,import!A:J,8,0)</f>
        <v>14</v>
      </c>
      <c r="I583" s="257">
        <f>VLOOKUP(A583,import!A:J,9,0)</f>
        <v>14</v>
      </c>
      <c r="J583" s="369">
        <f>VLOOKUP(A583,import!A:J,10,0)</f>
        <v>0</v>
      </c>
      <c r="K583" s="257" t="s">
        <v>5590</v>
      </c>
      <c r="L583" s="257">
        <v>5.308846635E9</v>
      </c>
      <c r="M583" s="257" t="s">
        <v>14</v>
      </c>
      <c r="N583" s="257" t="s">
        <v>3914</v>
      </c>
      <c r="O583" s="257" t="s">
        <v>5591</v>
      </c>
      <c r="P583" s="370" t="str">
        <f>VLOOKUP(A583,import!A:P,16,0)</f>
        <v>Geleneksel</v>
      </c>
      <c r="Q583" s="370"/>
      <c r="R583" s="370" t="b">
        <v>0</v>
      </c>
      <c r="S583" s="370" t="b">
        <v>0</v>
      </c>
      <c r="T583" s="301"/>
      <c r="U583" s="301"/>
      <c r="V583" s="301"/>
      <c r="W583" s="301" t="s">
        <v>2969</v>
      </c>
      <c r="X583" s="371"/>
      <c r="Y583" s="371"/>
      <c r="Z583" s="372"/>
      <c r="AA583" s="373" t="s">
        <v>3448</v>
      </c>
      <c r="AB583" s="374">
        <v>44634.0</v>
      </c>
      <c r="AC583" s="373"/>
      <c r="AD583" s="374"/>
      <c r="AE583" s="373"/>
      <c r="AF583" s="374"/>
      <c r="AG583" s="373"/>
      <c r="AH583" s="374"/>
      <c r="AI583" s="373"/>
      <c r="AJ583" s="374"/>
      <c r="AK583" s="373" t="s">
        <v>2542</v>
      </c>
      <c r="AL583" s="373"/>
      <c r="AM583" s="373"/>
      <c r="AN583" s="373"/>
      <c r="AO583" s="373"/>
      <c r="AP583" s="376"/>
      <c r="AQ583" s="373"/>
    </row>
    <row r="584">
      <c r="A584" s="257" t="s">
        <v>5592</v>
      </c>
      <c r="B584" s="257" t="s">
        <v>5593</v>
      </c>
      <c r="C584" s="257" t="str">
        <f>VLOOKUP(A584,import!A:J,3,0)</f>
        <v>DOĞRU</v>
      </c>
      <c r="D584" s="257" t="s">
        <v>3713</v>
      </c>
      <c r="E584" s="257">
        <f>VLOOKUP(A584,import!A:J,5,0)</f>
        <v>74</v>
      </c>
      <c r="F584" s="257">
        <f>VLOOKUP(A584,import!A:J,6,0)</f>
        <v>56</v>
      </c>
      <c r="G584" s="257">
        <f>VLOOKUP(A584,import!A:J,7,0)</f>
        <v>0</v>
      </c>
      <c r="H584" s="257">
        <f>VLOOKUP(A584,import!A:J,8,0)</f>
        <v>11</v>
      </c>
      <c r="I584" s="257">
        <f>VLOOKUP(A584,import!A:J,9,0)</f>
        <v>11</v>
      </c>
      <c r="J584" s="369">
        <f>VLOOKUP(A584,import!A:J,10,0)</f>
        <v>0</v>
      </c>
      <c r="K584" s="257" t="s">
        <v>5594</v>
      </c>
      <c r="L584" s="257">
        <v>5.457264616E9</v>
      </c>
      <c r="M584" s="257" t="s">
        <v>3692</v>
      </c>
      <c r="N584" s="257" t="s">
        <v>3901</v>
      </c>
      <c r="O584" s="257" t="s">
        <v>5595</v>
      </c>
      <c r="P584" s="370" t="str">
        <f>VLOOKUP(A584,import!A:P,16,0)</f>
        <v>Geleneksel</v>
      </c>
      <c r="Q584" s="370"/>
      <c r="R584" s="370" t="b">
        <v>0</v>
      </c>
      <c r="S584" s="370" t="b">
        <v>0</v>
      </c>
      <c r="T584" s="301"/>
      <c r="U584" s="301"/>
      <c r="V584" s="301"/>
      <c r="W584" s="301"/>
      <c r="X584" s="371"/>
      <c r="Y584" s="371"/>
      <c r="Z584" s="372"/>
      <c r="AA584" s="373"/>
      <c r="AB584" s="374"/>
      <c r="AC584" s="373"/>
      <c r="AD584" s="374"/>
      <c r="AE584" s="373"/>
      <c r="AF584" s="374"/>
      <c r="AG584" s="373"/>
      <c r="AH584" s="374"/>
      <c r="AI584" s="373"/>
      <c r="AJ584" s="374"/>
      <c r="AK584" s="373"/>
      <c r="AL584" s="373"/>
      <c r="AM584" s="373"/>
      <c r="AN584" s="373"/>
      <c r="AO584" s="373"/>
      <c r="AP584" s="376"/>
      <c r="AQ584" s="373"/>
    </row>
    <row r="585">
      <c r="A585" s="257" t="s">
        <v>602</v>
      </c>
      <c r="B585" s="257" t="s">
        <v>603</v>
      </c>
      <c r="C585" s="257" t="str">
        <f>VLOOKUP(A585,import!A:J,3,0)</f>
        <v>DOĞRU</v>
      </c>
      <c r="D585" s="257" t="s">
        <v>4039</v>
      </c>
      <c r="E585" s="257">
        <f>VLOOKUP(A585,import!A:J,5,0)</f>
        <v>350</v>
      </c>
      <c r="F585" s="257" t="str">
        <f>VLOOKUP(A585,import!A:J,6,0)</f>
        <v/>
      </c>
      <c r="G585" s="257">
        <f>VLOOKUP(A585,import!A:J,7,0)</f>
        <v>37</v>
      </c>
      <c r="H585" s="257">
        <f>VLOOKUP(A585,import!A:J,8,0)</f>
        <v>3</v>
      </c>
      <c r="I585" s="257">
        <f>VLOOKUP(A585,import!A:J,9,0)</f>
        <v>40</v>
      </c>
      <c r="J585" s="369">
        <f>VLOOKUP(A585,import!A:J,10,0)</f>
        <v>0.93</v>
      </c>
      <c r="K585" s="257" t="s">
        <v>5596</v>
      </c>
      <c r="L585" s="257">
        <v>5.359771817E9</v>
      </c>
      <c r="M585" s="257" t="s">
        <v>14</v>
      </c>
      <c r="N585" s="257" t="s">
        <v>3767</v>
      </c>
      <c r="O585" s="257" t="s">
        <v>5597</v>
      </c>
      <c r="P585" s="370" t="str">
        <f>VLOOKUP(A585,import!A:P,16,0)</f>
        <v>Geleneksel</v>
      </c>
      <c r="Q585" s="370"/>
      <c r="R585" s="370" t="b">
        <v>1</v>
      </c>
      <c r="S585" s="370" t="b">
        <v>0</v>
      </c>
      <c r="T585" s="301" t="s">
        <v>3679</v>
      </c>
      <c r="U585" s="389" t="s">
        <v>79</v>
      </c>
      <c r="V585" s="301" t="s">
        <v>78</v>
      </c>
      <c r="W585" s="301" t="s">
        <v>5598</v>
      </c>
      <c r="X585" s="371">
        <v>44457.0</v>
      </c>
      <c r="Y585" s="371">
        <v>44459.0</v>
      </c>
      <c r="Z585" s="377"/>
      <c r="AA585" s="375"/>
      <c r="AB585" s="374">
        <v>44427.0</v>
      </c>
      <c r="AC585" s="373" t="s">
        <v>3682</v>
      </c>
      <c r="AD585" s="374">
        <v>44440.0</v>
      </c>
      <c r="AE585" s="92"/>
      <c r="AF585" s="375"/>
      <c r="AG585" s="92"/>
      <c r="AH585" s="375"/>
      <c r="AI585" s="375"/>
      <c r="AJ585" s="375"/>
      <c r="AK585" s="373" t="s">
        <v>1953</v>
      </c>
      <c r="AL585" s="373" t="s">
        <v>2542</v>
      </c>
      <c r="AM585" s="375"/>
      <c r="AN585" s="375"/>
      <c r="AO585" s="375"/>
      <c r="AP585" s="376" t="s">
        <v>3683</v>
      </c>
      <c r="AQ585" s="375"/>
    </row>
    <row r="586">
      <c r="A586" s="257" t="s">
        <v>5599</v>
      </c>
      <c r="B586" s="257" t="s">
        <v>5600</v>
      </c>
      <c r="C586" s="257" t="str">
        <f>VLOOKUP(A586,import!A:J,3,0)</f>
        <v>DOĞRU</v>
      </c>
      <c r="D586" s="257" t="s">
        <v>3994</v>
      </c>
      <c r="E586" s="257">
        <f>VLOOKUP(A586,import!A:J,5,0)</f>
        <v>1037</v>
      </c>
      <c r="F586" s="257">
        <f>VLOOKUP(A586,import!A:J,6,0)</f>
        <v>54</v>
      </c>
      <c r="G586" s="257">
        <f>VLOOKUP(A586,import!A:J,7,0)</f>
        <v>0</v>
      </c>
      <c r="H586" s="257">
        <f>VLOOKUP(A586,import!A:J,8,0)</f>
        <v>65</v>
      </c>
      <c r="I586" s="257">
        <f>VLOOKUP(A586,import!A:J,9,0)</f>
        <v>65</v>
      </c>
      <c r="J586" s="369">
        <f>VLOOKUP(A586,import!A:J,10,0)</f>
        <v>0</v>
      </c>
      <c r="K586" s="257" t="s">
        <v>5601</v>
      </c>
      <c r="L586" s="257">
        <v>5.365005457E9</v>
      </c>
      <c r="M586" s="257" t="s">
        <v>286</v>
      </c>
      <c r="N586" s="257" t="s">
        <v>3746</v>
      </c>
      <c r="O586" s="257" t="s">
        <v>5602</v>
      </c>
      <c r="P586" s="370" t="str">
        <f>VLOOKUP(A586,import!A:P,16,0)</f>
        <v>Geleneksel</v>
      </c>
      <c r="Q586" s="370"/>
      <c r="R586" s="370" t="b">
        <v>1</v>
      </c>
      <c r="S586" s="370" t="b">
        <v>0</v>
      </c>
      <c r="T586" s="301" t="s">
        <v>3770</v>
      </c>
      <c r="U586" s="379"/>
      <c r="V586" s="379"/>
      <c r="W586" s="301" t="s">
        <v>5603</v>
      </c>
      <c r="X586" s="381"/>
      <c r="Y586" s="381"/>
      <c r="Z586" s="372"/>
      <c r="AA586" s="373" t="s">
        <v>3448</v>
      </c>
      <c r="AB586" s="374">
        <v>44433.0</v>
      </c>
      <c r="AC586" s="373" t="s">
        <v>3682</v>
      </c>
      <c r="AD586" s="374">
        <v>44447.0</v>
      </c>
      <c r="AE586" s="373" t="s">
        <v>3682</v>
      </c>
      <c r="AF586" s="374">
        <v>44454.0</v>
      </c>
      <c r="AG586" s="92"/>
      <c r="AH586" s="375"/>
      <c r="AI586" s="375"/>
      <c r="AJ586" s="375"/>
      <c r="AK586" s="375"/>
      <c r="AL586" s="373" t="s">
        <v>2542</v>
      </c>
      <c r="AM586" s="373" t="s">
        <v>2542</v>
      </c>
      <c r="AN586" s="375"/>
      <c r="AO586" s="375"/>
      <c r="AP586" s="376" t="s">
        <v>3686</v>
      </c>
      <c r="AQ586" s="375"/>
    </row>
    <row r="587">
      <c r="A587" s="257" t="s">
        <v>5604</v>
      </c>
      <c r="B587" s="257" t="s">
        <v>5605</v>
      </c>
      <c r="C587" s="257" t="str">
        <f>VLOOKUP(A587,import!A:J,3,0)</f>
        <v>DOĞRU</v>
      </c>
      <c r="D587" s="257" t="s">
        <v>3994</v>
      </c>
      <c r="E587" s="257">
        <f>VLOOKUP(A587,import!A:J,5,0)</f>
        <v>159</v>
      </c>
      <c r="F587" s="257" t="str">
        <f>VLOOKUP(A587,import!A:J,6,0)</f>
        <v/>
      </c>
      <c r="G587" s="257">
        <f>VLOOKUP(A587,import!A:J,7,0)</f>
        <v>0</v>
      </c>
      <c r="H587" s="257">
        <f>VLOOKUP(A587,import!A:J,8,0)</f>
        <v>62</v>
      </c>
      <c r="I587" s="257">
        <f>VLOOKUP(A587,import!A:J,9,0)</f>
        <v>62</v>
      </c>
      <c r="J587" s="369">
        <f>VLOOKUP(A587,import!A:J,10,0)</f>
        <v>0</v>
      </c>
      <c r="K587" s="257" t="s">
        <v>5606</v>
      </c>
      <c r="L587" s="257">
        <v>5.421571234E9</v>
      </c>
      <c r="M587" s="257" t="s">
        <v>286</v>
      </c>
      <c r="N587" s="257" t="s">
        <v>3688</v>
      </c>
      <c r="O587" s="257" t="s">
        <v>5607</v>
      </c>
      <c r="P587" s="370" t="str">
        <f>VLOOKUP(A587,import!A:P,16,0)</f>
        <v>Geleneksel</v>
      </c>
      <c r="Q587" s="370"/>
      <c r="R587" s="370" t="b">
        <v>1</v>
      </c>
      <c r="S587" s="370" t="b">
        <v>1</v>
      </c>
      <c r="T587" s="301"/>
      <c r="U587" s="379"/>
      <c r="V587" s="379"/>
      <c r="W587" s="301" t="s">
        <v>5608</v>
      </c>
      <c r="X587" s="381"/>
      <c r="Y587" s="381"/>
      <c r="Z587" s="372"/>
      <c r="AA587" s="373"/>
      <c r="AB587" s="374"/>
      <c r="AC587" s="373"/>
      <c r="AD587" s="374"/>
      <c r="AE587" s="373"/>
      <c r="AF587" s="374"/>
      <c r="AG587" s="373"/>
      <c r="AH587" s="374"/>
      <c r="AI587" s="375"/>
      <c r="AJ587" s="375"/>
      <c r="AK587" s="373"/>
      <c r="AL587" s="375"/>
      <c r="AM587" s="375"/>
      <c r="AN587" s="373"/>
      <c r="AO587" s="375"/>
      <c r="AP587" s="376" t="s">
        <v>3686</v>
      </c>
      <c r="AQ587" s="375"/>
    </row>
    <row r="588">
      <c r="A588" s="257" t="s">
        <v>5609</v>
      </c>
      <c r="B588" s="257" t="s">
        <v>5610</v>
      </c>
      <c r="C588" s="257" t="str">
        <f>VLOOKUP(A588,import!A:J,3,0)</f>
        <v>DOĞRU</v>
      </c>
      <c r="D588" s="257" t="s">
        <v>3994</v>
      </c>
      <c r="E588" s="257" t="str">
        <f>VLOOKUP(A588,import!A:J,5,0)</f>
        <v/>
      </c>
      <c r="F588" s="257" t="str">
        <f>VLOOKUP(A588,import!A:J,6,0)</f>
        <v/>
      </c>
      <c r="G588" s="257">
        <f>VLOOKUP(A588,import!A:J,7,0)</f>
        <v>0</v>
      </c>
      <c r="H588" s="257">
        <f>VLOOKUP(A588,import!A:J,8,0)</f>
        <v>57</v>
      </c>
      <c r="I588" s="257">
        <f>VLOOKUP(A588,import!A:J,9,0)</f>
        <v>57</v>
      </c>
      <c r="J588" s="369">
        <f>VLOOKUP(A588,import!A:J,10,0)</f>
        <v>0</v>
      </c>
      <c r="K588" s="257" t="s">
        <v>5606</v>
      </c>
      <c r="L588" s="257">
        <v>5.362610693E9</v>
      </c>
      <c r="M588" s="257" t="s">
        <v>14</v>
      </c>
      <c r="N588" s="257" t="s">
        <v>3797</v>
      </c>
      <c r="O588" s="257" t="s">
        <v>5611</v>
      </c>
      <c r="P588" s="370" t="str">
        <f>VLOOKUP(A588,import!A:P,16,0)</f>
        <v>Geleneksel</v>
      </c>
      <c r="Q588" s="370"/>
      <c r="R588" s="370" t="b">
        <v>1</v>
      </c>
      <c r="S588" s="370" t="b">
        <v>0</v>
      </c>
      <c r="T588" s="301"/>
      <c r="U588" s="379"/>
      <c r="V588" s="379"/>
      <c r="W588" s="301" t="s">
        <v>5612</v>
      </c>
      <c r="X588" s="381"/>
      <c r="Y588" s="381"/>
      <c r="Z588" s="372"/>
      <c r="AA588" s="373" t="s">
        <v>3448</v>
      </c>
      <c r="AB588" s="374">
        <v>44536.0</v>
      </c>
      <c r="AC588" s="373"/>
      <c r="AD588" s="374"/>
      <c r="AE588" s="373"/>
      <c r="AF588" s="374"/>
      <c r="AG588" s="373"/>
      <c r="AH588" s="374"/>
      <c r="AI588" s="375"/>
      <c r="AJ588" s="375"/>
      <c r="AK588" s="373" t="s">
        <v>2192</v>
      </c>
      <c r="AL588" s="375"/>
      <c r="AM588" s="375"/>
      <c r="AN588" s="373"/>
      <c r="AO588" s="375"/>
      <c r="AP588" s="376" t="s">
        <v>3686</v>
      </c>
      <c r="AQ588" s="375"/>
    </row>
    <row r="589">
      <c r="A589" s="257" t="s">
        <v>652</v>
      </c>
      <c r="B589" s="257" t="s">
        <v>653</v>
      </c>
      <c r="C589" s="257" t="str">
        <f>VLOOKUP(A589,import!A:J,3,0)</f>
        <v>DOĞRU</v>
      </c>
      <c r="D589" s="257" t="s">
        <v>3699</v>
      </c>
      <c r="E589" s="257">
        <f>VLOOKUP(A589,import!A:J,5,0)</f>
        <v>217</v>
      </c>
      <c r="F589" s="257" t="str">
        <f>VLOOKUP(A589,import!A:J,6,0)</f>
        <v/>
      </c>
      <c r="G589" s="257">
        <f>VLOOKUP(A589,import!A:J,7,0)</f>
        <v>12</v>
      </c>
      <c r="H589" s="257">
        <f>VLOOKUP(A589,import!A:J,8,0)</f>
        <v>7</v>
      </c>
      <c r="I589" s="257">
        <f>VLOOKUP(A589,import!A:J,9,0)</f>
        <v>19</v>
      </c>
      <c r="J589" s="369">
        <f>VLOOKUP(A589,import!A:J,10,0)</f>
        <v>0.63</v>
      </c>
      <c r="K589" s="257" t="s">
        <v>5613</v>
      </c>
      <c r="L589" s="257">
        <v>5.348612529E9</v>
      </c>
      <c r="M589" s="257" t="s">
        <v>14</v>
      </c>
      <c r="N589" s="257" t="s">
        <v>3733</v>
      </c>
      <c r="O589" s="257" t="s">
        <v>5614</v>
      </c>
      <c r="P589" s="370" t="str">
        <f>VLOOKUP(A589,import!A:P,16,0)</f>
        <v>Geleneksel</v>
      </c>
      <c r="Q589" s="370"/>
      <c r="R589" s="370" t="b">
        <v>1</v>
      </c>
      <c r="S589" s="370" t="b">
        <v>0</v>
      </c>
      <c r="T589" s="301" t="s">
        <v>3679</v>
      </c>
      <c r="U589" s="301" t="s">
        <v>399</v>
      </c>
      <c r="V589" s="301" t="s">
        <v>78</v>
      </c>
      <c r="W589" s="301" t="s">
        <v>5076</v>
      </c>
      <c r="X589" s="371">
        <v>44326.0</v>
      </c>
      <c r="Y589" s="371">
        <v>44333.0</v>
      </c>
      <c r="Z589" s="377"/>
      <c r="AA589" s="373" t="s">
        <v>3682</v>
      </c>
      <c r="AB589" s="374">
        <v>44363.0</v>
      </c>
      <c r="AC589" s="375"/>
      <c r="AD589" s="375"/>
      <c r="AE589" s="92"/>
      <c r="AF589" s="375"/>
      <c r="AG589" s="92"/>
      <c r="AH589" s="375"/>
      <c r="AI589" s="375"/>
      <c r="AJ589" s="375"/>
      <c r="AK589" s="373" t="s">
        <v>399</v>
      </c>
      <c r="AL589" s="375"/>
      <c r="AM589" s="375"/>
      <c r="AN589" s="375"/>
      <c r="AO589" s="375"/>
      <c r="AP589" s="376" t="s">
        <v>3683</v>
      </c>
      <c r="AQ589" s="375"/>
    </row>
    <row r="590">
      <c r="A590" s="257" t="s">
        <v>5615</v>
      </c>
      <c r="B590" s="257" t="s">
        <v>5616</v>
      </c>
      <c r="C590" s="257" t="str">
        <f>VLOOKUP(A590,import!A:J,3,0)</f>
        <v>DOĞRU</v>
      </c>
      <c r="D590" s="257" t="s">
        <v>3994</v>
      </c>
      <c r="E590" s="257">
        <f>VLOOKUP(A590,import!A:J,5,0)</f>
        <v>204</v>
      </c>
      <c r="F590" s="257">
        <f>VLOOKUP(A590,import!A:J,6,0)</f>
        <v>31</v>
      </c>
      <c r="G590" s="257">
        <f>VLOOKUP(A590,import!A:J,7,0)</f>
        <v>0</v>
      </c>
      <c r="H590" s="257">
        <f>VLOOKUP(A590,import!A:J,8,0)</f>
        <v>25</v>
      </c>
      <c r="I590" s="257">
        <f>VLOOKUP(A590,import!A:J,9,0)</f>
        <v>25</v>
      </c>
      <c r="J590" s="369">
        <f>VLOOKUP(A590,import!A:J,10,0)</f>
        <v>0</v>
      </c>
      <c r="K590" s="257" t="s">
        <v>5617</v>
      </c>
      <c r="L590" s="257">
        <v>3.224010008E9</v>
      </c>
      <c r="M590" s="257" t="s">
        <v>286</v>
      </c>
      <c r="N590" s="257" t="s">
        <v>3688</v>
      </c>
      <c r="O590" s="257" t="s">
        <v>5618</v>
      </c>
      <c r="P590" s="370" t="str">
        <f>VLOOKUP(A590,import!A:P,16,0)</f>
        <v>Geleneksel</v>
      </c>
      <c r="Q590" s="370"/>
      <c r="R590" s="370" t="b">
        <v>1</v>
      </c>
      <c r="S590" s="370" t="b">
        <v>0</v>
      </c>
      <c r="T590" s="301" t="s">
        <v>4960</v>
      </c>
      <c r="U590" s="379"/>
      <c r="V590" s="379"/>
      <c r="W590" s="301" t="s">
        <v>5619</v>
      </c>
      <c r="X590" s="381"/>
      <c r="Y590" s="381"/>
      <c r="Z590" s="372"/>
      <c r="AA590" s="373" t="s">
        <v>3682</v>
      </c>
      <c r="AB590" s="374">
        <v>44386.0</v>
      </c>
      <c r="AC590" s="373" t="s">
        <v>3682</v>
      </c>
      <c r="AD590" s="374">
        <v>44389.0</v>
      </c>
      <c r="AE590" s="373" t="s">
        <v>3696</v>
      </c>
      <c r="AF590" s="374">
        <v>44392.0</v>
      </c>
      <c r="AG590" s="373" t="s">
        <v>3448</v>
      </c>
      <c r="AH590" s="374">
        <v>44427.0</v>
      </c>
      <c r="AI590" s="373" t="s">
        <v>3682</v>
      </c>
      <c r="AJ590" s="374">
        <v>44537.0</v>
      </c>
      <c r="AK590" s="373" t="s">
        <v>79</v>
      </c>
      <c r="AL590" s="373" t="s">
        <v>4089</v>
      </c>
      <c r="AM590" s="373" t="s">
        <v>4089</v>
      </c>
      <c r="AN590" s="373" t="s">
        <v>1947</v>
      </c>
      <c r="AO590" s="373" t="s">
        <v>3213</v>
      </c>
      <c r="AP590" s="376" t="s">
        <v>3686</v>
      </c>
      <c r="AQ590" s="373"/>
    </row>
    <row r="591">
      <c r="A591" s="257" t="s">
        <v>5620</v>
      </c>
      <c r="B591" s="257" t="s">
        <v>5621</v>
      </c>
      <c r="C591" s="257" t="str">
        <f>VLOOKUP(A591,import!A:J,3,0)</f>
        <v>DOĞRU</v>
      </c>
      <c r="D591" s="257" t="s">
        <v>3676</v>
      </c>
      <c r="E591" s="257">
        <f>VLOOKUP(A591,import!A:J,5,0)</f>
        <v>1613</v>
      </c>
      <c r="F591" s="257">
        <f>VLOOKUP(A591,import!A:J,6,0)</f>
        <v>65</v>
      </c>
      <c r="G591" s="257">
        <f>VLOOKUP(A591,import!A:J,7,0)</f>
        <v>0</v>
      </c>
      <c r="H591" s="257">
        <f>VLOOKUP(A591,import!A:J,8,0)</f>
        <v>26</v>
      </c>
      <c r="I591" s="257">
        <f>VLOOKUP(A591,import!A:J,9,0)</f>
        <v>26</v>
      </c>
      <c r="J591" s="369">
        <f>VLOOKUP(A591,import!A:J,10,0)</f>
        <v>0</v>
      </c>
      <c r="K591" s="257" t="s">
        <v>5622</v>
      </c>
      <c r="L591" s="257">
        <v>3.22235303E9</v>
      </c>
      <c r="M591" s="257" t="s">
        <v>14</v>
      </c>
      <c r="N591" s="257" t="s">
        <v>3914</v>
      </c>
      <c r="O591" s="257" t="s">
        <v>5623</v>
      </c>
      <c r="P591" s="370" t="str">
        <f>VLOOKUP(A591,import!A:P,16,0)</f>
        <v>Geleneksel</v>
      </c>
      <c r="Q591" s="370"/>
      <c r="R591" s="370" t="b">
        <v>1</v>
      </c>
      <c r="S591" s="370" t="b">
        <v>1</v>
      </c>
      <c r="T591" s="301"/>
      <c r="U591" s="379"/>
      <c r="V591" s="379"/>
      <c r="W591" s="301" t="s">
        <v>5624</v>
      </c>
      <c r="X591" s="381"/>
      <c r="Y591" s="381"/>
      <c r="Z591" s="372"/>
      <c r="AA591" s="373" t="s">
        <v>3448</v>
      </c>
      <c r="AB591" s="374">
        <v>44356.0</v>
      </c>
      <c r="AC591" s="373" t="s">
        <v>3681</v>
      </c>
      <c r="AD591" s="374">
        <v>44362.0</v>
      </c>
      <c r="AE591" s="373" t="s">
        <v>3682</v>
      </c>
      <c r="AF591" s="374">
        <v>44368.0</v>
      </c>
      <c r="AG591" s="373" t="s">
        <v>3682</v>
      </c>
      <c r="AH591" s="374">
        <v>44383.0</v>
      </c>
      <c r="AI591" s="373" t="s">
        <v>3682</v>
      </c>
      <c r="AJ591" s="374">
        <v>44460.0</v>
      </c>
      <c r="AK591" s="373" t="s">
        <v>2706</v>
      </c>
      <c r="AL591" s="373" t="s">
        <v>3916</v>
      </c>
      <c r="AM591" s="373" t="s">
        <v>1014</v>
      </c>
      <c r="AN591" s="373" t="s">
        <v>399</v>
      </c>
      <c r="AO591" s="373" t="s">
        <v>2542</v>
      </c>
      <c r="AP591" s="376" t="s">
        <v>3683</v>
      </c>
      <c r="AQ591" s="373"/>
    </row>
    <row r="592">
      <c r="A592" s="257" t="s">
        <v>5625</v>
      </c>
      <c r="B592" s="257" t="s">
        <v>5626</v>
      </c>
      <c r="C592" s="257" t="str">
        <f>VLOOKUP(A592,import!A:J,3,0)</f>
        <v>DOĞRU</v>
      </c>
      <c r="D592" s="257" t="s">
        <v>4000</v>
      </c>
      <c r="E592" s="257">
        <f>VLOOKUP(A592,import!A:J,5,0)</f>
        <v>1331</v>
      </c>
      <c r="F592" s="257">
        <f>VLOOKUP(A592,import!A:J,6,0)</f>
        <v>52</v>
      </c>
      <c r="G592" s="257">
        <f>VLOOKUP(A592,import!A:J,7,0)</f>
        <v>9</v>
      </c>
      <c r="H592" s="257">
        <f>VLOOKUP(A592,import!A:J,8,0)</f>
        <v>2</v>
      </c>
      <c r="I592" s="257">
        <f>VLOOKUP(A592,import!A:J,9,0)</f>
        <v>11</v>
      </c>
      <c r="J592" s="369">
        <f>VLOOKUP(A592,import!A:J,10,0)</f>
        <v>0.82</v>
      </c>
      <c r="K592" s="257" t="s">
        <v>5627</v>
      </c>
      <c r="L592" s="257">
        <v>3.22233506E9</v>
      </c>
      <c r="M592" s="257" t="s">
        <v>14</v>
      </c>
      <c r="N592" s="257" t="s">
        <v>3733</v>
      </c>
      <c r="O592" s="257" t="s">
        <v>998</v>
      </c>
      <c r="P592" s="370" t="str">
        <f>VLOOKUP(A592,import!A:P,16,0)</f>
        <v>Geleneksel</v>
      </c>
      <c r="Q592" s="370"/>
      <c r="R592" s="370" t="b">
        <v>1</v>
      </c>
      <c r="S592" s="370" t="b">
        <v>0</v>
      </c>
      <c r="T592" s="300" t="s">
        <v>3735</v>
      </c>
      <c r="U592" s="379"/>
      <c r="V592" s="379"/>
      <c r="W592" s="301" t="s">
        <v>5628</v>
      </c>
      <c r="X592" s="381"/>
      <c r="Y592" s="381"/>
      <c r="Z592" s="372"/>
      <c r="AA592" s="373" t="s">
        <v>3681</v>
      </c>
      <c r="AB592" s="374">
        <v>44382.0</v>
      </c>
      <c r="AC592" s="373" t="s">
        <v>3448</v>
      </c>
      <c r="AD592" s="374">
        <v>44382.0</v>
      </c>
      <c r="AE592" s="373" t="s">
        <v>3682</v>
      </c>
      <c r="AF592" s="374">
        <v>44383.0</v>
      </c>
      <c r="AG592" s="92"/>
      <c r="AH592" s="375"/>
      <c r="AI592" s="375"/>
      <c r="AJ592" s="375"/>
      <c r="AK592" s="373" t="s">
        <v>3974</v>
      </c>
      <c r="AL592" s="373" t="s">
        <v>399</v>
      </c>
      <c r="AM592" s="373" t="s">
        <v>79</v>
      </c>
      <c r="AN592" s="375"/>
      <c r="AO592" s="375"/>
      <c r="AP592" s="376" t="s">
        <v>3683</v>
      </c>
      <c r="AQ592" s="375"/>
    </row>
    <row r="593">
      <c r="A593" s="257" t="s">
        <v>994</v>
      </c>
      <c r="B593" s="257" t="s">
        <v>995</v>
      </c>
      <c r="C593" s="257" t="str">
        <f>VLOOKUP(A593,import!A:J,3,0)</f>
        <v>YANLIŞ</v>
      </c>
      <c r="D593" s="257" t="s">
        <v>3676</v>
      </c>
      <c r="E593" s="257">
        <f>VLOOKUP(A593,import!A:J,5,0)</f>
        <v>167</v>
      </c>
      <c r="F593" s="257" t="str">
        <f>VLOOKUP(A593,import!A:J,6,0)</f>
        <v/>
      </c>
      <c r="G593" s="257">
        <f>VLOOKUP(A593,import!A:J,7,0)</f>
        <v>4</v>
      </c>
      <c r="H593" s="257">
        <f>VLOOKUP(A593,import!A:J,8,0)</f>
        <v>13</v>
      </c>
      <c r="I593" s="257">
        <f>VLOOKUP(A593,import!A:J,9,0)</f>
        <v>17</v>
      </c>
      <c r="J593" s="369">
        <f>VLOOKUP(A593,import!A:J,10,0)</f>
        <v>0.24</v>
      </c>
      <c r="K593" s="257" t="s">
        <v>5627</v>
      </c>
      <c r="L593" s="257">
        <v>3.22233506E9</v>
      </c>
      <c r="M593" s="257" t="s">
        <v>14</v>
      </c>
      <c r="N593" s="257" t="s">
        <v>3733</v>
      </c>
      <c r="O593" s="257" t="s">
        <v>998</v>
      </c>
      <c r="P593" s="370" t="str">
        <f>VLOOKUP(A593,import!A:P,16,0)</f>
        <v>Geleneksel</v>
      </c>
      <c r="Q593" s="370"/>
      <c r="R593" s="370" t="b">
        <v>1</v>
      </c>
      <c r="S593" s="370" t="b">
        <v>0</v>
      </c>
      <c r="T593" s="301" t="s">
        <v>3679</v>
      </c>
      <c r="U593" s="301" t="s">
        <v>2706</v>
      </c>
      <c r="V593" s="301" t="s">
        <v>78</v>
      </c>
      <c r="W593" s="301">
        <v>5.427941134E9</v>
      </c>
      <c r="X593" s="371">
        <v>44362.0</v>
      </c>
      <c r="Y593" s="371">
        <v>44365.0</v>
      </c>
      <c r="Z593" s="372"/>
      <c r="AA593" s="373" t="s">
        <v>3682</v>
      </c>
      <c r="AB593" s="374">
        <v>44355.0</v>
      </c>
      <c r="AC593" s="373" t="s">
        <v>3682</v>
      </c>
      <c r="AD593" s="374">
        <v>44362.0</v>
      </c>
      <c r="AE593" s="92"/>
      <c r="AF593" s="375"/>
      <c r="AG593" s="92"/>
      <c r="AH593" s="375"/>
      <c r="AI593" s="375"/>
      <c r="AJ593" s="375"/>
      <c r="AK593" s="373" t="s">
        <v>399</v>
      </c>
      <c r="AL593" s="373" t="s">
        <v>2706</v>
      </c>
      <c r="AM593" s="375"/>
      <c r="AN593" s="375"/>
      <c r="AO593" s="375"/>
      <c r="AP593" s="376" t="s">
        <v>3683</v>
      </c>
      <c r="AQ593" s="375"/>
    </row>
    <row r="594">
      <c r="A594" s="257" t="s">
        <v>5629</v>
      </c>
      <c r="B594" s="257" t="s">
        <v>5630</v>
      </c>
      <c r="C594" s="257" t="str">
        <f>VLOOKUP(A594,import!A:J,3,0)</f>
        <v>DOĞRU</v>
      </c>
      <c r="D594" s="257" t="s">
        <v>3690</v>
      </c>
      <c r="E594" s="257">
        <f>VLOOKUP(A594,import!A:J,5,0)</f>
        <v>222</v>
      </c>
      <c r="F594" s="257">
        <f>VLOOKUP(A594,import!A:J,6,0)</f>
        <v>7</v>
      </c>
      <c r="G594" s="257">
        <f>VLOOKUP(A594,import!A:J,7,0)</f>
        <v>0</v>
      </c>
      <c r="H594" s="257">
        <f>VLOOKUP(A594,import!A:J,8,0)</f>
        <v>6</v>
      </c>
      <c r="I594" s="257">
        <f>VLOOKUP(A594,import!A:J,9,0)</f>
        <v>6</v>
      </c>
      <c r="J594" s="369">
        <f>VLOOKUP(A594,import!A:J,10,0)</f>
        <v>0</v>
      </c>
      <c r="K594" s="257" t="s">
        <v>5631</v>
      </c>
      <c r="L594" s="257">
        <v>5.444452008E9</v>
      </c>
      <c r="M594" s="257" t="s">
        <v>3707</v>
      </c>
      <c r="N594" s="257" t="s">
        <v>3815</v>
      </c>
      <c r="O594" s="257" t="s">
        <v>5632</v>
      </c>
      <c r="P594" s="370" t="str">
        <f>VLOOKUP(A594,import!A:P,16,0)</f>
        <v>Geleneksel</v>
      </c>
      <c r="Q594" s="370"/>
      <c r="R594" s="370" t="b">
        <v>1</v>
      </c>
      <c r="S594" s="370" t="b">
        <v>0</v>
      </c>
      <c r="T594" s="301" t="s">
        <v>3770</v>
      </c>
      <c r="U594" s="379"/>
      <c r="V594" s="379"/>
      <c r="W594" s="301" t="s">
        <v>5633</v>
      </c>
      <c r="X594" s="381"/>
      <c r="Y594" s="381"/>
      <c r="Z594" s="372"/>
      <c r="AA594" s="373" t="s">
        <v>3682</v>
      </c>
      <c r="AB594" s="374">
        <v>44621.0</v>
      </c>
      <c r="AC594" s="373"/>
      <c r="AD594" s="374"/>
      <c r="AE594" s="373"/>
      <c r="AF594" s="374"/>
      <c r="AG594" s="373"/>
      <c r="AH594" s="374"/>
      <c r="AI594" s="375"/>
      <c r="AJ594" s="375"/>
      <c r="AK594" s="373" t="s">
        <v>2576</v>
      </c>
      <c r="AL594" s="375"/>
      <c r="AM594" s="375"/>
      <c r="AN594" s="373"/>
      <c r="AO594" s="375"/>
      <c r="AP594" s="376" t="s">
        <v>3686</v>
      </c>
      <c r="AQ594" s="375"/>
    </row>
    <row r="595">
      <c r="A595" s="257" t="s">
        <v>782</v>
      </c>
      <c r="B595" s="257" t="s">
        <v>783</v>
      </c>
      <c r="C595" s="257" t="str">
        <f>VLOOKUP(A595,import!A:J,3,0)</f>
        <v>DOĞRU</v>
      </c>
      <c r="D595" s="257" t="s">
        <v>4907</v>
      </c>
      <c r="E595" s="257">
        <f>VLOOKUP(A595,import!A:J,5,0)</f>
        <v>161</v>
      </c>
      <c r="F595" s="257">
        <f>VLOOKUP(A595,import!A:J,6,0)</f>
        <v>11</v>
      </c>
      <c r="G595" s="257">
        <f>VLOOKUP(A595,import!A:J,7,0)</f>
        <v>21</v>
      </c>
      <c r="H595" s="257">
        <f>VLOOKUP(A595,import!A:J,8,0)</f>
        <v>51</v>
      </c>
      <c r="I595" s="257">
        <f>VLOOKUP(A595,import!A:J,9,0)</f>
        <v>72</v>
      </c>
      <c r="J595" s="369">
        <f>VLOOKUP(A595,import!A:J,10,0)</f>
        <v>0.29</v>
      </c>
      <c r="K595" s="257" t="s">
        <v>5634</v>
      </c>
      <c r="L595" s="257">
        <v>5.465248031E9</v>
      </c>
      <c r="M595" s="257" t="s">
        <v>14</v>
      </c>
      <c r="N595" s="257" t="s">
        <v>3797</v>
      </c>
      <c r="O595" s="257" t="s">
        <v>786</v>
      </c>
      <c r="P595" s="370" t="str">
        <f>VLOOKUP(A595,import!A:P,16,0)</f>
        <v>Geleneksel</v>
      </c>
      <c r="Q595" s="370"/>
      <c r="R595" s="370" t="b">
        <v>1</v>
      </c>
      <c r="S595" s="370" t="b">
        <v>0</v>
      </c>
      <c r="T595" s="301" t="s">
        <v>3679</v>
      </c>
      <c r="U595" s="301" t="s">
        <v>399</v>
      </c>
      <c r="V595" s="301" t="s">
        <v>78</v>
      </c>
      <c r="W595" s="301" t="s">
        <v>5635</v>
      </c>
      <c r="X595" s="371">
        <v>44442.0</v>
      </c>
      <c r="Y595" s="371">
        <v>44445.0</v>
      </c>
      <c r="Z595" s="377"/>
      <c r="AA595" s="373" t="s">
        <v>3681</v>
      </c>
      <c r="AB595" s="374">
        <v>44363.0</v>
      </c>
      <c r="AC595" s="373" t="s">
        <v>3448</v>
      </c>
      <c r="AD595" s="374">
        <v>44377.0</v>
      </c>
      <c r="AE595" s="373" t="s">
        <v>3448</v>
      </c>
      <c r="AF595" s="374">
        <v>44382.0</v>
      </c>
      <c r="AG595" s="373" t="s">
        <v>3682</v>
      </c>
      <c r="AH595" s="374">
        <v>44383.0</v>
      </c>
      <c r="AI595" s="373" t="s">
        <v>3682</v>
      </c>
      <c r="AJ595" s="374">
        <v>44442.0</v>
      </c>
      <c r="AK595" s="373" t="s">
        <v>399</v>
      </c>
      <c r="AL595" s="373" t="s">
        <v>79</v>
      </c>
      <c r="AM595" s="373" t="s">
        <v>79</v>
      </c>
      <c r="AN595" s="373" t="s">
        <v>111</v>
      </c>
      <c r="AO595" s="373" t="s">
        <v>399</v>
      </c>
      <c r="AP595" s="376" t="s">
        <v>3683</v>
      </c>
      <c r="AQ595" s="373"/>
    </row>
    <row r="596">
      <c r="A596" s="376" t="s">
        <v>5636</v>
      </c>
      <c r="B596" s="376" t="s">
        <v>5637</v>
      </c>
      <c r="C596" s="257" t="str">
        <f>VLOOKUP(A596,import!A:J,3,0)</f>
        <v>DOĞRU</v>
      </c>
      <c r="D596" s="376" t="s">
        <v>3699</v>
      </c>
      <c r="E596" s="257">
        <f>VLOOKUP(A596,import!A:J,5,0)</f>
        <v>10</v>
      </c>
      <c r="F596" s="257">
        <f>VLOOKUP(A596,import!A:J,6,0)</f>
        <v>10</v>
      </c>
      <c r="G596" s="257">
        <f>VLOOKUP(A596,import!A:J,7,0)</f>
        <v>0</v>
      </c>
      <c r="H596" s="257">
        <f>VLOOKUP(A596,import!A:J,8,0)</f>
        <v>70</v>
      </c>
      <c r="I596" s="257">
        <f>VLOOKUP(A596,import!A:J,9,0)</f>
        <v>70</v>
      </c>
      <c r="J596" s="369">
        <f>VLOOKUP(A596,import!A:J,10,0)</f>
        <v>0</v>
      </c>
      <c r="K596" s="376" t="s">
        <v>5638</v>
      </c>
      <c r="L596" s="376">
        <v>3.222471212E9</v>
      </c>
      <c r="M596" s="376" t="s">
        <v>14</v>
      </c>
      <c r="N596" s="376" t="s">
        <v>3935</v>
      </c>
      <c r="O596" s="376" t="s">
        <v>5639</v>
      </c>
      <c r="P596" s="370" t="str">
        <f>VLOOKUP(A596,import!A:P,16,0)</f>
        <v>Geleneksel</v>
      </c>
      <c r="Q596" s="370"/>
      <c r="R596" s="370" t="b">
        <v>0</v>
      </c>
      <c r="S596" s="370" t="b">
        <v>0</v>
      </c>
      <c r="T596" s="301"/>
      <c r="U596" s="301"/>
      <c r="V596" s="301"/>
      <c r="W596" s="301"/>
      <c r="X596" s="371"/>
      <c r="Y596" s="371"/>
      <c r="Z596" s="372"/>
      <c r="AA596" s="373"/>
      <c r="AB596" s="374"/>
      <c r="AC596" s="373"/>
      <c r="AD596" s="374"/>
      <c r="AE596" s="373"/>
      <c r="AF596" s="374"/>
      <c r="AG596" s="373"/>
      <c r="AH596" s="374"/>
      <c r="AI596" s="373"/>
      <c r="AJ596" s="374"/>
      <c r="AK596" s="373"/>
      <c r="AL596" s="373"/>
      <c r="AM596" s="373"/>
      <c r="AN596" s="373"/>
      <c r="AO596" s="373"/>
      <c r="AP596" s="376"/>
      <c r="AQ596" s="373"/>
    </row>
    <row r="597">
      <c r="A597" s="376" t="s">
        <v>5640</v>
      </c>
      <c r="B597" s="376" t="s">
        <v>5641</v>
      </c>
      <c r="C597" s="257" t="str">
        <f>VLOOKUP(A597,import!A:J,3,0)</f>
        <v>DOĞRU</v>
      </c>
      <c r="D597" s="376" t="s">
        <v>3699</v>
      </c>
      <c r="E597" s="257">
        <f>VLOOKUP(A597,import!A:J,5,0)</f>
        <v>8</v>
      </c>
      <c r="F597" s="257">
        <f>VLOOKUP(A597,import!A:J,6,0)</f>
        <v>8</v>
      </c>
      <c r="G597" s="257">
        <f>VLOOKUP(A597,import!A:J,7,0)</f>
        <v>0</v>
      </c>
      <c r="H597" s="257">
        <f>VLOOKUP(A597,import!A:J,8,0)</f>
        <v>78</v>
      </c>
      <c r="I597" s="257">
        <f>VLOOKUP(A597,import!A:J,9,0)</f>
        <v>78</v>
      </c>
      <c r="J597" s="369">
        <f>VLOOKUP(A597,import!A:J,10,0)</f>
        <v>0</v>
      </c>
      <c r="K597" s="376" t="s">
        <v>5642</v>
      </c>
      <c r="L597" s="376">
        <v>3.222481818E9</v>
      </c>
      <c r="M597" s="376" t="s">
        <v>14</v>
      </c>
      <c r="N597" s="376" t="s">
        <v>3826</v>
      </c>
      <c r="O597" s="376" t="s">
        <v>5643</v>
      </c>
      <c r="P597" s="370" t="str">
        <f>VLOOKUP(A597,import!A:P,16,0)</f>
        <v>Geleneksel</v>
      </c>
      <c r="Q597" s="370"/>
      <c r="R597" s="370" t="b">
        <v>0</v>
      </c>
      <c r="S597" s="370" t="b">
        <v>0</v>
      </c>
      <c r="T597" s="301"/>
      <c r="U597" s="301"/>
      <c r="V597" s="301"/>
      <c r="W597" s="301"/>
      <c r="X597" s="371"/>
      <c r="Y597" s="371"/>
      <c r="Z597" s="372"/>
      <c r="AA597" s="373"/>
      <c r="AB597" s="374"/>
      <c r="AC597" s="373"/>
      <c r="AD597" s="374"/>
      <c r="AE597" s="373"/>
      <c r="AF597" s="374"/>
      <c r="AG597" s="373"/>
      <c r="AH597" s="374"/>
      <c r="AI597" s="373"/>
      <c r="AJ597" s="374"/>
      <c r="AK597" s="373"/>
      <c r="AL597" s="373"/>
      <c r="AM597" s="373"/>
      <c r="AN597" s="373"/>
      <c r="AO597" s="373"/>
      <c r="AP597" s="376"/>
      <c r="AQ597" s="373"/>
    </row>
    <row r="598">
      <c r="A598" s="257" t="s">
        <v>2276</v>
      </c>
      <c r="B598" s="257" t="s">
        <v>2277</v>
      </c>
      <c r="C598" s="257" t="str">
        <f>VLOOKUP(A598,import!A:J,3,0)</f>
        <v>YANLIŞ</v>
      </c>
      <c r="D598" s="257" t="s">
        <v>3878</v>
      </c>
      <c r="E598" s="257">
        <f>VLOOKUP(A598,import!A:J,5,0)</f>
        <v>43</v>
      </c>
      <c r="F598" s="257" t="str">
        <f>VLOOKUP(A598,import!A:J,6,0)</f>
        <v/>
      </c>
      <c r="G598" s="257">
        <f>VLOOKUP(A598,import!A:J,7,0)</f>
        <v>9</v>
      </c>
      <c r="H598" s="257">
        <f>VLOOKUP(A598,import!A:J,8,0)</f>
        <v>18</v>
      </c>
      <c r="I598" s="257">
        <f>VLOOKUP(A598,import!A:J,9,0)</f>
        <v>27</v>
      </c>
      <c r="J598" s="369">
        <f>VLOOKUP(A598,import!A:J,10,0)</f>
        <v>0.33</v>
      </c>
      <c r="K598" s="257" t="s">
        <v>5644</v>
      </c>
      <c r="L598" s="257">
        <v>5.425450126E9</v>
      </c>
      <c r="M598" s="257" t="s">
        <v>14</v>
      </c>
      <c r="N598" s="257" t="s">
        <v>3797</v>
      </c>
      <c r="O598" s="257" t="s">
        <v>2279</v>
      </c>
      <c r="P598" s="370" t="str">
        <f>VLOOKUP(A598,import!A:P,16,0)</f>
        <v>Geleneksel</v>
      </c>
      <c r="Q598" s="370"/>
      <c r="R598" s="370" t="b">
        <v>1</v>
      </c>
      <c r="S598" s="370" t="b">
        <v>0</v>
      </c>
      <c r="T598" s="301" t="s">
        <v>3679</v>
      </c>
      <c r="U598" s="301" t="s">
        <v>399</v>
      </c>
      <c r="V598" s="301" t="s">
        <v>78</v>
      </c>
      <c r="W598" s="301" t="s">
        <v>5645</v>
      </c>
      <c r="X598" s="371">
        <v>44442.0</v>
      </c>
      <c r="Y598" s="371">
        <v>44445.0</v>
      </c>
      <c r="Z598" s="372"/>
      <c r="AA598" s="373" t="s">
        <v>3682</v>
      </c>
      <c r="AB598" s="374">
        <v>44442.0</v>
      </c>
      <c r="AC598" s="373"/>
      <c r="AD598" s="374"/>
      <c r="AE598" s="373"/>
      <c r="AF598" s="374"/>
      <c r="AG598" s="92"/>
      <c r="AH598" s="375"/>
      <c r="AI598" s="375"/>
      <c r="AJ598" s="375"/>
      <c r="AK598" s="373" t="s">
        <v>399</v>
      </c>
      <c r="AL598" s="375"/>
      <c r="AM598" s="375"/>
      <c r="AN598" s="375"/>
      <c r="AO598" s="375"/>
      <c r="AP598" s="376" t="s">
        <v>3683</v>
      </c>
      <c r="AQ598" s="375"/>
    </row>
    <row r="599">
      <c r="A599" s="257" t="s">
        <v>2516</v>
      </c>
      <c r="B599" s="257" t="s">
        <v>2517</v>
      </c>
      <c r="C599" s="257" t="str">
        <f>VLOOKUP(A599,import!A:J,3,0)</f>
        <v>DOĞRU</v>
      </c>
      <c r="D599" s="257" t="s">
        <v>3699</v>
      </c>
      <c r="E599" s="257">
        <f>VLOOKUP(A599,import!A:J,5,0)</f>
        <v>1828</v>
      </c>
      <c r="F599" s="257">
        <f>VLOOKUP(A599,import!A:J,6,0)</f>
        <v>71</v>
      </c>
      <c r="G599" s="257">
        <f>VLOOKUP(A599,import!A:J,7,0)</f>
        <v>10</v>
      </c>
      <c r="H599" s="257">
        <f>VLOOKUP(A599,import!A:J,8,0)</f>
        <v>7</v>
      </c>
      <c r="I599" s="257">
        <f>VLOOKUP(A599,import!A:J,9,0)</f>
        <v>17</v>
      </c>
      <c r="J599" s="369">
        <f>VLOOKUP(A599,import!A:J,10,0)</f>
        <v>0.59</v>
      </c>
      <c r="K599" s="257" t="s">
        <v>5646</v>
      </c>
      <c r="L599" s="257">
        <v>5.35727303E9</v>
      </c>
      <c r="M599" s="257" t="s">
        <v>286</v>
      </c>
      <c r="N599" s="257" t="s">
        <v>3961</v>
      </c>
      <c r="O599" s="257" t="s">
        <v>5647</v>
      </c>
      <c r="P599" s="370" t="str">
        <f>VLOOKUP(A599,import!A:P,16,0)</f>
        <v>Geleneksel</v>
      </c>
      <c r="Q599" s="370"/>
      <c r="R599" s="370" t="b">
        <v>1</v>
      </c>
      <c r="S599" s="370" t="b">
        <v>0</v>
      </c>
      <c r="T599" s="301" t="s">
        <v>3679</v>
      </c>
      <c r="U599" s="36" t="s">
        <v>2192</v>
      </c>
      <c r="V599" s="301" t="s">
        <v>78</v>
      </c>
      <c r="W599" s="301" t="s">
        <v>5648</v>
      </c>
      <c r="X599" s="371">
        <v>44454.0</v>
      </c>
      <c r="Y599" s="371">
        <v>44456.0</v>
      </c>
      <c r="Z599" s="372"/>
      <c r="AA599" s="373" t="s">
        <v>3695</v>
      </c>
      <c r="AB599" s="374">
        <v>44390.0</v>
      </c>
      <c r="AC599" s="373" t="s">
        <v>3448</v>
      </c>
      <c r="AD599" s="374">
        <v>44390.0</v>
      </c>
      <c r="AE599" s="373" t="s">
        <v>3448</v>
      </c>
      <c r="AF599" s="374">
        <v>44427.0</v>
      </c>
      <c r="AG599" s="373" t="s">
        <v>3696</v>
      </c>
      <c r="AH599" s="374">
        <v>44446.0</v>
      </c>
      <c r="AI599" s="373" t="s">
        <v>3682</v>
      </c>
      <c r="AJ599" s="374">
        <v>44454.0</v>
      </c>
      <c r="AK599" s="373" t="s">
        <v>3719</v>
      </c>
      <c r="AL599" s="373" t="s">
        <v>3719</v>
      </c>
      <c r="AM599" s="373" t="s">
        <v>3723</v>
      </c>
      <c r="AN599" s="373" t="s">
        <v>79</v>
      </c>
      <c r="AO599" s="373" t="s">
        <v>2192</v>
      </c>
      <c r="AP599" s="376" t="s">
        <v>3686</v>
      </c>
      <c r="AQ599" s="373"/>
    </row>
    <row r="600">
      <c r="A600" s="257" t="s">
        <v>3198</v>
      </c>
      <c r="B600" s="257" t="s">
        <v>3199</v>
      </c>
      <c r="C600" s="257" t="str">
        <f>VLOOKUP(A600,import!A:J,3,0)</f>
        <v>DOĞRU</v>
      </c>
      <c r="D600" s="257" t="s">
        <v>3713</v>
      </c>
      <c r="E600" s="257">
        <f>VLOOKUP(A600,import!A:J,5,0)</f>
        <v>1439</v>
      </c>
      <c r="F600" s="257">
        <f>VLOOKUP(A600,import!A:J,6,0)</f>
        <v>98</v>
      </c>
      <c r="G600" s="257">
        <f>VLOOKUP(A600,import!A:J,7,0)</f>
        <v>0</v>
      </c>
      <c r="H600" s="257">
        <f>VLOOKUP(A600,import!A:J,8,0)</f>
        <v>25</v>
      </c>
      <c r="I600" s="257">
        <f>VLOOKUP(A600,import!A:J,9,0)</f>
        <v>25</v>
      </c>
      <c r="J600" s="369">
        <f>VLOOKUP(A600,import!A:J,10,0)</f>
        <v>0</v>
      </c>
      <c r="K600" s="257" t="s">
        <v>5649</v>
      </c>
      <c r="L600" s="257">
        <v>5.44239493E9</v>
      </c>
      <c r="M600" s="257" t="s">
        <v>14</v>
      </c>
      <c r="N600" s="257" t="s">
        <v>3826</v>
      </c>
      <c r="O600" s="257" t="s">
        <v>3201</v>
      </c>
      <c r="P600" s="370" t="str">
        <f>VLOOKUP(A600,import!A:P,16,0)</f>
        <v>Geleneksel</v>
      </c>
      <c r="Q600" s="370"/>
      <c r="R600" s="370" t="b">
        <v>1</v>
      </c>
      <c r="S600" s="370" t="b">
        <v>0</v>
      </c>
      <c r="T600" s="301" t="s">
        <v>3787</v>
      </c>
      <c r="U600" s="301" t="s">
        <v>2192</v>
      </c>
      <c r="V600" s="403" t="s">
        <v>78</v>
      </c>
      <c r="W600" s="301" t="s">
        <v>5650</v>
      </c>
      <c r="X600" s="371">
        <v>44536.0</v>
      </c>
      <c r="Y600" s="371">
        <v>44538.0</v>
      </c>
      <c r="Z600" s="372"/>
      <c r="AA600" s="373" t="s">
        <v>3682</v>
      </c>
      <c r="AB600" s="374">
        <v>44536.0</v>
      </c>
      <c r="AC600" s="373"/>
      <c r="AD600" s="374"/>
      <c r="AE600" s="373"/>
      <c r="AF600" s="374"/>
      <c r="AG600" s="373"/>
      <c r="AH600" s="374"/>
      <c r="AI600" s="375"/>
      <c r="AJ600" s="375"/>
      <c r="AK600" s="373" t="s">
        <v>2192</v>
      </c>
      <c r="AL600" s="375"/>
      <c r="AM600" s="375"/>
      <c r="AN600" s="373"/>
      <c r="AO600" s="375"/>
      <c r="AP600" s="376" t="s">
        <v>3683</v>
      </c>
      <c r="AQ600" s="375"/>
    </row>
    <row r="601">
      <c r="A601" s="376" t="s">
        <v>5651</v>
      </c>
      <c r="B601" s="376" t="s">
        <v>5652</v>
      </c>
      <c r="C601" s="257" t="str">
        <f>VLOOKUP(A601,import!A:J,3,0)</f>
        <v>DOĞRU</v>
      </c>
      <c r="D601" s="376" t="s">
        <v>3713</v>
      </c>
      <c r="E601" s="257">
        <f>VLOOKUP(A601,import!A:J,5,0)</f>
        <v>8</v>
      </c>
      <c r="F601" s="257">
        <f>VLOOKUP(A601,import!A:J,6,0)</f>
        <v>8</v>
      </c>
      <c r="G601" s="257">
        <f>VLOOKUP(A601,import!A:J,7,0)</f>
        <v>0</v>
      </c>
      <c r="H601" s="257">
        <f>VLOOKUP(A601,import!A:J,8,0)</f>
        <v>23</v>
      </c>
      <c r="I601" s="257">
        <f>VLOOKUP(A601,import!A:J,9,0)</f>
        <v>23</v>
      </c>
      <c r="J601" s="369">
        <f>VLOOKUP(A601,import!A:J,10,0)</f>
        <v>0</v>
      </c>
      <c r="K601" s="376" t="s">
        <v>5653</v>
      </c>
      <c r="L601" s="376">
        <v>5.457729747E9</v>
      </c>
      <c r="M601" s="376" t="s">
        <v>286</v>
      </c>
      <c r="N601" s="376" t="s">
        <v>4086</v>
      </c>
      <c r="O601" s="376" t="s">
        <v>5654</v>
      </c>
      <c r="P601" s="370" t="str">
        <f>VLOOKUP(A601,import!A:P,16,0)</f>
        <v>Geleneksel</v>
      </c>
      <c r="Q601" s="370"/>
      <c r="R601" s="370" t="b">
        <v>0</v>
      </c>
      <c r="S601" s="370" t="b">
        <v>0</v>
      </c>
      <c r="T601" s="301"/>
      <c r="U601" s="301"/>
      <c r="V601" s="301"/>
      <c r="W601" s="301"/>
      <c r="X601" s="371"/>
      <c r="Y601" s="371"/>
      <c r="Z601" s="372"/>
      <c r="AA601" s="373"/>
      <c r="AB601" s="374"/>
      <c r="AC601" s="373"/>
      <c r="AD601" s="374"/>
      <c r="AE601" s="373"/>
      <c r="AF601" s="374"/>
      <c r="AG601" s="373"/>
      <c r="AH601" s="374"/>
      <c r="AI601" s="373"/>
      <c r="AJ601" s="374"/>
      <c r="AK601" s="373"/>
      <c r="AL601" s="373"/>
      <c r="AM601" s="373"/>
      <c r="AN601" s="373"/>
      <c r="AO601" s="373"/>
      <c r="AP601" s="376"/>
      <c r="AQ601" s="373"/>
    </row>
    <row r="602">
      <c r="A602" s="257" t="s">
        <v>5655</v>
      </c>
      <c r="B602" s="257" t="s">
        <v>5656</v>
      </c>
      <c r="C602" s="257" t="str">
        <f>VLOOKUP(A602,import!A:J,3,0)</f>
        <v>DOĞRU</v>
      </c>
      <c r="D602" s="257" t="s">
        <v>3699</v>
      </c>
      <c r="E602" s="257">
        <f>VLOOKUP(A602,import!A:J,5,0)</f>
        <v>643</v>
      </c>
      <c r="F602" s="257">
        <f>VLOOKUP(A602,import!A:J,6,0)</f>
        <v>107</v>
      </c>
      <c r="G602" s="257">
        <f>VLOOKUP(A602,import!A:J,7,0)</f>
        <v>1</v>
      </c>
      <c r="H602" s="257">
        <f>VLOOKUP(A602,import!A:J,8,0)</f>
        <v>20</v>
      </c>
      <c r="I602" s="257">
        <f>VLOOKUP(A602,import!A:J,9,0)</f>
        <v>21</v>
      </c>
      <c r="J602" s="369">
        <f>VLOOKUP(A602,import!A:J,10,0)</f>
        <v>0.05</v>
      </c>
      <c r="K602" s="257" t="s">
        <v>5657</v>
      </c>
      <c r="L602" s="257">
        <v>5.45541004E9</v>
      </c>
      <c r="M602" s="257" t="s">
        <v>3707</v>
      </c>
      <c r="N602" s="257" t="s">
        <v>4631</v>
      </c>
      <c r="O602" s="257" t="s">
        <v>5658</v>
      </c>
      <c r="P602" s="370" t="str">
        <f>VLOOKUP(A602,import!A:P,16,0)</f>
        <v>Geleneksel</v>
      </c>
      <c r="Q602" s="370"/>
      <c r="R602" s="370" t="b">
        <v>1</v>
      </c>
      <c r="S602" s="370" t="b">
        <v>1</v>
      </c>
      <c r="T602" s="379"/>
      <c r="U602" s="379"/>
      <c r="V602" s="301" t="s">
        <v>1426</v>
      </c>
      <c r="W602" s="301" t="s">
        <v>5659</v>
      </c>
      <c r="X602" s="381"/>
      <c r="Y602" s="381"/>
      <c r="Z602" s="372"/>
      <c r="AA602" s="373" t="s">
        <v>3682</v>
      </c>
      <c r="AB602" s="374">
        <v>44391.0</v>
      </c>
      <c r="AC602" s="373" t="s">
        <v>3682</v>
      </c>
      <c r="AD602" s="374">
        <v>44463.0</v>
      </c>
      <c r="AE602" s="373" t="s">
        <v>3682</v>
      </c>
      <c r="AF602" s="374">
        <v>44491.0</v>
      </c>
      <c r="AG602" s="92"/>
      <c r="AH602" s="375"/>
      <c r="AI602" s="375"/>
      <c r="AJ602" s="375"/>
      <c r="AK602" s="373" t="s">
        <v>1014</v>
      </c>
      <c r="AL602" s="373" t="s">
        <v>2542</v>
      </c>
      <c r="AM602" s="373" t="s">
        <v>2542</v>
      </c>
      <c r="AN602" s="375"/>
      <c r="AO602" s="375"/>
      <c r="AP602" s="376" t="s">
        <v>3686</v>
      </c>
      <c r="AQ602" s="375"/>
    </row>
    <row r="603">
      <c r="A603" s="257" t="s">
        <v>127</v>
      </c>
      <c r="B603" s="257" t="s">
        <v>128</v>
      </c>
      <c r="C603" s="257" t="str">
        <f>VLOOKUP(A603,import!A:J,3,0)</f>
        <v>DOĞRU</v>
      </c>
      <c r="D603" s="257" t="s">
        <v>5027</v>
      </c>
      <c r="E603" s="257">
        <f>VLOOKUP(A603,import!A:J,5,0)</f>
        <v>3874</v>
      </c>
      <c r="F603" s="257">
        <f>VLOOKUP(A603,import!A:J,6,0)</f>
        <v>249</v>
      </c>
      <c r="G603" s="257">
        <f>VLOOKUP(A603,import!A:J,7,0)</f>
        <v>23</v>
      </c>
      <c r="H603" s="257">
        <f>VLOOKUP(A603,import!A:J,8,0)</f>
        <v>4</v>
      </c>
      <c r="I603" s="257">
        <f>VLOOKUP(A603,import!A:J,9,0)</f>
        <v>27</v>
      </c>
      <c r="J603" s="369">
        <f>VLOOKUP(A603,import!A:J,10,0)</f>
        <v>0.85</v>
      </c>
      <c r="K603" s="257" t="s">
        <v>4821</v>
      </c>
      <c r="L603" s="257">
        <v>3.229995465E9</v>
      </c>
      <c r="M603" s="257" t="s">
        <v>14</v>
      </c>
      <c r="N603" s="257" t="s">
        <v>3914</v>
      </c>
      <c r="O603" s="257" t="s">
        <v>130</v>
      </c>
      <c r="P603" s="370" t="str">
        <f>VLOOKUP(A603,import!A:P,16,0)</f>
        <v>Geleneksel</v>
      </c>
      <c r="Q603" s="370"/>
      <c r="R603" s="370" t="b">
        <v>1</v>
      </c>
      <c r="S603" s="370" t="b">
        <v>0</v>
      </c>
      <c r="T603" s="301" t="s">
        <v>3679</v>
      </c>
      <c r="U603" s="301" t="s">
        <v>16</v>
      </c>
      <c r="V603" s="301" t="s">
        <v>78</v>
      </c>
      <c r="W603" s="301"/>
      <c r="X603" s="371">
        <v>44291.0</v>
      </c>
      <c r="Y603" s="371">
        <v>44293.0</v>
      </c>
      <c r="Z603" s="377"/>
      <c r="AA603" s="375"/>
      <c r="AB603" s="375"/>
      <c r="AC603" s="375"/>
      <c r="AD603" s="375"/>
      <c r="AE603" s="92"/>
      <c r="AF603" s="375"/>
      <c r="AG603" s="92"/>
      <c r="AH603" s="375"/>
      <c r="AI603" s="375"/>
      <c r="AJ603" s="375"/>
      <c r="AK603" s="375"/>
      <c r="AL603" s="375"/>
      <c r="AM603" s="375"/>
      <c r="AN603" s="375"/>
      <c r="AO603" s="375"/>
      <c r="AP603" s="376" t="s">
        <v>3683</v>
      </c>
      <c r="AQ603" s="375"/>
    </row>
    <row r="604">
      <c r="A604" s="257" t="s">
        <v>5660</v>
      </c>
      <c r="B604" s="257" t="s">
        <v>5661</v>
      </c>
      <c r="C604" s="257" t="str">
        <f>VLOOKUP(A604,import!A:J,3,0)</f>
        <v>DOĞRU</v>
      </c>
      <c r="D604" s="257" t="s">
        <v>5027</v>
      </c>
      <c r="E604" s="257">
        <f>VLOOKUP(A604,import!A:J,5,0)</f>
        <v>4098</v>
      </c>
      <c r="F604" s="257">
        <f>VLOOKUP(A604,import!A:J,6,0)</f>
        <v>267</v>
      </c>
      <c r="G604" s="257">
        <f>VLOOKUP(A604,import!A:J,7,0)</f>
        <v>0</v>
      </c>
      <c r="H604" s="257">
        <f>VLOOKUP(A604,import!A:J,8,0)</f>
        <v>22</v>
      </c>
      <c r="I604" s="257">
        <f>VLOOKUP(A604,import!A:J,9,0)</f>
        <v>22</v>
      </c>
      <c r="J604" s="369">
        <f>VLOOKUP(A604,import!A:J,10,0)</f>
        <v>0</v>
      </c>
      <c r="K604" s="257" t="s">
        <v>4821</v>
      </c>
      <c r="L604" s="257">
        <v>3.229994942E9</v>
      </c>
      <c r="M604" s="257" t="s">
        <v>14</v>
      </c>
      <c r="N604" s="257" t="s">
        <v>3797</v>
      </c>
      <c r="O604" s="257" t="s">
        <v>5662</v>
      </c>
      <c r="P604" s="370" t="str">
        <f>VLOOKUP(A604,import!A:P,16,0)</f>
        <v>Geleneksel</v>
      </c>
      <c r="Q604" s="370"/>
      <c r="R604" s="370" t="b">
        <v>1</v>
      </c>
      <c r="S604" s="370" t="b">
        <v>0</v>
      </c>
      <c r="T604" s="300" t="s">
        <v>3735</v>
      </c>
      <c r="U604" s="301"/>
      <c r="V604" s="301"/>
      <c r="W604" s="301" t="s">
        <v>5663</v>
      </c>
      <c r="X604" s="371"/>
      <c r="Y604" s="371"/>
      <c r="Z604" s="377"/>
      <c r="AA604" s="375"/>
      <c r="AB604" s="375"/>
      <c r="AC604" s="375"/>
      <c r="AD604" s="375"/>
      <c r="AE604" s="92"/>
      <c r="AF604" s="375"/>
      <c r="AG604" s="92"/>
      <c r="AH604" s="375"/>
      <c r="AI604" s="375"/>
      <c r="AJ604" s="375"/>
      <c r="AK604" s="375"/>
      <c r="AL604" s="375"/>
      <c r="AM604" s="375"/>
      <c r="AN604" s="375"/>
      <c r="AO604" s="375"/>
      <c r="AP604" s="376" t="s">
        <v>3683</v>
      </c>
      <c r="AQ604" s="375"/>
    </row>
    <row r="605">
      <c r="A605" s="257" t="s">
        <v>2428</v>
      </c>
      <c r="B605" s="257" t="s">
        <v>2429</v>
      </c>
      <c r="C605" s="257" t="str">
        <f>VLOOKUP(A605,import!A:J,3,0)</f>
        <v>DOĞRU</v>
      </c>
      <c r="D605" s="257" t="s">
        <v>5027</v>
      </c>
      <c r="E605" s="257">
        <f>VLOOKUP(A605,import!A:J,5,0)</f>
        <v>1645</v>
      </c>
      <c r="F605" s="257">
        <f>VLOOKUP(A605,import!A:J,6,0)</f>
        <v>96</v>
      </c>
      <c r="G605" s="257">
        <f>VLOOKUP(A605,import!A:J,7,0)</f>
        <v>4</v>
      </c>
      <c r="H605" s="257">
        <f>VLOOKUP(A605,import!A:J,8,0)</f>
        <v>7</v>
      </c>
      <c r="I605" s="257">
        <f>VLOOKUP(A605,import!A:J,9,0)</f>
        <v>11</v>
      </c>
      <c r="J605" s="369">
        <f>VLOOKUP(A605,import!A:J,10,0)</f>
        <v>0.36</v>
      </c>
      <c r="K605" s="257" t="s">
        <v>5664</v>
      </c>
      <c r="L605" s="257">
        <v>5.307066256E9</v>
      </c>
      <c r="M605" s="257" t="s">
        <v>286</v>
      </c>
      <c r="N605" s="257" t="s">
        <v>3737</v>
      </c>
      <c r="O605" s="257" t="s">
        <v>2431</v>
      </c>
      <c r="P605" s="370" t="str">
        <f>VLOOKUP(A605,import!A:P,16,0)</f>
        <v>Geleneksel</v>
      </c>
      <c r="Q605" s="370"/>
      <c r="R605" s="370" t="b">
        <v>1</v>
      </c>
      <c r="S605" s="370" t="b">
        <v>0</v>
      </c>
      <c r="T605" s="301" t="s">
        <v>3679</v>
      </c>
      <c r="U605" s="301" t="s">
        <v>2542</v>
      </c>
      <c r="V605" s="301" t="s">
        <v>78</v>
      </c>
      <c r="W605" s="301" t="s">
        <v>5665</v>
      </c>
      <c r="X605" s="371">
        <v>44452.0</v>
      </c>
      <c r="Y605" s="371">
        <v>44453.0</v>
      </c>
      <c r="Z605" s="372"/>
      <c r="AA605" s="373" t="s">
        <v>3682</v>
      </c>
      <c r="AB605" s="374">
        <v>44376.0</v>
      </c>
      <c r="AC605" s="373" t="s">
        <v>3682</v>
      </c>
      <c r="AD605" s="374">
        <v>44441.0</v>
      </c>
      <c r="AE605" s="373" t="s">
        <v>3682</v>
      </c>
      <c r="AF605" s="374">
        <v>44452.0</v>
      </c>
      <c r="AG605" s="92"/>
      <c r="AH605" s="375"/>
      <c r="AI605" s="375"/>
      <c r="AJ605" s="375"/>
      <c r="AK605" s="373" t="s">
        <v>1014</v>
      </c>
      <c r="AL605" s="373" t="s">
        <v>2542</v>
      </c>
      <c r="AM605" s="373" t="s">
        <v>2542</v>
      </c>
      <c r="AN605" s="375"/>
      <c r="AO605" s="375"/>
      <c r="AP605" s="376" t="s">
        <v>3683</v>
      </c>
      <c r="AQ605" s="375"/>
    </row>
    <row r="606">
      <c r="A606" s="257" t="s">
        <v>611</v>
      </c>
      <c r="B606" s="257" t="s">
        <v>612</v>
      </c>
      <c r="C606" s="257" t="str">
        <f>VLOOKUP(A606,import!A:J,3,0)</f>
        <v>DOĞRU</v>
      </c>
      <c r="D606" s="257" t="s">
        <v>4000</v>
      </c>
      <c r="E606" s="257">
        <f>VLOOKUP(A606,import!A:J,5,0)</f>
        <v>1543</v>
      </c>
      <c r="F606" s="257">
        <f>VLOOKUP(A606,import!A:J,6,0)</f>
        <v>72</v>
      </c>
      <c r="G606" s="257">
        <f>VLOOKUP(A606,import!A:J,7,0)</f>
        <v>44</v>
      </c>
      <c r="H606" s="257">
        <f>VLOOKUP(A606,import!A:J,8,0)</f>
        <v>16</v>
      </c>
      <c r="I606" s="257">
        <f>VLOOKUP(A606,import!A:J,9,0)</f>
        <v>60</v>
      </c>
      <c r="J606" s="369">
        <f>VLOOKUP(A606,import!A:J,10,0)</f>
        <v>0.73</v>
      </c>
      <c r="K606" s="257" t="s">
        <v>5666</v>
      </c>
      <c r="L606" s="257">
        <v>3.22211001E9</v>
      </c>
      <c r="M606" s="257" t="s">
        <v>14</v>
      </c>
      <c r="N606" s="257" t="s">
        <v>3797</v>
      </c>
      <c r="O606" s="257" t="s">
        <v>614</v>
      </c>
      <c r="P606" s="370" t="str">
        <f>VLOOKUP(A606,import!A:P,16,0)</f>
        <v>Geleneksel</v>
      </c>
      <c r="Q606" s="370"/>
      <c r="R606" s="370" t="b">
        <v>1</v>
      </c>
      <c r="S606" s="370" t="b">
        <v>0</v>
      </c>
      <c r="T606" s="301" t="s">
        <v>3679</v>
      </c>
      <c r="U606" s="301" t="s">
        <v>1953</v>
      </c>
      <c r="V606" s="301" t="s">
        <v>78</v>
      </c>
      <c r="W606" s="301" t="s">
        <v>5667</v>
      </c>
      <c r="X606" s="371">
        <v>44425.0</v>
      </c>
      <c r="Y606" s="371">
        <v>44428.0</v>
      </c>
      <c r="Z606" s="377"/>
      <c r="AA606" s="373" t="s">
        <v>3681</v>
      </c>
      <c r="AB606" s="374">
        <v>44363.0</v>
      </c>
      <c r="AC606" s="373" t="s">
        <v>3682</v>
      </c>
      <c r="AD606" s="374">
        <v>44375.0</v>
      </c>
      <c r="AE606" s="373" t="s">
        <v>3682</v>
      </c>
      <c r="AF606" s="371">
        <v>44404.0</v>
      </c>
      <c r="AG606" s="373" t="s">
        <v>3682</v>
      </c>
      <c r="AH606" s="374">
        <v>44415.0</v>
      </c>
      <c r="AI606" s="373" t="s">
        <v>3682</v>
      </c>
      <c r="AJ606" s="374">
        <v>44425.0</v>
      </c>
      <c r="AK606" s="373" t="s">
        <v>399</v>
      </c>
      <c r="AL606" s="373" t="s">
        <v>399</v>
      </c>
      <c r="AM606" s="373" t="s">
        <v>3752</v>
      </c>
      <c r="AN606" s="373" t="s">
        <v>1947</v>
      </c>
      <c r="AO606" s="373" t="s">
        <v>1953</v>
      </c>
      <c r="AP606" s="376" t="s">
        <v>3683</v>
      </c>
      <c r="AQ606" s="373"/>
    </row>
    <row r="607">
      <c r="A607" s="257" t="s">
        <v>5668</v>
      </c>
      <c r="B607" s="257" t="s">
        <v>5669</v>
      </c>
      <c r="C607" s="257" t="str">
        <f>VLOOKUP(A607,import!A:J,3,0)</f>
        <v>DOĞRU</v>
      </c>
      <c r="D607" s="257" t="s">
        <v>3801</v>
      </c>
      <c r="E607" s="257">
        <f>VLOOKUP(A607,import!A:J,5,0)</f>
        <v>172</v>
      </c>
      <c r="F607" s="257">
        <f>VLOOKUP(A607,import!A:J,6,0)</f>
        <v>26</v>
      </c>
      <c r="G607" s="257">
        <f>VLOOKUP(A607,import!A:J,7,0)</f>
        <v>0</v>
      </c>
      <c r="H607" s="257">
        <f>VLOOKUP(A607,import!A:J,8,0)</f>
        <v>4</v>
      </c>
      <c r="I607" s="257">
        <f>VLOOKUP(A607,import!A:J,9,0)</f>
        <v>4</v>
      </c>
      <c r="J607" s="369">
        <f>VLOOKUP(A607,import!A:J,10,0)</f>
        <v>0</v>
      </c>
      <c r="K607" s="257" t="s">
        <v>5670</v>
      </c>
      <c r="L607" s="257">
        <v>5.529453196E9</v>
      </c>
      <c r="M607" s="257" t="s">
        <v>286</v>
      </c>
      <c r="N607" s="257" t="s">
        <v>4135</v>
      </c>
      <c r="O607" s="257" t="s">
        <v>5671</v>
      </c>
      <c r="P607" s="370" t="str">
        <f>VLOOKUP(A607,import!A:P,16,0)</f>
        <v>Geleneksel</v>
      </c>
      <c r="Q607" s="370"/>
      <c r="R607" s="370" t="b">
        <v>0</v>
      </c>
      <c r="S607" s="370" t="b">
        <v>0</v>
      </c>
      <c r="T607" s="301"/>
      <c r="U607" s="301"/>
      <c r="V607" s="301"/>
      <c r="W607" s="301"/>
      <c r="X607" s="371"/>
      <c r="Y607" s="371"/>
      <c r="Z607" s="372"/>
      <c r="AA607" s="373"/>
      <c r="AB607" s="374"/>
      <c r="AC607" s="373"/>
      <c r="AD607" s="374"/>
      <c r="AE607" s="373"/>
      <c r="AF607" s="374"/>
      <c r="AG607" s="373"/>
      <c r="AH607" s="374"/>
      <c r="AI607" s="373"/>
      <c r="AJ607" s="374"/>
      <c r="AK607" s="373"/>
      <c r="AL607" s="373"/>
      <c r="AM607" s="373"/>
      <c r="AN607" s="373"/>
      <c r="AO607" s="373"/>
      <c r="AP607" s="376"/>
      <c r="AQ607" s="373"/>
    </row>
    <row r="608">
      <c r="A608" s="257" t="s">
        <v>5672</v>
      </c>
      <c r="B608" s="257" t="s">
        <v>5673</v>
      </c>
      <c r="C608" s="257" t="str">
        <f>VLOOKUP(A608,import!A:J,3,0)</f>
        <v>DOĞRU</v>
      </c>
      <c r="D608" s="257" t="s">
        <v>3759</v>
      </c>
      <c r="E608" s="257">
        <f>VLOOKUP(A608,import!A:J,5,0)</f>
        <v>802</v>
      </c>
      <c r="F608" s="257">
        <f>VLOOKUP(A608,import!A:J,6,0)</f>
        <v>84</v>
      </c>
      <c r="G608" s="257">
        <f>VLOOKUP(A608,import!A:J,7,0)</f>
        <v>0</v>
      </c>
      <c r="H608" s="257">
        <f>VLOOKUP(A608,import!A:J,8,0)</f>
        <v>39</v>
      </c>
      <c r="I608" s="257">
        <f>VLOOKUP(A608,import!A:J,9,0)</f>
        <v>39</v>
      </c>
      <c r="J608" s="369">
        <f>VLOOKUP(A608,import!A:J,10,0)</f>
        <v>0</v>
      </c>
      <c r="K608" s="257" t="s">
        <v>5674</v>
      </c>
      <c r="L608" s="257">
        <v>5.419792949E9</v>
      </c>
      <c r="M608" s="257" t="s">
        <v>14</v>
      </c>
      <c r="N608" s="257" t="s">
        <v>3767</v>
      </c>
      <c r="O608" s="257" t="s">
        <v>5675</v>
      </c>
      <c r="P608" s="370" t="str">
        <f>VLOOKUP(A608,import!A:P,16,0)</f>
        <v>Geleneksel</v>
      </c>
      <c r="Q608" s="370"/>
      <c r="R608" s="370" t="b">
        <v>1</v>
      </c>
      <c r="S608" s="370" t="b">
        <v>0</v>
      </c>
      <c r="T608" s="301" t="s">
        <v>5676</v>
      </c>
      <c r="U608" s="379"/>
      <c r="V608" s="379"/>
      <c r="W608" s="301" t="s">
        <v>5677</v>
      </c>
      <c r="X608" s="381"/>
      <c r="Y608" s="381"/>
      <c r="Z608" s="372"/>
      <c r="AA608" s="373" t="s">
        <v>3682</v>
      </c>
      <c r="AB608" s="374">
        <v>44557.0</v>
      </c>
      <c r="AC608" s="373"/>
      <c r="AD608" s="374"/>
      <c r="AE608" s="373"/>
      <c r="AF608" s="374"/>
      <c r="AG608" s="373"/>
      <c r="AH608" s="374"/>
      <c r="AI608" s="375"/>
      <c r="AJ608" s="375"/>
      <c r="AK608" s="373" t="s">
        <v>2542</v>
      </c>
      <c r="AL608" s="375"/>
      <c r="AM608" s="375"/>
      <c r="AN608" s="373"/>
      <c r="AO608" s="375"/>
      <c r="AP608" s="376"/>
      <c r="AQ608" s="375"/>
    </row>
    <row r="609">
      <c r="A609" s="257" t="s">
        <v>3373</v>
      </c>
      <c r="B609" s="257" t="s">
        <v>3374</v>
      </c>
      <c r="C609" s="257" t="str">
        <f>VLOOKUP(A609,import!A:J,3,0)</f>
        <v>DOĞRU</v>
      </c>
      <c r="D609" s="257" t="s">
        <v>3713</v>
      </c>
      <c r="E609" s="257">
        <f>VLOOKUP(A609,import!A:J,5,0)</f>
        <v>147</v>
      </c>
      <c r="F609" s="257">
        <f>VLOOKUP(A609,import!A:J,6,0)</f>
        <v>32</v>
      </c>
      <c r="G609" s="257">
        <f>VLOOKUP(A609,import!A:J,7,0)</f>
        <v>13</v>
      </c>
      <c r="H609" s="257">
        <f>VLOOKUP(A609,import!A:J,8,0)</f>
        <v>5</v>
      </c>
      <c r="I609" s="257">
        <f>VLOOKUP(A609,import!A:J,9,0)</f>
        <v>18</v>
      </c>
      <c r="J609" s="369">
        <f>VLOOKUP(A609,import!A:J,10,0)</f>
        <v>0.72</v>
      </c>
      <c r="K609" s="257" t="s">
        <v>5678</v>
      </c>
      <c r="L609" s="257">
        <v>3.224533765E9</v>
      </c>
      <c r="M609" s="257" t="s">
        <v>286</v>
      </c>
      <c r="N609" s="257" t="s">
        <v>3688</v>
      </c>
      <c r="O609" s="257" t="s">
        <v>5679</v>
      </c>
      <c r="P609" s="370" t="str">
        <f>VLOOKUP(A609,import!A:P,16,0)</f>
        <v>Geleneksel</v>
      </c>
      <c r="Q609" s="370"/>
      <c r="R609" s="370" t="b">
        <v>1</v>
      </c>
      <c r="S609" s="370" t="b">
        <v>0</v>
      </c>
      <c r="T609" s="301" t="s">
        <v>3679</v>
      </c>
      <c r="U609" s="301" t="s">
        <v>2576</v>
      </c>
      <c r="V609" s="402" t="s">
        <v>3331</v>
      </c>
      <c r="W609" s="301"/>
      <c r="X609" s="371">
        <v>44620.0</v>
      </c>
      <c r="Y609" s="371">
        <v>44621.0</v>
      </c>
      <c r="Z609" s="372"/>
      <c r="AA609" s="373" t="s">
        <v>3682</v>
      </c>
      <c r="AB609" s="374">
        <v>44620.0</v>
      </c>
      <c r="AC609" s="373"/>
      <c r="AD609" s="374"/>
      <c r="AE609" s="373"/>
      <c r="AF609" s="374"/>
      <c r="AG609" s="373"/>
      <c r="AH609" s="374"/>
      <c r="AI609" s="375"/>
      <c r="AJ609" s="375"/>
      <c r="AK609" s="373" t="s">
        <v>2576</v>
      </c>
      <c r="AL609" s="375"/>
      <c r="AM609" s="375"/>
      <c r="AN609" s="373"/>
      <c r="AO609" s="375"/>
      <c r="AP609" s="376"/>
      <c r="AQ609" s="375"/>
    </row>
    <row r="610">
      <c r="A610" s="257" t="s">
        <v>2367</v>
      </c>
      <c r="B610" s="257" t="s">
        <v>2368</v>
      </c>
      <c r="C610" s="257" t="str">
        <f>VLOOKUP(A610,import!A:J,3,0)</f>
        <v>DOĞRU</v>
      </c>
      <c r="D610" s="257" t="s">
        <v>3676</v>
      </c>
      <c r="E610" s="257">
        <f>VLOOKUP(A610,import!A:J,5,0)</f>
        <v>2101</v>
      </c>
      <c r="F610" s="257">
        <f>VLOOKUP(A610,import!A:J,6,0)</f>
        <v>26</v>
      </c>
      <c r="G610" s="257">
        <f>VLOOKUP(A610,import!A:J,7,0)</f>
        <v>10</v>
      </c>
      <c r="H610" s="257">
        <f>VLOOKUP(A610,import!A:J,8,0)</f>
        <v>11</v>
      </c>
      <c r="I610" s="257">
        <f>VLOOKUP(A610,import!A:J,9,0)</f>
        <v>21</v>
      </c>
      <c r="J610" s="369">
        <f>VLOOKUP(A610,import!A:J,10,0)</f>
        <v>0.48</v>
      </c>
      <c r="K610" s="257" t="s">
        <v>5680</v>
      </c>
      <c r="L610" s="257">
        <v>5.426197983E9</v>
      </c>
      <c r="M610" s="257" t="s">
        <v>286</v>
      </c>
      <c r="N610" s="257" t="s">
        <v>3782</v>
      </c>
      <c r="O610" s="257" t="s">
        <v>2370</v>
      </c>
      <c r="P610" s="370" t="str">
        <f>VLOOKUP(A610,import!A:P,16,0)</f>
        <v>Geleneksel</v>
      </c>
      <c r="Q610" s="370"/>
      <c r="R610" s="370" t="b">
        <v>1</v>
      </c>
      <c r="S610" s="370" t="b">
        <v>0</v>
      </c>
      <c r="T610" s="301" t="s">
        <v>3679</v>
      </c>
      <c r="U610" s="301" t="s">
        <v>2542</v>
      </c>
      <c r="V610" s="301" t="s">
        <v>78</v>
      </c>
      <c r="W610" s="301" t="s">
        <v>5681</v>
      </c>
      <c r="X610" s="371">
        <v>44498.0</v>
      </c>
      <c r="Y610" s="371">
        <v>44501.0</v>
      </c>
      <c r="Z610" s="301" t="s">
        <v>3808</v>
      </c>
      <c r="AA610" s="375"/>
      <c r="AB610" s="374">
        <v>44347.0</v>
      </c>
      <c r="AC610" s="373" t="s">
        <v>3448</v>
      </c>
      <c r="AD610" s="374">
        <v>44390.0</v>
      </c>
      <c r="AE610" s="373" t="s">
        <v>3682</v>
      </c>
      <c r="AF610" s="374">
        <v>44436.0</v>
      </c>
      <c r="AG610" s="373" t="s">
        <v>3682</v>
      </c>
      <c r="AH610" s="374">
        <v>44454.0</v>
      </c>
      <c r="AI610" s="373" t="s">
        <v>3682</v>
      </c>
      <c r="AJ610" s="374">
        <v>44498.0</v>
      </c>
      <c r="AK610" s="373" t="s">
        <v>2706</v>
      </c>
      <c r="AL610" s="373" t="s">
        <v>3719</v>
      </c>
      <c r="AM610" s="375"/>
      <c r="AN610" s="373" t="s">
        <v>2542</v>
      </c>
      <c r="AO610" s="373" t="s">
        <v>2542</v>
      </c>
      <c r="AP610" s="376" t="s">
        <v>3686</v>
      </c>
      <c r="AQ610" s="373"/>
    </row>
    <row r="611">
      <c r="A611" s="257" t="s">
        <v>5682</v>
      </c>
      <c r="B611" s="257" t="s">
        <v>5683</v>
      </c>
      <c r="C611" s="257" t="str">
        <f>VLOOKUP(A611,import!A:J,3,0)</f>
        <v>DOĞRU</v>
      </c>
      <c r="D611" s="257" t="s">
        <v>3713</v>
      </c>
      <c r="E611" s="257" t="str">
        <f>VLOOKUP(A611,import!A:J,5,0)</f>
        <v/>
      </c>
      <c r="F611" s="257" t="str">
        <f>VLOOKUP(A611,import!A:J,6,0)</f>
        <v/>
      </c>
      <c r="G611" s="257">
        <f>VLOOKUP(A611,import!A:J,7,0)</f>
        <v>0</v>
      </c>
      <c r="H611" s="257">
        <f>VLOOKUP(A611,import!A:J,8,0)</f>
        <v>13</v>
      </c>
      <c r="I611" s="257">
        <f>VLOOKUP(A611,import!A:J,9,0)</f>
        <v>13</v>
      </c>
      <c r="J611" s="369">
        <f>VLOOKUP(A611,import!A:J,10,0)</f>
        <v>0</v>
      </c>
      <c r="K611" s="257" t="s">
        <v>5684</v>
      </c>
      <c r="L611" s="257">
        <v>5.370520439E9</v>
      </c>
      <c r="M611" s="257" t="s">
        <v>14</v>
      </c>
      <c r="N611" s="257" t="s">
        <v>3733</v>
      </c>
      <c r="O611" s="257" t="s">
        <v>5685</v>
      </c>
      <c r="P611" s="370" t="str">
        <f>VLOOKUP(A611,import!A:P,16,0)</f>
        <v>Geleneksel</v>
      </c>
      <c r="Q611" s="370"/>
      <c r="R611" s="370" t="b">
        <v>0</v>
      </c>
      <c r="S611" s="370" t="b">
        <v>0</v>
      </c>
      <c r="T611" s="301"/>
      <c r="U611" s="379"/>
      <c r="V611" s="379"/>
      <c r="W611" s="301" t="s">
        <v>5686</v>
      </c>
      <c r="X611" s="381"/>
      <c r="Y611" s="381"/>
      <c r="Z611" s="372"/>
      <c r="AA611" s="373"/>
      <c r="AB611" s="374"/>
      <c r="AC611" s="373"/>
      <c r="AD611" s="374"/>
      <c r="AE611" s="373"/>
      <c r="AF611" s="374"/>
      <c r="AG611" s="373"/>
      <c r="AH611" s="374"/>
      <c r="AI611" s="375"/>
      <c r="AJ611" s="375"/>
      <c r="AK611" s="373"/>
      <c r="AL611" s="375"/>
      <c r="AM611" s="375"/>
      <c r="AN611" s="373"/>
      <c r="AO611" s="375"/>
      <c r="AP611" s="376"/>
      <c r="AQ611" s="375"/>
    </row>
    <row r="612">
      <c r="A612" s="257" t="s">
        <v>5687</v>
      </c>
      <c r="B612" s="257" t="s">
        <v>5688</v>
      </c>
      <c r="C612" s="257" t="str">
        <f>VLOOKUP(A612,import!A:J,3,0)</f>
        <v>DOĞRU</v>
      </c>
      <c r="D612" s="257" t="s">
        <v>3676</v>
      </c>
      <c r="E612" s="257">
        <f>VLOOKUP(A612,import!A:J,5,0)</f>
        <v>47</v>
      </c>
      <c r="F612" s="257">
        <f>VLOOKUP(A612,import!A:J,6,0)</f>
        <v>10</v>
      </c>
      <c r="G612" s="257">
        <f>VLOOKUP(A612,import!A:J,7,0)</f>
        <v>0</v>
      </c>
      <c r="H612" s="257">
        <f>VLOOKUP(A612,import!A:J,8,0)</f>
        <v>7</v>
      </c>
      <c r="I612" s="257">
        <f>VLOOKUP(A612,import!A:J,9,0)</f>
        <v>7</v>
      </c>
      <c r="J612" s="369">
        <f>VLOOKUP(A612,import!A:J,10,0)</f>
        <v>0</v>
      </c>
      <c r="K612" s="257" t="s">
        <v>5689</v>
      </c>
      <c r="L612" s="257">
        <v>5.52817319E9</v>
      </c>
      <c r="M612" s="257" t="s">
        <v>286</v>
      </c>
      <c r="N612" s="257" t="s">
        <v>5690</v>
      </c>
      <c r="O612" s="257" t="s">
        <v>5691</v>
      </c>
      <c r="P612" s="370" t="str">
        <f>VLOOKUP(A612,import!A:P,16,0)</f>
        <v>Geleneksel</v>
      </c>
      <c r="Q612" s="370"/>
      <c r="R612" s="370" t="b">
        <v>0</v>
      </c>
      <c r="S612" s="370" t="b">
        <v>0</v>
      </c>
      <c r="T612" s="301"/>
      <c r="U612" s="301"/>
      <c r="V612" s="301"/>
      <c r="W612" s="301"/>
      <c r="X612" s="371"/>
      <c r="Y612" s="371"/>
      <c r="Z612" s="372"/>
      <c r="AA612" s="373"/>
      <c r="AB612" s="374"/>
      <c r="AC612" s="373"/>
      <c r="AD612" s="374"/>
      <c r="AE612" s="373"/>
      <c r="AF612" s="374"/>
      <c r="AG612" s="373"/>
      <c r="AH612" s="374"/>
      <c r="AI612" s="373"/>
      <c r="AJ612" s="374"/>
      <c r="AK612" s="373"/>
      <c r="AL612" s="373"/>
      <c r="AM612" s="373"/>
      <c r="AN612" s="373"/>
      <c r="AO612" s="373"/>
      <c r="AP612" s="376"/>
      <c r="AQ612" s="373"/>
    </row>
    <row r="613">
      <c r="A613" s="257" t="s">
        <v>5692</v>
      </c>
      <c r="B613" s="257" t="s">
        <v>5693</v>
      </c>
      <c r="C613" s="257" t="str">
        <f>VLOOKUP(A613,import!A:J,3,0)</f>
        <v>DOĞRU</v>
      </c>
      <c r="D613" s="257" t="s">
        <v>3676</v>
      </c>
      <c r="E613" s="257">
        <f>VLOOKUP(A613,import!A:J,5,0)</f>
        <v>355</v>
      </c>
      <c r="F613" s="257">
        <f>VLOOKUP(A613,import!A:J,6,0)</f>
        <v>7</v>
      </c>
      <c r="G613" s="257">
        <f>VLOOKUP(A613,import!A:J,7,0)</f>
        <v>0</v>
      </c>
      <c r="H613" s="257">
        <f>VLOOKUP(A613,import!A:J,8,0)</f>
        <v>7</v>
      </c>
      <c r="I613" s="257">
        <f>VLOOKUP(A613,import!A:J,9,0)</f>
        <v>7</v>
      </c>
      <c r="J613" s="369">
        <f>VLOOKUP(A613,import!A:J,10,0)</f>
        <v>0</v>
      </c>
      <c r="K613" s="257" t="s">
        <v>5694</v>
      </c>
      <c r="L613" s="257">
        <v>5.526659323E9</v>
      </c>
      <c r="M613" s="257" t="s">
        <v>286</v>
      </c>
      <c r="N613" s="257" t="s">
        <v>3769</v>
      </c>
      <c r="O613" s="257" t="s">
        <v>5695</v>
      </c>
      <c r="P613" s="370" t="str">
        <f>VLOOKUP(A613,import!A:P,16,0)</f>
        <v>Geleneksel</v>
      </c>
      <c r="Q613" s="370"/>
      <c r="R613" s="370" t="b">
        <v>0</v>
      </c>
      <c r="S613" s="370" t="b">
        <v>0</v>
      </c>
      <c r="T613" s="301" t="s">
        <v>3696</v>
      </c>
      <c r="U613" s="379"/>
      <c r="V613" s="379"/>
      <c r="W613" s="301"/>
      <c r="X613" s="381"/>
      <c r="Y613" s="381"/>
      <c r="Z613" s="372"/>
      <c r="AA613" s="373" t="s">
        <v>3696</v>
      </c>
      <c r="AB613" s="374">
        <v>44530.0</v>
      </c>
      <c r="AC613" s="373"/>
      <c r="AD613" s="374"/>
      <c r="AE613" s="373"/>
      <c r="AF613" s="374"/>
      <c r="AG613" s="373"/>
      <c r="AH613" s="374"/>
      <c r="AI613" s="375"/>
      <c r="AJ613" s="375"/>
      <c r="AK613" s="373" t="s">
        <v>2941</v>
      </c>
      <c r="AL613" s="375"/>
      <c r="AM613" s="375"/>
      <c r="AN613" s="373"/>
      <c r="AO613" s="375"/>
      <c r="AP613" s="376" t="s">
        <v>3686</v>
      </c>
      <c r="AQ613" s="375"/>
    </row>
    <row r="614">
      <c r="A614" s="257" t="s">
        <v>3224</v>
      </c>
      <c r="B614" s="257" t="s">
        <v>3225</v>
      </c>
      <c r="C614" s="257" t="str">
        <f>VLOOKUP(A614,import!A:J,3,0)</f>
        <v>DOĞRU</v>
      </c>
      <c r="D614" s="257" t="s">
        <v>3699</v>
      </c>
      <c r="E614" s="257">
        <f>VLOOKUP(A614,import!A:J,5,0)</f>
        <v>866</v>
      </c>
      <c r="F614" s="257">
        <f>VLOOKUP(A614,import!A:J,6,0)</f>
        <v>33</v>
      </c>
      <c r="G614" s="257">
        <f>VLOOKUP(A614,import!A:J,7,0)</f>
        <v>23</v>
      </c>
      <c r="H614" s="257">
        <f>VLOOKUP(A614,import!A:J,8,0)</f>
        <v>35</v>
      </c>
      <c r="I614" s="257">
        <f>VLOOKUP(A614,import!A:J,9,0)</f>
        <v>58</v>
      </c>
      <c r="J614" s="369">
        <f>VLOOKUP(A614,import!A:J,10,0)</f>
        <v>0.4</v>
      </c>
      <c r="K614" s="257" t="s">
        <v>5696</v>
      </c>
      <c r="L614" s="257">
        <v>5.355693203E9</v>
      </c>
      <c r="M614" s="257" t="s">
        <v>286</v>
      </c>
      <c r="N614" s="257" t="s">
        <v>3688</v>
      </c>
      <c r="O614" s="257" t="s">
        <v>2515</v>
      </c>
      <c r="P614" s="370" t="str">
        <f>VLOOKUP(A614,import!A:P,16,0)</f>
        <v>Geleneksel</v>
      </c>
      <c r="Q614" s="370"/>
      <c r="R614" s="370" t="b">
        <v>1</v>
      </c>
      <c r="S614" s="370" t="b">
        <v>0</v>
      </c>
      <c r="T614" s="301" t="s">
        <v>3679</v>
      </c>
      <c r="U614" s="301" t="s">
        <v>3213</v>
      </c>
      <c r="V614" s="301" t="s">
        <v>78</v>
      </c>
      <c r="W614" s="301"/>
      <c r="X614" s="371">
        <v>44537.0</v>
      </c>
      <c r="Y614" s="371">
        <v>44539.0</v>
      </c>
      <c r="Z614" s="372"/>
      <c r="AA614" s="373" t="s">
        <v>3682</v>
      </c>
      <c r="AB614" s="374">
        <v>44537.0</v>
      </c>
      <c r="AC614" s="373"/>
      <c r="AD614" s="374"/>
      <c r="AE614" s="373"/>
      <c r="AF614" s="374"/>
      <c r="AG614" s="373"/>
      <c r="AH614" s="374"/>
      <c r="AI614" s="375"/>
      <c r="AJ614" s="375"/>
      <c r="AK614" s="373" t="s">
        <v>3213</v>
      </c>
      <c r="AL614" s="375"/>
      <c r="AM614" s="375"/>
      <c r="AN614" s="373"/>
      <c r="AO614" s="375"/>
      <c r="AP614" s="376" t="s">
        <v>3686</v>
      </c>
      <c r="AQ614" s="375"/>
    </row>
    <row r="615">
      <c r="A615" s="257" t="s">
        <v>2840</v>
      </c>
      <c r="B615" s="257" t="s">
        <v>2841</v>
      </c>
      <c r="C615" s="257" t="str">
        <f>VLOOKUP(A615,import!A:J,3,0)</f>
        <v>DOĞRU</v>
      </c>
      <c r="D615" s="257" t="s">
        <v>3699</v>
      </c>
      <c r="E615" s="257">
        <f>VLOOKUP(A615,import!A:J,5,0)</f>
        <v>501</v>
      </c>
      <c r="F615" s="257" t="str">
        <f>VLOOKUP(A615,import!A:J,6,0)</f>
        <v/>
      </c>
      <c r="G615" s="257">
        <f>VLOOKUP(A615,import!A:J,7,0)</f>
        <v>0</v>
      </c>
      <c r="H615" s="257">
        <f>VLOOKUP(A615,import!A:J,8,0)</f>
        <v>34</v>
      </c>
      <c r="I615" s="257">
        <f>VLOOKUP(A615,import!A:J,9,0)</f>
        <v>34</v>
      </c>
      <c r="J615" s="369">
        <f>VLOOKUP(A615,import!A:J,10,0)</f>
        <v>0</v>
      </c>
      <c r="K615" s="257" t="s">
        <v>5697</v>
      </c>
      <c r="L615" s="257">
        <v>5.44542028E9</v>
      </c>
      <c r="M615" s="257" t="s">
        <v>14</v>
      </c>
      <c r="N615" s="257" t="s">
        <v>3678</v>
      </c>
      <c r="O615" s="257" t="s">
        <v>1143</v>
      </c>
      <c r="P615" s="370" t="str">
        <f>VLOOKUP(A615,import!A:P,16,0)</f>
        <v>Geleneksel</v>
      </c>
      <c r="Q615" s="370"/>
      <c r="R615" s="370" t="b">
        <v>1</v>
      </c>
      <c r="S615" s="370" t="b">
        <v>0</v>
      </c>
      <c r="T615" s="301" t="s">
        <v>3787</v>
      </c>
      <c r="U615" s="301" t="s">
        <v>2542</v>
      </c>
      <c r="V615" s="301" t="s">
        <v>78</v>
      </c>
      <c r="W615" s="301" t="s">
        <v>5698</v>
      </c>
      <c r="X615" s="371">
        <v>44477.0</v>
      </c>
      <c r="Y615" s="371">
        <v>44483.0</v>
      </c>
      <c r="Z615" s="372"/>
      <c r="AA615" s="373" t="s">
        <v>3696</v>
      </c>
      <c r="AB615" s="374">
        <v>44466.0</v>
      </c>
      <c r="AC615" s="373" t="s">
        <v>3448</v>
      </c>
      <c r="AD615" s="374">
        <v>44469.0</v>
      </c>
      <c r="AE615" s="373" t="s">
        <v>3682</v>
      </c>
      <c r="AF615" s="374">
        <v>44477.0</v>
      </c>
      <c r="AG615" s="373" t="s">
        <v>3681</v>
      </c>
      <c r="AH615" s="374">
        <v>44544.0</v>
      </c>
      <c r="AI615" s="375"/>
      <c r="AJ615" s="375"/>
      <c r="AK615" s="373" t="s">
        <v>2542</v>
      </c>
      <c r="AL615" s="373" t="s">
        <v>2282</v>
      </c>
      <c r="AM615" s="373" t="s">
        <v>2542</v>
      </c>
      <c r="AN615" s="373" t="s">
        <v>3073</v>
      </c>
      <c r="AO615" s="375"/>
      <c r="AP615" s="376" t="s">
        <v>3683</v>
      </c>
      <c r="AQ615" s="375"/>
    </row>
    <row r="616">
      <c r="A616" s="257" t="s">
        <v>3265</v>
      </c>
      <c r="B616" s="257" t="s">
        <v>3266</v>
      </c>
      <c r="C616" s="257" t="str">
        <f>VLOOKUP(A616,import!A:J,3,0)</f>
        <v>DOĞRU</v>
      </c>
      <c r="D616" s="257" t="s">
        <v>3676</v>
      </c>
      <c r="E616" s="257">
        <f>VLOOKUP(A616,import!A:J,5,0)</f>
        <v>856</v>
      </c>
      <c r="F616" s="257">
        <f>VLOOKUP(A616,import!A:J,6,0)</f>
        <v>43</v>
      </c>
      <c r="G616" s="257">
        <f>VLOOKUP(A616,import!A:J,7,0)</f>
        <v>0</v>
      </c>
      <c r="H616" s="257">
        <f>VLOOKUP(A616,import!A:J,8,0)</f>
        <v>15</v>
      </c>
      <c r="I616" s="257">
        <f>VLOOKUP(A616,import!A:J,9,0)</f>
        <v>15</v>
      </c>
      <c r="J616" s="369">
        <f>VLOOKUP(A616,import!A:J,10,0)</f>
        <v>0</v>
      </c>
      <c r="K616" s="257" t="s">
        <v>5699</v>
      </c>
      <c r="L616" s="257">
        <v>5.524519301E9</v>
      </c>
      <c r="M616" s="257" t="s">
        <v>286</v>
      </c>
      <c r="N616" s="257" t="s">
        <v>4956</v>
      </c>
      <c r="O616" s="257" t="s">
        <v>3268</v>
      </c>
      <c r="P616" s="370" t="str">
        <f>VLOOKUP(A616,import!A:P,16,0)</f>
        <v>Geleneksel</v>
      </c>
      <c r="Q616" s="370"/>
      <c r="R616" s="370" t="b">
        <v>1</v>
      </c>
      <c r="S616" s="370" t="b">
        <v>0</v>
      </c>
      <c r="T616" s="301" t="s">
        <v>3679</v>
      </c>
      <c r="U616" s="301" t="s">
        <v>2542</v>
      </c>
      <c r="V616" s="378" t="s">
        <v>3331</v>
      </c>
      <c r="W616" s="301" t="s">
        <v>5700</v>
      </c>
      <c r="X616" s="371">
        <v>44641.0</v>
      </c>
      <c r="Y616" s="371">
        <v>44642.0</v>
      </c>
      <c r="Z616" s="372"/>
      <c r="AA616" s="373" t="s">
        <v>3682</v>
      </c>
      <c r="AB616" s="374">
        <v>44551.0</v>
      </c>
      <c r="AC616" s="373" t="s">
        <v>3682</v>
      </c>
      <c r="AD616" s="374">
        <v>44555.0</v>
      </c>
      <c r="AE616" s="373" t="s">
        <v>3682</v>
      </c>
      <c r="AF616" s="374">
        <v>44628.0</v>
      </c>
      <c r="AG616" s="373" t="s">
        <v>3682</v>
      </c>
      <c r="AH616" s="371">
        <v>44641.0</v>
      </c>
      <c r="AI616" s="375"/>
      <c r="AJ616" s="375"/>
      <c r="AK616" s="373" t="s">
        <v>2542</v>
      </c>
      <c r="AL616" s="373" t="s">
        <v>2542</v>
      </c>
      <c r="AM616" s="373" t="s">
        <v>2192</v>
      </c>
      <c r="AN616" s="373" t="s">
        <v>2542</v>
      </c>
      <c r="AO616" s="375"/>
      <c r="AP616" s="376" t="s">
        <v>3686</v>
      </c>
      <c r="AQ616" s="375"/>
    </row>
    <row r="617">
      <c r="A617" s="257" t="s">
        <v>3582</v>
      </c>
      <c r="B617" s="257" t="s">
        <v>3583</v>
      </c>
      <c r="C617" s="257" t="str">
        <f>VLOOKUP(A617,import!A:J,3,0)</f>
        <v>DOĞRU</v>
      </c>
      <c r="D617" s="257" t="s">
        <v>3713</v>
      </c>
      <c r="E617" s="257">
        <f>VLOOKUP(A617,import!A:J,5,0)</f>
        <v>220</v>
      </c>
      <c r="F617" s="257">
        <f>VLOOKUP(A617,import!A:J,6,0)</f>
        <v>22</v>
      </c>
      <c r="G617" s="257">
        <f>VLOOKUP(A617,import!A:J,7,0)</f>
        <v>0</v>
      </c>
      <c r="H617" s="257">
        <f>VLOOKUP(A617,import!A:J,8,0)</f>
        <v>14</v>
      </c>
      <c r="I617" s="257">
        <f>VLOOKUP(A617,import!A:J,9,0)</f>
        <v>14</v>
      </c>
      <c r="J617" s="369">
        <f>VLOOKUP(A617,import!A:J,10,0)</f>
        <v>0</v>
      </c>
      <c r="K617" s="257" t="s">
        <v>5701</v>
      </c>
      <c r="L617" s="257">
        <v>5.436652518E9</v>
      </c>
      <c r="M617" s="257" t="s">
        <v>286</v>
      </c>
      <c r="N617" s="257" t="s">
        <v>3855</v>
      </c>
      <c r="O617" s="257" t="s">
        <v>3585</v>
      </c>
      <c r="P617" s="370" t="str">
        <f>VLOOKUP(A617,import!A:P,16,0)</f>
        <v>Geleneksel</v>
      </c>
      <c r="Q617" s="370"/>
      <c r="R617" s="370" t="b">
        <v>1</v>
      </c>
      <c r="S617" s="370" t="b">
        <v>0</v>
      </c>
      <c r="T617" s="301" t="s">
        <v>3679</v>
      </c>
      <c r="U617" s="301" t="s">
        <v>3127</v>
      </c>
      <c r="V617" s="394" t="s">
        <v>3331</v>
      </c>
      <c r="W617" s="301"/>
      <c r="X617" s="371">
        <v>44637.0</v>
      </c>
      <c r="Y617" s="371">
        <v>44638.0</v>
      </c>
      <c r="Z617" s="372"/>
      <c r="AA617" s="373" t="s">
        <v>3682</v>
      </c>
      <c r="AB617" s="371">
        <v>44637.0</v>
      </c>
      <c r="AC617" s="373"/>
      <c r="AD617" s="374"/>
      <c r="AE617" s="373"/>
      <c r="AF617" s="374"/>
      <c r="AG617" s="373"/>
      <c r="AH617" s="374"/>
      <c r="AI617" s="375"/>
      <c r="AJ617" s="375"/>
      <c r="AK617" s="373" t="s">
        <v>3127</v>
      </c>
      <c r="AL617" s="375"/>
      <c r="AM617" s="375"/>
      <c r="AN617" s="373"/>
      <c r="AO617" s="375"/>
      <c r="AP617" s="376"/>
      <c r="AQ617" s="375"/>
    </row>
    <row r="618">
      <c r="A618" s="376" t="s">
        <v>5702</v>
      </c>
      <c r="B618" s="376" t="s">
        <v>5703</v>
      </c>
      <c r="C618" s="257" t="str">
        <f>VLOOKUP(A618,import!A:J,3,0)</f>
        <v>DOĞRU</v>
      </c>
      <c r="D618" s="376" t="s">
        <v>3699</v>
      </c>
      <c r="E618" s="257" t="str">
        <f>VLOOKUP(A618,import!A:J,5,0)</f>
        <v/>
      </c>
      <c r="F618" s="257" t="str">
        <f>VLOOKUP(A618,import!A:J,6,0)</f>
        <v/>
      </c>
      <c r="G618" s="257">
        <f>VLOOKUP(A618,import!A:J,7,0)</f>
        <v>0</v>
      </c>
      <c r="H618" s="257">
        <f>VLOOKUP(A618,import!A:J,8,0)</f>
        <v>39</v>
      </c>
      <c r="I618" s="257">
        <f>VLOOKUP(A618,import!A:J,9,0)</f>
        <v>39</v>
      </c>
      <c r="J618" s="369">
        <f>VLOOKUP(A618,import!A:J,10,0)</f>
        <v>0</v>
      </c>
      <c r="K618" s="376" t="s">
        <v>5704</v>
      </c>
      <c r="L618" s="376">
        <v>5.43682109E9</v>
      </c>
      <c r="M618" s="376" t="s">
        <v>3814</v>
      </c>
      <c r="N618" s="376" t="s">
        <v>4072</v>
      </c>
      <c r="O618" s="376" t="s">
        <v>5705</v>
      </c>
      <c r="P618" s="370" t="str">
        <f>VLOOKUP(A618,import!A:P,16,0)</f>
        <v>Geleneksel</v>
      </c>
      <c r="Q618" s="370"/>
      <c r="R618" s="370" t="b">
        <v>0</v>
      </c>
      <c r="S618" s="370" t="b">
        <v>0</v>
      </c>
      <c r="T618" s="301"/>
      <c r="U618" s="301"/>
      <c r="V618" s="301"/>
      <c r="W618" s="301"/>
      <c r="X618" s="371"/>
      <c r="Y618" s="371"/>
      <c r="Z618" s="372"/>
      <c r="AA618" s="373"/>
      <c r="AB618" s="374"/>
      <c r="AC618" s="373"/>
      <c r="AD618" s="374"/>
      <c r="AE618" s="373"/>
      <c r="AF618" s="374"/>
      <c r="AG618" s="373"/>
      <c r="AH618" s="374"/>
      <c r="AI618" s="373"/>
      <c r="AJ618" s="374"/>
      <c r="AK618" s="373"/>
      <c r="AL618" s="373"/>
      <c r="AM618" s="373"/>
      <c r="AN618" s="373"/>
      <c r="AO618" s="373"/>
      <c r="AP618" s="376"/>
      <c r="AQ618" s="373"/>
    </row>
    <row r="619">
      <c r="A619" s="266" t="s">
        <v>2432</v>
      </c>
      <c r="B619" s="266" t="s">
        <v>2433</v>
      </c>
      <c r="C619" s="257" t="str">
        <f>VLOOKUP(A619,import!A:J,3,0)</f>
        <v>DOĞRU</v>
      </c>
      <c r="D619" s="266" t="s">
        <v>3699</v>
      </c>
      <c r="E619" s="257">
        <f>VLOOKUP(A619,import!A:J,5,0)</f>
        <v>262</v>
      </c>
      <c r="F619" s="257">
        <f>VLOOKUP(A619,import!A:J,6,0)</f>
        <v>16</v>
      </c>
      <c r="G619" s="257">
        <f>VLOOKUP(A619,import!A:J,7,0)</f>
        <v>0</v>
      </c>
      <c r="H619" s="257">
        <f>VLOOKUP(A619,import!A:J,8,0)</f>
        <v>26</v>
      </c>
      <c r="I619" s="257">
        <f>VLOOKUP(A619,import!A:J,9,0)</f>
        <v>26</v>
      </c>
      <c r="J619" s="369">
        <f>VLOOKUP(A619,import!A:J,10,0)</f>
        <v>0</v>
      </c>
      <c r="K619" s="266" t="s">
        <v>5706</v>
      </c>
      <c r="L619" s="266">
        <v>5.434211605E9</v>
      </c>
      <c r="M619" s="266" t="s">
        <v>286</v>
      </c>
      <c r="N619" s="266" t="s">
        <v>3737</v>
      </c>
      <c r="O619" s="266" t="s">
        <v>2435</v>
      </c>
      <c r="P619" s="370" t="str">
        <f>VLOOKUP(A619,import!A:P,16,0)</f>
        <v>Geleneksel</v>
      </c>
      <c r="Q619" s="370"/>
      <c r="R619" s="370" t="b">
        <v>1</v>
      </c>
      <c r="S619" s="370" t="b">
        <v>0</v>
      </c>
      <c r="T619" s="301" t="s">
        <v>3787</v>
      </c>
      <c r="U619" s="301" t="s">
        <v>2542</v>
      </c>
      <c r="V619" s="301" t="s">
        <v>78</v>
      </c>
      <c r="W619" s="301" t="s">
        <v>5707</v>
      </c>
      <c r="X619" s="381"/>
      <c r="Y619" s="381"/>
      <c r="Z619" s="372"/>
      <c r="AA619" s="373" t="s">
        <v>3448</v>
      </c>
      <c r="AB619" s="374">
        <v>44392.0</v>
      </c>
      <c r="AC619" s="373" t="s">
        <v>3682</v>
      </c>
      <c r="AD619" s="374">
        <v>44440.0</v>
      </c>
      <c r="AE619" s="373" t="s">
        <v>3682</v>
      </c>
      <c r="AF619" s="374">
        <v>44452.0</v>
      </c>
      <c r="AG619" s="92"/>
      <c r="AH619" s="375"/>
      <c r="AI619" s="375"/>
      <c r="AJ619" s="375"/>
      <c r="AK619" s="373" t="s">
        <v>4089</v>
      </c>
      <c r="AL619" s="373" t="s">
        <v>2542</v>
      </c>
      <c r="AM619" s="373" t="s">
        <v>2542</v>
      </c>
      <c r="AN619" s="375"/>
      <c r="AO619" s="375"/>
      <c r="AP619" s="376" t="s">
        <v>3683</v>
      </c>
      <c r="AQ619" s="375"/>
    </row>
    <row r="620">
      <c r="A620" s="257" t="s">
        <v>3586</v>
      </c>
      <c r="B620" s="257" t="s">
        <v>3587</v>
      </c>
      <c r="C620" s="257" t="str">
        <f>VLOOKUP(A620,import!A:J,3,0)</f>
        <v>DOĞRU</v>
      </c>
      <c r="D620" s="257" t="s">
        <v>3676</v>
      </c>
      <c r="E620" s="257">
        <f>VLOOKUP(A620,import!A:J,5,0)</f>
        <v>107</v>
      </c>
      <c r="F620" s="257">
        <f>VLOOKUP(A620,import!A:J,6,0)</f>
        <v>14</v>
      </c>
      <c r="G620" s="257">
        <f>VLOOKUP(A620,import!A:J,7,0)</f>
        <v>0</v>
      </c>
      <c r="H620" s="257">
        <f>VLOOKUP(A620,import!A:J,8,0)</f>
        <v>18</v>
      </c>
      <c r="I620" s="257">
        <f>VLOOKUP(A620,import!A:J,9,0)</f>
        <v>18</v>
      </c>
      <c r="J620" s="369">
        <f>VLOOKUP(A620,import!A:J,10,0)</f>
        <v>0</v>
      </c>
      <c r="K620" s="257" t="s">
        <v>5708</v>
      </c>
      <c r="L620" s="257">
        <v>5.428151943E9</v>
      </c>
      <c r="M620" s="257" t="s">
        <v>286</v>
      </c>
      <c r="N620" s="257" t="s">
        <v>5690</v>
      </c>
      <c r="O620" s="257" t="s">
        <v>3589</v>
      </c>
      <c r="P620" s="370" t="str">
        <f>VLOOKUP(A620,import!A:P,16,0)</f>
        <v>Geleneksel</v>
      </c>
      <c r="Q620" s="370"/>
      <c r="R620" s="370" t="b">
        <v>1</v>
      </c>
      <c r="S620" s="370" t="b">
        <v>0</v>
      </c>
      <c r="T620" s="301" t="s">
        <v>3679</v>
      </c>
      <c r="U620" s="301" t="s">
        <v>3127</v>
      </c>
      <c r="V620" s="394" t="s">
        <v>3331</v>
      </c>
      <c r="W620" s="301" t="s">
        <v>5709</v>
      </c>
      <c r="X620" s="371">
        <v>44637.0</v>
      </c>
      <c r="Y620" s="371">
        <v>44638.0</v>
      </c>
      <c r="Z620" s="372"/>
      <c r="AA620" s="373" t="s">
        <v>3682</v>
      </c>
      <c r="AB620" s="371">
        <v>44637.0</v>
      </c>
      <c r="AC620" s="373"/>
      <c r="AD620" s="374"/>
      <c r="AE620" s="373"/>
      <c r="AF620" s="374"/>
      <c r="AG620" s="373"/>
      <c r="AH620" s="374"/>
      <c r="AI620" s="375"/>
      <c r="AJ620" s="375"/>
      <c r="AK620" s="373" t="s">
        <v>3127</v>
      </c>
      <c r="AL620" s="375"/>
      <c r="AM620" s="375"/>
      <c r="AN620" s="373"/>
      <c r="AO620" s="375"/>
      <c r="AP620" s="376"/>
      <c r="AQ620" s="375"/>
    </row>
    <row r="621">
      <c r="A621" s="257" t="s">
        <v>2638</v>
      </c>
      <c r="B621" s="257" t="s">
        <v>2639</v>
      </c>
      <c r="C621" s="257" t="str">
        <f>VLOOKUP(A621,import!A:J,3,0)</f>
        <v>DOĞRU</v>
      </c>
      <c r="D621" s="257" t="s">
        <v>3699</v>
      </c>
      <c r="E621" s="257">
        <f>VLOOKUP(A621,import!A:J,5,0)</f>
        <v>339</v>
      </c>
      <c r="F621" s="257">
        <f>VLOOKUP(A621,import!A:J,6,0)</f>
        <v>9</v>
      </c>
      <c r="G621" s="257">
        <f>VLOOKUP(A621,import!A:J,7,0)</f>
        <v>50</v>
      </c>
      <c r="H621" s="257">
        <f>VLOOKUP(A621,import!A:J,8,0)</f>
        <v>28</v>
      </c>
      <c r="I621" s="257">
        <f>VLOOKUP(A621,import!A:J,9,0)</f>
        <v>78</v>
      </c>
      <c r="J621" s="369">
        <f>VLOOKUP(A621,import!A:J,10,0)</f>
        <v>0.64</v>
      </c>
      <c r="K621" s="257" t="s">
        <v>5710</v>
      </c>
      <c r="L621" s="257">
        <v>5.322083468E9</v>
      </c>
      <c r="M621" s="257" t="s">
        <v>14</v>
      </c>
      <c r="N621" s="257" t="s">
        <v>3826</v>
      </c>
      <c r="O621" s="257" t="s">
        <v>2641</v>
      </c>
      <c r="P621" s="370" t="str">
        <f>VLOOKUP(A621,import!A:P,16,0)</f>
        <v>Geleneksel</v>
      </c>
      <c r="Q621" s="370"/>
      <c r="R621" s="370" t="b">
        <v>1</v>
      </c>
      <c r="S621" s="370" t="b">
        <v>0</v>
      </c>
      <c r="T621" s="301" t="s">
        <v>3679</v>
      </c>
      <c r="U621" s="301" t="s">
        <v>3073</v>
      </c>
      <c r="V621" s="301" t="s">
        <v>78</v>
      </c>
      <c r="W621" s="301" t="s">
        <v>5711</v>
      </c>
      <c r="X621" s="371">
        <v>44551.0</v>
      </c>
      <c r="Y621" s="371">
        <v>44552.0</v>
      </c>
      <c r="Z621" s="372"/>
      <c r="AA621" s="373" t="s">
        <v>3448</v>
      </c>
      <c r="AB621" s="374">
        <v>44382.0</v>
      </c>
      <c r="AC621" s="373" t="s">
        <v>3448</v>
      </c>
      <c r="AD621" s="374">
        <v>44382.0</v>
      </c>
      <c r="AE621" s="373" t="s">
        <v>3448</v>
      </c>
      <c r="AF621" s="374">
        <v>44383.0</v>
      </c>
      <c r="AG621" s="373" t="s">
        <v>3448</v>
      </c>
      <c r="AH621" s="374">
        <v>44464.0</v>
      </c>
      <c r="AI621" s="373" t="s">
        <v>3682</v>
      </c>
      <c r="AJ621" s="374">
        <v>44551.0</v>
      </c>
      <c r="AK621" s="373" t="s">
        <v>3974</v>
      </c>
      <c r="AL621" s="373" t="s">
        <v>3974</v>
      </c>
      <c r="AM621" s="373" t="s">
        <v>79</v>
      </c>
      <c r="AN621" s="373" t="s">
        <v>2576</v>
      </c>
      <c r="AO621" s="373" t="s">
        <v>3073</v>
      </c>
      <c r="AP621" s="376" t="s">
        <v>3683</v>
      </c>
      <c r="AQ621" s="373"/>
    </row>
    <row r="622">
      <c r="A622" s="257" t="s">
        <v>5712</v>
      </c>
      <c r="B622" s="257" t="s">
        <v>5713</v>
      </c>
      <c r="C622" s="257" t="str">
        <f>VLOOKUP(A622,import!A:J,3,0)</f>
        <v>DOĞRU</v>
      </c>
      <c r="D622" s="257" t="s">
        <v>3690</v>
      </c>
      <c r="E622" s="257">
        <f>VLOOKUP(A622,import!A:J,5,0)</f>
        <v>904</v>
      </c>
      <c r="F622" s="257">
        <f>VLOOKUP(A622,import!A:J,6,0)</f>
        <v>119</v>
      </c>
      <c r="G622" s="257">
        <f>VLOOKUP(A622,import!A:J,7,0)</f>
        <v>0</v>
      </c>
      <c r="H622" s="257">
        <f>VLOOKUP(A622,import!A:J,8,0)</f>
        <v>10</v>
      </c>
      <c r="I622" s="257">
        <f>VLOOKUP(A622,import!A:J,9,0)</f>
        <v>10</v>
      </c>
      <c r="J622" s="369">
        <f>VLOOKUP(A622,import!A:J,10,0)</f>
        <v>0</v>
      </c>
      <c r="K622" s="257" t="s">
        <v>5714</v>
      </c>
      <c r="L622" s="257">
        <v>3.226122212E9</v>
      </c>
      <c r="M622" s="257" t="s">
        <v>3701</v>
      </c>
      <c r="N622" s="257" t="s">
        <v>3803</v>
      </c>
      <c r="O622" s="257" t="s">
        <v>5715</v>
      </c>
      <c r="P622" s="370" t="str">
        <f>VLOOKUP(A622,import!A:P,16,0)</f>
        <v>Geleneksel</v>
      </c>
      <c r="Q622" s="370"/>
      <c r="R622" s="370" t="b">
        <v>0</v>
      </c>
      <c r="S622" s="370" t="b">
        <v>0</v>
      </c>
      <c r="T622" s="301"/>
      <c r="U622" s="379"/>
      <c r="V622" s="379"/>
      <c r="W622" s="301"/>
      <c r="X622" s="381"/>
      <c r="Y622" s="381"/>
      <c r="Z622" s="372"/>
      <c r="AA622" s="373"/>
      <c r="AB622" s="374"/>
      <c r="AC622" s="373"/>
      <c r="AD622" s="374"/>
      <c r="AE622" s="373"/>
      <c r="AF622" s="374"/>
      <c r="AG622" s="373"/>
      <c r="AH622" s="374"/>
      <c r="AI622" s="375"/>
      <c r="AJ622" s="375"/>
      <c r="AK622" s="373"/>
      <c r="AL622" s="375"/>
      <c r="AM622" s="375"/>
      <c r="AN622" s="373"/>
      <c r="AO622" s="375"/>
      <c r="AP622" s="376"/>
      <c r="AQ622" s="375"/>
    </row>
    <row r="623">
      <c r="A623" s="257" t="s">
        <v>5716</v>
      </c>
      <c r="B623" s="257" t="s">
        <v>5717</v>
      </c>
      <c r="C623" s="257" t="str">
        <f>VLOOKUP(A623,import!A:J,3,0)</f>
        <v>DOĞRU</v>
      </c>
      <c r="D623" s="257" t="s">
        <v>3801</v>
      </c>
      <c r="E623" s="257">
        <f>VLOOKUP(A623,import!A:J,5,0)</f>
        <v>2306</v>
      </c>
      <c r="F623" s="257">
        <f>VLOOKUP(A623,import!A:J,6,0)</f>
        <v>48</v>
      </c>
      <c r="G623" s="257">
        <f>VLOOKUP(A623,import!A:J,7,0)</f>
        <v>7</v>
      </c>
      <c r="H623" s="257">
        <f>VLOOKUP(A623,import!A:J,8,0)</f>
        <v>2</v>
      </c>
      <c r="I623" s="257">
        <f>VLOOKUP(A623,import!A:J,9,0)</f>
        <v>9</v>
      </c>
      <c r="J623" s="369">
        <f>VLOOKUP(A623,import!A:J,10,0)</f>
        <v>0.78</v>
      </c>
      <c r="K623" s="257" t="s">
        <v>5718</v>
      </c>
      <c r="L623" s="257">
        <v>5.318907828E9</v>
      </c>
      <c r="M623" s="257" t="s">
        <v>286</v>
      </c>
      <c r="N623" s="257" t="s">
        <v>4057</v>
      </c>
      <c r="O623" s="257" t="s">
        <v>5719</v>
      </c>
      <c r="P623" s="370" t="str">
        <f>VLOOKUP(A623,import!A:P,16,0)</f>
        <v>Geleneksel</v>
      </c>
      <c r="Q623" s="370"/>
      <c r="R623" s="370" t="b">
        <v>1</v>
      </c>
      <c r="S623" s="370" t="b">
        <v>1</v>
      </c>
      <c r="T623" s="301"/>
      <c r="U623" s="379"/>
      <c r="V623" s="379"/>
      <c r="W623" s="379"/>
      <c r="X623" s="381"/>
      <c r="Y623" s="381"/>
      <c r="Z623" s="372"/>
      <c r="AA623" s="375"/>
      <c r="AB623" s="375"/>
      <c r="AC623" s="375"/>
      <c r="AD623" s="375"/>
      <c r="AE623" s="92"/>
      <c r="AF623" s="375"/>
      <c r="AG623" s="92"/>
      <c r="AH623" s="375"/>
      <c r="AI623" s="375"/>
      <c r="AJ623" s="375"/>
      <c r="AK623" s="375"/>
      <c r="AL623" s="375"/>
      <c r="AM623" s="375"/>
      <c r="AN623" s="375"/>
      <c r="AO623" s="375"/>
      <c r="AP623" s="376" t="s">
        <v>3686</v>
      </c>
      <c r="AQ623" s="375"/>
    </row>
    <row r="624">
      <c r="A624" s="257" t="s">
        <v>5720</v>
      </c>
      <c r="B624" s="257" t="s">
        <v>5721</v>
      </c>
      <c r="C624" s="257" t="str">
        <f>VLOOKUP(A624,import!A:J,3,0)</f>
        <v>DOĞRU</v>
      </c>
      <c r="D624" s="257" t="s">
        <v>3801</v>
      </c>
      <c r="E624" s="257">
        <f>VLOOKUP(A624,import!A:J,5,0)</f>
        <v>528</v>
      </c>
      <c r="F624" s="257">
        <f>VLOOKUP(A624,import!A:J,6,0)</f>
        <v>15</v>
      </c>
      <c r="G624" s="257">
        <f>VLOOKUP(A624,import!A:J,7,0)</f>
        <v>10</v>
      </c>
      <c r="H624" s="257">
        <f>VLOOKUP(A624,import!A:J,8,0)</f>
        <v>7</v>
      </c>
      <c r="I624" s="257">
        <f>VLOOKUP(A624,import!A:J,9,0)</f>
        <v>17</v>
      </c>
      <c r="J624" s="369">
        <f>VLOOKUP(A624,import!A:J,10,0)</f>
        <v>0.59</v>
      </c>
      <c r="K624" s="257" t="s">
        <v>5722</v>
      </c>
      <c r="L624" s="257">
        <v>5.510426968E9</v>
      </c>
      <c r="M624" s="257" t="s">
        <v>286</v>
      </c>
      <c r="N624" s="257" t="s">
        <v>3782</v>
      </c>
      <c r="O624" s="257" t="s">
        <v>5723</v>
      </c>
      <c r="P624" s="370" t="str">
        <f>VLOOKUP(A624,import!A:P,16,0)</f>
        <v>Geleneksel</v>
      </c>
      <c r="Q624" s="370"/>
      <c r="R624" s="370" t="b">
        <v>1</v>
      </c>
      <c r="S624" s="370" t="b">
        <v>0</v>
      </c>
      <c r="T624" s="301" t="s">
        <v>3817</v>
      </c>
      <c r="U624" s="379"/>
      <c r="V624" s="379"/>
      <c r="W624" s="301"/>
      <c r="X624" s="381"/>
      <c r="Y624" s="381"/>
      <c r="Z624" s="372"/>
      <c r="AA624" s="375"/>
      <c r="AB624" s="375"/>
      <c r="AC624" s="375"/>
      <c r="AD624" s="375"/>
      <c r="AE624" s="92"/>
      <c r="AF624" s="375"/>
      <c r="AG624" s="92"/>
      <c r="AH624" s="375"/>
      <c r="AI624" s="375"/>
      <c r="AJ624" s="375"/>
      <c r="AK624" s="375"/>
      <c r="AL624" s="375"/>
      <c r="AM624" s="375"/>
      <c r="AN624" s="375"/>
      <c r="AO624" s="375"/>
      <c r="AP624" s="376" t="s">
        <v>3686</v>
      </c>
      <c r="AQ624" s="375"/>
    </row>
    <row r="625">
      <c r="A625" s="257" t="s">
        <v>5724</v>
      </c>
      <c r="B625" s="257" t="s">
        <v>5725</v>
      </c>
      <c r="C625" s="257" t="str">
        <f>VLOOKUP(A625,import!A:J,3,0)</f>
        <v>DOĞRU</v>
      </c>
      <c r="D625" s="257" t="s">
        <v>3801</v>
      </c>
      <c r="E625" s="257">
        <f>VLOOKUP(A625,import!A:J,5,0)</f>
        <v>1264</v>
      </c>
      <c r="F625" s="257">
        <f>VLOOKUP(A625,import!A:J,6,0)</f>
        <v>46</v>
      </c>
      <c r="G625" s="257">
        <f>VLOOKUP(A625,import!A:J,7,0)</f>
        <v>7</v>
      </c>
      <c r="H625" s="257">
        <f>VLOOKUP(A625,import!A:J,8,0)</f>
        <v>10</v>
      </c>
      <c r="I625" s="257">
        <f>VLOOKUP(A625,import!A:J,9,0)</f>
        <v>17</v>
      </c>
      <c r="J625" s="369">
        <f>VLOOKUP(A625,import!A:J,10,0)</f>
        <v>0.41</v>
      </c>
      <c r="K625" s="257" t="s">
        <v>5726</v>
      </c>
      <c r="L625" s="257">
        <v>5.458193024E9</v>
      </c>
      <c r="M625" s="257" t="s">
        <v>286</v>
      </c>
      <c r="N625" s="257" t="s">
        <v>5727</v>
      </c>
      <c r="O625" s="257" t="s">
        <v>5728</v>
      </c>
      <c r="P625" s="370" t="str">
        <f>VLOOKUP(A625,import!A:P,16,0)</f>
        <v>Geleneksel</v>
      </c>
      <c r="Q625" s="370"/>
      <c r="R625" s="370" t="b">
        <v>0</v>
      </c>
      <c r="S625" s="370" t="b">
        <v>0</v>
      </c>
      <c r="T625" s="301" t="s">
        <v>3817</v>
      </c>
      <c r="U625" s="301"/>
      <c r="V625" s="36"/>
      <c r="W625" s="301"/>
      <c r="X625" s="371"/>
      <c r="Y625" s="371"/>
      <c r="Z625" s="377"/>
      <c r="AA625" s="375"/>
      <c r="AB625" s="375"/>
      <c r="AC625" s="375"/>
      <c r="AD625" s="375"/>
      <c r="AE625" s="92"/>
      <c r="AF625" s="375"/>
      <c r="AG625" s="92"/>
      <c r="AH625" s="375"/>
      <c r="AI625" s="375"/>
      <c r="AJ625" s="375"/>
      <c r="AK625" s="375"/>
      <c r="AL625" s="375"/>
      <c r="AM625" s="375"/>
      <c r="AN625" s="375"/>
      <c r="AO625" s="375"/>
      <c r="AP625" s="376" t="s">
        <v>3686</v>
      </c>
      <c r="AQ625" s="375"/>
    </row>
    <row r="626">
      <c r="A626" s="257" t="s">
        <v>5729</v>
      </c>
      <c r="B626" s="257" t="s">
        <v>5730</v>
      </c>
      <c r="C626" s="257" t="str">
        <f>VLOOKUP(A626,import!A:J,3,0)</f>
        <v>DOĞRU</v>
      </c>
      <c r="D626" s="257" t="s">
        <v>3801</v>
      </c>
      <c r="E626" s="257">
        <f>VLOOKUP(A626,import!A:J,5,0)</f>
        <v>840</v>
      </c>
      <c r="F626" s="257">
        <f>VLOOKUP(A626,import!A:J,6,0)</f>
        <v>25</v>
      </c>
      <c r="G626" s="257">
        <f>VLOOKUP(A626,import!A:J,7,0)</f>
        <v>15</v>
      </c>
      <c r="H626" s="257">
        <f>VLOOKUP(A626,import!A:J,8,0)</f>
        <v>11</v>
      </c>
      <c r="I626" s="257">
        <f>VLOOKUP(A626,import!A:J,9,0)</f>
        <v>26</v>
      </c>
      <c r="J626" s="369">
        <f>VLOOKUP(A626,import!A:J,10,0)</f>
        <v>0.58</v>
      </c>
      <c r="K626" s="257" t="s">
        <v>5731</v>
      </c>
      <c r="L626" s="257">
        <v>5.072637673E9</v>
      </c>
      <c r="M626" s="257" t="s">
        <v>286</v>
      </c>
      <c r="N626" s="257" t="s">
        <v>3855</v>
      </c>
      <c r="O626" s="257" t="s">
        <v>5732</v>
      </c>
      <c r="P626" s="370" t="str">
        <f>VLOOKUP(A626,import!A:P,16,0)</f>
        <v>Geleneksel</v>
      </c>
      <c r="Q626" s="370"/>
      <c r="R626" s="370" t="b">
        <v>0</v>
      </c>
      <c r="S626" s="370" t="b">
        <v>0</v>
      </c>
      <c r="T626" s="301" t="s">
        <v>3817</v>
      </c>
      <c r="U626" s="379"/>
      <c r="V626" s="379"/>
      <c r="W626" s="301"/>
      <c r="X626" s="381"/>
      <c r="Y626" s="381"/>
      <c r="Z626" s="372"/>
      <c r="AA626" s="375"/>
      <c r="AB626" s="375"/>
      <c r="AC626" s="375"/>
      <c r="AD626" s="375"/>
      <c r="AE626" s="92"/>
      <c r="AF626" s="375"/>
      <c r="AG626" s="92"/>
      <c r="AH626" s="375"/>
      <c r="AI626" s="375"/>
      <c r="AJ626" s="375"/>
      <c r="AK626" s="375"/>
      <c r="AL626" s="375"/>
      <c r="AM626" s="375"/>
      <c r="AN626" s="375"/>
      <c r="AO626" s="375"/>
      <c r="AP626" s="376" t="s">
        <v>3686</v>
      </c>
      <c r="AQ626" s="375"/>
    </row>
    <row r="627">
      <c r="A627" s="257" t="s">
        <v>5733</v>
      </c>
      <c r="B627" s="257" t="s">
        <v>5734</v>
      </c>
      <c r="C627" s="257" t="str">
        <f>VLOOKUP(A627,import!A:J,3,0)</f>
        <v>DOĞRU</v>
      </c>
      <c r="D627" s="257" t="s">
        <v>3801</v>
      </c>
      <c r="E627" s="257">
        <f>VLOOKUP(A627,import!A:J,5,0)</f>
        <v>375</v>
      </c>
      <c r="F627" s="257">
        <f>VLOOKUP(A627,import!A:J,6,0)</f>
        <v>19</v>
      </c>
      <c r="G627" s="257">
        <f>VLOOKUP(A627,import!A:J,7,0)</f>
        <v>7</v>
      </c>
      <c r="H627" s="257">
        <f>VLOOKUP(A627,import!A:J,8,0)</f>
        <v>12</v>
      </c>
      <c r="I627" s="257">
        <f>VLOOKUP(A627,import!A:J,9,0)</f>
        <v>19</v>
      </c>
      <c r="J627" s="369">
        <f>VLOOKUP(A627,import!A:J,10,0)</f>
        <v>0.37</v>
      </c>
      <c r="K627" s="257" t="s">
        <v>5735</v>
      </c>
      <c r="L627" s="257">
        <v>5.418724404E9</v>
      </c>
      <c r="M627" s="257" t="s">
        <v>3692</v>
      </c>
      <c r="N627" s="257" t="s">
        <v>4156</v>
      </c>
      <c r="O627" s="257" t="s">
        <v>5736</v>
      </c>
      <c r="P627" s="370" t="str">
        <f>VLOOKUP(A627,import!A:P,16,0)</f>
        <v>Geleneksel</v>
      </c>
      <c r="Q627" s="16"/>
      <c r="R627" s="370" t="b">
        <v>0</v>
      </c>
      <c r="S627" s="370" t="b">
        <v>0</v>
      </c>
      <c r="T627" s="301" t="s">
        <v>3817</v>
      </c>
      <c r="U627" s="379"/>
      <c r="V627" s="379"/>
      <c r="W627" s="379"/>
      <c r="X627" s="381"/>
      <c r="Y627" s="381"/>
      <c r="Z627" s="372"/>
      <c r="AA627" s="375"/>
      <c r="AB627" s="375"/>
      <c r="AC627" s="375"/>
      <c r="AD627" s="375"/>
      <c r="AE627" s="92"/>
      <c r="AF627" s="375"/>
      <c r="AG627" s="92"/>
      <c r="AH627" s="375"/>
      <c r="AI627" s="375"/>
      <c r="AJ627" s="375"/>
      <c r="AK627" s="375"/>
      <c r="AL627" s="375"/>
      <c r="AM627" s="375"/>
      <c r="AN627" s="375"/>
      <c r="AO627" s="375"/>
      <c r="AP627" s="376" t="s">
        <v>3686</v>
      </c>
      <c r="AQ627" s="375"/>
    </row>
    <row r="628">
      <c r="A628" s="257" t="s">
        <v>5737</v>
      </c>
      <c r="B628" s="257" t="s">
        <v>5738</v>
      </c>
      <c r="C628" s="257" t="str">
        <f>VLOOKUP(A628,import!A:J,3,0)</f>
        <v>DOĞRU</v>
      </c>
      <c r="D628" s="257" t="s">
        <v>3801</v>
      </c>
      <c r="E628" s="257">
        <f>VLOOKUP(A628,import!A:J,5,0)</f>
        <v>2839</v>
      </c>
      <c r="F628" s="257">
        <f>VLOOKUP(A628,import!A:J,6,0)</f>
        <v>56</v>
      </c>
      <c r="G628" s="257">
        <f>VLOOKUP(A628,import!A:J,7,0)</f>
        <v>4</v>
      </c>
      <c r="H628" s="257">
        <f>VLOOKUP(A628,import!A:J,8,0)</f>
        <v>5</v>
      </c>
      <c r="I628" s="257">
        <f>VLOOKUP(A628,import!A:J,9,0)</f>
        <v>9</v>
      </c>
      <c r="J628" s="369">
        <f>VLOOKUP(A628,import!A:J,10,0)</f>
        <v>0.44</v>
      </c>
      <c r="K628" s="257" t="s">
        <v>5718</v>
      </c>
      <c r="L628" s="257">
        <v>5.318907828E9</v>
      </c>
      <c r="M628" s="257" t="s">
        <v>286</v>
      </c>
      <c r="N628" s="257" t="s">
        <v>3795</v>
      </c>
      <c r="O628" s="257" t="s">
        <v>5739</v>
      </c>
      <c r="P628" s="370" t="str">
        <f>VLOOKUP(A628,import!A:P,16,0)</f>
        <v>Geleneksel</v>
      </c>
      <c r="Q628" s="370"/>
      <c r="R628" s="370" t="b">
        <v>1</v>
      </c>
      <c r="S628" s="370" t="b">
        <v>1</v>
      </c>
      <c r="T628" s="301"/>
      <c r="U628" s="379"/>
      <c r="V628" s="379"/>
      <c r="W628" s="301"/>
      <c r="X628" s="381"/>
      <c r="Y628" s="381"/>
      <c r="Z628" s="372"/>
      <c r="AA628" s="375"/>
      <c r="AB628" s="375"/>
      <c r="AC628" s="375"/>
      <c r="AD628" s="375"/>
      <c r="AE628" s="92"/>
      <c r="AF628" s="375"/>
      <c r="AG628" s="92"/>
      <c r="AH628" s="375"/>
      <c r="AI628" s="375"/>
      <c r="AJ628" s="375"/>
      <c r="AK628" s="375"/>
      <c r="AL628" s="375"/>
      <c r="AM628" s="375"/>
      <c r="AN628" s="375"/>
      <c r="AO628" s="375"/>
      <c r="AP628" s="376" t="s">
        <v>3686</v>
      </c>
      <c r="AQ628" s="375"/>
    </row>
    <row r="629">
      <c r="A629" s="257" t="s">
        <v>5740</v>
      </c>
      <c r="B629" s="257" t="s">
        <v>5741</v>
      </c>
      <c r="C629" s="257" t="str">
        <f>VLOOKUP(A629,import!A:J,3,0)</f>
        <v>DOĞRU</v>
      </c>
      <c r="D629" s="257" t="s">
        <v>3801</v>
      </c>
      <c r="E629" s="257">
        <f>VLOOKUP(A629,import!A:J,5,0)</f>
        <v>225</v>
      </c>
      <c r="F629" s="257">
        <f>VLOOKUP(A629,import!A:J,6,0)</f>
        <v>14</v>
      </c>
      <c r="G629" s="257">
        <f>VLOOKUP(A629,import!A:J,7,0)</f>
        <v>8</v>
      </c>
      <c r="H629" s="257">
        <f>VLOOKUP(A629,import!A:J,8,0)</f>
        <v>16</v>
      </c>
      <c r="I629" s="257">
        <f>VLOOKUP(A629,import!A:J,9,0)</f>
        <v>24</v>
      </c>
      <c r="J629" s="369">
        <f>VLOOKUP(A629,import!A:J,10,0)</f>
        <v>0.33</v>
      </c>
      <c r="K629" s="257" t="s">
        <v>5742</v>
      </c>
      <c r="L629" s="257">
        <v>5.459533342E9</v>
      </c>
      <c r="M629" s="257" t="s">
        <v>286</v>
      </c>
      <c r="N629" s="257" t="s">
        <v>4874</v>
      </c>
      <c r="O629" s="257" t="s">
        <v>5743</v>
      </c>
      <c r="P629" s="370" t="str">
        <f>VLOOKUP(A629,import!A:P,16,0)</f>
        <v>Geleneksel</v>
      </c>
      <c r="Q629" s="370"/>
      <c r="R629" s="370" t="b">
        <v>0</v>
      </c>
      <c r="S629" s="370" t="b">
        <v>0</v>
      </c>
      <c r="T629" s="301" t="s">
        <v>3817</v>
      </c>
      <c r="U629" s="379"/>
      <c r="V629" s="379"/>
      <c r="W629" s="301"/>
      <c r="X629" s="381"/>
      <c r="Y629" s="381"/>
      <c r="Z629" s="372"/>
      <c r="AA629" s="373"/>
      <c r="AB629" s="374"/>
      <c r="AC629" s="373"/>
      <c r="AD629" s="374"/>
      <c r="AE629" s="373"/>
      <c r="AF629" s="374"/>
      <c r="AG629" s="373"/>
      <c r="AH629" s="374"/>
      <c r="AI629" s="375"/>
      <c r="AJ629" s="375"/>
      <c r="AK629" s="373"/>
      <c r="AL629" s="375"/>
      <c r="AM629" s="375"/>
      <c r="AN629" s="373"/>
      <c r="AO629" s="375"/>
      <c r="AP629" s="376"/>
      <c r="AQ629" s="375"/>
    </row>
    <row r="630">
      <c r="A630" s="257" t="s">
        <v>5744</v>
      </c>
      <c r="B630" s="257" t="s">
        <v>5745</v>
      </c>
      <c r="C630" s="257" t="str">
        <f>VLOOKUP(A630,import!A:J,3,0)</f>
        <v>DOĞRU</v>
      </c>
      <c r="D630" s="257" t="s">
        <v>3801</v>
      </c>
      <c r="E630" s="257">
        <f>VLOOKUP(A630,import!A:J,5,0)</f>
        <v>1660</v>
      </c>
      <c r="F630" s="257">
        <f>VLOOKUP(A630,import!A:J,6,0)</f>
        <v>64</v>
      </c>
      <c r="G630" s="257">
        <f>VLOOKUP(A630,import!A:J,7,0)</f>
        <v>7</v>
      </c>
      <c r="H630" s="257">
        <f>VLOOKUP(A630,import!A:J,8,0)</f>
        <v>2</v>
      </c>
      <c r="I630" s="257">
        <f>VLOOKUP(A630,import!A:J,9,0)</f>
        <v>9</v>
      </c>
      <c r="J630" s="369">
        <f>VLOOKUP(A630,import!A:J,10,0)</f>
        <v>0.78</v>
      </c>
      <c r="K630" s="257" t="s">
        <v>5746</v>
      </c>
      <c r="L630" s="257">
        <v>5.354478551E9</v>
      </c>
      <c r="M630" s="257" t="s">
        <v>3814</v>
      </c>
      <c r="N630" s="257" t="s">
        <v>3815</v>
      </c>
      <c r="O630" s="257" t="s">
        <v>5747</v>
      </c>
      <c r="P630" s="370" t="str">
        <f>VLOOKUP(A630,import!A:P,16,0)</f>
        <v>Geleneksel</v>
      </c>
      <c r="Q630" s="370"/>
      <c r="R630" s="370" t="b">
        <v>0</v>
      </c>
      <c r="S630" s="370" t="b">
        <v>0</v>
      </c>
      <c r="T630" s="301" t="s">
        <v>3817</v>
      </c>
      <c r="U630" s="379"/>
      <c r="V630" s="379"/>
      <c r="W630" s="301"/>
      <c r="X630" s="381"/>
      <c r="Y630" s="381"/>
      <c r="Z630" s="372"/>
      <c r="AA630" s="375"/>
      <c r="AB630" s="375"/>
      <c r="AC630" s="375"/>
      <c r="AD630" s="375"/>
      <c r="AE630" s="92"/>
      <c r="AF630" s="375"/>
      <c r="AG630" s="92"/>
      <c r="AH630" s="375"/>
      <c r="AI630" s="375"/>
      <c r="AJ630" s="375"/>
      <c r="AK630" s="375"/>
      <c r="AL630" s="375"/>
      <c r="AM630" s="375"/>
      <c r="AN630" s="375"/>
      <c r="AO630" s="375"/>
      <c r="AP630" s="376" t="s">
        <v>3686</v>
      </c>
      <c r="AQ630" s="375"/>
    </row>
    <row r="631">
      <c r="A631" s="257" t="s">
        <v>5748</v>
      </c>
      <c r="B631" s="257" t="s">
        <v>5749</v>
      </c>
      <c r="C631" s="257" t="str">
        <f>VLOOKUP(A631,import!A:J,3,0)</f>
        <v>DOĞRU</v>
      </c>
      <c r="D631" s="257" t="s">
        <v>3713</v>
      </c>
      <c r="E631" s="257">
        <f>VLOOKUP(A631,import!A:J,5,0)</f>
        <v>155</v>
      </c>
      <c r="F631" s="257" t="str">
        <f>VLOOKUP(A631,import!A:J,6,0)</f>
        <v/>
      </c>
      <c r="G631" s="257">
        <f>VLOOKUP(A631,import!A:J,7,0)</f>
        <v>0</v>
      </c>
      <c r="H631" s="257">
        <f>VLOOKUP(A631,import!A:J,8,0)</f>
        <v>9</v>
      </c>
      <c r="I631" s="257">
        <f>VLOOKUP(A631,import!A:J,9,0)</f>
        <v>9</v>
      </c>
      <c r="J631" s="369">
        <f>VLOOKUP(A631,import!A:J,10,0)</f>
        <v>0</v>
      </c>
      <c r="K631" s="257" t="s">
        <v>5750</v>
      </c>
      <c r="L631" s="257">
        <v>5.357604135E9</v>
      </c>
      <c r="M631" s="257" t="s">
        <v>286</v>
      </c>
      <c r="N631" s="257" t="s">
        <v>5751</v>
      </c>
      <c r="O631" s="257" t="s">
        <v>5752</v>
      </c>
      <c r="P631" s="370" t="str">
        <f>VLOOKUP(A631,import!A:P,16,0)</f>
        <v>Geleneksel</v>
      </c>
      <c r="Q631" s="370"/>
      <c r="R631" s="370" t="b">
        <v>1</v>
      </c>
      <c r="S631" s="370" t="b">
        <v>1</v>
      </c>
      <c r="T631" s="301"/>
      <c r="U631" s="379"/>
      <c r="V631" s="379"/>
      <c r="W631" s="301" t="s">
        <v>5753</v>
      </c>
      <c r="X631" s="381"/>
      <c r="Y631" s="381"/>
      <c r="Z631" s="301" t="s">
        <v>3808</v>
      </c>
      <c r="AA631" s="373" t="s">
        <v>3682</v>
      </c>
      <c r="AB631" s="374">
        <v>44390.0</v>
      </c>
      <c r="AC631" s="375"/>
      <c r="AD631" s="375"/>
      <c r="AE631" s="92"/>
      <c r="AF631" s="375"/>
      <c r="AG631" s="92"/>
      <c r="AH631" s="375"/>
      <c r="AI631" s="375"/>
      <c r="AJ631" s="375"/>
      <c r="AK631" s="373" t="s">
        <v>3719</v>
      </c>
      <c r="AL631" s="375"/>
      <c r="AM631" s="375"/>
      <c r="AN631" s="375"/>
      <c r="AO631" s="375"/>
      <c r="AP631" s="376" t="s">
        <v>3686</v>
      </c>
      <c r="AQ631" s="375"/>
    </row>
    <row r="632">
      <c r="A632" s="257" t="s">
        <v>3618</v>
      </c>
      <c r="B632" s="257" t="s">
        <v>3619</v>
      </c>
      <c r="C632" s="257" t="str">
        <f>VLOOKUP(A632,import!A:J,3,0)</f>
        <v>DOĞRU</v>
      </c>
      <c r="D632" s="257" t="s">
        <v>3759</v>
      </c>
      <c r="E632" s="257">
        <f>VLOOKUP(A632,import!A:J,5,0)</f>
        <v>74</v>
      </c>
      <c r="F632" s="257">
        <f>VLOOKUP(A632,import!A:J,6,0)</f>
        <v>29</v>
      </c>
      <c r="G632" s="257">
        <f>VLOOKUP(A632,import!A:J,7,0)</f>
        <v>0</v>
      </c>
      <c r="H632" s="257">
        <f>VLOOKUP(A632,import!A:J,8,0)</f>
        <v>19</v>
      </c>
      <c r="I632" s="257">
        <f>VLOOKUP(A632,import!A:J,9,0)</f>
        <v>19</v>
      </c>
      <c r="J632" s="369">
        <f>VLOOKUP(A632,import!A:J,10,0)</f>
        <v>0</v>
      </c>
      <c r="K632" s="257" t="s">
        <v>5754</v>
      </c>
      <c r="L632" s="257">
        <v>5.316941852E9</v>
      </c>
      <c r="M632" s="257" t="s">
        <v>286</v>
      </c>
      <c r="N632" s="257" t="s">
        <v>3980</v>
      </c>
      <c r="O632" s="257" t="s">
        <v>3621</v>
      </c>
      <c r="P632" s="370" t="str">
        <f>VLOOKUP(A632,import!A:P,16,0)</f>
        <v>Geleneksel</v>
      </c>
      <c r="Q632" s="370"/>
      <c r="R632" s="370" t="b">
        <v>1</v>
      </c>
      <c r="S632" s="370" t="b">
        <v>0</v>
      </c>
      <c r="T632" s="301" t="s">
        <v>3679</v>
      </c>
      <c r="U632" s="301" t="s">
        <v>2542</v>
      </c>
      <c r="V632" s="409" t="s">
        <v>3331</v>
      </c>
      <c r="W632" s="301"/>
      <c r="X632" s="371">
        <v>44641.0</v>
      </c>
      <c r="Y632" s="371">
        <v>44642.0</v>
      </c>
      <c r="Z632" s="372"/>
      <c r="AA632" s="373" t="s">
        <v>3682</v>
      </c>
      <c r="AB632" s="371">
        <v>44641.0</v>
      </c>
      <c r="AC632" s="373"/>
      <c r="AD632" s="374"/>
      <c r="AE632" s="373"/>
      <c r="AF632" s="374"/>
      <c r="AG632" s="373"/>
      <c r="AH632" s="374"/>
      <c r="AI632" s="373"/>
      <c r="AJ632" s="374"/>
      <c r="AK632" s="373" t="s">
        <v>2542</v>
      </c>
      <c r="AL632" s="373"/>
      <c r="AM632" s="373"/>
      <c r="AN632" s="373"/>
      <c r="AO632" s="373"/>
      <c r="AP632" s="376"/>
      <c r="AQ632" s="373"/>
    </row>
    <row r="633">
      <c r="A633" s="257" t="s">
        <v>410</v>
      </c>
      <c r="B633" s="257" t="s">
        <v>411</v>
      </c>
      <c r="C633" s="257" t="str">
        <f>VLOOKUP(A633,import!A:J,3,0)</f>
        <v>YANLIŞ</v>
      </c>
      <c r="D633" s="257" t="s">
        <v>3699</v>
      </c>
      <c r="E633" s="257">
        <f>VLOOKUP(A633,import!A:J,5,0)</f>
        <v>644</v>
      </c>
      <c r="F633" s="257" t="str">
        <f>VLOOKUP(A633,import!A:J,6,0)</f>
        <v/>
      </c>
      <c r="G633" s="257">
        <f>VLOOKUP(A633,import!A:J,7,0)</f>
        <v>12</v>
      </c>
      <c r="H633" s="257">
        <f>VLOOKUP(A633,import!A:J,8,0)</f>
        <v>3</v>
      </c>
      <c r="I633" s="257">
        <f>VLOOKUP(A633,import!A:J,9,0)</f>
        <v>15</v>
      </c>
      <c r="J633" s="369">
        <f>VLOOKUP(A633,import!A:J,10,0)</f>
        <v>0.8</v>
      </c>
      <c r="K633" s="257" t="s">
        <v>5755</v>
      </c>
      <c r="L633" s="257">
        <v>5.318567711E9</v>
      </c>
      <c r="M633" s="257" t="s">
        <v>286</v>
      </c>
      <c r="N633" s="257" t="s">
        <v>4217</v>
      </c>
      <c r="O633" s="257" t="s">
        <v>414</v>
      </c>
      <c r="P633" s="370" t="str">
        <f>VLOOKUP(A633,import!A:P,16,0)</f>
        <v>Geleneksel</v>
      </c>
      <c r="Q633" s="370"/>
      <c r="R633" s="370" t="b">
        <v>1</v>
      </c>
      <c r="S633" s="370" t="b">
        <v>0</v>
      </c>
      <c r="T633" s="301" t="s">
        <v>3679</v>
      </c>
      <c r="U633" s="301" t="s">
        <v>3719</v>
      </c>
      <c r="V633" s="301" t="s">
        <v>78</v>
      </c>
      <c r="W633" s="301" t="s">
        <v>5756</v>
      </c>
      <c r="X633" s="371">
        <v>44390.0</v>
      </c>
      <c r="Y633" s="371">
        <v>44393.0</v>
      </c>
      <c r="Z633" s="377"/>
      <c r="AA633" s="373" t="s">
        <v>3682</v>
      </c>
      <c r="AB633" s="374">
        <v>44377.0</v>
      </c>
      <c r="AC633" s="373" t="s">
        <v>3682</v>
      </c>
      <c r="AD633" s="374">
        <v>44390.0</v>
      </c>
      <c r="AE633" s="92"/>
      <c r="AF633" s="375"/>
      <c r="AG633" s="92"/>
      <c r="AH633" s="375"/>
      <c r="AI633" s="375"/>
      <c r="AJ633" s="375"/>
      <c r="AK633" s="373" t="s">
        <v>79</v>
      </c>
      <c r="AL633" s="373" t="s">
        <v>3719</v>
      </c>
      <c r="AM633" s="375"/>
      <c r="AN633" s="375"/>
      <c r="AO633" s="375"/>
      <c r="AP633" s="376" t="s">
        <v>3686</v>
      </c>
      <c r="AQ633" s="375"/>
    </row>
    <row r="634">
      <c r="A634" s="257" t="s">
        <v>476</v>
      </c>
      <c r="B634" s="257" t="s">
        <v>477</v>
      </c>
      <c r="C634" s="257" t="str">
        <f>VLOOKUP(A634,import!A:J,3,0)</f>
        <v>DOĞRU</v>
      </c>
      <c r="D634" s="257" t="s">
        <v>3699</v>
      </c>
      <c r="E634" s="257">
        <f>VLOOKUP(A634,import!A:J,5,0)</f>
        <v>507</v>
      </c>
      <c r="F634" s="257">
        <f>VLOOKUP(A634,import!A:J,6,0)</f>
        <v>8</v>
      </c>
      <c r="G634" s="257">
        <f>VLOOKUP(A634,import!A:J,7,0)</f>
        <v>13</v>
      </c>
      <c r="H634" s="257">
        <f>VLOOKUP(A634,import!A:J,8,0)</f>
        <v>5</v>
      </c>
      <c r="I634" s="257">
        <f>VLOOKUP(A634,import!A:J,9,0)</f>
        <v>18</v>
      </c>
      <c r="J634" s="369">
        <f>VLOOKUP(A634,import!A:J,10,0)</f>
        <v>0.72</v>
      </c>
      <c r="K634" s="257" t="s">
        <v>5757</v>
      </c>
      <c r="L634" s="257">
        <v>3.229992946E9</v>
      </c>
      <c r="M634" s="257" t="s">
        <v>286</v>
      </c>
      <c r="N634" s="257" t="s">
        <v>3855</v>
      </c>
      <c r="O634" s="257" t="s">
        <v>480</v>
      </c>
      <c r="P634" s="370" t="str">
        <f>VLOOKUP(A634,import!A:P,16,0)</f>
        <v>Geleneksel</v>
      </c>
      <c r="Q634" s="370"/>
      <c r="R634" s="370" t="b">
        <v>1</v>
      </c>
      <c r="S634" s="370" t="b">
        <v>0</v>
      </c>
      <c r="T634" s="301" t="s">
        <v>3679</v>
      </c>
      <c r="U634" s="301" t="s">
        <v>2418</v>
      </c>
      <c r="V634" s="301" t="s">
        <v>78</v>
      </c>
      <c r="W634" s="301" t="s">
        <v>2998</v>
      </c>
      <c r="X634" s="371">
        <v>44503.0</v>
      </c>
      <c r="Y634" s="371">
        <v>44504.0</v>
      </c>
      <c r="Z634" s="377"/>
      <c r="AA634" s="373" t="s">
        <v>3682</v>
      </c>
      <c r="AB634" s="374">
        <v>44503.0</v>
      </c>
      <c r="AC634" s="375"/>
      <c r="AD634" s="375"/>
      <c r="AE634" s="92"/>
      <c r="AF634" s="375"/>
      <c r="AG634" s="92"/>
      <c r="AH634" s="375"/>
      <c r="AI634" s="375"/>
      <c r="AJ634" s="375"/>
      <c r="AK634" s="373" t="s">
        <v>2418</v>
      </c>
      <c r="AL634" s="375"/>
      <c r="AM634" s="375"/>
      <c r="AN634" s="375"/>
      <c r="AO634" s="375"/>
      <c r="AP634" s="376" t="s">
        <v>3686</v>
      </c>
      <c r="AQ634" s="375"/>
    </row>
    <row r="635">
      <c r="A635" s="266" t="s">
        <v>415</v>
      </c>
      <c r="B635" s="266" t="s">
        <v>416</v>
      </c>
      <c r="C635" s="257" t="str">
        <f>VLOOKUP(A635,import!A:J,3,0)</f>
        <v>DOĞRU</v>
      </c>
      <c r="D635" s="266" t="s">
        <v>3713</v>
      </c>
      <c r="E635" s="257">
        <f>VLOOKUP(A635,import!A:J,5,0)</f>
        <v>602</v>
      </c>
      <c r="F635" s="257">
        <f>VLOOKUP(A635,import!A:J,6,0)</f>
        <v>32</v>
      </c>
      <c r="G635" s="257">
        <f>VLOOKUP(A635,import!A:J,7,0)</f>
        <v>19</v>
      </c>
      <c r="H635" s="257">
        <f>VLOOKUP(A635,import!A:J,8,0)</f>
        <v>7</v>
      </c>
      <c r="I635" s="257">
        <f>VLOOKUP(A635,import!A:J,9,0)</f>
        <v>26</v>
      </c>
      <c r="J635" s="369">
        <f>VLOOKUP(A635,import!A:J,10,0)</f>
        <v>0.73</v>
      </c>
      <c r="K635" s="266" t="s">
        <v>5758</v>
      </c>
      <c r="L635" s="266">
        <v>5.539359853E9</v>
      </c>
      <c r="M635" s="266" t="s">
        <v>14</v>
      </c>
      <c r="N635" s="266" t="s">
        <v>3935</v>
      </c>
      <c r="O635" s="266" t="s">
        <v>717</v>
      </c>
      <c r="P635" s="370" t="str">
        <f>VLOOKUP(A635,import!A:P,16,0)</f>
        <v>Geleneksel</v>
      </c>
      <c r="Q635" s="370"/>
      <c r="R635" s="370" t="b">
        <v>1</v>
      </c>
      <c r="S635" s="370" t="b">
        <v>0</v>
      </c>
      <c r="T635" s="301" t="s">
        <v>3679</v>
      </c>
      <c r="U635" s="301" t="s">
        <v>79</v>
      </c>
      <c r="V635" s="301" t="s">
        <v>78</v>
      </c>
      <c r="W635" s="379"/>
      <c r="X635" s="371">
        <v>44340.0</v>
      </c>
      <c r="Y635" s="371">
        <v>44342.0</v>
      </c>
      <c r="Z635" s="377"/>
      <c r="AA635" s="375"/>
      <c r="AB635" s="375"/>
      <c r="AC635" s="375"/>
      <c r="AD635" s="375"/>
      <c r="AE635" s="92"/>
      <c r="AF635" s="375"/>
      <c r="AG635" s="92"/>
      <c r="AH635" s="375"/>
      <c r="AI635" s="375"/>
      <c r="AJ635" s="375"/>
      <c r="AK635" s="375"/>
      <c r="AL635" s="375"/>
      <c r="AM635" s="375"/>
      <c r="AN635" s="375"/>
      <c r="AO635" s="375"/>
      <c r="AP635" s="376" t="s">
        <v>3683</v>
      </c>
      <c r="AQ635" s="375"/>
    </row>
    <row r="636">
      <c r="A636" s="257" t="s">
        <v>5759</v>
      </c>
      <c r="B636" s="257" t="s">
        <v>5760</v>
      </c>
      <c r="C636" s="257" t="str">
        <f>VLOOKUP(A636,import!A:J,3,0)</f>
        <v>DOĞRU</v>
      </c>
      <c r="D636" s="257" t="s">
        <v>4572</v>
      </c>
      <c r="E636" s="257">
        <f>VLOOKUP(A636,import!A:J,5,0)</f>
        <v>1090</v>
      </c>
      <c r="F636" s="257">
        <f>VLOOKUP(A636,import!A:J,6,0)</f>
        <v>38</v>
      </c>
      <c r="G636" s="257">
        <f>VLOOKUP(A636,import!A:J,7,0)</f>
        <v>0</v>
      </c>
      <c r="H636" s="257">
        <f>VLOOKUP(A636,import!A:J,8,0)</f>
        <v>14</v>
      </c>
      <c r="I636" s="257">
        <f>VLOOKUP(A636,import!A:J,9,0)</f>
        <v>14</v>
      </c>
      <c r="J636" s="369">
        <f>VLOOKUP(A636,import!A:J,10,0)</f>
        <v>0</v>
      </c>
      <c r="K636" s="257" t="s">
        <v>5761</v>
      </c>
      <c r="L636" s="257">
        <v>5.447894251E9</v>
      </c>
      <c r="M636" s="257" t="s">
        <v>3814</v>
      </c>
      <c r="N636" s="257" t="s">
        <v>3815</v>
      </c>
      <c r="O636" s="257" t="s">
        <v>5762</v>
      </c>
      <c r="P636" s="370" t="str">
        <f>VLOOKUP(A636,import!A:P,16,0)</f>
        <v>Geleneksel</v>
      </c>
      <c r="Q636" s="370"/>
      <c r="R636" s="370" t="b">
        <v>0</v>
      </c>
      <c r="S636" s="370" t="b">
        <v>0</v>
      </c>
      <c r="T636" s="301" t="s">
        <v>3862</v>
      </c>
      <c r="U636" s="379"/>
      <c r="V636" s="379"/>
      <c r="W636" s="301"/>
      <c r="X636" s="381"/>
      <c r="Y636" s="381"/>
      <c r="Z636" s="372"/>
      <c r="AA636" s="375"/>
      <c r="AB636" s="375"/>
      <c r="AC636" s="375"/>
      <c r="AD636" s="375"/>
      <c r="AE636" s="92"/>
      <c r="AF636" s="375"/>
      <c r="AG636" s="92"/>
      <c r="AH636" s="375"/>
      <c r="AI636" s="375"/>
      <c r="AJ636" s="375"/>
      <c r="AK636" s="375"/>
      <c r="AL636" s="375"/>
      <c r="AM636" s="375"/>
      <c r="AN636" s="375"/>
      <c r="AO636" s="375"/>
      <c r="AP636" s="376" t="s">
        <v>3686</v>
      </c>
      <c r="AQ636" s="375"/>
    </row>
    <row r="637">
      <c r="A637" s="266" t="s">
        <v>5763</v>
      </c>
      <c r="B637" s="266" t="s">
        <v>5764</v>
      </c>
      <c r="C637" s="257" t="str">
        <f>VLOOKUP(A637,import!A:J,3,0)</f>
        <v>DOĞRU</v>
      </c>
      <c r="D637" s="266" t="s">
        <v>3912</v>
      </c>
      <c r="E637" s="257">
        <f>VLOOKUP(A637,import!A:J,5,0)</f>
        <v>79</v>
      </c>
      <c r="F637" s="257">
        <f>VLOOKUP(A637,import!A:J,6,0)</f>
        <v>4</v>
      </c>
      <c r="G637" s="257">
        <f>VLOOKUP(A637,import!A:J,7,0)</f>
        <v>0</v>
      </c>
      <c r="H637" s="257">
        <f>VLOOKUP(A637,import!A:J,8,0)</f>
        <v>18</v>
      </c>
      <c r="I637" s="257">
        <f>VLOOKUP(A637,import!A:J,9,0)</f>
        <v>18</v>
      </c>
      <c r="J637" s="369">
        <f>VLOOKUP(A637,import!A:J,10,0)</f>
        <v>0</v>
      </c>
      <c r="K637" s="266" t="s">
        <v>5765</v>
      </c>
      <c r="L637" s="266">
        <v>5.356057575E9</v>
      </c>
      <c r="M637" s="266" t="s">
        <v>14</v>
      </c>
      <c r="N637" s="266" t="s">
        <v>3797</v>
      </c>
      <c r="O637" s="266" t="s">
        <v>5766</v>
      </c>
      <c r="P637" s="370" t="str">
        <f>VLOOKUP(A637,import!A:P,16,0)</f>
        <v>Geleneksel</v>
      </c>
      <c r="Q637" s="370"/>
      <c r="R637" s="370" t="b">
        <v>1</v>
      </c>
      <c r="S637" s="370" t="b">
        <v>0</v>
      </c>
      <c r="T637" s="301" t="s">
        <v>3770</v>
      </c>
      <c r="U637" s="379"/>
      <c r="V637" s="379"/>
      <c r="W637" s="301" t="s">
        <v>5767</v>
      </c>
      <c r="X637" s="381"/>
      <c r="Y637" s="381"/>
      <c r="Z637" s="372"/>
      <c r="AA637" s="373" t="s">
        <v>3682</v>
      </c>
      <c r="AB637" s="374">
        <v>44348.0</v>
      </c>
      <c r="AC637" s="373" t="s">
        <v>3695</v>
      </c>
      <c r="AD637" s="374">
        <v>44382.0</v>
      </c>
      <c r="AE637" s="373" t="s">
        <v>3448</v>
      </c>
      <c r="AF637" s="374">
        <v>44382.0</v>
      </c>
      <c r="AG637" s="373" t="s">
        <v>3448</v>
      </c>
      <c r="AH637" s="374">
        <v>44383.0</v>
      </c>
      <c r="AI637" s="373" t="s">
        <v>3682</v>
      </c>
      <c r="AJ637" s="374">
        <v>44390.0</v>
      </c>
      <c r="AK637" s="373" t="s">
        <v>79</v>
      </c>
      <c r="AL637" s="373" t="s">
        <v>3719</v>
      </c>
      <c r="AM637" s="373" t="s">
        <v>3719</v>
      </c>
      <c r="AN637" s="373" t="s">
        <v>3719</v>
      </c>
      <c r="AO637" s="373" t="s">
        <v>111</v>
      </c>
      <c r="AP637" s="376" t="s">
        <v>3683</v>
      </c>
      <c r="AQ637" s="373"/>
    </row>
    <row r="638">
      <c r="A638" s="257" t="s">
        <v>3083</v>
      </c>
      <c r="B638" s="257" t="s">
        <v>3084</v>
      </c>
      <c r="C638" s="257" t="str">
        <f>VLOOKUP(A638,import!A:J,3,0)</f>
        <v>DOĞRU</v>
      </c>
      <c r="D638" s="257" t="s">
        <v>3676</v>
      </c>
      <c r="E638" s="257">
        <f>VLOOKUP(A638,import!A:J,5,0)</f>
        <v>673</v>
      </c>
      <c r="F638" s="257">
        <f>VLOOKUP(A638,import!A:J,6,0)</f>
        <v>35</v>
      </c>
      <c r="G638" s="257">
        <f>VLOOKUP(A638,import!A:J,7,0)</f>
        <v>0</v>
      </c>
      <c r="H638" s="257">
        <f>VLOOKUP(A638,import!A:J,8,0)</f>
        <v>26</v>
      </c>
      <c r="I638" s="257">
        <f>VLOOKUP(A638,import!A:J,9,0)</f>
        <v>26</v>
      </c>
      <c r="J638" s="369">
        <f>VLOOKUP(A638,import!A:J,10,0)</f>
        <v>0</v>
      </c>
      <c r="K638" s="257" t="s">
        <v>5768</v>
      </c>
      <c r="L638" s="257">
        <v>5.079821682E9</v>
      </c>
      <c r="M638" s="257" t="s">
        <v>286</v>
      </c>
      <c r="N638" s="257" t="s">
        <v>3782</v>
      </c>
      <c r="O638" s="257" t="s">
        <v>3087</v>
      </c>
      <c r="P638" s="370" t="str">
        <f>VLOOKUP(A638,import!A:P,16,0)</f>
        <v>Geleneksel</v>
      </c>
      <c r="Q638" s="370"/>
      <c r="R638" s="370" t="b">
        <v>1</v>
      </c>
      <c r="S638" s="370" t="b">
        <v>0</v>
      </c>
      <c r="T638" s="301" t="s">
        <v>3787</v>
      </c>
      <c r="U638" s="301" t="s">
        <v>2941</v>
      </c>
      <c r="V638" s="301" t="s">
        <v>78</v>
      </c>
      <c r="W638" s="301" t="s">
        <v>5769</v>
      </c>
      <c r="X638" s="371">
        <v>44511.0</v>
      </c>
      <c r="Y638" s="371">
        <v>44512.0</v>
      </c>
      <c r="Z638" s="372"/>
      <c r="AA638" s="373" t="s">
        <v>3682</v>
      </c>
      <c r="AB638" s="374">
        <v>44379.0</v>
      </c>
      <c r="AC638" s="373" t="s">
        <v>3682</v>
      </c>
      <c r="AD638" s="374">
        <v>44511.0</v>
      </c>
      <c r="AE638" s="92"/>
      <c r="AF638" s="375"/>
      <c r="AG638" s="92"/>
      <c r="AH638" s="375"/>
      <c r="AI638" s="375"/>
      <c r="AJ638" s="375"/>
      <c r="AK638" s="373" t="s">
        <v>1014</v>
      </c>
      <c r="AL638" s="373" t="s">
        <v>2941</v>
      </c>
      <c r="AM638" s="375"/>
      <c r="AN638" s="375"/>
      <c r="AO638" s="375"/>
      <c r="AP638" s="376" t="s">
        <v>3686</v>
      </c>
      <c r="AQ638" s="375"/>
    </row>
    <row r="639">
      <c r="A639" s="257" t="s">
        <v>3426</v>
      </c>
      <c r="B639" s="257" t="s">
        <v>3427</v>
      </c>
      <c r="C639" s="257" t="str">
        <f>VLOOKUP(A639,import!A:J,3,0)</f>
        <v>DOĞRU</v>
      </c>
      <c r="D639" s="257" t="s">
        <v>3699</v>
      </c>
      <c r="E639" s="257">
        <f>VLOOKUP(A639,import!A:J,5,0)</f>
        <v>19</v>
      </c>
      <c r="F639" s="257">
        <f>VLOOKUP(A639,import!A:J,6,0)</f>
        <v>8</v>
      </c>
      <c r="G639" s="257">
        <f>VLOOKUP(A639,import!A:J,7,0)</f>
        <v>15</v>
      </c>
      <c r="H639" s="257">
        <f>VLOOKUP(A639,import!A:J,8,0)</f>
        <v>5</v>
      </c>
      <c r="I639" s="257">
        <f>VLOOKUP(A639,import!A:J,9,0)</f>
        <v>20</v>
      </c>
      <c r="J639" s="369">
        <f>VLOOKUP(A639,import!A:J,10,0)</f>
        <v>0.75</v>
      </c>
      <c r="K639" s="257" t="s">
        <v>5770</v>
      </c>
      <c r="L639" s="257">
        <v>5.525067316E9</v>
      </c>
      <c r="M639" s="257" t="s">
        <v>286</v>
      </c>
      <c r="N639" s="257" t="s">
        <v>3737</v>
      </c>
      <c r="O639" s="257" t="s">
        <v>3429</v>
      </c>
      <c r="P639" s="370" t="str">
        <f>VLOOKUP(A639,import!A:P,16,0)</f>
        <v>Geleneksel</v>
      </c>
      <c r="Q639" s="370"/>
      <c r="R639" s="370" t="b">
        <v>1</v>
      </c>
      <c r="S639" s="370" t="b">
        <v>0</v>
      </c>
      <c r="T639" s="301" t="s">
        <v>3679</v>
      </c>
      <c r="U639" s="301" t="s">
        <v>2192</v>
      </c>
      <c r="V639" s="387" t="s">
        <v>3331</v>
      </c>
      <c r="W639" s="301"/>
      <c r="X639" s="371">
        <v>44628.0</v>
      </c>
      <c r="Y639" s="371">
        <v>44629.0</v>
      </c>
      <c r="Z639" s="372"/>
      <c r="AA639" s="373" t="s">
        <v>3682</v>
      </c>
      <c r="AB639" s="374">
        <v>44628.0</v>
      </c>
      <c r="AC639" s="373"/>
      <c r="AD639" s="374"/>
      <c r="AE639" s="373"/>
      <c r="AF639" s="374"/>
      <c r="AG639" s="373"/>
      <c r="AH639" s="374"/>
      <c r="AI639" s="373"/>
      <c r="AJ639" s="374"/>
      <c r="AK639" s="373" t="s">
        <v>2192</v>
      </c>
      <c r="AL639" s="373"/>
      <c r="AM639" s="373"/>
      <c r="AN639" s="373"/>
      <c r="AO639" s="373"/>
      <c r="AP639" s="376"/>
      <c r="AQ639" s="373"/>
    </row>
    <row r="640">
      <c r="A640" s="257" t="s">
        <v>5771</v>
      </c>
      <c r="B640" s="257" t="s">
        <v>5772</v>
      </c>
      <c r="C640" s="257" t="str">
        <f>VLOOKUP(A640,import!A:J,3,0)</f>
        <v>DOĞRU</v>
      </c>
      <c r="D640" s="257" t="s">
        <v>4000</v>
      </c>
      <c r="E640" s="257">
        <f>VLOOKUP(A640,import!A:J,5,0)</f>
        <v>20</v>
      </c>
      <c r="F640" s="257">
        <f>VLOOKUP(A640,import!A:J,6,0)</f>
        <v>3</v>
      </c>
      <c r="G640" s="257">
        <f>VLOOKUP(A640,import!A:J,7,0)</f>
        <v>0</v>
      </c>
      <c r="H640" s="257">
        <f>VLOOKUP(A640,import!A:J,8,0)</f>
        <v>28</v>
      </c>
      <c r="I640" s="257">
        <f>VLOOKUP(A640,import!A:J,9,0)</f>
        <v>28</v>
      </c>
      <c r="J640" s="369">
        <f>VLOOKUP(A640,import!A:J,10,0)</f>
        <v>0</v>
      </c>
      <c r="K640" s="257" t="s">
        <v>5773</v>
      </c>
      <c r="L640" s="257">
        <v>5.334980578E9</v>
      </c>
      <c r="M640" s="257" t="s">
        <v>286</v>
      </c>
      <c r="N640" s="257" t="s">
        <v>3754</v>
      </c>
      <c r="O640" s="257" t="s">
        <v>5774</v>
      </c>
      <c r="P640" s="370" t="str">
        <f>VLOOKUP(A640,import!A:P,16,0)</f>
        <v>Geleneksel</v>
      </c>
      <c r="Q640" s="370"/>
      <c r="R640" s="370" t="b">
        <v>1</v>
      </c>
      <c r="S640" s="370" t="b">
        <v>1</v>
      </c>
      <c r="T640" s="301"/>
      <c r="U640" s="301"/>
      <c r="V640" s="301"/>
      <c r="W640" s="301" t="s">
        <v>5775</v>
      </c>
      <c r="X640" s="371"/>
      <c r="Y640" s="371"/>
      <c r="Z640" s="372"/>
      <c r="AA640" s="373" t="s">
        <v>3682</v>
      </c>
      <c r="AB640" s="374">
        <v>44638.0</v>
      </c>
      <c r="AC640" s="373" t="s">
        <v>3682</v>
      </c>
      <c r="AD640" s="374">
        <v>44641.0</v>
      </c>
      <c r="AE640" s="373"/>
      <c r="AF640" s="374"/>
      <c r="AG640" s="373"/>
      <c r="AH640" s="374"/>
      <c r="AI640" s="373"/>
      <c r="AJ640" s="374"/>
      <c r="AK640" s="373" t="s">
        <v>2542</v>
      </c>
      <c r="AL640" s="373" t="s">
        <v>2542</v>
      </c>
      <c r="AM640" s="373"/>
      <c r="AN640" s="373"/>
      <c r="AO640" s="373"/>
      <c r="AP640" s="376"/>
      <c r="AQ640" s="373"/>
    </row>
    <row r="641">
      <c r="A641" s="257" t="s">
        <v>5776</v>
      </c>
      <c r="B641" s="257" t="s">
        <v>5777</v>
      </c>
      <c r="C641" s="257" t="str">
        <f>VLOOKUP(A641,import!A:J,3,0)</f>
        <v>DOĞRU</v>
      </c>
      <c r="D641" s="257" t="s">
        <v>3842</v>
      </c>
      <c r="E641" s="257">
        <f>VLOOKUP(A641,import!A:J,5,0)</f>
        <v>449</v>
      </c>
      <c r="F641" s="257">
        <f>VLOOKUP(A641,import!A:J,6,0)</f>
        <v>37</v>
      </c>
      <c r="G641" s="257">
        <f>VLOOKUP(A641,import!A:J,7,0)</f>
        <v>0</v>
      </c>
      <c r="H641" s="257">
        <f>VLOOKUP(A641,import!A:J,8,0)</f>
        <v>30</v>
      </c>
      <c r="I641" s="257">
        <f>VLOOKUP(A641,import!A:J,9,0)</f>
        <v>30</v>
      </c>
      <c r="J641" s="369">
        <f>VLOOKUP(A641,import!A:J,10,0)</f>
        <v>0</v>
      </c>
      <c r="K641" s="257" t="s">
        <v>5778</v>
      </c>
      <c r="L641" s="257">
        <v>3.224542229E9</v>
      </c>
      <c r="M641" s="257" t="s">
        <v>286</v>
      </c>
      <c r="N641" s="257" t="s">
        <v>3688</v>
      </c>
      <c r="O641" s="257" t="s">
        <v>5779</v>
      </c>
      <c r="P641" s="370" t="str">
        <f>VLOOKUP(A641,import!A:P,16,0)</f>
        <v>Geleneksel</v>
      </c>
      <c r="Q641" s="370"/>
      <c r="R641" s="370" t="b">
        <v>1</v>
      </c>
      <c r="S641" s="370" t="b">
        <v>1</v>
      </c>
      <c r="T641" s="301"/>
      <c r="U641" s="379"/>
      <c r="V641" s="379"/>
      <c r="W641" s="301" t="s">
        <v>5780</v>
      </c>
      <c r="X641" s="381"/>
      <c r="Y641" s="381"/>
      <c r="Z641" s="372"/>
      <c r="AA641" s="373" t="s">
        <v>3682</v>
      </c>
      <c r="AB641" s="374">
        <v>44389.0</v>
      </c>
      <c r="AC641" s="373" t="s">
        <v>3682</v>
      </c>
      <c r="AD641" s="374">
        <v>44441.0</v>
      </c>
      <c r="AE641" s="373" t="s">
        <v>3682</v>
      </c>
      <c r="AF641" s="374">
        <v>44502.0</v>
      </c>
      <c r="AG641" s="92"/>
      <c r="AH641" s="375"/>
      <c r="AI641" s="375"/>
      <c r="AJ641" s="375"/>
      <c r="AK641" s="373" t="s">
        <v>4089</v>
      </c>
      <c r="AL641" s="373" t="s">
        <v>2542</v>
      </c>
      <c r="AM641" s="373" t="s">
        <v>2542</v>
      </c>
      <c r="AN641" s="375"/>
      <c r="AO641" s="375"/>
      <c r="AP641" s="376" t="s">
        <v>3686</v>
      </c>
      <c r="AQ641" s="375"/>
    </row>
    <row r="642">
      <c r="A642" s="257" t="s">
        <v>3227</v>
      </c>
      <c r="B642" s="257" t="s">
        <v>3228</v>
      </c>
      <c r="C642" s="257" t="str">
        <f>VLOOKUP(A642,import!A:J,3,0)</f>
        <v>DOĞRU</v>
      </c>
      <c r="D642" s="257" t="s">
        <v>3676</v>
      </c>
      <c r="E642" s="257">
        <f>VLOOKUP(A642,import!A:J,5,0)</f>
        <v>126</v>
      </c>
      <c r="F642" s="257">
        <f>VLOOKUP(A642,import!A:J,6,0)</f>
        <v>5</v>
      </c>
      <c r="G642" s="257">
        <f>VLOOKUP(A642,import!A:J,7,0)</f>
        <v>0</v>
      </c>
      <c r="H642" s="257">
        <f>VLOOKUP(A642,import!A:J,8,0)</f>
        <v>24</v>
      </c>
      <c r="I642" s="257">
        <f>VLOOKUP(A642,import!A:J,9,0)</f>
        <v>24</v>
      </c>
      <c r="J642" s="369">
        <f>VLOOKUP(A642,import!A:J,10,0)</f>
        <v>0</v>
      </c>
      <c r="K642" s="257" t="s">
        <v>5781</v>
      </c>
      <c r="L642" s="257">
        <v>5.435127139E9</v>
      </c>
      <c r="M642" s="257" t="s">
        <v>14</v>
      </c>
      <c r="N642" s="257" t="s">
        <v>3826</v>
      </c>
      <c r="O642" s="257" t="s">
        <v>3231</v>
      </c>
      <c r="P642" s="370" t="str">
        <f>VLOOKUP(A642,import!A:P,16,0)</f>
        <v>Geleneksel</v>
      </c>
      <c r="Q642" s="370"/>
      <c r="R642" s="370" t="b">
        <v>1</v>
      </c>
      <c r="S642" s="370" t="b">
        <v>0</v>
      </c>
      <c r="T642" s="301" t="s">
        <v>3679</v>
      </c>
      <c r="U642" s="301" t="s">
        <v>2418</v>
      </c>
      <c r="V642" s="394" t="s">
        <v>3331</v>
      </c>
      <c r="W642" s="301"/>
      <c r="X642" s="371">
        <v>44634.0</v>
      </c>
      <c r="Y642" s="371">
        <v>44636.0</v>
      </c>
      <c r="Z642" s="372"/>
      <c r="AA642" s="373" t="s">
        <v>3448</v>
      </c>
      <c r="AB642" s="374">
        <v>44441.0</v>
      </c>
      <c r="AC642" s="373" t="s">
        <v>3682</v>
      </c>
      <c r="AD642" s="374">
        <v>44538.0</v>
      </c>
      <c r="AE642" s="373" t="s">
        <v>3682</v>
      </c>
      <c r="AF642" s="374">
        <v>44551.0</v>
      </c>
      <c r="AG642" s="373" t="s">
        <v>3682</v>
      </c>
      <c r="AH642" s="374">
        <v>44636.0</v>
      </c>
      <c r="AI642" s="373"/>
      <c r="AJ642" s="375"/>
      <c r="AK642" s="373" t="s">
        <v>2542</v>
      </c>
      <c r="AL642" s="373" t="s">
        <v>3213</v>
      </c>
      <c r="AM642" s="373" t="s">
        <v>2418</v>
      </c>
      <c r="AN642" s="375"/>
      <c r="AO642" s="375"/>
      <c r="AP642" s="376" t="s">
        <v>3683</v>
      </c>
      <c r="AQ642" s="375"/>
    </row>
    <row r="643">
      <c r="A643" s="257" t="s">
        <v>3389</v>
      </c>
      <c r="B643" s="257" t="s">
        <v>3390</v>
      </c>
      <c r="C643" s="257" t="str">
        <f>VLOOKUP(A643,import!A:J,3,0)</f>
        <v>DOĞRU</v>
      </c>
      <c r="D643" s="257" t="s">
        <v>3713</v>
      </c>
      <c r="E643" s="257">
        <f>VLOOKUP(A643,import!A:J,5,0)</f>
        <v>656</v>
      </c>
      <c r="F643" s="257">
        <f>VLOOKUP(A643,import!A:J,6,0)</f>
        <v>151</v>
      </c>
      <c r="G643" s="257">
        <f>VLOOKUP(A643,import!A:J,7,0)</f>
        <v>14</v>
      </c>
      <c r="H643" s="257">
        <f>VLOOKUP(A643,import!A:J,8,0)</f>
        <v>14</v>
      </c>
      <c r="I643" s="257">
        <f>VLOOKUP(A643,import!A:J,9,0)</f>
        <v>28</v>
      </c>
      <c r="J643" s="369">
        <f>VLOOKUP(A643,import!A:J,10,0)</f>
        <v>0.5</v>
      </c>
      <c r="K643" s="257" t="s">
        <v>5782</v>
      </c>
      <c r="L643" s="257">
        <v>3.222620808E9</v>
      </c>
      <c r="M643" s="257" t="s">
        <v>286</v>
      </c>
      <c r="N643" s="257" t="s">
        <v>3746</v>
      </c>
      <c r="O643" s="257" t="s">
        <v>3393</v>
      </c>
      <c r="P643" s="370" t="str">
        <f>VLOOKUP(A643,import!A:P,16,0)</f>
        <v>Geleneksel</v>
      </c>
      <c r="Q643" s="370"/>
      <c r="R643" s="370" t="b">
        <v>1</v>
      </c>
      <c r="S643" s="370" t="b">
        <v>0</v>
      </c>
      <c r="T643" s="301" t="s">
        <v>3679</v>
      </c>
      <c r="U643" s="301" t="s">
        <v>2576</v>
      </c>
      <c r="V643" s="402" t="s">
        <v>3331</v>
      </c>
      <c r="W643" s="301"/>
      <c r="X643" s="371">
        <v>44621.0</v>
      </c>
      <c r="Y643" s="371">
        <v>44622.0</v>
      </c>
      <c r="Z643" s="372"/>
      <c r="AA643" s="373" t="s">
        <v>3682</v>
      </c>
      <c r="AB643" s="374">
        <v>44621.0</v>
      </c>
      <c r="AC643" s="373"/>
      <c r="AD643" s="374"/>
      <c r="AE643" s="373"/>
      <c r="AF643" s="374"/>
      <c r="AG643" s="373"/>
      <c r="AH643" s="374"/>
      <c r="AI643" s="375"/>
      <c r="AJ643" s="375"/>
      <c r="AK643" s="373" t="s">
        <v>2576</v>
      </c>
      <c r="AL643" s="375"/>
      <c r="AM643" s="375"/>
      <c r="AN643" s="373"/>
      <c r="AO643" s="375"/>
      <c r="AP643" s="376"/>
      <c r="AQ643" s="375"/>
    </row>
    <row r="644">
      <c r="A644" s="257" t="s">
        <v>5783</v>
      </c>
      <c r="B644" s="257" t="s">
        <v>5784</v>
      </c>
      <c r="C644" s="257" t="str">
        <f>VLOOKUP(A644,import!A:J,3,0)</f>
        <v>DOĞRU</v>
      </c>
      <c r="D644" s="257" t="s">
        <v>3676</v>
      </c>
      <c r="E644" s="257">
        <f>VLOOKUP(A644,import!A:J,5,0)</f>
        <v>152</v>
      </c>
      <c r="F644" s="257">
        <f>VLOOKUP(A644,import!A:J,6,0)</f>
        <v>20</v>
      </c>
      <c r="G644" s="257">
        <f>VLOOKUP(A644,import!A:J,7,0)</f>
        <v>0</v>
      </c>
      <c r="H644" s="257">
        <f>VLOOKUP(A644,import!A:J,8,0)</f>
        <v>34</v>
      </c>
      <c r="I644" s="257">
        <f>VLOOKUP(A644,import!A:J,9,0)</f>
        <v>34</v>
      </c>
      <c r="J644" s="369">
        <f>VLOOKUP(A644,import!A:J,10,0)</f>
        <v>0</v>
      </c>
      <c r="K644" s="257" t="s">
        <v>5785</v>
      </c>
      <c r="L644" s="257">
        <v>5.353598887E9</v>
      </c>
      <c r="M644" s="257" t="s">
        <v>14</v>
      </c>
      <c r="N644" s="257" t="s">
        <v>3935</v>
      </c>
      <c r="O644" s="257" t="s">
        <v>5786</v>
      </c>
      <c r="P644" s="370" t="str">
        <f>VLOOKUP(A644,import!A:P,16,0)</f>
        <v>Geleneksel</v>
      </c>
      <c r="Q644" s="370"/>
      <c r="R644" s="370" t="b">
        <v>1</v>
      </c>
      <c r="S644" s="370" t="b">
        <v>1</v>
      </c>
      <c r="T644" s="301"/>
      <c r="U644" s="379"/>
      <c r="V644" s="379"/>
      <c r="W644" s="301" t="s">
        <v>5787</v>
      </c>
      <c r="X644" s="381"/>
      <c r="Y644" s="381"/>
      <c r="Z644" s="372"/>
      <c r="AA644" s="373" t="s">
        <v>3682</v>
      </c>
      <c r="AB644" s="374">
        <v>44382.0</v>
      </c>
      <c r="AC644" s="373" t="s">
        <v>3682</v>
      </c>
      <c r="AD644" s="374">
        <v>44460.0</v>
      </c>
      <c r="AE644" s="92"/>
      <c r="AF644" s="375"/>
      <c r="AG644" s="92"/>
      <c r="AH644" s="375"/>
      <c r="AI644" s="375"/>
      <c r="AJ644" s="375"/>
      <c r="AK644" s="373" t="s">
        <v>3719</v>
      </c>
      <c r="AL644" s="373" t="s">
        <v>2542</v>
      </c>
      <c r="AM644" s="375"/>
      <c r="AN644" s="375"/>
      <c r="AO644" s="375"/>
      <c r="AP644" s="376" t="s">
        <v>3683</v>
      </c>
      <c r="AQ644" s="375"/>
    </row>
    <row r="645">
      <c r="A645" s="257" t="s">
        <v>2318</v>
      </c>
      <c r="B645" s="257" t="s">
        <v>2319</v>
      </c>
      <c r="C645" s="257" t="str">
        <f>VLOOKUP(A645,import!A:J,3,0)</f>
        <v>DOĞRU</v>
      </c>
      <c r="D645" s="257" t="s">
        <v>3801</v>
      </c>
      <c r="E645" s="257">
        <f>VLOOKUP(A645,import!A:J,5,0)</f>
        <v>681</v>
      </c>
      <c r="F645" s="257">
        <f>VLOOKUP(A645,import!A:J,6,0)</f>
        <v>23</v>
      </c>
      <c r="G645" s="257">
        <f>VLOOKUP(A645,import!A:J,7,0)</f>
        <v>7</v>
      </c>
      <c r="H645" s="257">
        <f>VLOOKUP(A645,import!A:J,8,0)</f>
        <v>1</v>
      </c>
      <c r="I645" s="257">
        <f>VLOOKUP(A645,import!A:J,9,0)</f>
        <v>8</v>
      </c>
      <c r="J645" s="369">
        <f>VLOOKUP(A645,import!A:J,10,0)</f>
        <v>0.88</v>
      </c>
      <c r="K645" s="257" t="s">
        <v>5788</v>
      </c>
      <c r="L645" s="257">
        <v>5.370393877E9</v>
      </c>
      <c r="M645" s="257" t="s">
        <v>286</v>
      </c>
      <c r="N645" s="257" t="s">
        <v>4451</v>
      </c>
      <c r="O645" s="257" t="s">
        <v>2321</v>
      </c>
      <c r="P645" s="370" t="str">
        <f>VLOOKUP(A645,import!A:P,16,0)</f>
        <v>Geleneksel</v>
      </c>
      <c r="Q645" s="370"/>
      <c r="R645" s="370" t="b">
        <v>1</v>
      </c>
      <c r="S645" s="370" t="b">
        <v>0</v>
      </c>
      <c r="T645" s="389" t="s">
        <v>3679</v>
      </c>
      <c r="U645" s="389" t="s">
        <v>79</v>
      </c>
      <c r="V645" s="389" t="s">
        <v>78</v>
      </c>
      <c r="W645" s="398"/>
      <c r="X645" s="390">
        <v>44446.0</v>
      </c>
      <c r="Y645" s="390">
        <v>44447.0</v>
      </c>
      <c r="Z645" s="391"/>
      <c r="AA645" s="373" t="s">
        <v>3448</v>
      </c>
      <c r="AB645" s="374">
        <v>44390.0</v>
      </c>
      <c r="AC645" s="375"/>
      <c r="AD645" s="375"/>
      <c r="AE645" s="92"/>
      <c r="AF645" s="375"/>
      <c r="AG645" s="92"/>
      <c r="AH645" s="375"/>
      <c r="AI645" s="375"/>
      <c r="AJ645" s="375"/>
      <c r="AK645" s="373" t="s">
        <v>3719</v>
      </c>
      <c r="AL645" s="375"/>
      <c r="AM645" s="375"/>
      <c r="AN645" s="375"/>
      <c r="AO645" s="375"/>
      <c r="AP645" s="376" t="s">
        <v>3686</v>
      </c>
      <c r="AQ645" s="375"/>
    </row>
    <row r="646">
      <c r="A646" s="257" t="s">
        <v>5789</v>
      </c>
      <c r="B646" s="257" t="s">
        <v>5790</v>
      </c>
      <c r="C646" s="257" t="str">
        <f>VLOOKUP(A646,import!A:J,3,0)</f>
        <v>DOĞRU</v>
      </c>
      <c r="D646" s="257" t="s">
        <v>3801</v>
      </c>
      <c r="E646" s="257">
        <f>VLOOKUP(A646,import!A:J,5,0)</f>
        <v>942</v>
      </c>
      <c r="F646" s="257">
        <f>VLOOKUP(A646,import!A:J,6,0)</f>
        <v>25</v>
      </c>
      <c r="G646" s="257">
        <f>VLOOKUP(A646,import!A:J,7,0)</f>
        <v>13</v>
      </c>
      <c r="H646" s="257">
        <f>VLOOKUP(A646,import!A:J,8,0)</f>
        <v>1</v>
      </c>
      <c r="I646" s="257">
        <f>VLOOKUP(A646,import!A:J,9,0)</f>
        <v>14</v>
      </c>
      <c r="J646" s="369">
        <f>VLOOKUP(A646,import!A:J,10,0)</f>
        <v>0.93</v>
      </c>
      <c r="K646" s="257" t="s">
        <v>5788</v>
      </c>
      <c r="L646" s="257">
        <v>3.224282163E9</v>
      </c>
      <c r="M646" s="257" t="s">
        <v>286</v>
      </c>
      <c r="N646" s="257" t="s">
        <v>5791</v>
      </c>
      <c r="O646" s="257" t="s">
        <v>5792</v>
      </c>
      <c r="P646" s="370" t="str">
        <f>VLOOKUP(A646,import!A:P,16,0)</f>
        <v>Geleneksel</v>
      </c>
      <c r="Q646" s="370"/>
      <c r="R646" s="370" t="b">
        <v>1</v>
      </c>
      <c r="S646" s="370" t="b">
        <v>0</v>
      </c>
      <c r="T646" s="300" t="s">
        <v>3735</v>
      </c>
      <c r="U646" s="379"/>
      <c r="V646" s="379"/>
      <c r="W646" s="301" t="s">
        <v>5793</v>
      </c>
      <c r="X646" s="381"/>
      <c r="Y646" s="381"/>
      <c r="Z646" s="372"/>
      <c r="AA646" s="375"/>
      <c r="AB646" s="375"/>
      <c r="AC646" s="375"/>
      <c r="AD646" s="375"/>
      <c r="AE646" s="92"/>
      <c r="AF646" s="375"/>
      <c r="AG646" s="92"/>
      <c r="AH646" s="375"/>
      <c r="AI646" s="375"/>
      <c r="AJ646" s="375"/>
      <c r="AK646" s="375"/>
      <c r="AL646" s="375"/>
      <c r="AM646" s="375"/>
      <c r="AN646" s="375"/>
      <c r="AO646" s="375"/>
      <c r="AP646" s="376" t="s">
        <v>3686</v>
      </c>
      <c r="AQ646" s="375"/>
    </row>
    <row r="647">
      <c r="A647" s="257" t="s">
        <v>3546</v>
      </c>
      <c r="B647" s="257" t="s">
        <v>3547</v>
      </c>
      <c r="C647" s="257" t="str">
        <f>VLOOKUP(A647,import!A:J,3,0)</f>
        <v>DOĞRU</v>
      </c>
      <c r="D647" s="257" t="s">
        <v>3676</v>
      </c>
      <c r="E647" s="257">
        <f>VLOOKUP(A647,import!A:J,5,0)</f>
        <v>359</v>
      </c>
      <c r="F647" s="257">
        <f>VLOOKUP(A647,import!A:J,6,0)</f>
        <v>120</v>
      </c>
      <c r="G647" s="257">
        <f>VLOOKUP(A647,import!A:J,7,0)</f>
        <v>0</v>
      </c>
      <c r="H647" s="257">
        <f>VLOOKUP(A647,import!A:J,8,0)</f>
        <v>33</v>
      </c>
      <c r="I647" s="257">
        <f>VLOOKUP(A647,import!A:J,9,0)</f>
        <v>33</v>
      </c>
      <c r="J647" s="369">
        <f>VLOOKUP(A647,import!A:J,10,0)</f>
        <v>0</v>
      </c>
      <c r="K647" s="257" t="s">
        <v>5794</v>
      </c>
      <c r="L647" s="257">
        <v>5.389366768E9</v>
      </c>
      <c r="M647" s="257" t="s">
        <v>14</v>
      </c>
      <c r="N647" s="257" t="s">
        <v>3733</v>
      </c>
      <c r="O647" s="257" t="s">
        <v>3549</v>
      </c>
      <c r="P647" s="370" t="str">
        <f>VLOOKUP(A647,import!A:P,16,0)</f>
        <v>Geleneksel</v>
      </c>
      <c r="Q647" s="370"/>
      <c r="R647" s="370" t="b">
        <v>1</v>
      </c>
      <c r="S647" s="370" t="b">
        <v>0</v>
      </c>
      <c r="T647" s="301" t="s">
        <v>3679</v>
      </c>
      <c r="U647" s="301" t="s">
        <v>2192</v>
      </c>
      <c r="V647" s="410" t="s">
        <v>3331</v>
      </c>
      <c r="W647" s="395" t="s">
        <v>3550</v>
      </c>
      <c r="X647" s="371">
        <v>44635.0</v>
      </c>
      <c r="Y647" s="371">
        <v>44636.0</v>
      </c>
      <c r="Z647" s="372"/>
      <c r="AA647" s="373" t="s">
        <v>3682</v>
      </c>
      <c r="AB647" s="374">
        <v>44635.0</v>
      </c>
      <c r="AC647" s="373"/>
      <c r="AD647" s="374"/>
      <c r="AE647" s="373"/>
      <c r="AF647" s="374"/>
      <c r="AG647" s="373"/>
      <c r="AH647" s="374"/>
      <c r="AI647" s="373"/>
      <c r="AJ647" s="374"/>
      <c r="AK647" s="373" t="s">
        <v>2192</v>
      </c>
      <c r="AL647" s="373"/>
      <c r="AM647" s="373"/>
      <c r="AN647" s="373"/>
      <c r="AO647" s="373"/>
      <c r="AP647" s="376"/>
      <c r="AQ647" s="373"/>
    </row>
    <row r="648">
      <c r="A648" s="257" t="s">
        <v>1199</v>
      </c>
      <c r="B648" s="257" t="s">
        <v>1200</v>
      </c>
      <c r="C648" s="257" t="str">
        <f>VLOOKUP(A648,import!A:J,3,0)</f>
        <v>DOĞRU</v>
      </c>
      <c r="D648" s="257" t="s">
        <v>3676</v>
      </c>
      <c r="E648" s="257">
        <f>VLOOKUP(A648,import!A:J,5,0)</f>
        <v>4257</v>
      </c>
      <c r="F648" s="257">
        <f>VLOOKUP(A648,import!A:J,6,0)</f>
        <v>169</v>
      </c>
      <c r="G648" s="257">
        <f>VLOOKUP(A648,import!A:J,7,0)</f>
        <v>30</v>
      </c>
      <c r="H648" s="257">
        <f>VLOOKUP(A648,import!A:J,8,0)</f>
        <v>8</v>
      </c>
      <c r="I648" s="257">
        <f>VLOOKUP(A648,import!A:J,9,0)</f>
        <v>38</v>
      </c>
      <c r="J648" s="369">
        <f>VLOOKUP(A648,import!A:J,10,0)</f>
        <v>0.79</v>
      </c>
      <c r="K648" s="257" t="s">
        <v>5794</v>
      </c>
      <c r="L648" s="257">
        <v>3.228882121E9</v>
      </c>
      <c r="M648" s="257" t="s">
        <v>286</v>
      </c>
      <c r="N648" s="257" t="s">
        <v>3737</v>
      </c>
      <c r="O648" s="257" t="s">
        <v>1202</v>
      </c>
      <c r="P648" s="370" t="str">
        <f>VLOOKUP(A648,import!A:P,16,0)</f>
        <v>Geleneksel</v>
      </c>
      <c r="Q648" s="370"/>
      <c r="R648" s="370" t="b">
        <v>1</v>
      </c>
      <c r="S648" s="370" t="b">
        <v>0</v>
      </c>
      <c r="T648" s="301" t="s">
        <v>3679</v>
      </c>
      <c r="U648" s="301" t="s">
        <v>1014</v>
      </c>
      <c r="V648" s="301" t="s">
        <v>78</v>
      </c>
      <c r="W648" s="301">
        <v>5.07522861E9</v>
      </c>
      <c r="X648" s="371">
        <v>44376.0</v>
      </c>
      <c r="Y648" s="371">
        <v>44378.0</v>
      </c>
      <c r="Z648" s="372"/>
      <c r="AA648" s="373" t="s">
        <v>3448</v>
      </c>
      <c r="AB648" s="374">
        <v>44376.0</v>
      </c>
      <c r="AC648" s="373" t="s">
        <v>3682</v>
      </c>
      <c r="AD648" s="374">
        <v>44376.0</v>
      </c>
      <c r="AE648" s="92"/>
      <c r="AF648" s="375"/>
      <c r="AG648" s="92"/>
      <c r="AH648" s="375"/>
      <c r="AI648" s="375"/>
      <c r="AJ648" s="375"/>
      <c r="AK648" s="373" t="s">
        <v>1014</v>
      </c>
      <c r="AL648" s="373" t="s">
        <v>1014</v>
      </c>
      <c r="AM648" s="375"/>
      <c r="AN648" s="375"/>
      <c r="AO648" s="375"/>
      <c r="AP648" s="376" t="s">
        <v>3683</v>
      </c>
      <c r="AQ648" s="375"/>
    </row>
    <row r="649">
      <c r="A649" s="257" t="s">
        <v>3280</v>
      </c>
      <c r="B649" s="257" t="s">
        <v>3281</v>
      </c>
      <c r="C649" s="257" t="str">
        <f>VLOOKUP(A649,import!A:J,3,0)</f>
        <v>YANLIŞ</v>
      </c>
      <c r="D649" s="257" t="s">
        <v>3690</v>
      </c>
      <c r="E649" s="257">
        <f>VLOOKUP(A649,import!A:J,5,0)</f>
        <v>77</v>
      </c>
      <c r="F649" s="257" t="str">
        <f>VLOOKUP(A649,import!A:J,6,0)</f>
        <v/>
      </c>
      <c r="G649" s="257">
        <f>VLOOKUP(A649,import!A:J,7,0)</f>
        <v>0</v>
      </c>
      <c r="H649" s="257">
        <f>VLOOKUP(A649,import!A:J,8,0)</f>
        <v>17</v>
      </c>
      <c r="I649" s="257">
        <f>VLOOKUP(A649,import!A:J,9,0)</f>
        <v>17</v>
      </c>
      <c r="J649" s="369">
        <f>VLOOKUP(A649,import!A:J,10,0)</f>
        <v>0</v>
      </c>
      <c r="K649" s="257" t="s">
        <v>5795</v>
      </c>
      <c r="L649" s="257">
        <v>5.464421443E9</v>
      </c>
      <c r="M649" s="257" t="s">
        <v>14</v>
      </c>
      <c r="N649" s="257" t="s">
        <v>3797</v>
      </c>
      <c r="O649" s="257" t="s">
        <v>5796</v>
      </c>
      <c r="P649" s="370" t="str">
        <f>VLOOKUP(A649,import!A:P,16,0)</f>
        <v>Geleneksel</v>
      </c>
      <c r="Q649" s="370"/>
      <c r="R649" s="370" t="b">
        <v>1</v>
      </c>
      <c r="S649" s="370" t="b">
        <v>1</v>
      </c>
      <c r="T649" s="301" t="s">
        <v>3770</v>
      </c>
      <c r="U649" s="301" t="s">
        <v>2542</v>
      </c>
      <c r="V649" s="301" t="s">
        <v>78</v>
      </c>
      <c r="W649" s="301" t="s">
        <v>2969</v>
      </c>
      <c r="X649" s="371">
        <v>44557.0</v>
      </c>
      <c r="Y649" s="371">
        <v>44559.0</v>
      </c>
      <c r="Z649" s="372"/>
      <c r="AA649" s="373" t="s">
        <v>3448</v>
      </c>
      <c r="AB649" s="374">
        <v>44557.0</v>
      </c>
      <c r="AC649" s="373" t="s">
        <v>3682</v>
      </c>
      <c r="AD649" s="374">
        <v>44557.0</v>
      </c>
      <c r="AE649" s="373" t="s">
        <v>3682</v>
      </c>
      <c r="AF649" s="374">
        <v>44559.0</v>
      </c>
      <c r="AG649" s="373"/>
      <c r="AH649" s="374"/>
      <c r="AI649" s="375"/>
      <c r="AJ649" s="375"/>
      <c r="AK649" s="373" t="s">
        <v>2542</v>
      </c>
      <c r="AL649" s="373" t="s">
        <v>2542</v>
      </c>
      <c r="AM649" s="373" t="s">
        <v>2542</v>
      </c>
      <c r="AN649" s="373"/>
      <c r="AO649" s="375"/>
      <c r="AP649" s="376"/>
      <c r="AQ649" s="375"/>
    </row>
    <row r="650">
      <c r="A650" s="257" t="s">
        <v>5797</v>
      </c>
      <c r="B650" s="257" t="s">
        <v>5798</v>
      </c>
      <c r="C650" s="257" t="str">
        <f>VLOOKUP(A650,import!A:J,3,0)</f>
        <v>DOĞRU</v>
      </c>
      <c r="D650" s="257" t="s">
        <v>3759</v>
      </c>
      <c r="E650" s="257">
        <f>VLOOKUP(A650,import!A:J,5,0)</f>
        <v>678</v>
      </c>
      <c r="F650" s="257">
        <f>VLOOKUP(A650,import!A:J,6,0)</f>
        <v>25</v>
      </c>
      <c r="G650" s="257">
        <f>VLOOKUP(A650,import!A:J,7,0)</f>
        <v>0</v>
      </c>
      <c r="H650" s="257">
        <f>VLOOKUP(A650,import!A:J,8,0)</f>
        <v>11</v>
      </c>
      <c r="I650" s="257">
        <f>VLOOKUP(A650,import!A:J,9,0)</f>
        <v>11</v>
      </c>
      <c r="J650" s="369">
        <f>VLOOKUP(A650,import!A:J,10,0)</f>
        <v>0</v>
      </c>
      <c r="K650" s="257" t="s">
        <v>3784</v>
      </c>
      <c r="L650" s="257">
        <v>5.339340127E9</v>
      </c>
      <c r="M650" s="257" t="s">
        <v>14</v>
      </c>
      <c r="N650" s="257" t="s">
        <v>3733</v>
      </c>
      <c r="O650" s="257" t="s">
        <v>5799</v>
      </c>
      <c r="P650" s="370" t="str">
        <f>VLOOKUP(A650,import!A:P,16,0)</f>
        <v>Geleneksel</v>
      </c>
      <c r="Q650" s="370"/>
      <c r="R650" s="370" t="b">
        <v>1</v>
      </c>
      <c r="S650" s="370" t="b">
        <v>1</v>
      </c>
      <c r="T650" s="301"/>
      <c r="U650" s="379"/>
      <c r="V650" s="379"/>
      <c r="W650" s="301" t="s">
        <v>5800</v>
      </c>
      <c r="X650" s="381"/>
      <c r="Y650" s="381"/>
      <c r="Z650" s="372"/>
      <c r="AA650" s="375"/>
      <c r="AB650" s="375"/>
      <c r="AC650" s="375"/>
      <c r="AD650" s="375"/>
      <c r="AE650" s="92"/>
      <c r="AF650" s="375"/>
      <c r="AG650" s="92"/>
      <c r="AH650" s="375"/>
      <c r="AI650" s="375"/>
      <c r="AJ650" s="375"/>
      <c r="AK650" s="375"/>
      <c r="AL650" s="375"/>
      <c r="AM650" s="375"/>
      <c r="AN650" s="375"/>
      <c r="AO650" s="375"/>
      <c r="AP650" s="376" t="s">
        <v>3683</v>
      </c>
      <c r="AQ650" s="375"/>
    </row>
    <row r="651">
      <c r="A651" s="257" t="s">
        <v>5801</v>
      </c>
      <c r="B651" s="257" t="s">
        <v>5802</v>
      </c>
      <c r="C651" s="257" t="str">
        <f>VLOOKUP(A651,import!A:J,3,0)</f>
        <v>DOĞRU</v>
      </c>
      <c r="D651" s="257" t="s">
        <v>3759</v>
      </c>
      <c r="E651" s="257">
        <f>VLOOKUP(A651,import!A:J,5,0)</f>
        <v>965</v>
      </c>
      <c r="F651" s="257">
        <f>VLOOKUP(A651,import!A:J,6,0)</f>
        <v>34</v>
      </c>
      <c r="G651" s="257">
        <f>VLOOKUP(A651,import!A:J,7,0)</f>
        <v>0</v>
      </c>
      <c r="H651" s="257">
        <f>VLOOKUP(A651,import!A:J,8,0)</f>
        <v>7</v>
      </c>
      <c r="I651" s="257">
        <f>VLOOKUP(A651,import!A:J,9,0)</f>
        <v>7</v>
      </c>
      <c r="J651" s="369">
        <f>VLOOKUP(A651,import!A:J,10,0)</f>
        <v>0</v>
      </c>
      <c r="K651" s="257" t="s">
        <v>5803</v>
      </c>
      <c r="L651" s="257">
        <v>5.380940127E9</v>
      </c>
      <c r="M651" s="257" t="s">
        <v>286</v>
      </c>
      <c r="N651" s="257" t="s">
        <v>3980</v>
      </c>
      <c r="O651" s="257" t="s">
        <v>5804</v>
      </c>
      <c r="P651" s="370" t="str">
        <f>VLOOKUP(A651,import!A:P,16,0)</f>
        <v>Geleneksel</v>
      </c>
      <c r="Q651" s="370"/>
      <c r="R651" s="370" t="b">
        <v>1</v>
      </c>
      <c r="S651" s="370" t="b">
        <v>1</v>
      </c>
      <c r="T651" s="301"/>
      <c r="U651" s="301"/>
      <c r="V651" s="301"/>
      <c r="W651" s="301" t="s">
        <v>5805</v>
      </c>
      <c r="X651" s="371"/>
      <c r="Y651" s="371"/>
      <c r="Z651" s="377"/>
      <c r="AA651" s="373" t="s">
        <v>3448</v>
      </c>
      <c r="AB651" s="374">
        <v>44440.0</v>
      </c>
      <c r="AC651" s="375"/>
      <c r="AD651" s="375"/>
      <c r="AE651" s="92"/>
      <c r="AF651" s="375"/>
      <c r="AG651" s="92"/>
      <c r="AH651" s="375"/>
      <c r="AI651" s="375"/>
      <c r="AJ651" s="375"/>
      <c r="AK651" s="373" t="s">
        <v>2542</v>
      </c>
      <c r="AL651" s="375"/>
      <c r="AM651" s="375"/>
      <c r="AN651" s="375"/>
      <c r="AO651" s="375"/>
      <c r="AP651" s="376" t="s">
        <v>3686</v>
      </c>
      <c r="AQ651" s="375"/>
    </row>
    <row r="652">
      <c r="A652" s="257" t="s">
        <v>753</v>
      </c>
      <c r="B652" s="257" t="s">
        <v>754</v>
      </c>
      <c r="C652" s="257" t="str">
        <f>VLOOKUP(A652,import!A:J,3,0)</f>
        <v>DOĞRU</v>
      </c>
      <c r="D652" s="257" t="s">
        <v>3676</v>
      </c>
      <c r="E652" s="257">
        <f>VLOOKUP(A652,import!A:J,5,0)</f>
        <v>2766</v>
      </c>
      <c r="F652" s="257">
        <f>VLOOKUP(A652,import!A:J,6,0)</f>
        <v>72</v>
      </c>
      <c r="G652" s="257">
        <f>VLOOKUP(A652,import!A:J,7,0)</f>
        <v>5</v>
      </c>
      <c r="H652" s="257">
        <f>VLOOKUP(A652,import!A:J,8,0)</f>
        <v>14</v>
      </c>
      <c r="I652" s="257">
        <f>VLOOKUP(A652,import!A:J,9,0)</f>
        <v>19</v>
      </c>
      <c r="J652" s="369">
        <f>VLOOKUP(A652,import!A:J,10,0)</f>
        <v>0.26</v>
      </c>
      <c r="K652" s="257" t="s">
        <v>5806</v>
      </c>
      <c r="L652" s="257">
        <v>3.22225707E9</v>
      </c>
      <c r="M652" s="257" t="s">
        <v>286</v>
      </c>
      <c r="N652" s="257" t="s">
        <v>3754</v>
      </c>
      <c r="O652" s="257" t="s">
        <v>757</v>
      </c>
      <c r="P652" s="370" t="str">
        <f>VLOOKUP(A652,import!A:P,16,0)</f>
        <v>Geleneksel</v>
      </c>
      <c r="Q652" s="370"/>
      <c r="R652" s="370" t="b">
        <v>1</v>
      </c>
      <c r="S652" s="370" t="b">
        <v>0</v>
      </c>
      <c r="T652" s="301" t="s">
        <v>3679</v>
      </c>
      <c r="U652" s="301" t="s">
        <v>79</v>
      </c>
      <c r="V652" s="301" t="s">
        <v>4054</v>
      </c>
      <c r="W652" s="301" t="s">
        <v>5807</v>
      </c>
      <c r="X652" s="371">
        <v>44342.0</v>
      </c>
      <c r="Y652" s="371">
        <v>44344.0</v>
      </c>
      <c r="Z652" s="377"/>
      <c r="AA652" s="373" t="s">
        <v>3682</v>
      </c>
      <c r="AB652" s="374">
        <v>44476.0</v>
      </c>
      <c r="AC652" s="375"/>
      <c r="AD652" s="375"/>
      <c r="AE652" s="92"/>
      <c r="AF652" s="375"/>
      <c r="AG652" s="92"/>
      <c r="AH652" s="375"/>
      <c r="AI652" s="375"/>
      <c r="AJ652" s="375"/>
      <c r="AK652" s="373" t="s">
        <v>2418</v>
      </c>
      <c r="AL652" s="375"/>
      <c r="AM652" s="375"/>
      <c r="AN652" s="375"/>
      <c r="AO652" s="375"/>
      <c r="AP652" s="376" t="s">
        <v>3686</v>
      </c>
      <c r="AQ652" s="375"/>
    </row>
    <row r="653">
      <c r="A653" s="257" t="s">
        <v>5808</v>
      </c>
      <c r="B653" s="257" t="s">
        <v>5809</v>
      </c>
      <c r="C653" s="257" t="str">
        <f>VLOOKUP(A653,import!A:J,3,0)</f>
        <v>YANLIŞ</v>
      </c>
      <c r="D653" s="257" t="s">
        <v>4000</v>
      </c>
      <c r="E653" s="257">
        <f>VLOOKUP(A653,import!A:J,5,0)</f>
        <v>3</v>
      </c>
      <c r="F653" s="257" t="str">
        <f>VLOOKUP(A653,import!A:J,6,0)</f>
        <v/>
      </c>
      <c r="G653" s="257">
        <f>VLOOKUP(A653,import!A:J,7,0)</f>
        <v>0</v>
      </c>
      <c r="H653" s="257">
        <f>VLOOKUP(A653,import!A:J,8,0)</f>
        <v>46</v>
      </c>
      <c r="I653" s="257">
        <f>VLOOKUP(A653,import!A:J,9,0)</f>
        <v>46</v>
      </c>
      <c r="J653" s="369">
        <f>VLOOKUP(A653,import!A:J,10,0)</f>
        <v>0</v>
      </c>
      <c r="K653" s="257" t="s">
        <v>5810</v>
      </c>
      <c r="L653" s="257">
        <v>5.524723009E9</v>
      </c>
      <c r="M653" s="257" t="s">
        <v>14</v>
      </c>
      <c r="N653" s="257" t="s">
        <v>3718</v>
      </c>
      <c r="O653" s="257" t="s">
        <v>5811</v>
      </c>
      <c r="P653" s="370" t="str">
        <f>VLOOKUP(A653,import!A:P,16,0)</f>
        <v>Geleneksel</v>
      </c>
      <c r="Q653" s="370"/>
      <c r="R653" s="370" t="b">
        <v>1</v>
      </c>
      <c r="S653" s="370" t="b">
        <v>0</v>
      </c>
      <c r="T653" s="301" t="s">
        <v>3770</v>
      </c>
      <c r="U653" s="379"/>
      <c r="V653" s="379"/>
      <c r="W653" s="301" t="s">
        <v>5812</v>
      </c>
      <c r="X653" s="381"/>
      <c r="Y653" s="381"/>
      <c r="Z653" s="372"/>
      <c r="AA653" s="373" t="s">
        <v>3696</v>
      </c>
      <c r="AB653" s="374">
        <v>44494.0</v>
      </c>
      <c r="AC653" s="373" t="s">
        <v>3448</v>
      </c>
      <c r="AD653" s="374">
        <v>44505.0</v>
      </c>
      <c r="AE653" s="373" t="s">
        <v>3682</v>
      </c>
      <c r="AF653" s="374">
        <v>44508.0</v>
      </c>
      <c r="AG653" s="373"/>
      <c r="AH653" s="374"/>
      <c r="AI653" s="375"/>
      <c r="AJ653" s="375"/>
      <c r="AK653" s="373" t="s">
        <v>2941</v>
      </c>
      <c r="AL653" s="373" t="s">
        <v>2542</v>
      </c>
      <c r="AM653" s="373" t="s">
        <v>2542</v>
      </c>
      <c r="AN653" s="373"/>
      <c r="AO653" s="375"/>
      <c r="AP653" s="376" t="s">
        <v>3683</v>
      </c>
      <c r="AQ653" s="375"/>
    </row>
    <row r="654">
      <c r="A654" s="257" t="s">
        <v>5813</v>
      </c>
      <c r="B654" s="257" t="s">
        <v>5814</v>
      </c>
      <c r="C654" s="257" t="str">
        <f>VLOOKUP(A654,import!A:J,3,0)</f>
        <v>DOĞRU</v>
      </c>
      <c r="D654" s="257" t="s">
        <v>3878</v>
      </c>
      <c r="E654" s="257">
        <f>VLOOKUP(A654,import!A:J,5,0)</f>
        <v>806</v>
      </c>
      <c r="F654" s="257">
        <f>VLOOKUP(A654,import!A:J,6,0)</f>
        <v>13</v>
      </c>
      <c r="G654" s="257">
        <f>VLOOKUP(A654,import!A:J,7,0)</f>
        <v>0</v>
      </c>
      <c r="H654" s="257">
        <f>VLOOKUP(A654,import!A:J,8,0)</f>
        <v>52</v>
      </c>
      <c r="I654" s="257">
        <f>VLOOKUP(A654,import!A:J,9,0)</f>
        <v>52</v>
      </c>
      <c r="J654" s="369">
        <f>VLOOKUP(A654,import!A:J,10,0)</f>
        <v>0</v>
      </c>
      <c r="K654" s="257" t="s">
        <v>5815</v>
      </c>
      <c r="L654" s="257">
        <v>3.229995529E9</v>
      </c>
      <c r="M654" s="257" t="s">
        <v>286</v>
      </c>
      <c r="N654" s="257" t="s">
        <v>3737</v>
      </c>
      <c r="O654" s="257" t="s">
        <v>5816</v>
      </c>
      <c r="P654" s="370" t="str">
        <f>VLOOKUP(A654,import!A:P,16,0)</f>
        <v>Geleneksel</v>
      </c>
      <c r="Q654" s="370"/>
      <c r="R654" s="370" t="b">
        <v>1</v>
      </c>
      <c r="S654" s="370" t="b">
        <v>0</v>
      </c>
      <c r="T654" s="301" t="s">
        <v>3710</v>
      </c>
      <c r="U654" s="379"/>
      <c r="V654" s="379"/>
      <c r="W654" s="301" t="s">
        <v>5817</v>
      </c>
      <c r="X654" s="381"/>
      <c r="Y654" s="381"/>
      <c r="Z654" s="372"/>
      <c r="AA654" s="373" t="s">
        <v>3682</v>
      </c>
      <c r="AB654" s="374">
        <v>44349.0</v>
      </c>
      <c r="AC654" s="373" t="s">
        <v>3681</v>
      </c>
      <c r="AD654" s="374">
        <v>44384.0</v>
      </c>
      <c r="AE654" s="373" t="s">
        <v>3448</v>
      </c>
      <c r="AF654" s="374">
        <v>44390.0</v>
      </c>
      <c r="AG654" s="373" t="s">
        <v>3682</v>
      </c>
      <c r="AH654" s="374">
        <v>44390.0</v>
      </c>
      <c r="AI654" s="373" t="s">
        <v>3695</v>
      </c>
      <c r="AJ654" s="374">
        <v>44510.0</v>
      </c>
      <c r="AK654" s="373" t="s">
        <v>3789</v>
      </c>
      <c r="AL654" s="373" t="s">
        <v>3719</v>
      </c>
      <c r="AM654" s="373" t="s">
        <v>3719</v>
      </c>
      <c r="AN654" s="373" t="s">
        <v>3719</v>
      </c>
      <c r="AO654" s="373" t="s">
        <v>3073</v>
      </c>
      <c r="AP654" s="376" t="s">
        <v>3683</v>
      </c>
      <c r="AQ654" s="373"/>
    </row>
    <row r="655">
      <c r="A655" s="257" t="s">
        <v>2462</v>
      </c>
      <c r="B655" s="257" t="s">
        <v>2463</v>
      </c>
      <c r="C655" s="257" t="str">
        <f>VLOOKUP(A655,import!A:J,3,0)</f>
        <v>DOĞRU</v>
      </c>
      <c r="D655" s="257" t="s">
        <v>3759</v>
      </c>
      <c r="E655" s="257">
        <f>VLOOKUP(A655,import!A:J,5,0)</f>
        <v>455</v>
      </c>
      <c r="F655" s="257">
        <f>VLOOKUP(A655,import!A:J,6,0)</f>
        <v>18</v>
      </c>
      <c r="G655" s="257">
        <f>VLOOKUP(A655,import!A:J,7,0)</f>
        <v>4</v>
      </c>
      <c r="H655" s="257">
        <f>VLOOKUP(A655,import!A:J,8,0)</f>
        <v>6</v>
      </c>
      <c r="I655" s="257">
        <f>VLOOKUP(A655,import!A:J,9,0)</f>
        <v>10</v>
      </c>
      <c r="J655" s="369">
        <f>VLOOKUP(A655,import!A:J,10,0)</f>
        <v>0.4</v>
      </c>
      <c r="K655" s="257" t="s">
        <v>5818</v>
      </c>
      <c r="L655" s="257">
        <v>5.377631852E9</v>
      </c>
      <c r="M655" s="257" t="s">
        <v>286</v>
      </c>
      <c r="N655" s="257" t="s">
        <v>3688</v>
      </c>
      <c r="O655" s="257" t="s">
        <v>2465</v>
      </c>
      <c r="P655" s="370" t="str">
        <f>VLOOKUP(A655,import!A:P,16,0)</f>
        <v>Geleneksel</v>
      </c>
      <c r="Q655" s="370"/>
      <c r="R655" s="370" t="b">
        <v>1</v>
      </c>
      <c r="S655" s="370" t="b">
        <v>0</v>
      </c>
      <c r="T655" s="301" t="s">
        <v>3679</v>
      </c>
      <c r="U655" s="301" t="s">
        <v>2542</v>
      </c>
      <c r="V655" s="301" t="s">
        <v>78</v>
      </c>
      <c r="W655" s="301" t="s">
        <v>5819</v>
      </c>
      <c r="X655" s="371">
        <v>44453.0</v>
      </c>
      <c r="Y655" s="371">
        <v>44454.0</v>
      </c>
      <c r="Z655" s="372"/>
      <c r="AA655" s="373" t="s">
        <v>3682</v>
      </c>
      <c r="AB655" s="374">
        <v>44445.0</v>
      </c>
      <c r="AC655" s="373" t="s">
        <v>3682</v>
      </c>
      <c r="AD655" s="374">
        <v>44453.0</v>
      </c>
      <c r="AE655" s="92"/>
      <c r="AF655" s="375"/>
      <c r="AG655" s="92"/>
      <c r="AH655" s="375"/>
      <c r="AI655" s="375"/>
      <c r="AJ655" s="375"/>
      <c r="AK655" s="373" t="s">
        <v>79</v>
      </c>
      <c r="AL655" s="373" t="s">
        <v>2542</v>
      </c>
      <c r="AM655" s="375"/>
      <c r="AN655" s="375"/>
      <c r="AO655" s="375"/>
      <c r="AP655" s="376" t="s">
        <v>3686</v>
      </c>
      <c r="AQ655" s="375"/>
    </row>
    <row r="656">
      <c r="A656" s="257" t="s">
        <v>3528</v>
      </c>
      <c r="B656" s="257" t="s">
        <v>3529</v>
      </c>
      <c r="C656" s="257" t="str">
        <f>VLOOKUP(A656,import!A:J,3,0)</f>
        <v>DOĞRU</v>
      </c>
      <c r="D656" s="257" t="s">
        <v>3699</v>
      </c>
      <c r="E656" s="257" t="str">
        <f>VLOOKUP(A656,import!A:J,5,0)</f>
        <v/>
      </c>
      <c r="F656" s="257" t="str">
        <f>VLOOKUP(A656,import!A:J,6,0)</f>
        <v/>
      </c>
      <c r="G656" s="257">
        <f>VLOOKUP(A656,import!A:J,7,0)</f>
        <v>0</v>
      </c>
      <c r="H656" s="257">
        <f>VLOOKUP(A656,import!A:J,8,0)</f>
        <v>14</v>
      </c>
      <c r="I656" s="257">
        <f>VLOOKUP(A656,import!A:J,9,0)</f>
        <v>14</v>
      </c>
      <c r="J656" s="369">
        <f>VLOOKUP(A656,import!A:J,10,0)</f>
        <v>0</v>
      </c>
      <c r="K656" s="257" t="s">
        <v>5820</v>
      </c>
      <c r="L656" s="257">
        <v>5.356911611E9</v>
      </c>
      <c r="M656" s="257" t="s">
        <v>14</v>
      </c>
      <c r="N656" s="257" t="s">
        <v>3718</v>
      </c>
      <c r="O656" s="257" t="s">
        <v>3531</v>
      </c>
      <c r="P656" s="370" t="str">
        <f>VLOOKUP(A656,import!A:P,16,0)</f>
        <v>Geleneksel</v>
      </c>
      <c r="Q656" s="370"/>
      <c r="R656" s="370" t="b">
        <v>1</v>
      </c>
      <c r="S656" s="370" t="b">
        <v>0</v>
      </c>
      <c r="T656" s="301" t="s">
        <v>3679</v>
      </c>
      <c r="U656" s="301" t="s">
        <v>2542</v>
      </c>
      <c r="V656" s="394" t="s">
        <v>3331</v>
      </c>
      <c r="W656" s="301"/>
      <c r="X656" s="371">
        <v>44634.0</v>
      </c>
      <c r="Y656" s="371">
        <v>44635.0</v>
      </c>
      <c r="Z656" s="372"/>
      <c r="AA656" s="373" t="s">
        <v>3682</v>
      </c>
      <c r="AB656" s="371">
        <v>44634.0</v>
      </c>
      <c r="AC656" s="373"/>
      <c r="AD656" s="374"/>
      <c r="AE656" s="373"/>
      <c r="AF656" s="374"/>
      <c r="AG656" s="373"/>
      <c r="AH656" s="374"/>
      <c r="AI656" s="375"/>
      <c r="AJ656" s="375"/>
      <c r="AK656" s="373" t="s">
        <v>2542</v>
      </c>
      <c r="AL656" s="375"/>
      <c r="AM656" s="375"/>
      <c r="AN656" s="373"/>
      <c r="AO656" s="375"/>
      <c r="AP656" s="376"/>
      <c r="AQ656" s="375"/>
    </row>
    <row r="657">
      <c r="A657" s="257" t="s">
        <v>3363</v>
      </c>
      <c r="B657" s="257" t="s">
        <v>3364</v>
      </c>
      <c r="C657" s="257" t="str">
        <f>VLOOKUP(A657,import!A:J,3,0)</f>
        <v>DOĞRU</v>
      </c>
      <c r="D657" s="257" t="s">
        <v>3912</v>
      </c>
      <c r="E657" s="257">
        <f>VLOOKUP(A657,import!A:J,5,0)</f>
        <v>176</v>
      </c>
      <c r="F657" s="257">
        <f>VLOOKUP(A657,import!A:J,6,0)</f>
        <v>18</v>
      </c>
      <c r="G657" s="257">
        <f>VLOOKUP(A657,import!A:J,7,0)</f>
        <v>7</v>
      </c>
      <c r="H657" s="257">
        <f>VLOOKUP(A657,import!A:J,8,0)</f>
        <v>19</v>
      </c>
      <c r="I657" s="257">
        <f>VLOOKUP(A657,import!A:J,9,0)</f>
        <v>26</v>
      </c>
      <c r="J657" s="369">
        <f>VLOOKUP(A657,import!A:J,10,0)</f>
        <v>0.27</v>
      </c>
      <c r="K657" s="257" t="s">
        <v>5821</v>
      </c>
      <c r="L657" s="257">
        <v>5.396534305E9</v>
      </c>
      <c r="M657" s="257" t="s">
        <v>286</v>
      </c>
      <c r="N657" s="257" t="s">
        <v>3806</v>
      </c>
      <c r="O657" s="257" t="s">
        <v>5822</v>
      </c>
      <c r="P657" s="370" t="str">
        <f>VLOOKUP(A657,import!A:P,16,0)</f>
        <v>Geleneksel</v>
      </c>
      <c r="Q657" s="370"/>
      <c r="R657" s="370" t="b">
        <v>1</v>
      </c>
      <c r="S657" s="370" t="b">
        <v>0</v>
      </c>
      <c r="T657" s="301" t="s">
        <v>3679</v>
      </c>
      <c r="U657" s="301" t="s">
        <v>2576</v>
      </c>
      <c r="V657" s="402" t="s">
        <v>3331</v>
      </c>
      <c r="W657" s="301" t="s">
        <v>5823</v>
      </c>
      <c r="X657" s="371">
        <v>44620.0</v>
      </c>
      <c r="Y657" s="371">
        <v>44621.0</v>
      </c>
      <c r="Z657" s="372"/>
      <c r="AA657" s="373" t="s">
        <v>3682</v>
      </c>
      <c r="AB657" s="374">
        <v>44620.0</v>
      </c>
      <c r="AC657" s="373"/>
      <c r="AD657" s="374"/>
      <c r="AE657" s="373"/>
      <c r="AF657" s="374"/>
      <c r="AG657" s="373"/>
      <c r="AH657" s="374"/>
      <c r="AI657" s="375"/>
      <c r="AJ657" s="375"/>
      <c r="AK657" s="373" t="s">
        <v>2576</v>
      </c>
      <c r="AL657" s="375"/>
      <c r="AM657" s="375"/>
      <c r="AN657" s="373"/>
      <c r="AO657" s="375"/>
      <c r="AP657" s="376"/>
      <c r="AQ657" s="375"/>
    </row>
    <row r="658">
      <c r="A658" s="257" t="s">
        <v>5824</v>
      </c>
      <c r="B658" s="257" t="s">
        <v>5825</v>
      </c>
      <c r="C658" s="257" t="str">
        <f>VLOOKUP(A658,import!A:J,3,0)</f>
        <v>DOĞRU</v>
      </c>
      <c r="D658" s="257" t="s">
        <v>3676</v>
      </c>
      <c r="E658" s="257">
        <f>VLOOKUP(A658,import!A:J,5,0)</f>
        <v>1046</v>
      </c>
      <c r="F658" s="257" t="str">
        <f>VLOOKUP(A658,import!A:J,6,0)</f>
        <v/>
      </c>
      <c r="G658" s="257">
        <f>VLOOKUP(A658,import!A:J,7,0)</f>
        <v>0</v>
      </c>
      <c r="H658" s="257">
        <f>VLOOKUP(A658,import!A:J,8,0)</f>
        <v>14</v>
      </c>
      <c r="I658" s="257">
        <f>VLOOKUP(A658,import!A:J,9,0)</f>
        <v>14</v>
      </c>
      <c r="J658" s="369">
        <f>VLOOKUP(A658,import!A:J,10,0)</f>
        <v>0</v>
      </c>
      <c r="K658" s="257" t="s">
        <v>5826</v>
      </c>
      <c r="L658" s="257">
        <v>3.225000016E9</v>
      </c>
      <c r="M658" s="257" t="s">
        <v>286</v>
      </c>
      <c r="N658" s="257" t="s">
        <v>3782</v>
      </c>
      <c r="O658" s="257" t="s">
        <v>5827</v>
      </c>
      <c r="P658" s="370" t="str">
        <f>VLOOKUP(A658,import!A:P,16,0)</f>
        <v>Geleneksel</v>
      </c>
      <c r="Q658" s="370"/>
      <c r="R658" s="370" t="b">
        <v>1</v>
      </c>
      <c r="S658" s="370" t="b">
        <v>1</v>
      </c>
      <c r="T658" s="301"/>
      <c r="U658" s="379"/>
      <c r="V658" s="379"/>
      <c r="W658" s="301" t="s">
        <v>5828</v>
      </c>
      <c r="X658" s="381"/>
      <c r="Y658" s="381"/>
      <c r="Z658" s="372"/>
      <c r="AA658" s="373" t="s">
        <v>3682</v>
      </c>
      <c r="AB658" s="374">
        <v>44442.0</v>
      </c>
      <c r="AC658" s="373" t="s">
        <v>3682</v>
      </c>
      <c r="AD658" s="374">
        <v>44450.0</v>
      </c>
      <c r="AE658" s="373" t="s">
        <v>3682</v>
      </c>
      <c r="AF658" s="374">
        <v>44454.0</v>
      </c>
      <c r="AG658" s="373" t="s">
        <v>3682</v>
      </c>
      <c r="AH658" s="374">
        <v>44459.0</v>
      </c>
      <c r="AI658" s="373" t="s">
        <v>3682</v>
      </c>
      <c r="AJ658" s="374">
        <v>44490.0</v>
      </c>
      <c r="AK658" s="373" t="s">
        <v>399</v>
      </c>
      <c r="AL658" s="373" t="s">
        <v>2542</v>
      </c>
      <c r="AM658" s="373" t="s">
        <v>2542</v>
      </c>
      <c r="AN658" s="373" t="s">
        <v>2542</v>
      </c>
      <c r="AO658" s="373" t="s">
        <v>2542</v>
      </c>
      <c r="AP658" s="376" t="s">
        <v>3686</v>
      </c>
      <c r="AQ658" s="373"/>
    </row>
    <row r="659">
      <c r="A659" s="257" t="s">
        <v>5829</v>
      </c>
      <c r="B659" s="257" t="s">
        <v>5830</v>
      </c>
      <c r="C659" s="257" t="str">
        <f>VLOOKUP(A659,import!A:J,3,0)</f>
        <v>DOĞRU</v>
      </c>
      <c r="D659" s="257" t="s">
        <v>4468</v>
      </c>
      <c r="E659" s="257">
        <f>VLOOKUP(A659,import!A:J,5,0)</f>
        <v>37</v>
      </c>
      <c r="F659" s="257">
        <f>VLOOKUP(A659,import!A:J,6,0)</f>
        <v>14</v>
      </c>
      <c r="G659" s="257">
        <f>VLOOKUP(A659,import!A:J,7,0)</f>
        <v>0</v>
      </c>
      <c r="H659" s="257">
        <f>VLOOKUP(A659,import!A:J,8,0)</f>
        <v>41</v>
      </c>
      <c r="I659" s="257">
        <f>VLOOKUP(A659,import!A:J,9,0)</f>
        <v>41</v>
      </c>
      <c r="J659" s="369">
        <f>VLOOKUP(A659,import!A:J,10,0)</f>
        <v>0</v>
      </c>
      <c r="K659" s="257" t="s">
        <v>5831</v>
      </c>
      <c r="L659" s="257">
        <v>5.523510812E9</v>
      </c>
      <c r="M659" s="257" t="s">
        <v>286</v>
      </c>
      <c r="N659" s="257" t="s">
        <v>3754</v>
      </c>
      <c r="O659" s="257" t="s">
        <v>5832</v>
      </c>
      <c r="P659" s="370" t="str">
        <f>VLOOKUP(A659,import!A:P,16,0)</f>
        <v>Geleneksel</v>
      </c>
      <c r="Q659" s="370"/>
      <c r="R659" s="370" t="b">
        <v>0</v>
      </c>
      <c r="S659" s="370" t="b">
        <v>0</v>
      </c>
      <c r="T659" s="301" t="s">
        <v>3866</v>
      </c>
      <c r="U659" s="301"/>
      <c r="V659" s="301"/>
      <c r="W659" s="301" t="s">
        <v>5833</v>
      </c>
      <c r="X659" s="371"/>
      <c r="Y659" s="371"/>
      <c r="Z659" s="372"/>
      <c r="AA659" s="373" t="s">
        <v>3682</v>
      </c>
      <c r="AB659" s="374">
        <v>44637.0</v>
      </c>
      <c r="AC659" s="373"/>
      <c r="AD659" s="374"/>
      <c r="AE659" s="373"/>
      <c r="AF659" s="374"/>
      <c r="AG659" s="373"/>
      <c r="AH659" s="374"/>
      <c r="AI659" s="373"/>
      <c r="AJ659" s="374"/>
      <c r="AK659" s="373" t="s">
        <v>2542</v>
      </c>
      <c r="AL659" s="373"/>
      <c r="AM659" s="373"/>
      <c r="AN659" s="373"/>
      <c r="AO659" s="373"/>
      <c r="AP659" s="376"/>
      <c r="AQ659" s="373"/>
    </row>
    <row r="660">
      <c r="A660" s="257" t="s">
        <v>5834</v>
      </c>
      <c r="B660" s="257" t="s">
        <v>5835</v>
      </c>
      <c r="C660" s="257" t="str">
        <f>VLOOKUP(A660,import!A:J,3,0)</f>
        <v>DOĞRU</v>
      </c>
      <c r="D660" s="257" t="s">
        <v>3994</v>
      </c>
      <c r="E660" s="257">
        <f>VLOOKUP(A660,import!A:J,5,0)</f>
        <v>2120</v>
      </c>
      <c r="F660" s="257">
        <f>VLOOKUP(A660,import!A:J,6,0)</f>
        <v>41</v>
      </c>
      <c r="G660" s="257">
        <f>VLOOKUP(A660,import!A:J,7,0)</f>
        <v>0</v>
      </c>
      <c r="H660" s="257">
        <f>VLOOKUP(A660,import!A:J,8,0)</f>
        <v>125</v>
      </c>
      <c r="I660" s="257">
        <f>VLOOKUP(A660,import!A:J,9,0)</f>
        <v>125</v>
      </c>
      <c r="J660" s="369">
        <f>VLOOKUP(A660,import!A:J,10,0)</f>
        <v>0</v>
      </c>
      <c r="K660" s="257" t="s">
        <v>5836</v>
      </c>
      <c r="L660" s="257">
        <v>5.331630177E9</v>
      </c>
      <c r="M660" s="257" t="s">
        <v>286</v>
      </c>
      <c r="N660" s="257" t="s">
        <v>3737</v>
      </c>
      <c r="O660" s="257" t="s">
        <v>5837</v>
      </c>
      <c r="P660" s="370" t="str">
        <f>VLOOKUP(A660,import!A:P,16,0)</f>
        <v>Geleneksel</v>
      </c>
      <c r="Q660" s="370"/>
      <c r="R660" s="370" t="b">
        <v>1</v>
      </c>
      <c r="S660" s="370" t="b">
        <v>0</v>
      </c>
      <c r="T660" s="301" t="s">
        <v>4960</v>
      </c>
      <c r="U660" s="379"/>
      <c r="V660" s="379"/>
      <c r="W660" s="301" t="s">
        <v>5838</v>
      </c>
      <c r="X660" s="381"/>
      <c r="Y660" s="381"/>
      <c r="Z660" s="372"/>
      <c r="AA660" s="373" t="s">
        <v>3448</v>
      </c>
      <c r="AB660" s="374">
        <v>44379.0</v>
      </c>
      <c r="AC660" s="373" t="s">
        <v>3682</v>
      </c>
      <c r="AD660" s="374">
        <v>44384.0</v>
      </c>
      <c r="AE660" s="373" t="s">
        <v>3682</v>
      </c>
      <c r="AF660" s="374">
        <v>44412.0</v>
      </c>
      <c r="AG660" s="373" t="s">
        <v>3448</v>
      </c>
      <c r="AH660" s="374">
        <v>44433.0</v>
      </c>
      <c r="AI660" s="373" t="s">
        <v>3682</v>
      </c>
      <c r="AJ660" s="374">
        <v>44508.0</v>
      </c>
      <c r="AK660" s="373" t="s">
        <v>1014</v>
      </c>
      <c r="AL660" s="373" t="s">
        <v>3719</v>
      </c>
      <c r="AM660" s="373" t="s">
        <v>3729</v>
      </c>
      <c r="AN660" s="373" t="s">
        <v>3723</v>
      </c>
      <c r="AO660" s="373" t="s">
        <v>2192</v>
      </c>
      <c r="AP660" s="376" t="s">
        <v>3683</v>
      </c>
      <c r="AQ660" s="373"/>
    </row>
    <row r="661">
      <c r="A661" s="376" t="s">
        <v>5839</v>
      </c>
      <c r="B661" s="376" t="s">
        <v>5840</v>
      </c>
      <c r="C661" s="257" t="str">
        <f>VLOOKUP(A661,import!A:J,3,0)</f>
        <v>DOĞRU</v>
      </c>
      <c r="D661" s="376" t="s">
        <v>3676</v>
      </c>
      <c r="E661" s="257">
        <f>VLOOKUP(A661,import!A:J,5,0)</f>
        <v>14</v>
      </c>
      <c r="F661" s="257">
        <f>VLOOKUP(A661,import!A:J,6,0)</f>
        <v>14</v>
      </c>
      <c r="G661" s="257">
        <f>VLOOKUP(A661,import!A:J,7,0)</f>
        <v>0</v>
      </c>
      <c r="H661" s="257">
        <f>VLOOKUP(A661,import!A:J,8,0)</f>
        <v>37</v>
      </c>
      <c r="I661" s="257">
        <f>VLOOKUP(A661,import!A:J,9,0)</f>
        <v>37</v>
      </c>
      <c r="J661" s="369">
        <f>VLOOKUP(A661,import!A:J,10,0)</f>
        <v>0</v>
      </c>
      <c r="K661" s="376" t="s">
        <v>5841</v>
      </c>
      <c r="L661" s="376">
        <v>3.22271026E9</v>
      </c>
      <c r="M661" s="376" t="s">
        <v>286</v>
      </c>
      <c r="N661" s="376" t="s">
        <v>4235</v>
      </c>
      <c r="O661" s="376" t="s">
        <v>5842</v>
      </c>
      <c r="P661" s="370" t="str">
        <f>VLOOKUP(A661,import!A:P,16,0)</f>
        <v>Geleneksel</v>
      </c>
      <c r="Q661" s="370"/>
      <c r="R661" s="370" t="b">
        <v>0</v>
      </c>
      <c r="S661" s="370" t="b">
        <v>0</v>
      </c>
      <c r="T661" s="301"/>
      <c r="U661" s="301"/>
      <c r="V661" s="301"/>
      <c r="W661" s="301"/>
      <c r="X661" s="371"/>
      <c r="Y661" s="371"/>
      <c r="Z661" s="372"/>
      <c r="AA661" s="373"/>
      <c r="AB661" s="374"/>
      <c r="AC661" s="373"/>
      <c r="AD661" s="374"/>
      <c r="AE661" s="373"/>
      <c r="AF661" s="374"/>
      <c r="AG661" s="373"/>
      <c r="AH661" s="374"/>
      <c r="AI661" s="373"/>
      <c r="AJ661" s="374"/>
      <c r="AK661" s="373"/>
      <c r="AL661" s="373"/>
      <c r="AM661" s="373"/>
      <c r="AN661" s="373"/>
      <c r="AO661" s="373"/>
      <c r="AP661" s="376"/>
      <c r="AQ661" s="373"/>
    </row>
    <row r="662">
      <c r="A662" s="257" t="s">
        <v>1876</v>
      </c>
      <c r="B662" s="257" t="s">
        <v>1877</v>
      </c>
      <c r="C662" s="257" t="str">
        <f>VLOOKUP(A662,import!A:J,3,0)</f>
        <v>DOĞRU</v>
      </c>
      <c r="D662" s="257" t="s">
        <v>3713</v>
      </c>
      <c r="E662" s="257">
        <f>VLOOKUP(A662,import!A:J,5,0)</f>
        <v>1180</v>
      </c>
      <c r="F662" s="257">
        <f>VLOOKUP(A662,import!A:J,6,0)</f>
        <v>49</v>
      </c>
      <c r="G662" s="257">
        <f>VLOOKUP(A662,import!A:J,7,0)</f>
        <v>0</v>
      </c>
      <c r="H662" s="257">
        <f>VLOOKUP(A662,import!A:J,8,0)</f>
        <v>13</v>
      </c>
      <c r="I662" s="257">
        <f>VLOOKUP(A662,import!A:J,9,0)</f>
        <v>13</v>
      </c>
      <c r="J662" s="369">
        <f>VLOOKUP(A662,import!A:J,10,0)</f>
        <v>0</v>
      </c>
      <c r="K662" s="257" t="s">
        <v>5843</v>
      </c>
      <c r="L662" s="257">
        <v>3.223651775E9</v>
      </c>
      <c r="M662" s="257" t="s">
        <v>286</v>
      </c>
      <c r="N662" s="257" t="s">
        <v>5844</v>
      </c>
      <c r="O662" s="257" t="s">
        <v>1880</v>
      </c>
      <c r="P662" s="370" t="str">
        <f>VLOOKUP(A662,import!A:P,16,0)</f>
        <v>Geleneksel</v>
      </c>
      <c r="Q662" s="370"/>
      <c r="R662" s="370" t="b">
        <v>1</v>
      </c>
      <c r="S662" s="370" t="b">
        <v>0</v>
      </c>
      <c r="T662" s="301" t="s">
        <v>3770</v>
      </c>
      <c r="U662" s="301" t="s">
        <v>2542</v>
      </c>
      <c r="V662" s="301" t="s">
        <v>78</v>
      </c>
      <c r="W662" s="301" t="s">
        <v>5845</v>
      </c>
      <c r="X662" s="371">
        <v>44484.0</v>
      </c>
      <c r="Y662" s="371">
        <v>44487.0</v>
      </c>
      <c r="Z662" s="372"/>
      <c r="AA662" s="373" t="s">
        <v>3682</v>
      </c>
      <c r="AB662" s="374">
        <v>44392.0</v>
      </c>
      <c r="AC662" s="373" t="s">
        <v>3695</v>
      </c>
      <c r="AD662" s="374">
        <v>44414.0</v>
      </c>
      <c r="AE662" s="373" t="s">
        <v>3682</v>
      </c>
      <c r="AF662" s="374">
        <v>44452.0</v>
      </c>
      <c r="AG662" s="373" t="s">
        <v>3682</v>
      </c>
      <c r="AH662" s="374">
        <v>44484.0</v>
      </c>
      <c r="AI662" s="375"/>
      <c r="AJ662" s="375"/>
      <c r="AK662" s="373" t="s">
        <v>4089</v>
      </c>
      <c r="AL662" s="373" t="s">
        <v>3729</v>
      </c>
      <c r="AM662" s="373" t="s">
        <v>2542</v>
      </c>
      <c r="AN662" s="373" t="s">
        <v>2542</v>
      </c>
      <c r="AO662" s="375"/>
      <c r="AP662" s="376" t="s">
        <v>3686</v>
      </c>
      <c r="AQ662" s="375"/>
    </row>
    <row r="663">
      <c r="A663" s="257" t="s">
        <v>2123</v>
      </c>
      <c r="B663" s="257" t="s">
        <v>2124</v>
      </c>
      <c r="C663" s="257" t="str">
        <f>VLOOKUP(A663,import!A:J,3,0)</f>
        <v>DOĞRU</v>
      </c>
      <c r="D663" s="257" t="s">
        <v>3699</v>
      </c>
      <c r="E663" s="257">
        <f>VLOOKUP(A663,import!A:J,5,0)</f>
        <v>506</v>
      </c>
      <c r="F663" s="257">
        <f>VLOOKUP(A663,import!A:J,6,0)</f>
        <v>89</v>
      </c>
      <c r="G663" s="257">
        <f>VLOOKUP(A663,import!A:J,7,0)</f>
        <v>16</v>
      </c>
      <c r="H663" s="257">
        <f>VLOOKUP(A663,import!A:J,8,0)</f>
        <v>4</v>
      </c>
      <c r="I663" s="257">
        <f>VLOOKUP(A663,import!A:J,9,0)</f>
        <v>20</v>
      </c>
      <c r="J663" s="369">
        <f>VLOOKUP(A663,import!A:J,10,0)</f>
        <v>0.8</v>
      </c>
      <c r="K663" s="257" t="s">
        <v>5846</v>
      </c>
      <c r="L663" s="257">
        <v>5.451150405E9</v>
      </c>
      <c r="M663" s="257" t="s">
        <v>286</v>
      </c>
      <c r="N663" s="257" t="s">
        <v>4263</v>
      </c>
      <c r="O663" s="257" t="s">
        <v>2127</v>
      </c>
      <c r="P663" s="370" t="str">
        <f>VLOOKUP(A663,import!A:P,16,0)</f>
        <v>Geleneksel</v>
      </c>
      <c r="Q663" s="370"/>
      <c r="R663" s="370" t="b">
        <v>1</v>
      </c>
      <c r="S663" s="370" t="b">
        <v>1</v>
      </c>
      <c r="T663" s="301"/>
      <c r="U663" s="301" t="s">
        <v>3723</v>
      </c>
      <c r="V663" s="301" t="s">
        <v>78</v>
      </c>
      <c r="W663" s="301" t="s">
        <v>5847</v>
      </c>
      <c r="X663" s="371">
        <v>44433.0</v>
      </c>
      <c r="Y663" s="371">
        <v>44435.0</v>
      </c>
      <c r="Z663" s="301" t="s">
        <v>3808</v>
      </c>
      <c r="AA663" s="373" t="s">
        <v>3682</v>
      </c>
      <c r="AB663" s="374">
        <v>44389.0</v>
      </c>
      <c r="AC663" s="373" t="s">
        <v>3682</v>
      </c>
      <c r="AD663" s="374">
        <v>44433.0</v>
      </c>
      <c r="AE663" s="373" t="s">
        <v>3682</v>
      </c>
      <c r="AF663" s="374">
        <v>44440.0</v>
      </c>
      <c r="AG663" s="92"/>
      <c r="AH663" s="375"/>
      <c r="AI663" s="375"/>
      <c r="AJ663" s="375"/>
      <c r="AK663" s="373" t="s">
        <v>4089</v>
      </c>
      <c r="AL663" s="373" t="s">
        <v>3723</v>
      </c>
      <c r="AM663" s="373" t="s">
        <v>2542</v>
      </c>
      <c r="AN663" s="375"/>
      <c r="AO663" s="375"/>
      <c r="AP663" s="376" t="s">
        <v>3686</v>
      </c>
      <c r="AQ663" s="375"/>
    </row>
    <row r="664">
      <c r="A664" s="257" t="s">
        <v>5848</v>
      </c>
      <c r="B664" s="257" t="s">
        <v>5849</v>
      </c>
      <c r="C664" s="257" t="str">
        <f>VLOOKUP(A664,import!A:J,3,0)</f>
        <v>DOĞRU</v>
      </c>
      <c r="D664" s="257" t="s">
        <v>3994</v>
      </c>
      <c r="E664" s="257">
        <f>VLOOKUP(A664,import!A:J,5,0)</f>
        <v>261</v>
      </c>
      <c r="F664" s="257">
        <f>VLOOKUP(A664,import!A:J,6,0)</f>
        <v>84</v>
      </c>
      <c r="G664" s="257">
        <f>VLOOKUP(A664,import!A:J,7,0)</f>
        <v>0</v>
      </c>
      <c r="H664" s="257">
        <f>VLOOKUP(A664,import!A:J,8,0)</f>
        <v>9</v>
      </c>
      <c r="I664" s="257">
        <f>VLOOKUP(A664,import!A:J,9,0)</f>
        <v>9</v>
      </c>
      <c r="J664" s="369">
        <f>VLOOKUP(A664,import!A:J,10,0)</f>
        <v>0</v>
      </c>
      <c r="K664" s="257" t="s">
        <v>5850</v>
      </c>
      <c r="L664" s="257">
        <v>5.466920016E9</v>
      </c>
      <c r="M664" s="257" t="s">
        <v>3814</v>
      </c>
      <c r="N664" s="257" t="s">
        <v>3815</v>
      </c>
      <c r="O664" s="257" t="s">
        <v>5851</v>
      </c>
      <c r="P664" s="370" t="str">
        <f>VLOOKUP(A664,import!A:P,16,0)</f>
        <v>Geleneksel</v>
      </c>
      <c r="Q664" s="370"/>
      <c r="R664" s="370" t="b">
        <v>0</v>
      </c>
      <c r="S664" s="370" t="b">
        <v>0</v>
      </c>
      <c r="T664" s="301"/>
      <c r="U664" s="301"/>
      <c r="V664" s="301"/>
      <c r="W664" s="301"/>
      <c r="X664" s="371"/>
      <c r="Y664" s="371"/>
      <c r="Z664" s="372"/>
      <c r="AA664" s="373"/>
      <c r="AB664" s="374"/>
      <c r="AC664" s="373"/>
      <c r="AD664" s="374"/>
      <c r="AE664" s="373"/>
      <c r="AF664" s="374"/>
      <c r="AG664" s="373"/>
      <c r="AH664" s="374"/>
      <c r="AI664" s="373"/>
      <c r="AJ664" s="374"/>
      <c r="AK664" s="373"/>
      <c r="AL664" s="373"/>
      <c r="AM664" s="373"/>
      <c r="AN664" s="373"/>
      <c r="AO664" s="373"/>
      <c r="AP664" s="376"/>
      <c r="AQ664" s="373"/>
    </row>
    <row r="665">
      <c r="A665" s="257" t="s">
        <v>5852</v>
      </c>
      <c r="B665" s="257" t="s">
        <v>5853</v>
      </c>
      <c r="C665" s="257" t="str">
        <f>VLOOKUP(A665,import!A:J,3,0)</f>
        <v>DOĞRU</v>
      </c>
      <c r="D665" s="257" t="s">
        <v>3713</v>
      </c>
      <c r="E665" s="257">
        <f>VLOOKUP(A665,import!A:J,5,0)</f>
        <v>1565</v>
      </c>
      <c r="F665" s="257">
        <f>VLOOKUP(A665,import!A:J,6,0)</f>
        <v>40</v>
      </c>
      <c r="G665" s="257">
        <f>VLOOKUP(A665,import!A:J,7,0)</f>
        <v>0</v>
      </c>
      <c r="H665" s="257">
        <f>VLOOKUP(A665,import!A:J,8,0)</f>
        <v>17</v>
      </c>
      <c r="I665" s="257">
        <f>VLOOKUP(A665,import!A:J,9,0)</f>
        <v>17</v>
      </c>
      <c r="J665" s="369">
        <f>VLOOKUP(A665,import!A:J,10,0)</f>
        <v>0</v>
      </c>
      <c r="K665" s="257" t="s">
        <v>5854</v>
      </c>
      <c r="L665" s="257">
        <v>5.414865354E9</v>
      </c>
      <c r="M665" s="257" t="s">
        <v>3701</v>
      </c>
      <c r="N665" s="257" t="s">
        <v>5095</v>
      </c>
      <c r="O665" s="257" t="s">
        <v>5855</v>
      </c>
      <c r="P665" s="370" t="str">
        <f>VLOOKUP(A665,import!A:P,16,0)</f>
        <v>Geleneksel</v>
      </c>
      <c r="Q665" s="370"/>
      <c r="R665" s="370" t="b">
        <v>1</v>
      </c>
      <c r="S665" s="370" t="b">
        <v>0</v>
      </c>
      <c r="T665" s="301" t="s">
        <v>3696</v>
      </c>
      <c r="U665" s="379"/>
      <c r="V665" s="379"/>
      <c r="W665" s="301" t="s">
        <v>5856</v>
      </c>
      <c r="X665" s="381"/>
      <c r="Y665" s="381"/>
      <c r="Z665" s="372"/>
      <c r="AA665" s="373" t="s">
        <v>3682</v>
      </c>
      <c r="AB665" s="374">
        <v>44433.0</v>
      </c>
      <c r="AC665" s="375"/>
      <c r="AD665" s="375"/>
      <c r="AE665" s="92"/>
      <c r="AF665" s="375"/>
      <c r="AG665" s="92"/>
      <c r="AH665" s="375"/>
      <c r="AI665" s="375"/>
      <c r="AJ665" s="375"/>
      <c r="AK665" s="373" t="s">
        <v>3723</v>
      </c>
      <c r="AL665" s="375"/>
      <c r="AM665" s="375"/>
      <c r="AN665" s="375"/>
      <c r="AO665" s="375"/>
      <c r="AP665" s="376" t="s">
        <v>3686</v>
      </c>
      <c r="AQ665" s="375"/>
    </row>
    <row r="666">
      <c r="A666" s="266" t="s">
        <v>347</v>
      </c>
      <c r="B666" s="266" t="s">
        <v>348</v>
      </c>
      <c r="C666" s="257" t="str">
        <f>VLOOKUP(A666,import!A:J,3,0)</f>
        <v>DOĞRU</v>
      </c>
      <c r="D666" s="266" t="s">
        <v>3676</v>
      </c>
      <c r="E666" s="257">
        <f>VLOOKUP(A666,import!A:J,5,0)</f>
        <v>1612</v>
      </c>
      <c r="F666" s="257">
        <f>VLOOKUP(A666,import!A:J,6,0)</f>
        <v>131</v>
      </c>
      <c r="G666" s="257">
        <f>VLOOKUP(A666,import!A:J,7,0)</f>
        <v>13</v>
      </c>
      <c r="H666" s="257">
        <f>VLOOKUP(A666,import!A:J,8,0)</f>
        <v>6</v>
      </c>
      <c r="I666" s="257">
        <f>VLOOKUP(A666,import!A:J,9,0)</f>
        <v>19</v>
      </c>
      <c r="J666" s="369">
        <f>VLOOKUP(A666,import!A:J,10,0)</f>
        <v>0.68</v>
      </c>
      <c r="K666" s="266" t="s">
        <v>5857</v>
      </c>
      <c r="L666" s="266">
        <v>5.372656367E9</v>
      </c>
      <c r="M666" s="266" t="s">
        <v>14</v>
      </c>
      <c r="N666" s="266" t="s">
        <v>3767</v>
      </c>
      <c r="O666" s="266" t="s">
        <v>351</v>
      </c>
      <c r="P666" s="370" t="str">
        <f>VLOOKUP(A666,import!A:P,16,0)</f>
        <v>Geleneksel</v>
      </c>
      <c r="Q666" s="370"/>
      <c r="R666" s="370" t="b">
        <v>1</v>
      </c>
      <c r="S666" s="370" t="b">
        <v>0</v>
      </c>
      <c r="T666" s="301" t="s">
        <v>3679</v>
      </c>
      <c r="U666" s="301" t="s">
        <v>2542</v>
      </c>
      <c r="V666" s="301" t="s">
        <v>78</v>
      </c>
      <c r="W666" s="301" t="s">
        <v>5858</v>
      </c>
      <c r="X666" s="371">
        <v>44480.0</v>
      </c>
      <c r="Y666" s="371">
        <v>44481.0</v>
      </c>
      <c r="Z666" s="377"/>
      <c r="AA666" s="373" t="s">
        <v>3682</v>
      </c>
      <c r="AB666" s="374">
        <v>44469.0</v>
      </c>
      <c r="AC666" s="373" t="s">
        <v>3682</v>
      </c>
      <c r="AD666" s="374">
        <v>44480.0</v>
      </c>
      <c r="AE666" s="92"/>
      <c r="AF666" s="375"/>
      <c r="AG666" s="92"/>
      <c r="AH666" s="375"/>
      <c r="AI666" s="375"/>
      <c r="AJ666" s="375"/>
      <c r="AK666" s="373" t="s">
        <v>2282</v>
      </c>
      <c r="AL666" s="373" t="s">
        <v>2542</v>
      </c>
      <c r="AM666" s="375"/>
      <c r="AN666" s="375"/>
      <c r="AO666" s="375"/>
      <c r="AP666" s="376" t="s">
        <v>3683</v>
      </c>
      <c r="AQ666" s="375"/>
    </row>
    <row r="667">
      <c r="A667" s="257" t="s">
        <v>5859</v>
      </c>
      <c r="B667" s="257" t="s">
        <v>5860</v>
      </c>
      <c r="C667" s="257" t="str">
        <f>VLOOKUP(A667,import!A:J,3,0)</f>
        <v>DOĞRU</v>
      </c>
      <c r="D667" s="257" t="s">
        <v>4000</v>
      </c>
      <c r="E667" s="257">
        <f>VLOOKUP(A667,import!A:J,5,0)</f>
        <v>24</v>
      </c>
      <c r="F667" s="257">
        <f>VLOOKUP(A667,import!A:J,6,0)</f>
        <v>7</v>
      </c>
      <c r="G667" s="257">
        <f>VLOOKUP(A667,import!A:J,7,0)</f>
        <v>0</v>
      </c>
      <c r="H667" s="257">
        <f>VLOOKUP(A667,import!A:J,8,0)</f>
        <v>37</v>
      </c>
      <c r="I667" s="257">
        <f>VLOOKUP(A667,import!A:J,9,0)</f>
        <v>37</v>
      </c>
      <c r="J667" s="369">
        <f>VLOOKUP(A667,import!A:J,10,0)</f>
        <v>0</v>
      </c>
      <c r="K667" s="257" t="s">
        <v>5861</v>
      </c>
      <c r="L667" s="257">
        <v>5.325223433E9</v>
      </c>
      <c r="M667" s="257" t="s">
        <v>286</v>
      </c>
      <c r="N667" s="257" t="s">
        <v>3754</v>
      </c>
      <c r="O667" s="257" t="s">
        <v>5862</v>
      </c>
      <c r="P667" s="370" t="str">
        <f>VLOOKUP(A667,import!A:P,16,0)</f>
        <v>Geleneksel</v>
      </c>
      <c r="Q667" s="370"/>
      <c r="R667" s="370" t="b">
        <v>0</v>
      </c>
      <c r="S667" s="370" t="b">
        <v>0</v>
      </c>
      <c r="T667" s="301"/>
      <c r="U667" s="301"/>
      <c r="V667" s="301"/>
      <c r="W667" s="301"/>
      <c r="X667" s="371"/>
      <c r="Y667" s="371"/>
      <c r="Z667" s="372"/>
      <c r="AA667" s="373"/>
      <c r="AB667" s="374"/>
      <c r="AC667" s="373"/>
      <c r="AD667" s="374"/>
      <c r="AE667" s="373"/>
      <c r="AF667" s="374"/>
      <c r="AG667" s="373"/>
      <c r="AH667" s="374"/>
      <c r="AI667" s="373"/>
      <c r="AJ667" s="374"/>
      <c r="AK667" s="373"/>
      <c r="AL667" s="373"/>
      <c r="AM667" s="373"/>
      <c r="AN667" s="373"/>
      <c r="AO667" s="373"/>
      <c r="AP667" s="376"/>
      <c r="AQ667" s="373"/>
    </row>
    <row r="668">
      <c r="A668" s="266" t="s">
        <v>5863</v>
      </c>
      <c r="B668" s="266" t="s">
        <v>5864</v>
      </c>
      <c r="C668" s="257" t="str">
        <f>VLOOKUP(A668,import!A:J,3,0)</f>
        <v>DOĞRU</v>
      </c>
      <c r="D668" s="266" t="s">
        <v>3713</v>
      </c>
      <c r="E668" s="257">
        <f>VLOOKUP(A668,import!A:J,5,0)</f>
        <v>1023</v>
      </c>
      <c r="F668" s="257">
        <f>VLOOKUP(A668,import!A:J,6,0)</f>
        <v>43</v>
      </c>
      <c r="G668" s="257">
        <f>VLOOKUP(A668,import!A:J,7,0)</f>
        <v>0</v>
      </c>
      <c r="H668" s="257">
        <f>VLOOKUP(A668,import!A:J,8,0)</f>
        <v>18</v>
      </c>
      <c r="I668" s="257">
        <f>VLOOKUP(A668,import!A:J,9,0)</f>
        <v>18</v>
      </c>
      <c r="J668" s="369">
        <f>VLOOKUP(A668,import!A:J,10,0)</f>
        <v>0</v>
      </c>
      <c r="K668" s="266" t="s">
        <v>5865</v>
      </c>
      <c r="L668" s="266">
        <v>3.224366487E9</v>
      </c>
      <c r="M668" s="266" t="s">
        <v>286</v>
      </c>
      <c r="N668" s="266" t="s">
        <v>5751</v>
      </c>
      <c r="O668" s="266" t="s">
        <v>5866</v>
      </c>
      <c r="P668" s="370" t="str">
        <f>VLOOKUP(A668,import!A:P,16,0)</f>
        <v>Geleneksel</v>
      </c>
      <c r="Q668" s="370"/>
      <c r="R668" s="370" t="b">
        <v>1</v>
      </c>
      <c r="S668" s="370" t="b">
        <v>0</v>
      </c>
      <c r="T668" s="301" t="s">
        <v>4065</v>
      </c>
      <c r="U668" s="379"/>
      <c r="V668" s="379"/>
      <c r="W668" s="301" t="s">
        <v>5867</v>
      </c>
      <c r="X668" s="381"/>
      <c r="Y668" s="381"/>
      <c r="Z668" s="372"/>
      <c r="AA668" s="373" t="s">
        <v>3682</v>
      </c>
      <c r="AB668" s="374">
        <v>44390.0</v>
      </c>
      <c r="AC668" s="373" t="s">
        <v>3681</v>
      </c>
      <c r="AD668" s="374">
        <v>44433.0</v>
      </c>
      <c r="AE668" s="92"/>
      <c r="AF668" s="375"/>
      <c r="AG668" s="92"/>
      <c r="AH668" s="375"/>
      <c r="AI668" s="375"/>
      <c r="AJ668" s="375"/>
      <c r="AK668" s="373" t="s">
        <v>3719</v>
      </c>
      <c r="AL668" s="373" t="s">
        <v>3723</v>
      </c>
      <c r="AM668" s="375"/>
      <c r="AN668" s="375"/>
      <c r="AO668" s="375"/>
      <c r="AP668" s="376" t="s">
        <v>3686</v>
      </c>
      <c r="AQ668" s="375"/>
    </row>
    <row r="669">
      <c r="A669" s="257" t="s">
        <v>2098</v>
      </c>
      <c r="B669" s="257" t="s">
        <v>2099</v>
      </c>
      <c r="C669" s="257" t="str">
        <f>VLOOKUP(A669,import!A:J,3,0)</f>
        <v>DOĞRU</v>
      </c>
      <c r="D669" s="257" t="s">
        <v>3676</v>
      </c>
      <c r="E669" s="257">
        <f>VLOOKUP(A669,import!A:J,5,0)</f>
        <v>534</v>
      </c>
      <c r="F669" s="257" t="str">
        <f>VLOOKUP(A669,import!A:J,6,0)</f>
        <v/>
      </c>
      <c r="G669" s="257">
        <f>VLOOKUP(A669,import!A:J,7,0)</f>
        <v>4</v>
      </c>
      <c r="H669" s="257">
        <f>VLOOKUP(A669,import!A:J,8,0)</f>
        <v>1</v>
      </c>
      <c r="I669" s="257">
        <f>VLOOKUP(A669,import!A:J,9,0)</f>
        <v>5</v>
      </c>
      <c r="J669" s="369">
        <f>VLOOKUP(A669,import!A:J,10,0)</f>
        <v>0.8</v>
      </c>
      <c r="K669" s="257" t="s">
        <v>5868</v>
      </c>
      <c r="L669" s="257">
        <v>5.302091085E9</v>
      </c>
      <c r="M669" s="257" t="s">
        <v>3707</v>
      </c>
      <c r="N669" s="257" t="s">
        <v>3815</v>
      </c>
      <c r="O669" s="257" t="s">
        <v>2102</v>
      </c>
      <c r="P669" s="370" t="str">
        <f>VLOOKUP(A669,import!A:P,16,0)</f>
        <v>Geleneksel</v>
      </c>
      <c r="Q669" s="370"/>
      <c r="R669" s="370" t="b">
        <v>1</v>
      </c>
      <c r="S669" s="370" t="b">
        <v>0</v>
      </c>
      <c r="T669" s="301" t="s">
        <v>3679</v>
      </c>
      <c r="U669" s="301" t="s">
        <v>3723</v>
      </c>
      <c r="V669" s="301" t="s">
        <v>78</v>
      </c>
      <c r="W669" s="301"/>
      <c r="X669" s="371">
        <v>44432.0</v>
      </c>
      <c r="Y669" s="371">
        <v>44435.0</v>
      </c>
      <c r="Z669" s="372"/>
      <c r="AA669" s="373" t="s">
        <v>3682</v>
      </c>
      <c r="AB669" s="374">
        <v>44432.0</v>
      </c>
      <c r="AC669" s="375"/>
      <c r="AD669" s="375"/>
      <c r="AE669" s="92"/>
      <c r="AF669" s="375"/>
      <c r="AG669" s="92"/>
      <c r="AH669" s="375"/>
      <c r="AI669" s="375"/>
      <c r="AJ669" s="375"/>
      <c r="AK669" s="373" t="s">
        <v>3723</v>
      </c>
      <c r="AL669" s="375"/>
      <c r="AM669" s="375"/>
      <c r="AN669" s="375"/>
      <c r="AO669" s="375"/>
      <c r="AP669" s="376" t="s">
        <v>3686</v>
      </c>
      <c r="AQ669" s="375"/>
    </row>
    <row r="670">
      <c r="A670" s="257" t="s">
        <v>5869</v>
      </c>
      <c r="B670" s="257" t="s">
        <v>5870</v>
      </c>
      <c r="C670" s="257" t="str">
        <f>VLOOKUP(A670,import!A:J,3,0)</f>
        <v>YANLIŞ</v>
      </c>
      <c r="D670" s="257" t="s">
        <v>3713</v>
      </c>
      <c r="E670" s="257">
        <f>VLOOKUP(A670,import!A:J,5,0)</f>
        <v>124</v>
      </c>
      <c r="F670" s="257" t="str">
        <f>VLOOKUP(A670,import!A:J,6,0)</f>
        <v/>
      </c>
      <c r="G670" s="257">
        <f>VLOOKUP(A670,import!A:J,7,0)</f>
        <v>0</v>
      </c>
      <c r="H670" s="257">
        <f>VLOOKUP(A670,import!A:J,8,0)</f>
        <v>28</v>
      </c>
      <c r="I670" s="257">
        <f>VLOOKUP(A670,import!A:J,9,0)</f>
        <v>28</v>
      </c>
      <c r="J670" s="369">
        <f>VLOOKUP(A670,import!A:J,10,0)</f>
        <v>0</v>
      </c>
      <c r="K670" s="257" t="s">
        <v>5871</v>
      </c>
      <c r="L670" s="257">
        <v>5.330192201E9</v>
      </c>
      <c r="M670" s="257" t="s">
        <v>14</v>
      </c>
      <c r="N670" s="257" t="s">
        <v>3797</v>
      </c>
      <c r="O670" s="257" t="s">
        <v>5872</v>
      </c>
      <c r="P670" s="370" t="str">
        <f>VLOOKUP(A670,import!A:P,16,0)</f>
        <v>Geleneksel</v>
      </c>
      <c r="Q670" s="370"/>
      <c r="R670" s="370" t="b">
        <v>1</v>
      </c>
      <c r="S670" s="370" t="b">
        <v>1</v>
      </c>
      <c r="T670" s="301"/>
      <c r="U670" s="379"/>
      <c r="V670" s="15"/>
      <c r="W670" s="301" t="s">
        <v>5873</v>
      </c>
      <c r="X670" s="381"/>
      <c r="Y670" s="381"/>
      <c r="Z670" s="372"/>
      <c r="AA670" s="373" t="s">
        <v>3448</v>
      </c>
      <c r="AB670" s="374">
        <v>44375.0</v>
      </c>
      <c r="AC670" s="373" t="s">
        <v>3448</v>
      </c>
      <c r="AD670" s="374">
        <v>44440.0</v>
      </c>
      <c r="AE670" s="92"/>
      <c r="AF670" s="375"/>
      <c r="AG670" s="92"/>
      <c r="AH670" s="375"/>
      <c r="AI670" s="375"/>
      <c r="AJ670" s="375"/>
      <c r="AK670" s="373" t="s">
        <v>399</v>
      </c>
      <c r="AL670" s="373" t="s">
        <v>2542</v>
      </c>
      <c r="AM670" s="375"/>
      <c r="AN670" s="375"/>
      <c r="AO670" s="375"/>
      <c r="AP670" s="376" t="s">
        <v>3683</v>
      </c>
      <c r="AQ670" s="375"/>
    </row>
    <row r="671">
      <c r="A671" s="257" t="s">
        <v>2133</v>
      </c>
      <c r="B671" s="257" t="s">
        <v>2134</v>
      </c>
      <c r="C671" s="257" t="str">
        <f>VLOOKUP(A671,import!A:J,3,0)</f>
        <v>DOĞRU</v>
      </c>
      <c r="D671" s="257" t="s">
        <v>3676</v>
      </c>
      <c r="E671" s="257">
        <f>VLOOKUP(A671,import!A:J,5,0)</f>
        <v>914</v>
      </c>
      <c r="F671" s="257" t="str">
        <f>VLOOKUP(A671,import!A:J,6,0)</f>
        <v/>
      </c>
      <c r="G671" s="257">
        <f>VLOOKUP(A671,import!A:J,7,0)</f>
        <v>13</v>
      </c>
      <c r="H671" s="257">
        <f>VLOOKUP(A671,import!A:J,8,0)</f>
        <v>2</v>
      </c>
      <c r="I671" s="257">
        <f>VLOOKUP(A671,import!A:J,9,0)</f>
        <v>15</v>
      </c>
      <c r="J671" s="369">
        <f>VLOOKUP(A671,import!A:J,10,0)</f>
        <v>0.87</v>
      </c>
      <c r="K671" s="257" t="s">
        <v>5874</v>
      </c>
      <c r="L671" s="257">
        <v>3.224321907E9</v>
      </c>
      <c r="M671" s="257" t="s">
        <v>286</v>
      </c>
      <c r="N671" s="257" t="s">
        <v>4874</v>
      </c>
      <c r="O671" s="257" t="s">
        <v>2137</v>
      </c>
      <c r="P671" s="370" t="str">
        <f>VLOOKUP(A671,import!A:P,16,0)</f>
        <v>Geleneksel</v>
      </c>
      <c r="Q671" s="370"/>
      <c r="R671" s="370" t="b">
        <v>1</v>
      </c>
      <c r="S671" s="370" t="b">
        <v>0</v>
      </c>
      <c r="T671" s="301" t="s">
        <v>3679</v>
      </c>
      <c r="U671" s="301" t="s">
        <v>79</v>
      </c>
      <c r="V671" s="301" t="s">
        <v>78</v>
      </c>
      <c r="W671" s="301" t="s">
        <v>5875</v>
      </c>
      <c r="X671" s="371">
        <v>44455.0</v>
      </c>
      <c r="Y671" s="371">
        <v>44456.0</v>
      </c>
      <c r="Z671" s="372"/>
      <c r="AA671" s="373" t="s">
        <v>3448</v>
      </c>
      <c r="AB671" s="374">
        <v>44431.0</v>
      </c>
      <c r="AC671" s="373" t="s">
        <v>3682</v>
      </c>
      <c r="AD671" s="374">
        <v>44433.0</v>
      </c>
      <c r="AE671" s="373"/>
      <c r="AF671" s="374"/>
      <c r="AG671" s="92"/>
      <c r="AH671" s="375"/>
      <c r="AI671" s="375"/>
      <c r="AJ671" s="375"/>
      <c r="AK671" s="373" t="s">
        <v>3729</v>
      </c>
      <c r="AL671" s="373" t="s">
        <v>3723</v>
      </c>
      <c r="AM671" s="375"/>
      <c r="AN671" s="375"/>
      <c r="AO671" s="375"/>
      <c r="AP671" s="376" t="s">
        <v>3686</v>
      </c>
      <c r="AQ671" s="375"/>
    </row>
    <row r="672">
      <c r="A672" s="257" t="s">
        <v>5876</v>
      </c>
      <c r="B672" s="257" t="s">
        <v>5877</v>
      </c>
      <c r="C672" s="257" t="str">
        <f>VLOOKUP(A672,import!A:J,3,0)</f>
        <v>DOĞRU</v>
      </c>
      <c r="D672" s="257" t="s">
        <v>5878</v>
      </c>
      <c r="E672" s="257">
        <f>VLOOKUP(A672,import!A:J,5,0)</f>
        <v>538</v>
      </c>
      <c r="F672" s="257">
        <f>VLOOKUP(A672,import!A:J,6,0)</f>
        <v>57</v>
      </c>
      <c r="G672" s="257">
        <f>VLOOKUP(A672,import!A:J,7,0)</f>
        <v>0</v>
      </c>
      <c r="H672" s="257">
        <f>VLOOKUP(A672,import!A:J,8,0)</f>
        <v>69</v>
      </c>
      <c r="I672" s="257">
        <f>VLOOKUP(A672,import!A:J,9,0)</f>
        <v>69</v>
      </c>
      <c r="J672" s="369">
        <f>VLOOKUP(A672,import!A:J,10,0)</f>
        <v>0</v>
      </c>
      <c r="K672" s="257" t="s">
        <v>5879</v>
      </c>
      <c r="L672" s="257">
        <v>3.222360098E9</v>
      </c>
      <c r="M672" s="257" t="s">
        <v>14</v>
      </c>
      <c r="N672" s="257" t="s">
        <v>3797</v>
      </c>
      <c r="O672" s="257" t="s">
        <v>5880</v>
      </c>
      <c r="P672" s="370" t="str">
        <f>VLOOKUP(A672,import!A:P,16,0)</f>
        <v>Geleneksel</v>
      </c>
      <c r="Q672" s="370"/>
      <c r="R672" s="370" t="b">
        <v>0</v>
      </c>
      <c r="S672" s="370" t="b">
        <v>0</v>
      </c>
      <c r="T672" s="301" t="s">
        <v>3696</v>
      </c>
      <c r="U672" s="379"/>
      <c r="V672" s="379"/>
      <c r="W672" s="301" t="s">
        <v>5881</v>
      </c>
      <c r="X672" s="381"/>
      <c r="Y672" s="381"/>
      <c r="Z672" s="372"/>
      <c r="AA672" s="373" t="s">
        <v>3682</v>
      </c>
      <c r="AB672" s="374">
        <v>44557.0</v>
      </c>
      <c r="AC672" s="373"/>
      <c r="AD672" s="374"/>
      <c r="AE672" s="373"/>
      <c r="AF672" s="374"/>
      <c r="AG672" s="373"/>
      <c r="AH672" s="374"/>
      <c r="AI672" s="375"/>
      <c r="AJ672" s="375"/>
      <c r="AK672" s="373" t="s">
        <v>2542</v>
      </c>
      <c r="AL672" s="375"/>
      <c r="AM672" s="375"/>
      <c r="AN672" s="373"/>
      <c r="AO672" s="375"/>
      <c r="AP672" s="376"/>
      <c r="AQ672" s="375"/>
    </row>
    <row r="673">
      <c r="A673" s="257" t="s">
        <v>5882</v>
      </c>
      <c r="B673" s="257" t="s">
        <v>5883</v>
      </c>
      <c r="C673" s="257" t="str">
        <f>VLOOKUP(A673,import!A:J,3,0)</f>
        <v>DOĞRU</v>
      </c>
      <c r="D673" s="257" t="s">
        <v>5878</v>
      </c>
      <c r="E673" s="257">
        <f>VLOOKUP(A673,import!A:J,5,0)</f>
        <v>182</v>
      </c>
      <c r="F673" s="257">
        <f>VLOOKUP(A673,import!A:J,6,0)</f>
        <v>2</v>
      </c>
      <c r="G673" s="257">
        <f>VLOOKUP(A673,import!A:J,7,0)</f>
        <v>0</v>
      </c>
      <c r="H673" s="257">
        <f>VLOOKUP(A673,import!A:J,8,0)</f>
        <v>69</v>
      </c>
      <c r="I673" s="257">
        <f>VLOOKUP(A673,import!A:J,9,0)</f>
        <v>69</v>
      </c>
      <c r="J673" s="369">
        <f>VLOOKUP(A673,import!A:J,10,0)</f>
        <v>0</v>
      </c>
      <c r="K673" s="257" t="s">
        <v>5884</v>
      </c>
      <c r="L673" s="257">
        <v>3.224562626E9</v>
      </c>
      <c r="M673" s="257" t="s">
        <v>286</v>
      </c>
      <c r="N673" s="257" t="s">
        <v>3737</v>
      </c>
      <c r="O673" s="257" t="s">
        <v>5885</v>
      </c>
      <c r="P673" s="370" t="str">
        <f>VLOOKUP(A673,import!A:P,16,0)</f>
        <v>Geleneksel</v>
      </c>
      <c r="Q673" s="370"/>
      <c r="R673" s="370" t="b">
        <v>1</v>
      </c>
      <c r="S673" s="370" t="b">
        <v>0</v>
      </c>
      <c r="T673" s="301" t="s">
        <v>3696</v>
      </c>
      <c r="U673" s="379"/>
      <c r="V673" s="379"/>
      <c r="W673" s="301" t="s">
        <v>5886</v>
      </c>
      <c r="X673" s="381"/>
      <c r="Y673" s="381"/>
      <c r="Z673" s="372"/>
      <c r="AA673" s="373" t="s">
        <v>3681</v>
      </c>
      <c r="AB673" s="374">
        <v>44566.0</v>
      </c>
      <c r="AC673" s="373" t="s">
        <v>3696</v>
      </c>
      <c r="AD673" s="374">
        <v>44566.0</v>
      </c>
      <c r="AE673" s="373"/>
      <c r="AF673" s="374"/>
      <c r="AG673" s="373"/>
      <c r="AH673" s="374"/>
      <c r="AI673" s="375"/>
      <c r="AJ673" s="375"/>
      <c r="AK673" s="373" t="s">
        <v>2542</v>
      </c>
      <c r="AL673" s="373" t="s">
        <v>2192</v>
      </c>
      <c r="AM673" s="375"/>
      <c r="AN673" s="373"/>
      <c r="AO673" s="375"/>
      <c r="AP673" s="376"/>
      <c r="AQ673" s="375"/>
    </row>
    <row r="674">
      <c r="A674" s="257" t="s">
        <v>5887</v>
      </c>
      <c r="B674" s="257" t="s">
        <v>5888</v>
      </c>
      <c r="C674" s="257" t="str">
        <f>VLOOKUP(A674,import!A:J,3,0)</f>
        <v>DOĞRU</v>
      </c>
      <c r="D674" s="257" t="s">
        <v>4572</v>
      </c>
      <c r="E674" s="257">
        <f>VLOOKUP(A674,import!A:J,5,0)</f>
        <v>119</v>
      </c>
      <c r="F674" s="257">
        <f>VLOOKUP(A674,import!A:J,6,0)</f>
        <v>45</v>
      </c>
      <c r="G674" s="257">
        <f>VLOOKUP(A674,import!A:J,7,0)</f>
        <v>0</v>
      </c>
      <c r="H674" s="257">
        <f>VLOOKUP(A674,import!A:J,8,0)</f>
        <v>9</v>
      </c>
      <c r="I674" s="257">
        <f>VLOOKUP(A674,import!A:J,9,0)</f>
        <v>9</v>
      </c>
      <c r="J674" s="369">
        <f>VLOOKUP(A674,import!A:J,10,0)</f>
        <v>0</v>
      </c>
      <c r="K674" s="257" t="s">
        <v>5889</v>
      </c>
      <c r="L674" s="257">
        <v>5.524121408E9</v>
      </c>
      <c r="M674" s="257" t="s">
        <v>3701</v>
      </c>
      <c r="N674" s="257" t="s">
        <v>5095</v>
      </c>
      <c r="O674" s="257" t="s">
        <v>5890</v>
      </c>
      <c r="P674" s="370" t="str">
        <f>VLOOKUP(A674,import!A:P,16,0)</f>
        <v>Geleneksel</v>
      </c>
      <c r="Q674" s="370"/>
      <c r="R674" s="370" t="b">
        <v>0</v>
      </c>
      <c r="S674" s="370" t="b">
        <v>0</v>
      </c>
      <c r="T674" s="301"/>
      <c r="U674" s="301"/>
      <c r="V674" s="301"/>
      <c r="W674" s="301"/>
      <c r="X674" s="371"/>
      <c r="Y674" s="371"/>
      <c r="Z674" s="372"/>
      <c r="AA674" s="373"/>
      <c r="AB674" s="374"/>
      <c r="AC674" s="373"/>
      <c r="AD674" s="374"/>
      <c r="AE674" s="373"/>
      <c r="AF674" s="374"/>
      <c r="AG674" s="373"/>
      <c r="AH674" s="374"/>
      <c r="AI674" s="373"/>
      <c r="AJ674" s="374"/>
      <c r="AK674" s="373"/>
      <c r="AL674" s="373"/>
      <c r="AM674" s="373"/>
      <c r="AN674" s="373"/>
      <c r="AO674" s="373"/>
      <c r="AP674" s="376"/>
      <c r="AQ674" s="373"/>
    </row>
    <row r="675">
      <c r="A675" s="257" t="s">
        <v>5891</v>
      </c>
      <c r="B675" s="257" t="s">
        <v>5892</v>
      </c>
      <c r="C675" s="257" t="str">
        <f>VLOOKUP(A675,import!A:J,3,0)</f>
        <v>DOĞRU</v>
      </c>
      <c r="D675" s="257" t="s">
        <v>3713</v>
      </c>
      <c r="E675" s="257">
        <f>VLOOKUP(A675,import!A:J,5,0)</f>
        <v>2563</v>
      </c>
      <c r="F675" s="257">
        <f>VLOOKUP(A675,import!A:J,6,0)</f>
        <v>20</v>
      </c>
      <c r="G675" s="257">
        <f>VLOOKUP(A675,import!A:J,7,0)</f>
        <v>0</v>
      </c>
      <c r="H675" s="257">
        <f>VLOOKUP(A675,import!A:J,8,0)</f>
        <v>39</v>
      </c>
      <c r="I675" s="257">
        <f>VLOOKUP(A675,import!A:J,9,0)</f>
        <v>39</v>
      </c>
      <c r="J675" s="369">
        <f>VLOOKUP(A675,import!A:J,10,0)</f>
        <v>0</v>
      </c>
      <c r="K675" s="257" t="s">
        <v>5893</v>
      </c>
      <c r="L675" s="257">
        <v>3.222391705E9</v>
      </c>
      <c r="M675" s="257" t="s">
        <v>14</v>
      </c>
      <c r="N675" s="257" t="s">
        <v>3935</v>
      </c>
      <c r="O675" s="257" t="s">
        <v>5894</v>
      </c>
      <c r="P675" s="370" t="str">
        <f>VLOOKUP(A675,import!A:P,16,0)</f>
        <v>Geleneksel</v>
      </c>
      <c r="Q675" s="370"/>
      <c r="R675" s="370" t="b">
        <v>1</v>
      </c>
      <c r="S675" s="370" t="b">
        <v>1</v>
      </c>
      <c r="T675" s="301"/>
      <c r="U675" s="379"/>
      <c r="V675" s="379"/>
      <c r="W675" s="301" t="s">
        <v>5895</v>
      </c>
      <c r="X675" s="381"/>
      <c r="Y675" s="381"/>
      <c r="Z675" s="372"/>
      <c r="AA675" s="373" t="s">
        <v>3682</v>
      </c>
      <c r="AB675" s="374">
        <v>44348.0</v>
      </c>
      <c r="AC675" s="373" t="s">
        <v>3682</v>
      </c>
      <c r="AD675" s="374">
        <v>44383.0</v>
      </c>
      <c r="AE675" s="373" t="s">
        <v>3696</v>
      </c>
      <c r="AF675" s="374">
        <v>44412.0</v>
      </c>
      <c r="AG675" s="373" t="s">
        <v>3682</v>
      </c>
      <c r="AH675" s="374">
        <v>44424.0</v>
      </c>
      <c r="AI675" s="373" t="s">
        <v>3682</v>
      </c>
      <c r="AJ675" s="374">
        <v>44523.0</v>
      </c>
      <c r="AK675" s="373" t="s">
        <v>111</v>
      </c>
      <c r="AL675" s="373" t="s">
        <v>79</v>
      </c>
      <c r="AM675" s="373" t="s">
        <v>3723</v>
      </c>
      <c r="AN675" s="373" t="s">
        <v>3723</v>
      </c>
      <c r="AO675" s="373" t="s">
        <v>2941</v>
      </c>
      <c r="AP675" s="376" t="s">
        <v>3683</v>
      </c>
      <c r="AQ675" s="373"/>
    </row>
    <row r="676">
      <c r="A676" s="257" t="s">
        <v>5896</v>
      </c>
      <c r="B676" s="257" t="s">
        <v>5897</v>
      </c>
      <c r="C676" s="257" t="str">
        <f>VLOOKUP(A676,import!A:J,3,0)</f>
        <v>DOĞRU</v>
      </c>
      <c r="D676" s="257" t="s">
        <v>3883</v>
      </c>
      <c r="E676" s="257">
        <f>VLOOKUP(A676,import!A:J,5,0)</f>
        <v>66</v>
      </c>
      <c r="F676" s="257">
        <f>VLOOKUP(A676,import!A:J,6,0)</f>
        <v>14</v>
      </c>
      <c r="G676" s="257">
        <f>VLOOKUP(A676,import!A:J,7,0)</f>
        <v>1</v>
      </c>
      <c r="H676" s="257">
        <f>VLOOKUP(A676,import!A:J,8,0)</f>
        <v>24</v>
      </c>
      <c r="I676" s="257">
        <f>VLOOKUP(A676,import!A:J,9,0)</f>
        <v>25</v>
      </c>
      <c r="J676" s="369">
        <f>VLOOKUP(A676,import!A:J,10,0)</f>
        <v>0.04</v>
      </c>
      <c r="K676" s="257" t="s">
        <v>5898</v>
      </c>
      <c r="L676" s="257">
        <v>5.442789699E9</v>
      </c>
      <c r="M676" s="257" t="s">
        <v>14</v>
      </c>
      <c r="N676" s="257" t="s">
        <v>3767</v>
      </c>
      <c r="O676" s="257" t="s">
        <v>5899</v>
      </c>
      <c r="P676" s="370" t="str">
        <f>VLOOKUP(A676,import!A:P,16,0)</f>
        <v>Geleneksel</v>
      </c>
      <c r="Q676" s="370"/>
      <c r="R676" s="370" t="b">
        <v>1</v>
      </c>
      <c r="S676" s="370" t="b">
        <v>1</v>
      </c>
      <c r="T676" s="301"/>
      <c r="U676" s="301"/>
      <c r="V676" s="301"/>
      <c r="W676" s="301" t="s">
        <v>5900</v>
      </c>
      <c r="X676" s="371"/>
      <c r="Y676" s="371"/>
      <c r="Z676" s="372"/>
      <c r="AA676" s="373" t="s">
        <v>3682</v>
      </c>
      <c r="AB676" s="374">
        <v>44630.0</v>
      </c>
      <c r="AC676" s="373"/>
      <c r="AD676" s="374"/>
      <c r="AE676" s="373"/>
      <c r="AF676" s="374"/>
      <c r="AG676" s="373"/>
      <c r="AH676" s="374"/>
      <c r="AI676" s="373"/>
      <c r="AJ676" s="374"/>
      <c r="AK676" s="373" t="s">
        <v>2576</v>
      </c>
      <c r="AL676" s="373"/>
      <c r="AM676" s="373"/>
      <c r="AN676" s="373"/>
      <c r="AO676" s="373"/>
      <c r="AP676" s="376"/>
      <c r="AQ676" s="373"/>
    </row>
    <row r="677">
      <c r="A677" s="257" t="s">
        <v>5901</v>
      </c>
      <c r="B677" s="257" t="s">
        <v>5902</v>
      </c>
      <c r="C677" s="257" t="str">
        <f>VLOOKUP(A677,import!A:J,3,0)</f>
        <v>DOĞRU</v>
      </c>
      <c r="D677" s="257" t="s">
        <v>3994</v>
      </c>
      <c r="E677" s="257">
        <f>VLOOKUP(A677,import!A:J,5,0)</f>
        <v>1362</v>
      </c>
      <c r="F677" s="257">
        <f>VLOOKUP(A677,import!A:J,6,0)</f>
        <v>118</v>
      </c>
      <c r="G677" s="257">
        <f>VLOOKUP(A677,import!A:J,7,0)</f>
        <v>18</v>
      </c>
      <c r="H677" s="257">
        <f>VLOOKUP(A677,import!A:J,8,0)</f>
        <v>59</v>
      </c>
      <c r="I677" s="257">
        <f>VLOOKUP(A677,import!A:J,9,0)</f>
        <v>77</v>
      </c>
      <c r="J677" s="369">
        <f>VLOOKUP(A677,import!A:J,10,0)</f>
        <v>0.23</v>
      </c>
      <c r="K677" s="257" t="s">
        <v>5903</v>
      </c>
      <c r="L677" s="257">
        <v>3.222614747E9</v>
      </c>
      <c r="M677" s="257" t="s">
        <v>286</v>
      </c>
      <c r="N677" s="257" t="s">
        <v>5904</v>
      </c>
      <c r="O677" s="257" t="s">
        <v>5905</v>
      </c>
      <c r="P677" s="370" t="str">
        <f>VLOOKUP(A677,import!A:P,16,0)</f>
        <v>Geleneksel</v>
      </c>
      <c r="Q677" s="370"/>
      <c r="R677" s="370" t="b">
        <v>1</v>
      </c>
      <c r="S677" s="370" t="b">
        <v>1</v>
      </c>
      <c r="T677" s="300" t="s">
        <v>3735</v>
      </c>
      <c r="U677" s="379"/>
      <c r="V677" s="379"/>
      <c r="W677" s="301" t="s">
        <v>5906</v>
      </c>
      <c r="X677" s="381"/>
      <c r="Y677" s="381"/>
      <c r="Z677" s="372"/>
      <c r="AA677" s="373" t="s">
        <v>3682</v>
      </c>
      <c r="AB677" s="374">
        <v>44466.0</v>
      </c>
      <c r="AC677" s="373"/>
      <c r="AD677" s="374"/>
      <c r="AE677" s="373"/>
      <c r="AF677" s="374"/>
      <c r="AG677" s="92"/>
      <c r="AH677" s="375"/>
      <c r="AI677" s="375"/>
      <c r="AJ677" s="375"/>
      <c r="AK677" s="373" t="s">
        <v>2542</v>
      </c>
      <c r="AL677" s="375"/>
      <c r="AM677" s="375"/>
      <c r="AN677" s="375"/>
      <c r="AO677" s="375"/>
      <c r="AP677" s="376" t="s">
        <v>3686</v>
      </c>
      <c r="AQ677" s="375"/>
    </row>
    <row r="678">
      <c r="A678" s="257" t="s">
        <v>1291</v>
      </c>
      <c r="B678" s="257" t="s">
        <v>1292</v>
      </c>
      <c r="C678" s="257" t="str">
        <f>VLOOKUP(A678,import!A:J,3,0)</f>
        <v>DOĞRU</v>
      </c>
      <c r="D678" s="257" t="s">
        <v>3994</v>
      </c>
      <c r="E678" s="257">
        <f>VLOOKUP(A678,import!A:J,5,0)</f>
        <v>2103</v>
      </c>
      <c r="F678" s="257">
        <f>VLOOKUP(A678,import!A:J,6,0)</f>
        <v>85</v>
      </c>
      <c r="G678" s="257">
        <f>VLOOKUP(A678,import!A:J,7,0)</f>
        <v>33</v>
      </c>
      <c r="H678" s="257">
        <f>VLOOKUP(A678,import!A:J,8,0)</f>
        <v>90</v>
      </c>
      <c r="I678" s="257">
        <f>VLOOKUP(A678,import!A:J,9,0)</f>
        <v>123</v>
      </c>
      <c r="J678" s="369">
        <f>VLOOKUP(A678,import!A:J,10,0)</f>
        <v>0.27</v>
      </c>
      <c r="K678" s="257" t="s">
        <v>5903</v>
      </c>
      <c r="L678" s="257">
        <v>5.309594547E9</v>
      </c>
      <c r="M678" s="257" t="s">
        <v>14</v>
      </c>
      <c r="N678" s="257" t="s">
        <v>3797</v>
      </c>
      <c r="O678" s="257" t="s">
        <v>1294</v>
      </c>
      <c r="P678" s="370" t="str">
        <f>VLOOKUP(A678,import!A:P,16,0)</f>
        <v>Geleneksel</v>
      </c>
      <c r="Q678" s="370"/>
      <c r="R678" s="370" t="b">
        <v>1</v>
      </c>
      <c r="S678" s="370" t="b">
        <v>0</v>
      </c>
      <c r="T678" s="301" t="s">
        <v>3679</v>
      </c>
      <c r="U678" s="301" t="s">
        <v>2706</v>
      </c>
      <c r="V678" s="301" t="s">
        <v>78</v>
      </c>
      <c r="W678" s="301" t="s">
        <v>5907</v>
      </c>
      <c r="X678" s="371">
        <v>44382.0</v>
      </c>
      <c r="Y678" s="371">
        <v>44384.0</v>
      </c>
      <c r="Z678" s="372"/>
      <c r="AA678" s="373" t="s">
        <v>3448</v>
      </c>
      <c r="AB678" s="374">
        <v>44348.0</v>
      </c>
      <c r="AC678" s="373" t="s">
        <v>3681</v>
      </c>
      <c r="AD678" s="374">
        <v>44379.0</v>
      </c>
      <c r="AE678" s="373" t="s">
        <v>3682</v>
      </c>
      <c r="AF678" s="374">
        <v>44382.0</v>
      </c>
      <c r="AG678" s="373" t="s">
        <v>3695</v>
      </c>
      <c r="AH678" s="374">
        <v>44464.0</v>
      </c>
      <c r="AI678" s="373" t="s">
        <v>3695</v>
      </c>
      <c r="AJ678" s="374">
        <v>44469.0</v>
      </c>
      <c r="AK678" s="373" t="s">
        <v>79</v>
      </c>
      <c r="AL678" s="373" t="s">
        <v>1014</v>
      </c>
      <c r="AM678" s="373" t="s">
        <v>2706</v>
      </c>
      <c r="AN678" s="373" t="s">
        <v>2576</v>
      </c>
      <c r="AO678" s="373" t="s">
        <v>2282</v>
      </c>
      <c r="AP678" s="376" t="s">
        <v>3683</v>
      </c>
      <c r="AQ678" s="373"/>
    </row>
    <row r="679">
      <c r="A679" s="257" t="s">
        <v>5908</v>
      </c>
      <c r="B679" s="257" t="s">
        <v>5909</v>
      </c>
      <c r="C679" s="257" t="str">
        <f>VLOOKUP(A679,import!A:J,3,0)</f>
        <v>DOĞRU</v>
      </c>
      <c r="D679" s="257" t="s">
        <v>3994</v>
      </c>
      <c r="E679" s="257">
        <f>VLOOKUP(A679,import!A:J,5,0)</f>
        <v>3511</v>
      </c>
      <c r="F679" s="257">
        <f>VLOOKUP(A679,import!A:J,6,0)</f>
        <v>202</v>
      </c>
      <c r="G679" s="257">
        <f>VLOOKUP(A679,import!A:J,7,0)</f>
        <v>12</v>
      </c>
      <c r="H679" s="257">
        <f>VLOOKUP(A679,import!A:J,8,0)</f>
        <v>57</v>
      </c>
      <c r="I679" s="257">
        <f>VLOOKUP(A679,import!A:J,9,0)</f>
        <v>69</v>
      </c>
      <c r="J679" s="369">
        <f>VLOOKUP(A679,import!A:J,10,0)</f>
        <v>0.17</v>
      </c>
      <c r="K679" s="257" t="s">
        <v>5903</v>
      </c>
      <c r="L679" s="257">
        <v>3.222480545E9</v>
      </c>
      <c r="M679" s="257" t="s">
        <v>14</v>
      </c>
      <c r="N679" s="257" t="s">
        <v>3935</v>
      </c>
      <c r="O679" s="257" t="s">
        <v>5910</v>
      </c>
      <c r="P679" s="370" t="str">
        <f>VLOOKUP(A679,import!A:P,16,0)</f>
        <v>Geleneksel</v>
      </c>
      <c r="Q679" s="370"/>
      <c r="R679" s="370" t="b">
        <v>1</v>
      </c>
      <c r="S679" s="370" t="b">
        <v>0</v>
      </c>
      <c r="T679" s="300" t="s">
        <v>3735</v>
      </c>
      <c r="U679" s="389"/>
      <c r="V679" s="389"/>
      <c r="W679" s="389" t="s">
        <v>5911</v>
      </c>
      <c r="X679" s="390"/>
      <c r="Y679" s="390"/>
      <c r="Z679" s="391"/>
      <c r="AA679" s="373" t="s">
        <v>3448</v>
      </c>
      <c r="AB679" s="374">
        <v>44357.0</v>
      </c>
      <c r="AC679" s="373" t="s">
        <v>3695</v>
      </c>
      <c r="AD679" s="374">
        <v>44372.0</v>
      </c>
      <c r="AE679" s="373" t="s">
        <v>3681</v>
      </c>
      <c r="AF679" s="374">
        <v>44379.0</v>
      </c>
      <c r="AG679" s="373" t="s">
        <v>3695</v>
      </c>
      <c r="AH679" s="374">
        <v>44383.0</v>
      </c>
      <c r="AI679" s="375"/>
      <c r="AJ679" s="375"/>
      <c r="AK679" s="373" t="s">
        <v>3789</v>
      </c>
      <c r="AL679" s="373" t="s">
        <v>3719</v>
      </c>
      <c r="AM679" s="373" t="s">
        <v>1014</v>
      </c>
      <c r="AN679" s="373" t="s">
        <v>79</v>
      </c>
      <c r="AO679" s="375"/>
      <c r="AP679" s="376" t="s">
        <v>3683</v>
      </c>
      <c r="AQ679" s="375"/>
    </row>
    <row r="680">
      <c r="A680" s="257" t="s">
        <v>447</v>
      </c>
      <c r="B680" s="257" t="s">
        <v>448</v>
      </c>
      <c r="C680" s="257" t="str">
        <f>VLOOKUP(A680,import!A:J,3,0)</f>
        <v>DOĞRU</v>
      </c>
      <c r="D680" s="257" t="s">
        <v>3994</v>
      </c>
      <c r="E680" s="257">
        <f>VLOOKUP(A680,import!A:J,5,0)</f>
        <v>499</v>
      </c>
      <c r="F680" s="257">
        <f>VLOOKUP(A680,import!A:J,6,0)</f>
        <v>10</v>
      </c>
      <c r="G680" s="257">
        <f>VLOOKUP(A680,import!A:J,7,0)</f>
        <v>15</v>
      </c>
      <c r="H680" s="257">
        <f>VLOOKUP(A680,import!A:J,8,0)</f>
        <v>27</v>
      </c>
      <c r="I680" s="257">
        <f>VLOOKUP(A680,import!A:J,9,0)</f>
        <v>42</v>
      </c>
      <c r="J680" s="369">
        <f>VLOOKUP(A680,import!A:J,10,0)</f>
        <v>0.36</v>
      </c>
      <c r="K680" s="257" t="s">
        <v>5912</v>
      </c>
      <c r="L680" s="257">
        <v>5.336676645E9</v>
      </c>
      <c r="M680" s="257" t="s">
        <v>286</v>
      </c>
      <c r="N680" s="257" t="s">
        <v>3688</v>
      </c>
      <c r="O680" s="257" t="s">
        <v>451</v>
      </c>
      <c r="P680" s="370" t="str">
        <f>VLOOKUP(A680,import!A:P,16,0)</f>
        <v>Geleneksel</v>
      </c>
      <c r="Q680" s="370"/>
      <c r="R680" s="370" t="b">
        <v>1</v>
      </c>
      <c r="S680" s="370" t="b">
        <v>1</v>
      </c>
      <c r="T680" s="301" t="s">
        <v>3679</v>
      </c>
      <c r="U680" s="301" t="s">
        <v>145</v>
      </c>
      <c r="V680" s="301" t="s">
        <v>4866</v>
      </c>
      <c r="W680" s="301" t="s">
        <v>5913</v>
      </c>
      <c r="X680" s="371">
        <v>44308.0</v>
      </c>
      <c r="Y680" s="371">
        <v>44312.0</v>
      </c>
      <c r="Z680" s="377"/>
      <c r="AA680" s="373" t="s">
        <v>3448</v>
      </c>
      <c r="AB680" s="374">
        <v>44503.0</v>
      </c>
      <c r="AC680" s="373" t="s">
        <v>3682</v>
      </c>
      <c r="AD680" s="374">
        <v>44427.0</v>
      </c>
      <c r="AE680" s="373" t="s">
        <v>3682</v>
      </c>
      <c r="AF680" s="374">
        <v>44510.0</v>
      </c>
      <c r="AG680" s="92"/>
      <c r="AH680" s="375"/>
      <c r="AI680" s="375"/>
      <c r="AJ680" s="375"/>
      <c r="AK680" s="373" t="s">
        <v>2418</v>
      </c>
      <c r="AL680" s="373" t="s">
        <v>1947</v>
      </c>
      <c r="AM680" s="373" t="s">
        <v>3073</v>
      </c>
      <c r="AN680" s="375"/>
      <c r="AO680" s="375"/>
      <c r="AP680" s="376" t="s">
        <v>3686</v>
      </c>
      <c r="AQ680" s="375"/>
    </row>
    <row r="681">
      <c r="A681" s="257" t="s">
        <v>400</v>
      </c>
      <c r="B681" s="257" t="s">
        <v>401</v>
      </c>
      <c r="C681" s="257" t="str">
        <f>VLOOKUP(A681,import!A:J,3,0)</f>
        <v>DOĞRU</v>
      </c>
      <c r="D681" s="257" t="s">
        <v>3713</v>
      </c>
      <c r="E681" s="257">
        <f>VLOOKUP(A681,import!A:J,5,0)</f>
        <v>5434</v>
      </c>
      <c r="F681" s="257">
        <f>VLOOKUP(A681,import!A:J,6,0)</f>
        <v>131</v>
      </c>
      <c r="G681" s="257">
        <f>VLOOKUP(A681,import!A:J,7,0)</f>
        <v>0</v>
      </c>
      <c r="H681" s="257">
        <f>VLOOKUP(A681,import!A:J,8,0)</f>
        <v>87</v>
      </c>
      <c r="I681" s="257">
        <f>VLOOKUP(A681,import!A:J,9,0)</f>
        <v>87</v>
      </c>
      <c r="J681" s="369">
        <f>VLOOKUP(A681,import!A:J,10,0)</f>
        <v>0</v>
      </c>
      <c r="K681" s="257" t="s">
        <v>5914</v>
      </c>
      <c r="L681" s="257">
        <v>5.551653401E9</v>
      </c>
      <c r="M681" s="257" t="s">
        <v>286</v>
      </c>
      <c r="N681" s="257" t="s">
        <v>3855</v>
      </c>
      <c r="O681" s="257" t="s">
        <v>403</v>
      </c>
      <c r="P681" s="370" t="str">
        <f>VLOOKUP(A681,import!A:P,16,0)</f>
        <v>Geleneksel</v>
      </c>
      <c r="Q681" s="370"/>
      <c r="R681" s="370" t="b">
        <v>1</v>
      </c>
      <c r="S681" s="370" t="b">
        <v>0</v>
      </c>
      <c r="T681" s="301" t="s">
        <v>3770</v>
      </c>
      <c r="U681" s="301" t="s">
        <v>399</v>
      </c>
      <c r="V681" s="301" t="s">
        <v>342</v>
      </c>
      <c r="W681" s="301" t="s">
        <v>5915</v>
      </c>
      <c r="X681" s="371">
        <v>44307.0</v>
      </c>
      <c r="Y681" s="371">
        <v>44308.0</v>
      </c>
      <c r="Z681" s="377"/>
      <c r="AA681" s="373" t="s">
        <v>3682</v>
      </c>
      <c r="AB681" s="374">
        <v>44377.0</v>
      </c>
      <c r="AC681" s="373" t="s">
        <v>3682</v>
      </c>
      <c r="AD681" s="374">
        <v>44427.0</v>
      </c>
      <c r="AE681" s="373" t="s">
        <v>3682</v>
      </c>
      <c r="AF681" s="374">
        <v>44433.0</v>
      </c>
      <c r="AG681" s="92"/>
      <c r="AH681" s="375"/>
      <c r="AI681" s="375"/>
      <c r="AJ681" s="375"/>
      <c r="AK681" s="373" t="s">
        <v>79</v>
      </c>
      <c r="AL681" s="373" t="s">
        <v>3723</v>
      </c>
      <c r="AM681" s="375"/>
      <c r="AN681" s="375"/>
      <c r="AO681" s="375"/>
      <c r="AP681" s="376" t="s">
        <v>3686</v>
      </c>
      <c r="AQ681" s="375"/>
    </row>
    <row r="682">
      <c r="A682" s="257" t="s">
        <v>5916</v>
      </c>
      <c r="B682" s="257" t="s">
        <v>5917</v>
      </c>
      <c r="C682" s="257" t="str">
        <f>VLOOKUP(A682,import!A:J,3,0)</f>
        <v>DOĞRU</v>
      </c>
      <c r="D682" s="257" t="s">
        <v>4000</v>
      </c>
      <c r="E682" s="257">
        <f>VLOOKUP(A682,import!A:J,5,0)</f>
        <v>10</v>
      </c>
      <c r="F682" s="257">
        <f>VLOOKUP(A682,import!A:J,6,0)</f>
        <v>3</v>
      </c>
      <c r="G682" s="257">
        <f>VLOOKUP(A682,import!A:J,7,0)</f>
        <v>0</v>
      </c>
      <c r="H682" s="257">
        <f>VLOOKUP(A682,import!A:J,8,0)</f>
        <v>8</v>
      </c>
      <c r="I682" s="257">
        <f>VLOOKUP(A682,import!A:J,9,0)</f>
        <v>8</v>
      </c>
      <c r="J682" s="369">
        <f>VLOOKUP(A682,import!A:J,10,0)</f>
        <v>0</v>
      </c>
      <c r="K682" s="257" t="s">
        <v>5918</v>
      </c>
      <c r="L682" s="257">
        <v>5.345039607E9</v>
      </c>
      <c r="M682" s="257" t="s">
        <v>286</v>
      </c>
      <c r="N682" s="257" t="s">
        <v>3688</v>
      </c>
      <c r="O682" s="257" t="s">
        <v>5919</v>
      </c>
      <c r="P682" s="370" t="str">
        <f>VLOOKUP(A682,import!A:P,16,0)</f>
        <v>Geleneksel</v>
      </c>
      <c r="Q682" s="370"/>
      <c r="R682" s="370" t="b">
        <v>1</v>
      </c>
      <c r="S682" s="370" t="b">
        <v>1</v>
      </c>
      <c r="T682" s="301"/>
      <c r="U682" s="301"/>
      <c r="V682" s="301"/>
      <c r="W682" s="301" t="s">
        <v>5920</v>
      </c>
      <c r="X682" s="371"/>
      <c r="Y682" s="371"/>
      <c r="Z682" s="372"/>
      <c r="AA682" s="373" t="s">
        <v>3682</v>
      </c>
      <c r="AB682" s="371">
        <v>44638.0</v>
      </c>
      <c r="AC682" s="373"/>
      <c r="AD682" s="374"/>
      <c r="AE682" s="373"/>
      <c r="AF682" s="374"/>
      <c r="AG682" s="373"/>
      <c r="AH682" s="374"/>
      <c r="AI682" s="373"/>
      <c r="AJ682" s="374"/>
      <c r="AK682" s="373" t="s">
        <v>2542</v>
      </c>
      <c r="AL682" s="373"/>
      <c r="AM682" s="373"/>
      <c r="AN682" s="373"/>
      <c r="AO682" s="373"/>
      <c r="AP682" s="376"/>
      <c r="AQ682" s="373"/>
    </row>
    <row r="683">
      <c r="A683" s="257" t="s">
        <v>5921</v>
      </c>
      <c r="B683" s="257" t="s">
        <v>5922</v>
      </c>
      <c r="C683" s="257" t="str">
        <f>VLOOKUP(A683,import!A:J,3,0)</f>
        <v>DOĞRU</v>
      </c>
      <c r="D683" s="257" t="s">
        <v>3994</v>
      </c>
      <c r="E683" s="257">
        <f>VLOOKUP(A683,import!A:J,5,0)</f>
        <v>79</v>
      </c>
      <c r="F683" s="257" t="str">
        <f>VLOOKUP(A683,import!A:J,6,0)</f>
        <v/>
      </c>
      <c r="G683" s="257">
        <f>VLOOKUP(A683,import!A:J,7,0)</f>
        <v>0</v>
      </c>
      <c r="H683" s="257">
        <f>VLOOKUP(A683,import!A:J,8,0)</f>
        <v>16</v>
      </c>
      <c r="I683" s="257">
        <f>VLOOKUP(A683,import!A:J,9,0)</f>
        <v>16</v>
      </c>
      <c r="J683" s="369">
        <f>VLOOKUP(A683,import!A:J,10,0)</f>
        <v>0</v>
      </c>
      <c r="K683" s="257" t="s">
        <v>5923</v>
      </c>
      <c r="L683" s="257">
        <v>5.447386872E9</v>
      </c>
      <c r="M683" s="257" t="s">
        <v>14</v>
      </c>
      <c r="N683" s="257" t="s">
        <v>3797</v>
      </c>
      <c r="O683" s="257" t="s">
        <v>5924</v>
      </c>
      <c r="P683" s="370" t="str">
        <f>VLOOKUP(A683,import!A:P,16,0)</f>
        <v>Geleneksel</v>
      </c>
      <c r="Q683" s="370"/>
      <c r="R683" s="370" t="b">
        <v>1</v>
      </c>
      <c r="S683" s="370" t="b">
        <v>0</v>
      </c>
      <c r="T683" s="301" t="s">
        <v>3770</v>
      </c>
      <c r="U683" s="379"/>
      <c r="V683" s="379"/>
      <c r="W683" s="301" t="s">
        <v>5925</v>
      </c>
      <c r="X683" s="381"/>
      <c r="Y683" s="381"/>
      <c r="Z683" s="372"/>
      <c r="AA683" s="373" t="s">
        <v>3681</v>
      </c>
      <c r="AB683" s="374">
        <v>44382.0</v>
      </c>
      <c r="AC683" s="373" t="s">
        <v>3682</v>
      </c>
      <c r="AD683" s="374">
        <v>44383.0</v>
      </c>
      <c r="AE683" s="373" t="s">
        <v>3448</v>
      </c>
      <c r="AF683" s="374">
        <v>44427.0</v>
      </c>
      <c r="AG683" s="92"/>
      <c r="AH683" s="375"/>
      <c r="AI683" s="375"/>
      <c r="AJ683" s="375"/>
      <c r="AK683" s="373" t="s">
        <v>2706</v>
      </c>
      <c r="AL683" s="373" t="s">
        <v>111</v>
      </c>
      <c r="AM683" s="373" t="s">
        <v>1947</v>
      </c>
      <c r="AN683" s="375"/>
      <c r="AO683" s="375"/>
      <c r="AP683" s="376" t="s">
        <v>3683</v>
      </c>
      <c r="AQ683" s="375"/>
    </row>
    <row r="684">
      <c r="A684" s="257" t="s">
        <v>3355</v>
      </c>
      <c r="B684" s="257" t="s">
        <v>3356</v>
      </c>
      <c r="C684" s="257" t="str">
        <f>VLOOKUP(A684,import!A:J,3,0)</f>
        <v>DOĞRU</v>
      </c>
      <c r="D684" s="257" t="s">
        <v>3699</v>
      </c>
      <c r="E684" s="257">
        <f>VLOOKUP(A684,import!A:J,5,0)</f>
        <v>40</v>
      </c>
      <c r="F684" s="257">
        <f>VLOOKUP(A684,import!A:J,6,0)</f>
        <v>23</v>
      </c>
      <c r="G684" s="257">
        <f>VLOOKUP(A684,import!A:J,7,0)</f>
        <v>56</v>
      </c>
      <c r="H684" s="257">
        <f>VLOOKUP(A684,import!A:J,8,0)</f>
        <v>14</v>
      </c>
      <c r="I684" s="257">
        <f>VLOOKUP(A684,import!A:J,9,0)</f>
        <v>70</v>
      </c>
      <c r="J684" s="369">
        <f>VLOOKUP(A684,import!A:J,10,0)</f>
        <v>0.8</v>
      </c>
      <c r="K684" s="257" t="s">
        <v>5926</v>
      </c>
      <c r="L684" s="257">
        <v>5.529322781E9</v>
      </c>
      <c r="M684" s="257" t="s">
        <v>286</v>
      </c>
      <c r="N684" s="257" t="s">
        <v>3754</v>
      </c>
      <c r="O684" s="257" t="s">
        <v>3359</v>
      </c>
      <c r="P684" s="370" t="str">
        <f>VLOOKUP(A684,import!A:P,16,0)</f>
        <v>Geleneksel</v>
      </c>
      <c r="Q684" s="370"/>
      <c r="R684" s="370" t="b">
        <v>1</v>
      </c>
      <c r="S684" s="370" t="b">
        <v>0</v>
      </c>
      <c r="T684" s="301" t="s">
        <v>3679</v>
      </c>
      <c r="U684" s="301" t="s">
        <v>2576</v>
      </c>
      <c r="V684" s="402" t="s">
        <v>3331</v>
      </c>
      <c r="W684" s="301" t="s">
        <v>5927</v>
      </c>
      <c r="X684" s="371">
        <v>44620.0</v>
      </c>
      <c r="Y684" s="371">
        <v>44621.0</v>
      </c>
      <c r="Z684" s="372"/>
      <c r="AA684" s="373" t="s">
        <v>3682</v>
      </c>
      <c r="AB684" s="374">
        <v>44620.0</v>
      </c>
      <c r="AC684" s="373"/>
      <c r="AD684" s="374"/>
      <c r="AE684" s="373"/>
      <c r="AF684" s="374"/>
      <c r="AG684" s="373"/>
      <c r="AH684" s="374"/>
      <c r="AI684" s="375"/>
      <c r="AJ684" s="375"/>
      <c r="AK684" s="373" t="s">
        <v>2576</v>
      </c>
      <c r="AL684" s="375"/>
      <c r="AM684" s="375"/>
      <c r="AN684" s="373"/>
      <c r="AO684" s="375"/>
      <c r="AP684" s="376"/>
      <c r="AQ684" s="375"/>
    </row>
    <row r="685">
      <c r="A685" s="257" t="s">
        <v>5928</v>
      </c>
      <c r="B685" s="257" t="s">
        <v>5929</v>
      </c>
      <c r="C685" s="257" t="str">
        <f>VLOOKUP(A685,import!A:J,3,0)</f>
        <v>DOĞRU</v>
      </c>
      <c r="D685" s="257" t="s">
        <v>3883</v>
      </c>
      <c r="E685" s="257">
        <f>VLOOKUP(A685,import!A:J,5,0)</f>
        <v>37</v>
      </c>
      <c r="F685" s="257">
        <f>VLOOKUP(A685,import!A:J,6,0)</f>
        <v>23</v>
      </c>
      <c r="G685" s="257">
        <f>VLOOKUP(A685,import!A:J,7,0)</f>
        <v>0</v>
      </c>
      <c r="H685" s="257">
        <f>VLOOKUP(A685,import!A:J,8,0)</f>
        <v>48</v>
      </c>
      <c r="I685" s="257">
        <f>VLOOKUP(A685,import!A:J,9,0)</f>
        <v>48</v>
      </c>
      <c r="J685" s="369">
        <f>VLOOKUP(A685,import!A:J,10,0)</f>
        <v>0</v>
      </c>
      <c r="K685" s="257" t="s">
        <v>5926</v>
      </c>
      <c r="L685" s="257">
        <v>5.322726875E9</v>
      </c>
      <c r="M685" s="257" t="s">
        <v>286</v>
      </c>
      <c r="N685" s="257" t="s">
        <v>4263</v>
      </c>
      <c r="O685" s="257" t="s">
        <v>5930</v>
      </c>
      <c r="P685" s="370" t="str">
        <f>VLOOKUP(A685,import!A:P,16,0)</f>
        <v>Geleneksel</v>
      </c>
      <c r="Q685" s="370"/>
      <c r="R685" s="370" t="b">
        <v>1</v>
      </c>
      <c r="S685" s="370" t="b">
        <v>0</v>
      </c>
      <c r="T685" s="301" t="s">
        <v>3735</v>
      </c>
      <c r="U685" s="379"/>
      <c r="V685" s="379"/>
      <c r="W685" s="301" t="s">
        <v>5931</v>
      </c>
      <c r="X685" s="381"/>
      <c r="Y685" s="381"/>
      <c r="Z685" s="372"/>
      <c r="AA685" s="373" t="s">
        <v>3682</v>
      </c>
      <c r="AB685" s="374">
        <v>44620.0</v>
      </c>
      <c r="AC685" s="373"/>
      <c r="AD685" s="374"/>
      <c r="AE685" s="373"/>
      <c r="AF685" s="374"/>
      <c r="AG685" s="373"/>
      <c r="AH685" s="374"/>
      <c r="AI685" s="375"/>
      <c r="AJ685" s="375"/>
      <c r="AK685" s="373" t="s">
        <v>2576</v>
      </c>
      <c r="AL685" s="375"/>
      <c r="AM685" s="375"/>
      <c r="AN685" s="373"/>
      <c r="AO685" s="375"/>
      <c r="AP685" s="376"/>
      <c r="AQ685" s="375"/>
    </row>
    <row r="686">
      <c r="A686" s="257" t="s">
        <v>5932</v>
      </c>
      <c r="B686" s="257" t="s">
        <v>2018</v>
      </c>
      <c r="C686" s="257" t="str">
        <f>VLOOKUP(A686,import!A:J,3,0)</f>
        <v>DOĞRU</v>
      </c>
      <c r="D686" s="257" t="s">
        <v>3994</v>
      </c>
      <c r="E686" s="257">
        <f>VLOOKUP(A686,import!A:J,5,0)</f>
        <v>584</v>
      </c>
      <c r="F686" s="257">
        <f>VLOOKUP(A686,import!A:J,6,0)</f>
        <v>121</v>
      </c>
      <c r="G686" s="257">
        <f>VLOOKUP(A686,import!A:J,7,0)</f>
        <v>0</v>
      </c>
      <c r="H686" s="257">
        <f>VLOOKUP(A686,import!A:J,8,0)</f>
        <v>120</v>
      </c>
      <c r="I686" s="257">
        <f>VLOOKUP(A686,import!A:J,9,0)</f>
        <v>120</v>
      </c>
      <c r="J686" s="369">
        <f>VLOOKUP(A686,import!A:J,10,0)</f>
        <v>0</v>
      </c>
      <c r="K686" s="257" t="s">
        <v>5933</v>
      </c>
      <c r="L686" s="257">
        <v>5.411192021E9</v>
      </c>
      <c r="M686" s="257" t="s">
        <v>286</v>
      </c>
      <c r="N686" s="257" t="s">
        <v>3855</v>
      </c>
      <c r="O686" s="257" t="s">
        <v>5934</v>
      </c>
      <c r="P686" s="370" t="str">
        <f>VLOOKUP(A686,import!A:P,16,0)</f>
        <v>Geleneksel</v>
      </c>
      <c r="Q686" s="370"/>
      <c r="R686" s="370" t="b">
        <v>0</v>
      </c>
      <c r="S686" s="370" t="b">
        <v>0</v>
      </c>
      <c r="T686" s="301"/>
      <c r="U686" s="379"/>
      <c r="V686" s="379"/>
      <c r="W686" s="301" t="s">
        <v>5935</v>
      </c>
      <c r="X686" s="381"/>
      <c r="Y686" s="381"/>
      <c r="Z686" s="372"/>
      <c r="AA686" s="373" t="s">
        <v>3682</v>
      </c>
      <c r="AB686" s="371">
        <v>44638.0</v>
      </c>
      <c r="AC686" s="373" t="s">
        <v>3695</v>
      </c>
      <c r="AD686" s="374">
        <v>44641.0</v>
      </c>
      <c r="AE686" s="373"/>
      <c r="AF686" s="374"/>
      <c r="AG686" s="373"/>
      <c r="AH686" s="374"/>
      <c r="AI686" s="375"/>
      <c r="AJ686" s="375"/>
      <c r="AK686" s="373" t="s">
        <v>2542</v>
      </c>
      <c r="AL686" s="373" t="s">
        <v>2542</v>
      </c>
      <c r="AM686" s="375"/>
      <c r="AN686" s="373"/>
      <c r="AO686" s="375"/>
      <c r="AP686" s="376"/>
      <c r="AQ686" s="375"/>
    </row>
    <row r="687">
      <c r="A687" s="257" t="s">
        <v>5936</v>
      </c>
      <c r="B687" s="257" t="s">
        <v>5937</v>
      </c>
      <c r="C687" s="257" t="str">
        <f>VLOOKUP(A687,import!A:J,3,0)</f>
        <v>DOĞRU</v>
      </c>
      <c r="D687" s="257" t="s">
        <v>3713</v>
      </c>
      <c r="E687" s="257">
        <f>VLOOKUP(A687,import!A:J,5,0)</f>
        <v>50</v>
      </c>
      <c r="F687" s="257">
        <f>VLOOKUP(A687,import!A:J,6,0)</f>
        <v>7</v>
      </c>
      <c r="G687" s="257">
        <f>VLOOKUP(A687,import!A:J,7,0)</f>
        <v>5</v>
      </c>
      <c r="H687" s="257">
        <f>VLOOKUP(A687,import!A:J,8,0)</f>
        <v>7</v>
      </c>
      <c r="I687" s="257">
        <f>VLOOKUP(A687,import!A:J,9,0)</f>
        <v>12</v>
      </c>
      <c r="J687" s="369">
        <f>VLOOKUP(A687,import!A:J,10,0)</f>
        <v>0.42</v>
      </c>
      <c r="K687" s="257" t="s">
        <v>5938</v>
      </c>
      <c r="L687" s="257">
        <v>5.445483373E9</v>
      </c>
      <c r="M687" s="257" t="s">
        <v>286</v>
      </c>
      <c r="N687" s="257" t="s">
        <v>5192</v>
      </c>
      <c r="O687" s="257" t="s">
        <v>5939</v>
      </c>
      <c r="P687" s="370" t="str">
        <f>VLOOKUP(A687,import!A:P,16,0)</f>
        <v>Geleneksel</v>
      </c>
      <c r="Q687" s="370"/>
      <c r="R687" s="370" t="b">
        <v>0</v>
      </c>
      <c r="S687" s="370" t="b">
        <v>0</v>
      </c>
      <c r="T687" s="301"/>
      <c r="U687" s="379"/>
      <c r="V687" s="379"/>
      <c r="W687" s="301"/>
      <c r="X687" s="381"/>
      <c r="Y687" s="381"/>
      <c r="Z687" s="372"/>
      <c r="AA687" s="373"/>
      <c r="AB687" s="374"/>
      <c r="AC687" s="373"/>
      <c r="AD687" s="374"/>
      <c r="AE687" s="373"/>
      <c r="AF687" s="374"/>
      <c r="AG687" s="373"/>
      <c r="AH687" s="374"/>
      <c r="AI687" s="375"/>
      <c r="AJ687" s="375"/>
      <c r="AK687" s="373"/>
      <c r="AL687" s="375"/>
      <c r="AM687" s="375"/>
      <c r="AN687" s="373"/>
      <c r="AO687" s="375"/>
      <c r="AP687" s="376"/>
      <c r="AQ687" s="375"/>
    </row>
    <row r="688">
      <c r="A688" s="257" t="s">
        <v>5940</v>
      </c>
      <c r="B688" s="257" t="s">
        <v>5941</v>
      </c>
      <c r="C688" s="257" t="str">
        <f>VLOOKUP(A688,import!A:J,3,0)</f>
        <v>DOĞRU</v>
      </c>
      <c r="D688" s="257" t="s">
        <v>3801</v>
      </c>
      <c r="E688" s="257">
        <f>VLOOKUP(A688,import!A:J,5,0)</f>
        <v>1313</v>
      </c>
      <c r="F688" s="257">
        <f>VLOOKUP(A688,import!A:J,6,0)</f>
        <v>35</v>
      </c>
      <c r="G688" s="257">
        <f>VLOOKUP(A688,import!A:J,7,0)</f>
        <v>53</v>
      </c>
      <c r="H688" s="257">
        <f>VLOOKUP(A688,import!A:J,8,0)</f>
        <v>0</v>
      </c>
      <c r="I688" s="257">
        <f>VLOOKUP(A688,import!A:J,9,0)</f>
        <v>53</v>
      </c>
      <c r="J688" s="369">
        <f>VLOOKUP(A688,import!A:J,10,0)</f>
        <v>1</v>
      </c>
      <c r="K688" s="257" t="s">
        <v>5942</v>
      </c>
      <c r="L688" s="257">
        <v>3.223223636E9</v>
      </c>
      <c r="M688" s="257" t="s">
        <v>3707</v>
      </c>
      <c r="N688" s="257" t="s">
        <v>4570</v>
      </c>
      <c r="O688" s="257" t="s">
        <v>5943</v>
      </c>
      <c r="P688" s="370" t="str">
        <f>VLOOKUP(A688,import!A:P,16,0)</f>
        <v>Key</v>
      </c>
      <c r="Q688" s="370"/>
      <c r="R688" s="370" t="b">
        <v>0</v>
      </c>
      <c r="S688" s="370" t="b">
        <v>0</v>
      </c>
      <c r="T688" s="301" t="s">
        <v>3817</v>
      </c>
      <c r="U688" s="379"/>
      <c r="V688" s="379"/>
      <c r="W688" s="301"/>
      <c r="X688" s="381"/>
      <c r="Y688" s="381"/>
      <c r="Z688" s="372"/>
      <c r="AA688" s="375"/>
      <c r="AB688" s="375"/>
      <c r="AC688" s="375"/>
      <c r="AD688" s="375"/>
      <c r="AE688" s="92"/>
      <c r="AF688" s="375"/>
      <c r="AG688" s="92"/>
      <c r="AH688" s="375"/>
      <c r="AI688" s="375"/>
      <c r="AJ688" s="375"/>
      <c r="AK688" s="375"/>
      <c r="AL688" s="375"/>
      <c r="AM688" s="375"/>
      <c r="AN688" s="375"/>
      <c r="AO688" s="375"/>
      <c r="AP688" s="376" t="s">
        <v>5944</v>
      </c>
      <c r="AQ688" s="375"/>
    </row>
    <row r="689">
      <c r="A689" s="266" t="s">
        <v>5945</v>
      </c>
      <c r="B689" s="266" t="s">
        <v>5946</v>
      </c>
      <c r="C689" s="257" t="str">
        <f>VLOOKUP(A689,import!A:J,3,0)</f>
        <v>DOĞRU</v>
      </c>
      <c r="D689" s="266" t="s">
        <v>3801</v>
      </c>
      <c r="E689" s="257">
        <f>VLOOKUP(A689,import!A:J,5,0)</f>
        <v>2122</v>
      </c>
      <c r="F689" s="257">
        <f>VLOOKUP(A689,import!A:J,6,0)</f>
        <v>28</v>
      </c>
      <c r="G689" s="257">
        <f>VLOOKUP(A689,import!A:J,7,0)</f>
        <v>30</v>
      </c>
      <c r="H689" s="257">
        <f>VLOOKUP(A689,import!A:J,8,0)</f>
        <v>0</v>
      </c>
      <c r="I689" s="257">
        <f>VLOOKUP(A689,import!A:J,9,0)</f>
        <v>30</v>
      </c>
      <c r="J689" s="369">
        <f>VLOOKUP(A689,import!A:J,10,0)</f>
        <v>1</v>
      </c>
      <c r="K689" s="266" t="s">
        <v>5947</v>
      </c>
      <c r="L689" s="266">
        <v>5.45256629E9</v>
      </c>
      <c r="M689" s="266" t="s">
        <v>286</v>
      </c>
      <c r="N689" s="266" t="s">
        <v>4086</v>
      </c>
      <c r="O689" s="266" t="s">
        <v>5948</v>
      </c>
      <c r="P689" s="370" t="str">
        <f>VLOOKUP(A689,import!A:P,16,0)</f>
        <v>Key</v>
      </c>
      <c r="Q689" s="370"/>
      <c r="R689" s="370" t="b">
        <v>0</v>
      </c>
      <c r="S689" s="370" t="b">
        <v>0</v>
      </c>
      <c r="T689" s="301" t="s">
        <v>3817</v>
      </c>
      <c r="U689" s="379"/>
      <c r="V689" s="379"/>
      <c r="W689" s="379"/>
      <c r="X689" s="381"/>
      <c r="Y689" s="381"/>
      <c r="Z689" s="372"/>
      <c r="AA689" s="375"/>
      <c r="AB689" s="375"/>
      <c r="AC689" s="375"/>
      <c r="AD689" s="375"/>
      <c r="AE689" s="92"/>
      <c r="AF689" s="375"/>
      <c r="AG689" s="92"/>
      <c r="AH689" s="375"/>
      <c r="AI689" s="375"/>
      <c r="AJ689" s="375"/>
      <c r="AK689" s="375"/>
      <c r="AL689" s="375"/>
      <c r="AM689" s="375"/>
      <c r="AN689" s="375"/>
      <c r="AO689" s="375"/>
      <c r="AP689" s="376" t="s">
        <v>5944</v>
      </c>
      <c r="AQ689" s="375"/>
    </row>
    <row r="690">
      <c r="A690" s="257" t="s">
        <v>5949</v>
      </c>
      <c r="B690" s="257" t="s">
        <v>5950</v>
      </c>
      <c r="C690" s="257" t="str">
        <f>VLOOKUP(A690,import!A:J,3,0)</f>
        <v>DOĞRU</v>
      </c>
      <c r="D690" s="257" t="s">
        <v>3801</v>
      </c>
      <c r="E690" s="257">
        <f>VLOOKUP(A690,import!A:J,5,0)</f>
        <v>634</v>
      </c>
      <c r="F690" s="257">
        <f>VLOOKUP(A690,import!A:J,6,0)</f>
        <v>23</v>
      </c>
      <c r="G690" s="257">
        <f>VLOOKUP(A690,import!A:J,7,0)</f>
        <v>19</v>
      </c>
      <c r="H690" s="257">
        <f>VLOOKUP(A690,import!A:J,8,0)</f>
        <v>2</v>
      </c>
      <c r="I690" s="257">
        <f>VLOOKUP(A690,import!A:J,9,0)</f>
        <v>21</v>
      </c>
      <c r="J690" s="369">
        <f>VLOOKUP(A690,import!A:J,10,0)</f>
        <v>0.9</v>
      </c>
      <c r="K690" s="257" t="s">
        <v>5951</v>
      </c>
      <c r="L690" s="257">
        <v>5.455918747E9</v>
      </c>
      <c r="M690" s="257" t="s">
        <v>286</v>
      </c>
      <c r="N690" s="257" t="s">
        <v>4075</v>
      </c>
      <c r="O690" s="257" t="s">
        <v>5952</v>
      </c>
      <c r="P690" s="370" t="str">
        <f>VLOOKUP(A690,import!A:P,16,0)</f>
        <v>Key</v>
      </c>
      <c r="Q690" s="370"/>
      <c r="R690" s="370" t="b">
        <v>0</v>
      </c>
      <c r="S690" s="370" t="b">
        <v>0</v>
      </c>
      <c r="T690" s="301" t="s">
        <v>3817</v>
      </c>
      <c r="U690" s="379"/>
      <c r="V690" s="379"/>
      <c r="W690" s="301"/>
      <c r="X690" s="381"/>
      <c r="Y690" s="381"/>
      <c r="Z690" s="372"/>
      <c r="AA690" s="375"/>
      <c r="AB690" s="375"/>
      <c r="AC690" s="375"/>
      <c r="AD690" s="375"/>
      <c r="AE690" s="92"/>
      <c r="AF690" s="375"/>
      <c r="AG690" s="92"/>
      <c r="AH690" s="375"/>
      <c r="AI690" s="375"/>
      <c r="AJ690" s="375"/>
      <c r="AK690" s="375"/>
      <c r="AL690" s="375"/>
      <c r="AM690" s="375"/>
      <c r="AN690" s="375"/>
      <c r="AO690" s="375"/>
      <c r="AP690" s="376" t="s">
        <v>5944</v>
      </c>
      <c r="AQ690" s="375"/>
    </row>
    <row r="691">
      <c r="A691" s="266" t="s">
        <v>5953</v>
      </c>
      <c r="B691" s="266" t="s">
        <v>5954</v>
      </c>
      <c r="C691" s="257" t="str">
        <f>VLOOKUP(A691,import!A:J,3,0)</f>
        <v>DOĞRU</v>
      </c>
      <c r="D691" s="266" t="s">
        <v>3801</v>
      </c>
      <c r="E691" s="257">
        <f>VLOOKUP(A691,import!A:J,5,0)</f>
        <v>390</v>
      </c>
      <c r="F691" s="257">
        <f>VLOOKUP(A691,import!A:J,6,0)</f>
        <v>19</v>
      </c>
      <c r="G691" s="257">
        <f>VLOOKUP(A691,import!A:J,7,0)</f>
        <v>28</v>
      </c>
      <c r="H691" s="257">
        <f>VLOOKUP(A691,import!A:J,8,0)</f>
        <v>2</v>
      </c>
      <c r="I691" s="257">
        <f>VLOOKUP(A691,import!A:J,9,0)</f>
        <v>30</v>
      </c>
      <c r="J691" s="369">
        <f>VLOOKUP(A691,import!A:J,10,0)</f>
        <v>0.93</v>
      </c>
      <c r="K691" s="266" t="s">
        <v>5955</v>
      </c>
      <c r="L691" s="266">
        <v>3.223518877E9</v>
      </c>
      <c r="M691" s="266" t="s">
        <v>286</v>
      </c>
      <c r="N691" s="266" t="s">
        <v>4411</v>
      </c>
      <c r="O691" s="266" t="s">
        <v>5956</v>
      </c>
      <c r="P691" s="370" t="str">
        <f>VLOOKUP(A691,import!A:P,16,0)</f>
        <v>Key</v>
      </c>
      <c r="Q691" s="370"/>
      <c r="R691" s="370" t="b">
        <v>0</v>
      </c>
      <c r="S691" s="370" t="b">
        <v>0</v>
      </c>
      <c r="T691" s="301" t="s">
        <v>3817</v>
      </c>
      <c r="U691" s="379"/>
      <c r="V691" s="384"/>
      <c r="W691" s="379"/>
      <c r="X691" s="381"/>
      <c r="Y691" s="381"/>
      <c r="Z691" s="372"/>
      <c r="AA691" s="375"/>
      <c r="AB691" s="375"/>
      <c r="AC691" s="375"/>
      <c r="AD691" s="375"/>
      <c r="AE691" s="92"/>
      <c r="AF691" s="375"/>
      <c r="AG691" s="92"/>
      <c r="AH691" s="375"/>
      <c r="AI691" s="375"/>
      <c r="AJ691" s="375"/>
      <c r="AK691" s="375"/>
      <c r="AL691" s="375"/>
      <c r="AM691" s="375"/>
      <c r="AN691" s="375"/>
      <c r="AO691" s="375"/>
      <c r="AP691" s="376" t="s">
        <v>5944</v>
      </c>
      <c r="AQ691" s="375"/>
    </row>
    <row r="692">
      <c r="A692" s="257" t="s">
        <v>5957</v>
      </c>
      <c r="B692" s="257" t="s">
        <v>5958</v>
      </c>
      <c r="C692" s="257" t="str">
        <f>VLOOKUP(A692,import!A:J,3,0)</f>
        <v>YANLIŞ</v>
      </c>
      <c r="D692" s="257" t="s">
        <v>3801</v>
      </c>
      <c r="E692" s="257" t="str">
        <f>VLOOKUP(A692,import!A:J,5,0)</f>
        <v/>
      </c>
      <c r="F692" s="257" t="str">
        <f>VLOOKUP(A692,import!A:J,6,0)</f>
        <v/>
      </c>
      <c r="G692" s="257">
        <f>VLOOKUP(A692,import!A:J,7,0)</f>
        <v>97</v>
      </c>
      <c r="H692" s="257">
        <f>VLOOKUP(A692,import!A:J,8,0)</f>
        <v>92</v>
      </c>
      <c r="I692" s="257">
        <f>VLOOKUP(A692,import!A:J,9,0)</f>
        <v>189</v>
      </c>
      <c r="J692" s="369">
        <f>VLOOKUP(A692,import!A:J,10,0)</f>
        <v>0.51</v>
      </c>
      <c r="K692" s="257" t="s">
        <v>5959</v>
      </c>
      <c r="L692" s="257">
        <v>3.223465522E9</v>
      </c>
      <c r="M692" s="257" t="s">
        <v>3707</v>
      </c>
      <c r="N692" s="257" t="s">
        <v>4432</v>
      </c>
      <c r="O692" s="257" t="s">
        <v>5960</v>
      </c>
      <c r="P692" s="370" t="str">
        <f>VLOOKUP(A692,import!A:P,16,0)</f>
        <v>Key</v>
      </c>
      <c r="Q692" s="370"/>
      <c r="R692" s="370" t="b">
        <v>0</v>
      </c>
      <c r="S692" s="370" t="b">
        <v>0</v>
      </c>
      <c r="T692" s="301" t="s">
        <v>3817</v>
      </c>
      <c r="U692" s="379"/>
      <c r="V692" s="379"/>
      <c r="W692" s="301"/>
      <c r="X692" s="381"/>
      <c r="Y692" s="381"/>
      <c r="Z692" s="372"/>
      <c r="AA692" s="375"/>
      <c r="AB692" s="375"/>
      <c r="AC692" s="375"/>
      <c r="AD692" s="375"/>
      <c r="AE692" s="92"/>
      <c r="AF692" s="375"/>
      <c r="AG692" s="92"/>
      <c r="AH692" s="375"/>
      <c r="AI692" s="375"/>
      <c r="AJ692" s="375"/>
      <c r="AK692" s="375"/>
      <c r="AL692" s="375"/>
      <c r="AM692" s="375"/>
      <c r="AN692" s="375"/>
      <c r="AO692" s="375"/>
      <c r="AP692" s="376" t="s">
        <v>5944</v>
      </c>
      <c r="AQ692" s="375"/>
    </row>
    <row r="693">
      <c r="A693" s="266" t="s">
        <v>5961</v>
      </c>
      <c r="B693" s="266" t="s">
        <v>5962</v>
      </c>
      <c r="C693" s="257" t="str">
        <f>VLOOKUP(A693,import!A:J,3,0)</f>
        <v>DOĞRU</v>
      </c>
      <c r="D693" s="266" t="s">
        <v>3801</v>
      </c>
      <c r="E693" s="257">
        <f>VLOOKUP(A693,import!A:J,5,0)</f>
        <v>1043</v>
      </c>
      <c r="F693" s="257">
        <f>VLOOKUP(A693,import!A:J,6,0)</f>
        <v>47</v>
      </c>
      <c r="G693" s="257">
        <f>VLOOKUP(A693,import!A:J,7,0)</f>
        <v>50</v>
      </c>
      <c r="H693" s="257">
        <f>VLOOKUP(A693,import!A:J,8,0)</f>
        <v>2</v>
      </c>
      <c r="I693" s="257">
        <f>VLOOKUP(A693,import!A:J,9,0)</f>
        <v>52</v>
      </c>
      <c r="J693" s="369">
        <f>VLOOKUP(A693,import!A:J,10,0)</f>
        <v>0.96</v>
      </c>
      <c r="K693" s="266" t="s">
        <v>5963</v>
      </c>
      <c r="L693" s="266">
        <v>5.524395262E9</v>
      </c>
      <c r="M693" s="266" t="s">
        <v>14</v>
      </c>
      <c r="N693" s="266" t="s">
        <v>3733</v>
      </c>
      <c r="O693" s="266" t="s">
        <v>5964</v>
      </c>
      <c r="P693" s="370" t="str">
        <f>VLOOKUP(A693,import!A:P,16,0)</f>
        <v>Key</v>
      </c>
      <c r="Q693" s="370"/>
      <c r="R693" s="370" t="b">
        <v>0</v>
      </c>
      <c r="S693" s="370" t="b">
        <v>0</v>
      </c>
      <c r="T693" s="301" t="s">
        <v>3817</v>
      </c>
      <c r="U693" s="379"/>
      <c r="V693" s="379"/>
      <c r="W693" s="379"/>
      <c r="X693" s="381"/>
      <c r="Y693" s="381"/>
      <c r="Z693" s="372"/>
      <c r="AA693" s="375"/>
      <c r="AB693" s="375"/>
      <c r="AC693" s="375"/>
      <c r="AD693" s="375"/>
      <c r="AE693" s="92"/>
      <c r="AF693" s="375"/>
      <c r="AG693" s="92"/>
      <c r="AH693" s="375"/>
      <c r="AI693" s="375"/>
      <c r="AJ693" s="375"/>
      <c r="AK693" s="375"/>
      <c r="AL693" s="375"/>
      <c r="AM693" s="375"/>
      <c r="AN693" s="375"/>
      <c r="AO693" s="375"/>
      <c r="AP693" s="376" t="s">
        <v>5944</v>
      </c>
      <c r="AQ693" s="375"/>
    </row>
    <row r="694">
      <c r="A694" s="266" t="s">
        <v>5965</v>
      </c>
      <c r="B694" s="266" t="s">
        <v>5966</v>
      </c>
      <c r="C694" s="257" t="str">
        <f>VLOOKUP(A694,import!A:J,3,0)</f>
        <v>DOĞRU</v>
      </c>
      <c r="D694" s="266" t="s">
        <v>3801</v>
      </c>
      <c r="E694" s="257">
        <f>VLOOKUP(A694,import!A:J,5,0)</f>
        <v>1815</v>
      </c>
      <c r="F694" s="257">
        <f>VLOOKUP(A694,import!A:J,6,0)</f>
        <v>47</v>
      </c>
      <c r="G694" s="257">
        <f>VLOOKUP(A694,import!A:J,7,0)</f>
        <v>61</v>
      </c>
      <c r="H694" s="257">
        <f>VLOOKUP(A694,import!A:J,8,0)</f>
        <v>2</v>
      </c>
      <c r="I694" s="257">
        <f>VLOOKUP(A694,import!A:J,9,0)</f>
        <v>63</v>
      </c>
      <c r="J694" s="369">
        <f>VLOOKUP(A694,import!A:J,10,0)</f>
        <v>0.97</v>
      </c>
      <c r="K694" s="266" t="s">
        <v>5967</v>
      </c>
      <c r="L694" s="266">
        <v>5.526166246E9</v>
      </c>
      <c r="M694" s="266" t="s">
        <v>14</v>
      </c>
      <c r="N694" s="266" t="s">
        <v>3767</v>
      </c>
      <c r="O694" s="266" t="s">
        <v>5968</v>
      </c>
      <c r="P694" s="370" t="str">
        <f>VLOOKUP(A694,import!A:P,16,0)</f>
        <v>Key</v>
      </c>
      <c r="Q694" s="370"/>
      <c r="R694" s="370" t="b">
        <v>0</v>
      </c>
      <c r="S694" s="370" t="b">
        <v>0</v>
      </c>
      <c r="T694" s="301" t="s">
        <v>3817</v>
      </c>
      <c r="U694" s="379"/>
      <c r="V694" s="379"/>
      <c r="W694" s="301"/>
      <c r="X694" s="381"/>
      <c r="Y694" s="381"/>
      <c r="Z694" s="372"/>
      <c r="AA694" s="375"/>
      <c r="AB694" s="375"/>
      <c r="AC694" s="375"/>
      <c r="AD694" s="375"/>
      <c r="AE694" s="92"/>
      <c r="AF694" s="375"/>
      <c r="AG694" s="92"/>
      <c r="AH694" s="375"/>
      <c r="AI694" s="375"/>
      <c r="AJ694" s="375"/>
      <c r="AK694" s="375"/>
      <c r="AL694" s="375"/>
      <c r="AM694" s="375"/>
      <c r="AN694" s="375"/>
      <c r="AO694" s="375"/>
      <c r="AP694" s="376" t="s">
        <v>5944</v>
      </c>
      <c r="AQ694" s="375"/>
    </row>
    <row r="695">
      <c r="A695" s="257" t="s">
        <v>5969</v>
      </c>
      <c r="B695" s="257" t="s">
        <v>5970</v>
      </c>
      <c r="C695" s="257" t="str">
        <f>VLOOKUP(A695,import!A:J,3,0)</f>
        <v>DOĞRU</v>
      </c>
      <c r="D695" s="257" t="s">
        <v>3801</v>
      </c>
      <c r="E695" s="257">
        <f>VLOOKUP(A695,import!A:J,5,0)</f>
        <v>1893</v>
      </c>
      <c r="F695" s="257">
        <f>VLOOKUP(A695,import!A:J,6,0)</f>
        <v>66</v>
      </c>
      <c r="G695" s="257">
        <f>VLOOKUP(A695,import!A:J,7,0)</f>
        <v>27</v>
      </c>
      <c r="H695" s="257">
        <f>VLOOKUP(A695,import!A:J,8,0)</f>
        <v>2</v>
      </c>
      <c r="I695" s="257">
        <f>VLOOKUP(A695,import!A:J,9,0)</f>
        <v>29</v>
      </c>
      <c r="J695" s="369">
        <f>VLOOKUP(A695,import!A:J,10,0)</f>
        <v>0.93</v>
      </c>
      <c r="K695" s="257" t="s">
        <v>5971</v>
      </c>
      <c r="L695" s="257">
        <v>5.38481376E9</v>
      </c>
      <c r="M695" s="257" t="s">
        <v>286</v>
      </c>
      <c r="N695" s="257" t="s">
        <v>3806</v>
      </c>
      <c r="O695" s="257" t="s">
        <v>5972</v>
      </c>
      <c r="P695" s="370" t="str">
        <f>VLOOKUP(A695,import!A:P,16,0)</f>
        <v>Key</v>
      </c>
      <c r="Q695" s="370"/>
      <c r="R695" s="370" t="b">
        <v>0</v>
      </c>
      <c r="S695" s="370" t="b">
        <v>0</v>
      </c>
      <c r="T695" s="301" t="s">
        <v>3817</v>
      </c>
      <c r="U695" s="301"/>
      <c r="V695" s="301"/>
      <c r="W695" s="301"/>
      <c r="X695" s="371"/>
      <c r="Y695" s="371"/>
      <c r="Z695" s="377"/>
      <c r="AA695" s="375"/>
      <c r="AB695" s="375"/>
      <c r="AC695" s="375"/>
      <c r="AD695" s="375"/>
      <c r="AE695" s="92"/>
      <c r="AF695" s="375"/>
      <c r="AG695" s="92"/>
      <c r="AH695" s="375"/>
      <c r="AI695" s="375"/>
      <c r="AJ695" s="375"/>
      <c r="AK695" s="375"/>
      <c r="AL695" s="375"/>
      <c r="AM695" s="375"/>
      <c r="AN695" s="375"/>
      <c r="AO695" s="375"/>
      <c r="AP695" s="376" t="s">
        <v>5944</v>
      </c>
      <c r="AQ695" s="375"/>
    </row>
    <row r="696">
      <c r="A696" s="257" t="s">
        <v>5973</v>
      </c>
      <c r="B696" s="257" t="s">
        <v>5974</v>
      </c>
      <c r="C696" s="257" t="str">
        <f>VLOOKUP(A696,import!A:J,3,0)</f>
        <v>DOĞRU</v>
      </c>
      <c r="D696" s="257" t="s">
        <v>3801</v>
      </c>
      <c r="E696" s="257">
        <f>VLOOKUP(A696,import!A:J,5,0)</f>
        <v>281</v>
      </c>
      <c r="F696" s="257">
        <f>VLOOKUP(A696,import!A:J,6,0)</f>
        <v>8</v>
      </c>
      <c r="G696" s="257">
        <f>VLOOKUP(A696,import!A:J,7,0)</f>
        <v>49</v>
      </c>
      <c r="H696" s="257">
        <f>VLOOKUP(A696,import!A:J,8,0)</f>
        <v>4</v>
      </c>
      <c r="I696" s="257">
        <f>VLOOKUP(A696,import!A:J,9,0)</f>
        <v>53</v>
      </c>
      <c r="J696" s="369">
        <f>VLOOKUP(A696,import!A:J,10,0)</f>
        <v>0.92</v>
      </c>
      <c r="K696" s="257" t="s">
        <v>5975</v>
      </c>
      <c r="L696" s="257">
        <v>3.223299022E9</v>
      </c>
      <c r="M696" s="257" t="s">
        <v>3707</v>
      </c>
      <c r="N696" s="257" t="s">
        <v>4553</v>
      </c>
      <c r="O696" s="257" t="s">
        <v>5976</v>
      </c>
      <c r="P696" s="370" t="str">
        <f>VLOOKUP(A696,import!A:P,16,0)</f>
        <v>Key</v>
      </c>
      <c r="Q696" s="370"/>
      <c r="R696" s="370" t="b">
        <v>0</v>
      </c>
      <c r="S696" s="370" t="b">
        <v>0</v>
      </c>
      <c r="T696" s="301" t="s">
        <v>3817</v>
      </c>
      <c r="U696" s="379"/>
      <c r="V696" s="384"/>
      <c r="W696" s="301"/>
      <c r="X696" s="381"/>
      <c r="Y696" s="381"/>
      <c r="Z696" s="372"/>
      <c r="AA696" s="375"/>
      <c r="AB696" s="375"/>
      <c r="AC696" s="375"/>
      <c r="AD696" s="375"/>
      <c r="AE696" s="92"/>
      <c r="AF696" s="375"/>
      <c r="AG696" s="92"/>
      <c r="AH696" s="375"/>
      <c r="AI696" s="375"/>
      <c r="AJ696" s="375"/>
      <c r="AK696" s="375"/>
      <c r="AL696" s="375"/>
      <c r="AM696" s="375"/>
      <c r="AN696" s="375"/>
      <c r="AO696" s="375"/>
      <c r="AP696" s="376" t="s">
        <v>5944</v>
      </c>
      <c r="AQ696" s="375"/>
    </row>
    <row r="697">
      <c r="A697" s="257" t="s">
        <v>5977</v>
      </c>
      <c r="B697" s="257" t="s">
        <v>5978</v>
      </c>
      <c r="C697" s="257" t="str">
        <f>VLOOKUP(A697,import!A:J,3,0)</f>
        <v>DOĞRU</v>
      </c>
      <c r="D697" s="257" t="s">
        <v>3801</v>
      </c>
      <c r="E697" s="257">
        <f>VLOOKUP(A697,import!A:J,5,0)</f>
        <v>2747</v>
      </c>
      <c r="F697" s="257">
        <f>VLOOKUP(A697,import!A:J,6,0)</f>
        <v>88</v>
      </c>
      <c r="G697" s="257">
        <f>VLOOKUP(A697,import!A:J,7,0)</f>
        <v>26</v>
      </c>
      <c r="H697" s="257">
        <f>VLOOKUP(A697,import!A:J,8,0)</f>
        <v>2</v>
      </c>
      <c r="I697" s="257">
        <f>VLOOKUP(A697,import!A:J,9,0)</f>
        <v>28</v>
      </c>
      <c r="J697" s="369">
        <f>VLOOKUP(A697,import!A:J,10,0)</f>
        <v>0.93</v>
      </c>
      <c r="K697" s="257" t="s">
        <v>5979</v>
      </c>
      <c r="L697" s="257">
        <v>5.417147447E9</v>
      </c>
      <c r="M697" s="257" t="s">
        <v>286</v>
      </c>
      <c r="N697" s="257" t="s">
        <v>3685</v>
      </c>
      <c r="O697" s="257" t="s">
        <v>5980</v>
      </c>
      <c r="P697" s="370" t="str">
        <f>VLOOKUP(A697,import!A:P,16,0)</f>
        <v>Key</v>
      </c>
      <c r="Q697" s="370"/>
      <c r="R697" s="370" t="b">
        <v>0</v>
      </c>
      <c r="S697" s="370" t="b">
        <v>0</v>
      </c>
      <c r="T697" s="301" t="s">
        <v>3817</v>
      </c>
      <c r="U697" s="379"/>
      <c r="V697" s="379"/>
      <c r="W697" s="301"/>
      <c r="X697" s="381"/>
      <c r="Y697" s="381"/>
      <c r="Z697" s="372"/>
      <c r="AA697" s="375"/>
      <c r="AB697" s="375"/>
      <c r="AC697" s="375"/>
      <c r="AD697" s="375"/>
      <c r="AE697" s="92"/>
      <c r="AF697" s="375"/>
      <c r="AG697" s="92"/>
      <c r="AH697" s="375"/>
      <c r="AI697" s="375"/>
      <c r="AJ697" s="375"/>
      <c r="AK697" s="375"/>
      <c r="AL697" s="375"/>
      <c r="AM697" s="375"/>
      <c r="AN697" s="375"/>
      <c r="AO697" s="375"/>
      <c r="AP697" s="376" t="s">
        <v>5944</v>
      </c>
      <c r="AQ697" s="375"/>
    </row>
    <row r="698">
      <c r="A698" s="266" t="s">
        <v>5981</v>
      </c>
      <c r="B698" s="266" t="s">
        <v>5982</v>
      </c>
      <c r="C698" s="257" t="str">
        <f>VLOOKUP(A698,import!A:J,3,0)</f>
        <v>DOĞRU</v>
      </c>
      <c r="D698" s="266" t="s">
        <v>3801</v>
      </c>
      <c r="E698" s="257">
        <f>VLOOKUP(A698,import!A:J,5,0)</f>
        <v>1321</v>
      </c>
      <c r="F698" s="257">
        <f>VLOOKUP(A698,import!A:J,6,0)</f>
        <v>61</v>
      </c>
      <c r="G698" s="257">
        <f>VLOOKUP(A698,import!A:J,7,0)</f>
        <v>25</v>
      </c>
      <c r="H698" s="257">
        <f>VLOOKUP(A698,import!A:J,8,0)</f>
        <v>3</v>
      </c>
      <c r="I698" s="257">
        <f>VLOOKUP(A698,import!A:J,9,0)</f>
        <v>28</v>
      </c>
      <c r="J698" s="369">
        <f>VLOOKUP(A698,import!A:J,10,0)</f>
        <v>0.89</v>
      </c>
      <c r="K698" s="266" t="s">
        <v>5983</v>
      </c>
      <c r="L698" s="266">
        <v>3.222210055E9</v>
      </c>
      <c r="M698" s="266" t="s">
        <v>286</v>
      </c>
      <c r="N698" s="266" t="s">
        <v>3754</v>
      </c>
      <c r="O698" s="266" t="s">
        <v>5984</v>
      </c>
      <c r="P698" s="370" t="str">
        <f>VLOOKUP(A698,import!A:P,16,0)</f>
        <v>Key</v>
      </c>
      <c r="Q698" s="370"/>
      <c r="R698" s="370" t="b">
        <v>1</v>
      </c>
      <c r="S698" s="370" t="b">
        <v>0</v>
      </c>
      <c r="T698" s="301" t="s">
        <v>3817</v>
      </c>
      <c r="U698" s="301"/>
      <c r="V698" s="380"/>
      <c r="W698" s="301" t="s">
        <v>5985</v>
      </c>
      <c r="X698" s="371"/>
      <c r="Y698" s="371"/>
      <c r="Z698" s="377"/>
      <c r="AA698" s="375"/>
      <c r="AB698" s="375"/>
      <c r="AC698" s="375"/>
      <c r="AD698" s="375"/>
      <c r="AE698" s="92"/>
      <c r="AF698" s="375"/>
      <c r="AG698" s="92"/>
      <c r="AH698" s="375"/>
      <c r="AI698" s="375"/>
      <c r="AJ698" s="375"/>
      <c r="AK698" s="375"/>
      <c r="AL698" s="375"/>
      <c r="AM698" s="375"/>
      <c r="AN698" s="375"/>
      <c r="AO698" s="375"/>
      <c r="AP698" s="376" t="s">
        <v>5944</v>
      </c>
      <c r="AQ698" s="375"/>
    </row>
    <row r="699">
      <c r="A699" s="257" t="s">
        <v>5986</v>
      </c>
      <c r="B699" s="257" t="s">
        <v>5987</v>
      </c>
      <c r="C699" s="257" t="str">
        <f>VLOOKUP(A699,import!A:J,3,0)</f>
        <v>DOĞRU</v>
      </c>
      <c r="D699" s="257" t="s">
        <v>3801</v>
      </c>
      <c r="E699" s="257">
        <f>VLOOKUP(A699,import!A:J,5,0)</f>
        <v>1558</v>
      </c>
      <c r="F699" s="257">
        <f>VLOOKUP(A699,import!A:J,6,0)</f>
        <v>10</v>
      </c>
      <c r="G699" s="257">
        <f>VLOOKUP(A699,import!A:J,7,0)</f>
        <v>63</v>
      </c>
      <c r="H699" s="257">
        <f>VLOOKUP(A699,import!A:J,8,0)</f>
        <v>6</v>
      </c>
      <c r="I699" s="257">
        <f>VLOOKUP(A699,import!A:J,9,0)</f>
        <v>69</v>
      </c>
      <c r="J699" s="369">
        <f>VLOOKUP(A699,import!A:J,10,0)</f>
        <v>0.91</v>
      </c>
      <c r="K699" s="257" t="s">
        <v>5988</v>
      </c>
      <c r="L699" s="257">
        <v>5.435111503E9</v>
      </c>
      <c r="M699" s="257" t="s">
        <v>14</v>
      </c>
      <c r="N699" s="257" t="s">
        <v>3767</v>
      </c>
      <c r="O699" s="257" t="s">
        <v>5989</v>
      </c>
      <c r="P699" s="370" t="str">
        <f>VLOOKUP(A699,import!A:P,16,0)</f>
        <v>Key</v>
      </c>
      <c r="Q699" s="370"/>
      <c r="R699" s="370" t="b">
        <v>0</v>
      </c>
      <c r="S699" s="370" t="b">
        <v>0</v>
      </c>
      <c r="T699" s="301" t="s">
        <v>3817</v>
      </c>
      <c r="U699" s="379"/>
      <c r="V699" s="379"/>
      <c r="W699" s="301" t="s">
        <v>5990</v>
      </c>
      <c r="X699" s="381"/>
      <c r="Y699" s="381"/>
      <c r="Z699" s="372"/>
      <c r="AA699" s="375"/>
      <c r="AB699" s="375"/>
      <c r="AC699" s="375"/>
      <c r="AD699" s="375"/>
      <c r="AE699" s="92"/>
      <c r="AF699" s="375"/>
      <c r="AG699" s="92"/>
      <c r="AH699" s="375"/>
      <c r="AI699" s="375"/>
      <c r="AJ699" s="375"/>
      <c r="AK699" s="375"/>
      <c r="AL699" s="375"/>
      <c r="AM699" s="375"/>
      <c r="AN699" s="375"/>
      <c r="AO699" s="375"/>
      <c r="AP699" s="376" t="s">
        <v>5944</v>
      </c>
      <c r="AQ699" s="375"/>
    </row>
    <row r="700">
      <c r="A700" s="266" t="s">
        <v>5991</v>
      </c>
      <c r="B700" s="266" t="s">
        <v>5992</v>
      </c>
      <c r="C700" s="257" t="str">
        <f>VLOOKUP(A700,import!A:J,3,0)</f>
        <v>DOĞRU</v>
      </c>
      <c r="D700" s="266" t="s">
        <v>3801</v>
      </c>
      <c r="E700" s="257">
        <f>VLOOKUP(A700,import!A:J,5,0)</f>
        <v>1431</v>
      </c>
      <c r="F700" s="257">
        <f>VLOOKUP(A700,import!A:J,6,0)</f>
        <v>40</v>
      </c>
      <c r="G700" s="257">
        <f>VLOOKUP(A700,import!A:J,7,0)</f>
        <v>45</v>
      </c>
      <c r="H700" s="257">
        <f>VLOOKUP(A700,import!A:J,8,0)</f>
        <v>2</v>
      </c>
      <c r="I700" s="257">
        <f>VLOOKUP(A700,import!A:J,9,0)</f>
        <v>47</v>
      </c>
      <c r="J700" s="369">
        <f>VLOOKUP(A700,import!A:J,10,0)</f>
        <v>0.96</v>
      </c>
      <c r="K700" s="266" t="s">
        <v>5993</v>
      </c>
      <c r="L700" s="266">
        <v>3.223291717E9</v>
      </c>
      <c r="M700" s="266" t="s">
        <v>3707</v>
      </c>
      <c r="N700" s="266" t="s">
        <v>4376</v>
      </c>
      <c r="O700" s="266" t="s">
        <v>5994</v>
      </c>
      <c r="P700" s="370" t="str">
        <f>VLOOKUP(A700,import!A:P,16,0)</f>
        <v>Key</v>
      </c>
      <c r="Q700" s="370"/>
      <c r="R700" s="370" t="b">
        <v>0</v>
      </c>
      <c r="S700" s="370" t="b">
        <v>0</v>
      </c>
      <c r="T700" s="301" t="s">
        <v>3817</v>
      </c>
      <c r="U700" s="379"/>
      <c r="V700" s="379"/>
      <c r="W700" s="301"/>
      <c r="X700" s="381"/>
      <c r="Y700" s="381"/>
      <c r="Z700" s="372"/>
      <c r="AA700" s="375"/>
      <c r="AB700" s="375"/>
      <c r="AC700" s="375"/>
      <c r="AD700" s="375"/>
      <c r="AE700" s="92"/>
      <c r="AF700" s="375"/>
      <c r="AG700" s="92"/>
      <c r="AH700" s="375"/>
      <c r="AI700" s="375"/>
      <c r="AJ700" s="375"/>
      <c r="AK700" s="375"/>
      <c r="AL700" s="375"/>
      <c r="AM700" s="375"/>
      <c r="AN700" s="375"/>
      <c r="AO700" s="375"/>
      <c r="AP700" s="376" t="s">
        <v>5944</v>
      </c>
      <c r="AQ700" s="375"/>
    </row>
    <row r="701">
      <c r="A701" s="257" t="s">
        <v>5995</v>
      </c>
      <c r="B701" s="257" t="s">
        <v>5996</v>
      </c>
      <c r="C701" s="257" t="str">
        <f>VLOOKUP(A701,import!A:J,3,0)</f>
        <v>DOĞRU</v>
      </c>
      <c r="D701" s="257" t="s">
        <v>3801</v>
      </c>
      <c r="E701" s="257">
        <f>VLOOKUP(A701,import!A:J,5,0)</f>
        <v>1327</v>
      </c>
      <c r="F701" s="257">
        <f>VLOOKUP(A701,import!A:J,6,0)</f>
        <v>51</v>
      </c>
      <c r="G701" s="257">
        <f>VLOOKUP(A701,import!A:J,7,0)</f>
        <v>22</v>
      </c>
      <c r="H701" s="257">
        <f>VLOOKUP(A701,import!A:J,8,0)</f>
        <v>0</v>
      </c>
      <c r="I701" s="257">
        <f>VLOOKUP(A701,import!A:J,9,0)</f>
        <v>22</v>
      </c>
      <c r="J701" s="369">
        <f>VLOOKUP(A701,import!A:J,10,0)</f>
        <v>1</v>
      </c>
      <c r="K701" s="257" t="s">
        <v>5997</v>
      </c>
      <c r="L701" s="257">
        <v>5.529516394E9</v>
      </c>
      <c r="M701" s="257" t="s">
        <v>286</v>
      </c>
      <c r="N701" s="257" t="s">
        <v>3754</v>
      </c>
      <c r="O701" s="257" t="s">
        <v>5998</v>
      </c>
      <c r="P701" s="370" t="str">
        <f>VLOOKUP(A701,import!A:P,16,0)</f>
        <v>Key</v>
      </c>
      <c r="Q701" s="370"/>
      <c r="R701" s="370" t="b">
        <v>1</v>
      </c>
      <c r="S701" s="370" t="b">
        <v>0</v>
      </c>
      <c r="T701" s="301" t="s">
        <v>3817</v>
      </c>
      <c r="U701" s="379"/>
      <c r="V701" s="379"/>
      <c r="W701" s="301"/>
      <c r="X701" s="381"/>
      <c r="Y701" s="381"/>
      <c r="Z701" s="372"/>
      <c r="AA701" s="375"/>
      <c r="AB701" s="375"/>
      <c r="AC701" s="375"/>
      <c r="AD701" s="375"/>
      <c r="AE701" s="92"/>
      <c r="AF701" s="375"/>
      <c r="AG701" s="92"/>
      <c r="AH701" s="375"/>
      <c r="AI701" s="375"/>
      <c r="AJ701" s="375"/>
      <c r="AK701" s="375"/>
      <c r="AL701" s="375"/>
      <c r="AM701" s="375"/>
      <c r="AN701" s="375"/>
      <c r="AO701" s="375"/>
      <c r="AP701" s="376" t="s">
        <v>5944</v>
      </c>
      <c r="AQ701" s="375"/>
    </row>
    <row r="702">
      <c r="A702" s="257" t="s">
        <v>5999</v>
      </c>
      <c r="B702" s="257" t="s">
        <v>6000</v>
      </c>
      <c r="C702" s="257" t="str">
        <f>VLOOKUP(A702,import!A:J,3,0)</f>
        <v>DOĞRU</v>
      </c>
      <c r="D702" s="257" t="s">
        <v>3801</v>
      </c>
      <c r="E702" s="257">
        <f>VLOOKUP(A702,import!A:J,5,0)</f>
        <v>4727</v>
      </c>
      <c r="F702" s="257">
        <f>VLOOKUP(A702,import!A:J,6,0)</f>
        <v>109</v>
      </c>
      <c r="G702" s="257">
        <f>VLOOKUP(A702,import!A:J,7,0)</f>
        <v>28</v>
      </c>
      <c r="H702" s="257">
        <f>VLOOKUP(A702,import!A:J,8,0)</f>
        <v>2</v>
      </c>
      <c r="I702" s="257">
        <f>VLOOKUP(A702,import!A:J,9,0)</f>
        <v>30</v>
      </c>
      <c r="J702" s="369">
        <f>VLOOKUP(A702,import!A:J,10,0)</f>
        <v>0.93</v>
      </c>
      <c r="K702" s="257" t="s">
        <v>6001</v>
      </c>
      <c r="L702" s="257">
        <v>3.224311617E9</v>
      </c>
      <c r="M702" s="257" t="s">
        <v>286</v>
      </c>
      <c r="N702" s="257" t="s">
        <v>4760</v>
      </c>
      <c r="O702" s="257" t="s">
        <v>6002</v>
      </c>
      <c r="P702" s="370" t="str">
        <f>VLOOKUP(A702,import!A:P,16,0)</f>
        <v>Key</v>
      </c>
      <c r="Q702" s="370"/>
      <c r="R702" s="370" t="b">
        <v>0</v>
      </c>
      <c r="S702" s="370" t="b">
        <v>0</v>
      </c>
      <c r="T702" s="301" t="s">
        <v>3817</v>
      </c>
      <c r="U702" s="301"/>
      <c r="V702" s="301"/>
      <c r="W702" s="379"/>
      <c r="X702" s="371"/>
      <c r="Y702" s="371"/>
      <c r="Z702" s="377"/>
      <c r="AA702" s="375"/>
      <c r="AB702" s="375"/>
      <c r="AC702" s="375"/>
      <c r="AD702" s="375"/>
      <c r="AE702" s="92"/>
      <c r="AF702" s="375"/>
      <c r="AG702" s="92"/>
      <c r="AH702" s="375"/>
      <c r="AI702" s="375"/>
      <c r="AJ702" s="375"/>
      <c r="AK702" s="375"/>
      <c r="AL702" s="375"/>
      <c r="AM702" s="375"/>
      <c r="AN702" s="375"/>
      <c r="AO702" s="375"/>
      <c r="AP702" s="376" t="s">
        <v>5944</v>
      </c>
      <c r="AQ702" s="375"/>
    </row>
    <row r="703">
      <c r="A703" s="257" t="s">
        <v>6003</v>
      </c>
      <c r="B703" s="257" t="s">
        <v>6004</v>
      </c>
      <c r="C703" s="257" t="str">
        <f>VLOOKUP(A703,import!A:J,3,0)</f>
        <v>DOĞRU</v>
      </c>
      <c r="D703" s="257" t="s">
        <v>3801</v>
      </c>
      <c r="E703" s="257">
        <f>VLOOKUP(A703,import!A:J,5,0)</f>
        <v>747</v>
      </c>
      <c r="F703" s="257">
        <f>VLOOKUP(A703,import!A:J,6,0)</f>
        <v>13</v>
      </c>
      <c r="G703" s="257">
        <f>VLOOKUP(A703,import!A:J,7,0)</f>
        <v>40</v>
      </c>
      <c r="H703" s="257">
        <f>VLOOKUP(A703,import!A:J,8,0)</f>
        <v>2</v>
      </c>
      <c r="I703" s="257">
        <f>VLOOKUP(A703,import!A:J,9,0)</f>
        <v>42</v>
      </c>
      <c r="J703" s="369">
        <f>VLOOKUP(A703,import!A:J,10,0)</f>
        <v>0.95</v>
      </c>
      <c r="K703" s="257" t="s">
        <v>6005</v>
      </c>
      <c r="L703" s="257">
        <v>5.385092568E9</v>
      </c>
      <c r="M703" s="257" t="s">
        <v>286</v>
      </c>
      <c r="N703" s="257" t="s">
        <v>3980</v>
      </c>
      <c r="O703" s="257" t="s">
        <v>6006</v>
      </c>
      <c r="P703" s="370" t="str">
        <f>VLOOKUP(A703,import!A:P,16,0)</f>
        <v>Key</v>
      </c>
      <c r="Q703" s="370"/>
      <c r="R703" s="370" t="b">
        <v>0</v>
      </c>
      <c r="S703" s="370" t="b">
        <v>0</v>
      </c>
      <c r="T703" s="301" t="s">
        <v>3817</v>
      </c>
      <c r="U703" s="379"/>
      <c r="V703" s="379"/>
      <c r="W703" s="301"/>
      <c r="X703" s="381"/>
      <c r="Y703" s="381"/>
      <c r="Z703" s="372"/>
      <c r="AA703" s="375"/>
      <c r="AB703" s="375"/>
      <c r="AC703" s="375"/>
      <c r="AD703" s="375"/>
      <c r="AE703" s="92"/>
      <c r="AF703" s="375"/>
      <c r="AG703" s="92"/>
      <c r="AH703" s="375"/>
      <c r="AI703" s="375"/>
      <c r="AJ703" s="375"/>
      <c r="AK703" s="375"/>
      <c r="AL703" s="375"/>
      <c r="AM703" s="375"/>
      <c r="AN703" s="375"/>
      <c r="AO703" s="375"/>
      <c r="AP703" s="376" t="s">
        <v>5944</v>
      </c>
      <c r="AQ703" s="375"/>
    </row>
    <row r="704">
      <c r="A704" s="266" t="s">
        <v>6007</v>
      </c>
      <c r="B704" s="266" t="s">
        <v>6008</v>
      </c>
      <c r="C704" s="257" t="str">
        <f>VLOOKUP(A704,import!A:J,3,0)</f>
        <v>DOĞRU</v>
      </c>
      <c r="D704" s="266" t="s">
        <v>3801</v>
      </c>
      <c r="E704" s="257">
        <f>VLOOKUP(A704,import!A:J,5,0)</f>
        <v>1362</v>
      </c>
      <c r="F704" s="257">
        <f>VLOOKUP(A704,import!A:J,6,0)</f>
        <v>47</v>
      </c>
      <c r="G704" s="257">
        <f>VLOOKUP(A704,import!A:J,7,0)</f>
        <v>19</v>
      </c>
      <c r="H704" s="257">
        <f>VLOOKUP(A704,import!A:J,8,0)</f>
        <v>2</v>
      </c>
      <c r="I704" s="257">
        <f>VLOOKUP(A704,import!A:J,9,0)</f>
        <v>21</v>
      </c>
      <c r="J704" s="369">
        <f>VLOOKUP(A704,import!A:J,10,0)</f>
        <v>0.9</v>
      </c>
      <c r="K704" s="266" t="s">
        <v>6009</v>
      </c>
      <c r="L704" s="266">
        <v>3.222570101E9</v>
      </c>
      <c r="M704" s="266" t="s">
        <v>14</v>
      </c>
      <c r="N704" s="266" t="s">
        <v>3826</v>
      </c>
      <c r="O704" s="266" t="s">
        <v>6010</v>
      </c>
      <c r="P704" s="370" t="str">
        <f>VLOOKUP(A704,import!A:P,16,0)</f>
        <v>Key</v>
      </c>
      <c r="Q704" s="370"/>
      <c r="R704" s="370" t="b">
        <v>0</v>
      </c>
      <c r="S704" s="370" t="b">
        <v>0</v>
      </c>
      <c r="T704" s="301" t="s">
        <v>3817</v>
      </c>
      <c r="U704" s="379"/>
      <c r="V704" s="379"/>
      <c r="W704" s="301"/>
      <c r="X704" s="381"/>
      <c r="Y704" s="381"/>
      <c r="Z704" s="372"/>
      <c r="AA704" s="375"/>
      <c r="AB704" s="375"/>
      <c r="AC704" s="375"/>
      <c r="AD704" s="375"/>
      <c r="AE704" s="92"/>
      <c r="AF704" s="375"/>
      <c r="AG704" s="92"/>
      <c r="AH704" s="375"/>
      <c r="AI704" s="375"/>
      <c r="AJ704" s="375"/>
      <c r="AK704" s="375"/>
      <c r="AL704" s="375"/>
      <c r="AM704" s="375"/>
      <c r="AN704" s="375"/>
      <c r="AO704" s="375"/>
      <c r="AP704" s="376" t="s">
        <v>5944</v>
      </c>
      <c r="AQ704" s="375"/>
    </row>
    <row r="705">
      <c r="A705" s="257" t="s">
        <v>6011</v>
      </c>
      <c r="B705" s="257" t="s">
        <v>6012</v>
      </c>
      <c r="C705" s="257" t="str">
        <f>VLOOKUP(A705,import!A:J,3,0)</f>
        <v>DOĞRU</v>
      </c>
      <c r="D705" s="257" t="s">
        <v>3801</v>
      </c>
      <c r="E705" s="257">
        <f>VLOOKUP(A705,import!A:J,5,0)</f>
        <v>2940</v>
      </c>
      <c r="F705" s="257">
        <f>VLOOKUP(A705,import!A:J,6,0)</f>
        <v>87</v>
      </c>
      <c r="G705" s="257">
        <f>VLOOKUP(A705,import!A:J,7,0)</f>
        <v>57</v>
      </c>
      <c r="H705" s="257">
        <f>VLOOKUP(A705,import!A:J,8,0)</f>
        <v>0</v>
      </c>
      <c r="I705" s="257">
        <f>VLOOKUP(A705,import!A:J,9,0)</f>
        <v>57</v>
      </c>
      <c r="J705" s="369">
        <f>VLOOKUP(A705,import!A:J,10,0)</f>
        <v>1</v>
      </c>
      <c r="K705" s="257" t="s">
        <v>6013</v>
      </c>
      <c r="L705" s="257">
        <v>5.423969841E9</v>
      </c>
      <c r="M705" s="257" t="s">
        <v>286</v>
      </c>
      <c r="N705" s="257" t="s">
        <v>3782</v>
      </c>
      <c r="O705" s="257" t="s">
        <v>6014</v>
      </c>
      <c r="P705" s="370" t="str">
        <f>VLOOKUP(A705,import!A:P,16,0)</f>
        <v>Key</v>
      </c>
      <c r="Q705" s="370"/>
      <c r="R705" s="370" t="b">
        <v>0</v>
      </c>
      <c r="S705" s="370" t="b">
        <v>0</v>
      </c>
      <c r="T705" s="389" t="s">
        <v>3817</v>
      </c>
      <c r="U705" s="389"/>
      <c r="V705" s="389"/>
      <c r="W705" s="389"/>
      <c r="X705" s="390"/>
      <c r="Y705" s="390"/>
      <c r="Z705" s="391"/>
      <c r="AA705" s="375"/>
      <c r="AB705" s="375"/>
      <c r="AC705" s="375"/>
      <c r="AD705" s="375"/>
      <c r="AE705" s="92"/>
      <c r="AF705" s="375"/>
      <c r="AG705" s="92"/>
      <c r="AH705" s="375"/>
      <c r="AI705" s="375"/>
      <c r="AJ705" s="375"/>
      <c r="AK705" s="375"/>
      <c r="AL705" s="375"/>
      <c r="AM705" s="375"/>
      <c r="AN705" s="375"/>
      <c r="AO705" s="375"/>
      <c r="AP705" s="376" t="s">
        <v>5944</v>
      </c>
      <c r="AQ705" s="375"/>
    </row>
    <row r="706">
      <c r="A706" s="257" t="s">
        <v>6015</v>
      </c>
      <c r="B706" s="257" t="s">
        <v>6016</v>
      </c>
      <c r="C706" s="257" t="str">
        <f>VLOOKUP(A706,import!A:J,3,0)</f>
        <v>DOĞRU</v>
      </c>
      <c r="D706" s="257" t="s">
        <v>3801</v>
      </c>
      <c r="E706" s="257">
        <f>VLOOKUP(A706,import!A:J,5,0)</f>
        <v>5079</v>
      </c>
      <c r="F706" s="257">
        <f>VLOOKUP(A706,import!A:J,6,0)</f>
        <v>80</v>
      </c>
      <c r="G706" s="257">
        <f>VLOOKUP(A706,import!A:J,7,0)</f>
        <v>18</v>
      </c>
      <c r="H706" s="257">
        <f>VLOOKUP(A706,import!A:J,8,0)</f>
        <v>2</v>
      </c>
      <c r="I706" s="257">
        <f>VLOOKUP(A706,import!A:J,9,0)</f>
        <v>20</v>
      </c>
      <c r="J706" s="369">
        <f>VLOOKUP(A706,import!A:J,10,0)</f>
        <v>0.9</v>
      </c>
      <c r="K706" s="257" t="s">
        <v>6017</v>
      </c>
      <c r="L706" s="257">
        <v>3.222485116E9</v>
      </c>
      <c r="M706" s="257" t="s">
        <v>14</v>
      </c>
      <c r="N706" s="257" t="s">
        <v>3935</v>
      </c>
      <c r="O706" s="257" t="s">
        <v>6018</v>
      </c>
      <c r="P706" s="370" t="str">
        <f>VLOOKUP(A706,import!A:P,16,0)</f>
        <v>Key</v>
      </c>
      <c r="Q706" s="370"/>
      <c r="R706" s="370" t="b">
        <v>0</v>
      </c>
      <c r="S706" s="370" t="b">
        <v>0</v>
      </c>
      <c r="T706" s="301" t="s">
        <v>3817</v>
      </c>
      <c r="U706" s="379"/>
      <c r="V706" s="379"/>
      <c r="W706" s="301"/>
      <c r="X706" s="381"/>
      <c r="Y706" s="381"/>
      <c r="Z706" s="372"/>
      <c r="AA706" s="375"/>
      <c r="AB706" s="375"/>
      <c r="AC706" s="375"/>
      <c r="AD706" s="375"/>
      <c r="AE706" s="92"/>
      <c r="AF706" s="375"/>
      <c r="AG706" s="92"/>
      <c r="AH706" s="375"/>
      <c r="AI706" s="375"/>
      <c r="AJ706" s="375"/>
      <c r="AK706" s="375"/>
      <c r="AL706" s="375"/>
      <c r="AM706" s="375"/>
      <c r="AN706" s="375"/>
      <c r="AO706" s="375"/>
      <c r="AP706" s="376" t="s">
        <v>5944</v>
      </c>
      <c r="AQ706" s="375"/>
    </row>
    <row r="707">
      <c r="A707" s="257" t="s">
        <v>6019</v>
      </c>
      <c r="B707" s="257" t="s">
        <v>6020</v>
      </c>
      <c r="C707" s="257" t="str">
        <f>VLOOKUP(A707,import!A:J,3,0)</f>
        <v>DOĞRU</v>
      </c>
      <c r="D707" s="257" t="s">
        <v>3801</v>
      </c>
      <c r="E707" s="257">
        <f>VLOOKUP(A707,import!A:J,5,0)</f>
        <v>1846</v>
      </c>
      <c r="F707" s="257">
        <f>VLOOKUP(A707,import!A:J,6,0)</f>
        <v>59</v>
      </c>
      <c r="G707" s="257">
        <f>VLOOKUP(A707,import!A:J,7,0)</f>
        <v>25</v>
      </c>
      <c r="H707" s="257">
        <f>VLOOKUP(A707,import!A:J,8,0)</f>
        <v>2</v>
      </c>
      <c r="I707" s="257">
        <f>VLOOKUP(A707,import!A:J,9,0)</f>
        <v>27</v>
      </c>
      <c r="J707" s="369">
        <f>VLOOKUP(A707,import!A:J,10,0)</f>
        <v>0.93</v>
      </c>
      <c r="K707" s="257" t="s">
        <v>6021</v>
      </c>
      <c r="L707" s="257">
        <v>3.222484442E9</v>
      </c>
      <c r="M707" s="257" t="s">
        <v>14</v>
      </c>
      <c r="N707" s="257" t="s">
        <v>5227</v>
      </c>
      <c r="O707" s="257" t="s">
        <v>6022</v>
      </c>
      <c r="P707" s="370" t="str">
        <f>VLOOKUP(A707,import!A:P,16,0)</f>
        <v>Key</v>
      </c>
      <c r="Q707" s="370"/>
      <c r="R707" s="370" t="b">
        <v>0</v>
      </c>
      <c r="S707" s="370" t="b">
        <v>0</v>
      </c>
      <c r="T707" s="301" t="s">
        <v>3817</v>
      </c>
      <c r="U707" s="379"/>
      <c r="V707" s="15"/>
      <c r="W707" s="301"/>
      <c r="X707" s="381"/>
      <c r="Y707" s="381"/>
      <c r="Z707" s="372"/>
      <c r="AA707" s="375"/>
      <c r="AB707" s="375"/>
      <c r="AC707" s="375"/>
      <c r="AD707" s="375"/>
      <c r="AE707" s="92"/>
      <c r="AF707" s="375"/>
      <c r="AG707" s="92"/>
      <c r="AH707" s="375"/>
      <c r="AI707" s="375"/>
      <c r="AJ707" s="375"/>
      <c r="AK707" s="375"/>
      <c r="AL707" s="375"/>
      <c r="AM707" s="375"/>
      <c r="AN707" s="375"/>
      <c r="AO707" s="375"/>
      <c r="AP707" s="376" t="s">
        <v>5944</v>
      </c>
      <c r="AQ707" s="375"/>
    </row>
    <row r="708">
      <c r="A708" s="257" t="s">
        <v>6023</v>
      </c>
      <c r="B708" s="257" t="s">
        <v>6024</v>
      </c>
      <c r="C708" s="257" t="str">
        <f>VLOOKUP(A708,import!A:J,3,0)</f>
        <v>DOĞRU</v>
      </c>
      <c r="D708" s="257" t="s">
        <v>3801</v>
      </c>
      <c r="E708" s="257">
        <f>VLOOKUP(A708,import!A:J,5,0)</f>
        <v>1982</v>
      </c>
      <c r="F708" s="257">
        <f>VLOOKUP(A708,import!A:J,6,0)</f>
        <v>78</v>
      </c>
      <c r="G708" s="257">
        <f>VLOOKUP(A708,import!A:J,7,0)</f>
        <v>25</v>
      </c>
      <c r="H708" s="257">
        <f>VLOOKUP(A708,import!A:J,8,0)</f>
        <v>2</v>
      </c>
      <c r="I708" s="257">
        <f>VLOOKUP(A708,import!A:J,9,0)</f>
        <v>27</v>
      </c>
      <c r="J708" s="369">
        <f>VLOOKUP(A708,import!A:J,10,0)</f>
        <v>0.93</v>
      </c>
      <c r="K708" s="257" t="s">
        <v>6025</v>
      </c>
      <c r="L708" s="257">
        <v>5.418308737E9</v>
      </c>
      <c r="M708" s="257" t="s">
        <v>3814</v>
      </c>
      <c r="N708" s="257" t="s">
        <v>3815</v>
      </c>
      <c r="O708" s="257" t="s">
        <v>6026</v>
      </c>
      <c r="P708" s="370" t="str">
        <f>VLOOKUP(A708,import!A:P,16,0)</f>
        <v>Key</v>
      </c>
      <c r="Q708" s="370"/>
      <c r="R708" s="370" t="b">
        <v>0</v>
      </c>
      <c r="S708" s="370" t="b">
        <v>0</v>
      </c>
      <c r="T708" s="301" t="s">
        <v>3817</v>
      </c>
      <c r="U708" s="379"/>
      <c r="V708" s="379"/>
      <c r="W708" s="301"/>
      <c r="X708" s="381"/>
      <c r="Y708" s="381"/>
      <c r="Z708" s="372"/>
      <c r="AA708" s="375"/>
      <c r="AB708" s="375"/>
      <c r="AC708" s="375"/>
      <c r="AD708" s="375"/>
      <c r="AE708" s="92"/>
      <c r="AF708" s="375"/>
      <c r="AG708" s="92"/>
      <c r="AH708" s="375"/>
      <c r="AI708" s="375"/>
      <c r="AJ708" s="375"/>
      <c r="AK708" s="375"/>
      <c r="AL708" s="375"/>
      <c r="AM708" s="375"/>
      <c r="AN708" s="375"/>
      <c r="AO708" s="375"/>
      <c r="AP708" s="376" t="s">
        <v>5944</v>
      </c>
      <c r="AQ708" s="375"/>
    </row>
    <row r="709">
      <c r="A709" s="257" t="s">
        <v>6027</v>
      </c>
      <c r="B709" s="257" t="s">
        <v>6028</v>
      </c>
      <c r="C709" s="257" t="str">
        <f>VLOOKUP(A709,import!A:J,3,0)</f>
        <v>YANLIŞ</v>
      </c>
      <c r="D709" s="257" t="s">
        <v>3801</v>
      </c>
      <c r="E709" s="257">
        <f>VLOOKUP(A709,import!A:J,5,0)</f>
        <v>250</v>
      </c>
      <c r="F709" s="257" t="str">
        <f>VLOOKUP(A709,import!A:J,6,0)</f>
        <v/>
      </c>
      <c r="G709" s="257">
        <f>VLOOKUP(A709,import!A:J,7,0)</f>
        <v>64</v>
      </c>
      <c r="H709" s="257">
        <f>VLOOKUP(A709,import!A:J,8,0)</f>
        <v>0</v>
      </c>
      <c r="I709" s="257">
        <f>VLOOKUP(A709,import!A:J,9,0)</f>
        <v>64</v>
      </c>
      <c r="J709" s="369">
        <f>VLOOKUP(A709,import!A:J,10,0)</f>
        <v>1</v>
      </c>
      <c r="K709" s="257" t="s">
        <v>6029</v>
      </c>
      <c r="L709" s="257">
        <v>5.419718597E9</v>
      </c>
      <c r="M709" s="257" t="s">
        <v>3692</v>
      </c>
      <c r="N709" s="257" t="s">
        <v>3721</v>
      </c>
      <c r="O709" s="257" t="s">
        <v>6030</v>
      </c>
      <c r="P709" s="370" t="str">
        <f>VLOOKUP(A709,import!A:P,16,0)</f>
        <v>Key</v>
      </c>
      <c r="Q709" s="370"/>
      <c r="R709" s="370" t="b">
        <v>0</v>
      </c>
      <c r="S709" s="370" t="b">
        <v>0</v>
      </c>
      <c r="T709" s="301" t="s">
        <v>3817</v>
      </c>
      <c r="U709" s="379"/>
      <c r="V709" s="379"/>
      <c r="W709" s="301"/>
      <c r="X709" s="381"/>
      <c r="Y709" s="381"/>
      <c r="Z709" s="372"/>
      <c r="AA709" s="375"/>
      <c r="AB709" s="375"/>
      <c r="AC709" s="375"/>
      <c r="AD709" s="375"/>
      <c r="AE709" s="92"/>
      <c r="AF709" s="375"/>
      <c r="AG709" s="92"/>
      <c r="AH709" s="375"/>
      <c r="AI709" s="375"/>
      <c r="AJ709" s="375"/>
      <c r="AK709" s="375"/>
      <c r="AL709" s="375"/>
      <c r="AM709" s="375"/>
      <c r="AN709" s="375"/>
      <c r="AO709" s="375"/>
      <c r="AP709" s="376" t="s">
        <v>5944</v>
      </c>
      <c r="AQ709" s="375"/>
    </row>
    <row r="710">
      <c r="A710" s="257" t="s">
        <v>6031</v>
      </c>
      <c r="B710" s="257" t="s">
        <v>6032</v>
      </c>
      <c r="C710" s="257" t="str">
        <f>VLOOKUP(A710,import!A:J,3,0)</f>
        <v>DOĞRU</v>
      </c>
      <c r="D710" s="257" t="s">
        <v>3801</v>
      </c>
      <c r="E710" s="257">
        <f>VLOOKUP(A710,import!A:J,5,0)</f>
        <v>21</v>
      </c>
      <c r="F710" s="257" t="str">
        <f>VLOOKUP(A710,import!A:J,6,0)</f>
        <v/>
      </c>
      <c r="G710" s="257">
        <f>VLOOKUP(A710,import!A:J,7,0)</f>
        <v>102</v>
      </c>
      <c r="H710" s="257">
        <f>VLOOKUP(A710,import!A:J,8,0)</f>
        <v>92</v>
      </c>
      <c r="I710" s="257">
        <f>VLOOKUP(A710,import!A:J,9,0)</f>
        <v>194</v>
      </c>
      <c r="J710" s="369">
        <f>VLOOKUP(A710,import!A:J,10,0)</f>
        <v>0.53</v>
      </c>
      <c r="K710" s="257" t="s">
        <v>6033</v>
      </c>
      <c r="L710" s="257">
        <v>5.464673575E9</v>
      </c>
      <c r="M710" s="257" t="s">
        <v>3692</v>
      </c>
      <c r="N710" s="257" t="s">
        <v>6034</v>
      </c>
      <c r="O710" s="257" t="s">
        <v>6035</v>
      </c>
      <c r="P710" s="370" t="str">
        <f>VLOOKUP(A710,import!A:P,16,0)</f>
        <v>Key</v>
      </c>
      <c r="Q710" s="370"/>
      <c r="R710" s="370" t="b">
        <v>0</v>
      </c>
      <c r="S710" s="370" t="b">
        <v>0</v>
      </c>
      <c r="T710" s="301" t="s">
        <v>3817</v>
      </c>
      <c r="U710" s="379"/>
      <c r="V710" s="379"/>
      <c r="W710" s="301"/>
      <c r="X710" s="381"/>
      <c r="Y710" s="381"/>
      <c r="Z710" s="372"/>
      <c r="AA710" s="375"/>
      <c r="AB710" s="375"/>
      <c r="AC710" s="375"/>
      <c r="AD710" s="375"/>
      <c r="AE710" s="92"/>
      <c r="AF710" s="375"/>
      <c r="AG710" s="92"/>
      <c r="AH710" s="375"/>
      <c r="AI710" s="375"/>
      <c r="AJ710" s="375"/>
      <c r="AK710" s="375"/>
      <c r="AL710" s="375"/>
      <c r="AM710" s="375"/>
      <c r="AN710" s="375"/>
      <c r="AO710" s="375"/>
      <c r="AP710" s="376" t="s">
        <v>5944</v>
      </c>
      <c r="AQ710" s="375"/>
    </row>
    <row r="711">
      <c r="A711" s="257" t="s">
        <v>6036</v>
      </c>
      <c r="B711" s="257" t="s">
        <v>6037</v>
      </c>
      <c r="C711" s="257" t="str">
        <f>VLOOKUP(A711,import!A:J,3,0)</f>
        <v>DOĞRU</v>
      </c>
      <c r="D711" s="257" t="s">
        <v>3801</v>
      </c>
      <c r="E711" s="257">
        <f>VLOOKUP(A711,import!A:J,5,0)</f>
        <v>314</v>
      </c>
      <c r="F711" s="257">
        <f>VLOOKUP(A711,import!A:J,6,0)</f>
        <v>34</v>
      </c>
      <c r="G711" s="257">
        <f>VLOOKUP(A711,import!A:J,7,0)</f>
        <v>31</v>
      </c>
      <c r="H711" s="257">
        <f>VLOOKUP(A711,import!A:J,8,0)</f>
        <v>0</v>
      </c>
      <c r="I711" s="257">
        <f>VLOOKUP(A711,import!A:J,9,0)</f>
        <v>31</v>
      </c>
      <c r="J711" s="369">
        <f>VLOOKUP(A711,import!A:J,10,0)</f>
        <v>1</v>
      </c>
      <c r="K711" s="257" t="s">
        <v>6038</v>
      </c>
      <c r="L711" s="257">
        <v>5.30449121E9</v>
      </c>
      <c r="M711" s="257" t="s">
        <v>3692</v>
      </c>
      <c r="N711" s="257" t="s">
        <v>3901</v>
      </c>
      <c r="O711" s="257" t="s">
        <v>6039</v>
      </c>
      <c r="P711" s="370" t="str">
        <f>VLOOKUP(A711,import!A:P,16,0)</f>
        <v>Key</v>
      </c>
      <c r="Q711" s="370"/>
      <c r="R711" s="370" t="b">
        <v>0</v>
      </c>
      <c r="S711" s="370" t="b">
        <v>0</v>
      </c>
      <c r="T711" s="301" t="s">
        <v>3817</v>
      </c>
      <c r="U711" s="379"/>
      <c r="V711" s="379"/>
      <c r="W711" s="301"/>
      <c r="X711" s="381"/>
      <c r="Y711" s="381"/>
      <c r="Z711" s="372"/>
      <c r="AA711" s="375"/>
      <c r="AB711" s="375"/>
      <c r="AC711" s="375"/>
      <c r="AD711" s="375"/>
      <c r="AE711" s="92"/>
      <c r="AF711" s="375"/>
      <c r="AG711" s="92"/>
      <c r="AH711" s="375"/>
      <c r="AI711" s="375"/>
      <c r="AJ711" s="375"/>
      <c r="AK711" s="375"/>
      <c r="AL711" s="375"/>
      <c r="AM711" s="375"/>
      <c r="AN711" s="375"/>
      <c r="AO711" s="375"/>
      <c r="AP711" s="376" t="s">
        <v>5944</v>
      </c>
      <c r="AQ711" s="375"/>
    </row>
    <row r="712">
      <c r="A712" s="257" t="s">
        <v>6040</v>
      </c>
      <c r="B712" s="257" t="s">
        <v>6041</v>
      </c>
      <c r="C712" s="257" t="str">
        <f>VLOOKUP(A712,import!A:J,3,0)</f>
        <v>DOĞRU</v>
      </c>
      <c r="D712" s="257" t="s">
        <v>3801</v>
      </c>
      <c r="E712" s="257">
        <f>VLOOKUP(A712,import!A:J,5,0)</f>
        <v>1837</v>
      </c>
      <c r="F712" s="257">
        <f>VLOOKUP(A712,import!A:J,6,0)</f>
        <v>98</v>
      </c>
      <c r="G712" s="257">
        <f>VLOOKUP(A712,import!A:J,7,0)</f>
        <v>15</v>
      </c>
      <c r="H712" s="257">
        <f>VLOOKUP(A712,import!A:J,8,0)</f>
        <v>2</v>
      </c>
      <c r="I712" s="257">
        <f>VLOOKUP(A712,import!A:J,9,0)</f>
        <v>17</v>
      </c>
      <c r="J712" s="369">
        <f>VLOOKUP(A712,import!A:J,10,0)</f>
        <v>0.88</v>
      </c>
      <c r="K712" s="257" t="s">
        <v>6042</v>
      </c>
      <c r="L712" s="257">
        <v>3.223442122E9</v>
      </c>
      <c r="M712" s="257" t="s">
        <v>3707</v>
      </c>
      <c r="N712" s="257" t="s">
        <v>5130</v>
      </c>
      <c r="O712" s="257" t="s">
        <v>6043</v>
      </c>
      <c r="P712" s="370" t="str">
        <f>VLOOKUP(A712,import!A:P,16,0)</f>
        <v>Key</v>
      </c>
      <c r="Q712" s="370"/>
      <c r="R712" s="370" t="b">
        <v>0</v>
      </c>
      <c r="S712" s="370" t="b">
        <v>0</v>
      </c>
      <c r="T712" s="301" t="s">
        <v>3817</v>
      </c>
      <c r="U712" s="379"/>
      <c r="V712" s="379"/>
      <c r="W712" s="301"/>
      <c r="X712" s="381"/>
      <c r="Y712" s="381"/>
      <c r="Z712" s="372"/>
      <c r="AA712" s="375"/>
      <c r="AB712" s="375"/>
      <c r="AC712" s="375"/>
      <c r="AD712" s="375"/>
      <c r="AE712" s="92"/>
      <c r="AF712" s="375"/>
      <c r="AG712" s="92"/>
      <c r="AH712" s="375"/>
      <c r="AI712" s="375"/>
      <c r="AJ712" s="375"/>
      <c r="AK712" s="375"/>
      <c r="AL712" s="375"/>
      <c r="AM712" s="375"/>
      <c r="AN712" s="375"/>
      <c r="AO712" s="375"/>
      <c r="AP712" s="376" t="s">
        <v>5944</v>
      </c>
      <c r="AQ712" s="375"/>
    </row>
    <row r="713">
      <c r="A713" s="257" t="s">
        <v>6044</v>
      </c>
      <c r="B713" s="257" t="s">
        <v>6045</v>
      </c>
      <c r="C713" s="257" t="str">
        <f>VLOOKUP(A713,import!A:J,3,0)</f>
        <v>DOĞRU</v>
      </c>
      <c r="D713" s="257" t="s">
        <v>3801</v>
      </c>
      <c r="E713" s="257">
        <f>VLOOKUP(A713,import!A:J,5,0)</f>
        <v>558</v>
      </c>
      <c r="F713" s="257">
        <f>VLOOKUP(A713,import!A:J,6,0)</f>
        <v>23</v>
      </c>
      <c r="G713" s="257">
        <f>VLOOKUP(A713,import!A:J,7,0)</f>
        <v>20</v>
      </c>
      <c r="H713" s="257">
        <f>VLOOKUP(A713,import!A:J,8,0)</f>
        <v>0</v>
      </c>
      <c r="I713" s="257">
        <f>VLOOKUP(A713,import!A:J,9,0)</f>
        <v>20</v>
      </c>
      <c r="J713" s="369">
        <f>VLOOKUP(A713,import!A:J,10,0)</f>
        <v>1</v>
      </c>
      <c r="K713" s="257" t="s">
        <v>6046</v>
      </c>
      <c r="L713" s="257">
        <v>5.31201602E9</v>
      </c>
      <c r="M713" s="257" t="s">
        <v>3707</v>
      </c>
      <c r="N713" s="257" t="s">
        <v>4627</v>
      </c>
      <c r="O713" s="257" t="s">
        <v>6047</v>
      </c>
      <c r="P713" s="370" t="str">
        <f>VLOOKUP(A713,import!A:P,16,0)</f>
        <v>Key</v>
      </c>
      <c r="Q713" s="370"/>
      <c r="R713" s="370" t="b">
        <v>0</v>
      </c>
      <c r="S713" s="370" t="b">
        <v>0</v>
      </c>
      <c r="T713" s="301" t="s">
        <v>3817</v>
      </c>
      <c r="U713" s="379"/>
      <c r="V713" s="379"/>
      <c r="W713" s="301"/>
      <c r="X713" s="381"/>
      <c r="Y713" s="381"/>
      <c r="Z713" s="372"/>
      <c r="AA713" s="375"/>
      <c r="AB713" s="375"/>
      <c r="AC713" s="375"/>
      <c r="AD713" s="375"/>
      <c r="AE713" s="92"/>
      <c r="AF713" s="375"/>
      <c r="AG713" s="92"/>
      <c r="AH713" s="375"/>
      <c r="AI713" s="375"/>
      <c r="AJ713" s="375"/>
      <c r="AK713" s="375"/>
      <c r="AL713" s="375"/>
      <c r="AM713" s="375"/>
      <c r="AN713" s="375"/>
      <c r="AO713" s="375"/>
      <c r="AP713" s="376" t="s">
        <v>5944</v>
      </c>
      <c r="AQ713" s="375"/>
    </row>
    <row r="714">
      <c r="A714" s="257" t="s">
        <v>3311</v>
      </c>
      <c r="B714" s="257" t="s">
        <v>3312</v>
      </c>
      <c r="C714" s="257" t="str">
        <f>VLOOKUP(A714,import!A:J,3,0)</f>
        <v>DOĞRU</v>
      </c>
      <c r="D714" s="257" t="s">
        <v>3676</v>
      </c>
      <c r="E714" s="257">
        <f>VLOOKUP(A714,import!A:J,5,0)</f>
        <v>475</v>
      </c>
      <c r="F714" s="257">
        <f>VLOOKUP(A714,import!A:J,6,0)</f>
        <v>43</v>
      </c>
      <c r="G714" s="257">
        <f>VLOOKUP(A714,import!A:J,7,0)</f>
        <v>7</v>
      </c>
      <c r="H714" s="257">
        <f>VLOOKUP(A714,import!A:J,8,0)</f>
        <v>11</v>
      </c>
      <c r="I714" s="257">
        <f>VLOOKUP(A714,import!A:J,9,0)</f>
        <v>18</v>
      </c>
      <c r="J714" s="369">
        <f>VLOOKUP(A714,import!A:J,10,0)</f>
        <v>0.39</v>
      </c>
      <c r="K714" s="257" t="s">
        <v>6048</v>
      </c>
      <c r="L714" s="257">
        <v>3.222620606E9</v>
      </c>
      <c r="M714" s="257" t="s">
        <v>286</v>
      </c>
      <c r="N714" s="257" t="s">
        <v>3769</v>
      </c>
      <c r="O714" s="257" t="s">
        <v>3314</v>
      </c>
      <c r="P714" s="370" t="str">
        <f>VLOOKUP(A714,import!A:P,16,0)</f>
        <v>Geleneksel</v>
      </c>
      <c r="Q714" s="370"/>
      <c r="R714" s="370" t="b">
        <v>1</v>
      </c>
      <c r="S714" s="370" t="b">
        <v>0</v>
      </c>
      <c r="T714" s="301" t="s">
        <v>3679</v>
      </c>
      <c r="U714" s="301" t="s">
        <v>2192</v>
      </c>
      <c r="V714" s="355" t="s">
        <v>78</v>
      </c>
      <c r="W714" s="301" t="s">
        <v>6049</v>
      </c>
      <c r="X714" s="371">
        <v>44566.0</v>
      </c>
      <c r="Y714" s="371">
        <v>44567.0</v>
      </c>
      <c r="Z714" s="372"/>
      <c r="AA714" s="373" t="s">
        <v>3682</v>
      </c>
      <c r="AB714" s="374">
        <v>44566.0</v>
      </c>
      <c r="AC714" s="373"/>
      <c r="AD714" s="374"/>
      <c r="AE714" s="373"/>
      <c r="AF714" s="374"/>
      <c r="AG714" s="373"/>
      <c r="AH714" s="374"/>
      <c r="AI714" s="375"/>
      <c r="AJ714" s="375"/>
      <c r="AK714" s="373" t="s">
        <v>2192</v>
      </c>
      <c r="AL714" s="375"/>
      <c r="AM714" s="375"/>
      <c r="AN714" s="373"/>
      <c r="AO714" s="375"/>
      <c r="AP714" s="376"/>
      <c r="AQ714" s="375"/>
    </row>
    <row r="715">
      <c r="A715" s="257" t="s">
        <v>3379</v>
      </c>
      <c r="B715" s="257" t="s">
        <v>3380</v>
      </c>
      <c r="C715" s="257" t="str">
        <f>VLOOKUP(A715,import!A:J,3,0)</f>
        <v>DOĞRU</v>
      </c>
      <c r="D715" s="257" t="s">
        <v>3699</v>
      </c>
      <c r="E715" s="257">
        <f>VLOOKUP(A715,import!A:J,5,0)</f>
        <v>30</v>
      </c>
      <c r="F715" s="257">
        <f>VLOOKUP(A715,import!A:J,6,0)</f>
        <v>10</v>
      </c>
      <c r="G715" s="257">
        <f>VLOOKUP(A715,import!A:J,7,0)</f>
        <v>30</v>
      </c>
      <c r="H715" s="257">
        <f>VLOOKUP(A715,import!A:J,8,0)</f>
        <v>42</v>
      </c>
      <c r="I715" s="257">
        <f>VLOOKUP(A715,import!A:J,9,0)</f>
        <v>72</v>
      </c>
      <c r="J715" s="369">
        <f>VLOOKUP(A715,import!A:J,10,0)</f>
        <v>0.42</v>
      </c>
      <c r="K715" s="257" t="s">
        <v>5391</v>
      </c>
      <c r="L715" s="257">
        <v>5.434108913E9</v>
      </c>
      <c r="M715" s="257" t="s">
        <v>286</v>
      </c>
      <c r="N715" s="257" t="s">
        <v>5904</v>
      </c>
      <c r="O715" s="257" t="s">
        <v>3383</v>
      </c>
      <c r="P715" s="370" t="str">
        <f>VLOOKUP(A715,import!A:P,16,0)</f>
        <v>Geleneksel</v>
      </c>
      <c r="Q715" s="370"/>
      <c r="R715" s="370" t="b">
        <v>1</v>
      </c>
      <c r="S715" s="370" t="b">
        <v>0</v>
      </c>
      <c r="T715" s="301" t="s">
        <v>3679</v>
      </c>
      <c r="U715" s="301" t="s">
        <v>2576</v>
      </c>
      <c r="V715" s="402" t="s">
        <v>3331</v>
      </c>
      <c r="W715" s="301" t="s">
        <v>6050</v>
      </c>
      <c r="X715" s="371">
        <v>44621.0</v>
      </c>
      <c r="Y715" s="371">
        <v>44622.0</v>
      </c>
      <c r="Z715" s="372"/>
      <c r="AA715" s="373" t="s">
        <v>3682</v>
      </c>
      <c r="AB715" s="374">
        <v>44621.0</v>
      </c>
      <c r="AC715" s="373"/>
      <c r="AD715" s="374"/>
      <c r="AE715" s="373"/>
      <c r="AF715" s="374"/>
      <c r="AG715" s="373"/>
      <c r="AH715" s="374"/>
      <c r="AI715" s="375"/>
      <c r="AJ715" s="375"/>
      <c r="AK715" s="373" t="s">
        <v>2576</v>
      </c>
      <c r="AL715" s="375"/>
      <c r="AM715" s="375"/>
      <c r="AN715" s="373"/>
      <c r="AO715" s="375"/>
      <c r="AP715" s="376"/>
      <c r="AQ715" s="375"/>
    </row>
    <row r="716">
      <c r="A716" s="257" t="s">
        <v>6051</v>
      </c>
      <c r="B716" s="257" t="s">
        <v>6052</v>
      </c>
      <c r="C716" s="257" t="str">
        <f>VLOOKUP(A716,import!A:J,3,0)</f>
        <v>DOĞRU</v>
      </c>
      <c r="D716" s="257" t="s">
        <v>4000</v>
      </c>
      <c r="E716" s="257">
        <f>VLOOKUP(A716,import!A:J,5,0)</f>
        <v>2261</v>
      </c>
      <c r="F716" s="257">
        <f>VLOOKUP(A716,import!A:J,6,0)</f>
        <v>1191</v>
      </c>
      <c r="G716" s="257">
        <f>VLOOKUP(A716,import!A:J,7,0)</f>
        <v>9</v>
      </c>
      <c r="H716" s="257">
        <f>VLOOKUP(A716,import!A:J,8,0)</f>
        <v>16</v>
      </c>
      <c r="I716" s="257">
        <f>VLOOKUP(A716,import!A:J,9,0)</f>
        <v>25</v>
      </c>
      <c r="J716" s="369">
        <f>VLOOKUP(A716,import!A:J,10,0)</f>
        <v>0.36</v>
      </c>
      <c r="K716" s="257" t="s">
        <v>6053</v>
      </c>
      <c r="L716" s="257">
        <v>3.229996589E9</v>
      </c>
      <c r="M716" s="257" t="s">
        <v>14</v>
      </c>
      <c r="N716" s="257" t="s">
        <v>3733</v>
      </c>
      <c r="O716" s="257" t="s">
        <v>6054</v>
      </c>
      <c r="P716" s="370" t="str">
        <f>VLOOKUP(A716,import!A:P,16,0)</f>
        <v>Geleneksel</v>
      </c>
      <c r="Q716" s="370"/>
      <c r="R716" s="370" t="b">
        <v>0</v>
      </c>
      <c r="S716" s="370" t="b">
        <v>0</v>
      </c>
      <c r="T716" s="301" t="s">
        <v>3817</v>
      </c>
      <c r="U716" s="379"/>
      <c r="V716" s="379"/>
      <c r="W716" s="301"/>
      <c r="X716" s="381"/>
      <c r="Y716" s="381"/>
      <c r="Z716" s="372"/>
      <c r="AA716" s="373"/>
      <c r="AB716" s="374"/>
      <c r="AC716" s="373"/>
      <c r="AD716" s="374"/>
      <c r="AE716" s="373"/>
      <c r="AF716" s="374"/>
      <c r="AG716" s="373"/>
      <c r="AH716" s="374"/>
      <c r="AI716" s="375"/>
      <c r="AJ716" s="375"/>
      <c r="AK716" s="373"/>
      <c r="AL716" s="375"/>
      <c r="AM716" s="375"/>
      <c r="AN716" s="373"/>
      <c r="AO716" s="375"/>
      <c r="AP716" s="376"/>
      <c r="AQ716" s="375"/>
    </row>
    <row r="717">
      <c r="A717" s="257" t="s">
        <v>2659</v>
      </c>
      <c r="B717" s="257" t="s">
        <v>2660</v>
      </c>
      <c r="C717" s="257" t="str">
        <f>VLOOKUP(A717,import!A:J,3,0)</f>
        <v>DOĞRU</v>
      </c>
      <c r="D717" s="257" t="s">
        <v>3759</v>
      </c>
      <c r="E717" s="257">
        <f>VLOOKUP(A717,import!A:J,5,0)</f>
        <v>2824</v>
      </c>
      <c r="F717" s="257">
        <f>VLOOKUP(A717,import!A:J,6,0)</f>
        <v>153</v>
      </c>
      <c r="G717" s="257">
        <f>VLOOKUP(A717,import!A:J,7,0)</f>
        <v>11</v>
      </c>
      <c r="H717" s="257">
        <f>VLOOKUP(A717,import!A:J,8,0)</f>
        <v>9</v>
      </c>
      <c r="I717" s="257">
        <f>VLOOKUP(A717,import!A:J,9,0)</f>
        <v>20</v>
      </c>
      <c r="J717" s="369">
        <f>VLOOKUP(A717,import!A:J,10,0)</f>
        <v>0.55</v>
      </c>
      <c r="K717" s="257" t="s">
        <v>6055</v>
      </c>
      <c r="L717" s="257">
        <v>5.538693426E9</v>
      </c>
      <c r="M717" s="257" t="s">
        <v>14</v>
      </c>
      <c r="N717" s="257" t="s">
        <v>3767</v>
      </c>
      <c r="O717" s="257" t="s">
        <v>6056</v>
      </c>
      <c r="P717" s="370" t="str">
        <f>VLOOKUP(A717,import!A:P,16,0)</f>
        <v>Geleneksel</v>
      </c>
      <c r="Q717" s="370"/>
      <c r="R717" s="370" t="b">
        <v>1</v>
      </c>
      <c r="S717" s="370" t="b">
        <v>1</v>
      </c>
      <c r="T717" s="301" t="s">
        <v>3679</v>
      </c>
      <c r="U717" s="301" t="s">
        <v>2576</v>
      </c>
      <c r="V717" s="301" t="s">
        <v>78</v>
      </c>
      <c r="W717" s="301" t="s">
        <v>6057</v>
      </c>
      <c r="X717" s="371">
        <v>44464.0</v>
      </c>
      <c r="Y717" s="371">
        <v>44467.0</v>
      </c>
      <c r="Z717" s="372"/>
      <c r="AA717" s="373" t="s">
        <v>3682</v>
      </c>
      <c r="AB717" s="374">
        <v>44464.0</v>
      </c>
      <c r="AC717" s="375"/>
      <c r="AD717" s="375"/>
      <c r="AE717" s="92"/>
      <c r="AF717" s="375"/>
      <c r="AG717" s="92"/>
      <c r="AH717" s="375"/>
      <c r="AI717" s="375"/>
      <c r="AJ717" s="375"/>
      <c r="AK717" s="373" t="s">
        <v>2576</v>
      </c>
      <c r="AL717" s="375"/>
      <c r="AM717" s="375"/>
      <c r="AN717" s="375"/>
      <c r="AO717" s="375"/>
      <c r="AP717" s="376" t="s">
        <v>3683</v>
      </c>
      <c r="AQ717" s="375"/>
    </row>
    <row r="718">
      <c r="A718" s="257" t="s">
        <v>2739</v>
      </c>
      <c r="B718" s="257" t="s">
        <v>2740</v>
      </c>
      <c r="C718" s="257" t="str">
        <f>VLOOKUP(A718,import!A:J,3,0)</f>
        <v>DOĞRU</v>
      </c>
      <c r="D718" s="257" t="s">
        <v>3713</v>
      </c>
      <c r="E718" s="257">
        <f>VLOOKUP(A718,import!A:J,5,0)</f>
        <v>1925</v>
      </c>
      <c r="F718" s="257">
        <f>VLOOKUP(A718,import!A:J,6,0)</f>
        <v>47</v>
      </c>
      <c r="G718" s="257">
        <f>VLOOKUP(A718,import!A:J,7,0)</f>
        <v>7</v>
      </c>
      <c r="H718" s="257">
        <f>VLOOKUP(A718,import!A:J,8,0)</f>
        <v>32</v>
      </c>
      <c r="I718" s="257">
        <f>VLOOKUP(A718,import!A:J,9,0)</f>
        <v>39</v>
      </c>
      <c r="J718" s="369">
        <f>VLOOKUP(A718,import!A:J,10,0)</f>
        <v>0.18</v>
      </c>
      <c r="K718" s="257" t="s">
        <v>6058</v>
      </c>
      <c r="L718" s="257">
        <v>5.373832396E9</v>
      </c>
      <c r="M718" s="257" t="s">
        <v>14</v>
      </c>
      <c r="N718" s="257" t="s">
        <v>3767</v>
      </c>
      <c r="O718" s="257" t="s">
        <v>2742</v>
      </c>
      <c r="P718" s="370" t="str">
        <f>VLOOKUP(A718,import!A:P,16,0)</f>
        <v>Geleneksel</v>
      </c>
      <c r="Q718" s="370"/>
      <c r="R718" s="370" t="b">
        <v>1</v>
      </c>
      <c r="S718" s="370" t="b">
        <v>0</v>
      </c>
      <c r="T718" s="301" t="s">
        <v>3679</v>
      </c>
      <c r="U718" s="301" t="s">
        <v>79</v>
      </c>
      <c r="V718" s="301" t="s">
        <v>78</v>
      </c>
      <c r="W718" s="301" t="s">
        <v>6059</v>
      </c>
      <c r="X718" s="371">
        <v>44471.0</v>
      </c>
      <c r="Y718" s="371">
        <v>44473.0</v>
      </c>
      <c r="Z718" s="372"/>
      <c r="AA718" s="373" t="s">
        <v>3682</v>
      </c>
      <c r="AB718" s="374">
        <v>44365.0</v>
      </c>
      <c r="AC718" s="373" t="s">
        <v>3682</v>
      </c>
      <c r="AD718" s="374">
        <v>44382.0</v>
      </c>
      <c r="AE718" s="373" t="s">
        <v>3682</v>
      </c>
      <c r="AF718" s="374">
        <v>44391.0</v>
      </c>
      <c r="AG718" s="373" t="s">
        <v>3681</v>
      </c>
      <c r="AH718" s="374">
        <v>44412.0</v>
      </c>
      <c r="AI718" s="373" t="s">
        <v>3682</v>
      </c>
      <c r="AJ718" s="374">
        <v>44460.0</v>
      </c>
      <c r="AK718" s="373" t="s">
        <v>79</v>
      </c>
      <c r="AL718" s="373" t="s">
        <v>79</v>
      </c>
      <c r="AM718" s="373" t="s">
        <v>4089</v>
      </c>
      <c r="AN718" s="373" t="s">
        <v>3723</v>
      </c>
      <c r="AO718" s="373" t="s">
        <v>2542</v>
      </c>
      <c r="AP718" s="376" t="s">
        <v>3683</v>
      </c>
      <c r="AQ718" s="373"/>
    </row>
    <row r="719">
      <c r="A719" s="257" t="s">
        <v>2052</v>
      </c>
      <c r="B719" s="257" t="s">
        <v>2053</v>
      </c>
      <c r="C719" s="257" t="str">
        <f>VLOOKUP(A719,import!A:J,3,0)</f>
        <v>DOĞRU</v>
      </c>
      <c r="D719" s="257" t="s">
        <v>3676</v>
      </c>
      <c r="E719" s="257">
        <f>VLOOKUP(A719,import!A:J,5,0)</f>
        <v>333</v>
      </c>
      <c r="F719" s="257">
        <f>VLOOKUP(A719,import!A:J,6,0)</f>
        <v>12</v>
      </c>
      <c r="G719" s="257">
        <f>VLOOKUP(A719,import!A:J,7,0)</f>
        <v>9</v>
      </c>
      <c r="H719" s="257">
        <f>VLOOKUP(A719,import!A:J,8,0)</f>
        <v>1</v>
      </c>
      <c r="I719" s="257">
        <f>VLOOKUP(A719,import!A:J,9,0)</f>
        <v>10</v>
      </c>
      <c r="J719" s="369">
        <f>VLOOKUP(A719,import!A:J,10,0)</f>
        <v>0.9</v>
      </c>
      <c r="K719" s="257" t="s">
        <v>6060</v>
      </c>
      <c r="L719" s="257">
        <v>3.223634329E9</v>
      </c>
      <c r="M719" s="257" t="s">
        <v>286</v>
      </c>
      <c r="N719" s="257" t="s">
        <v>4451</v>
      </c>
      <c r="O719" s="257" t="s">
        <v>2055</v>
      </c>
      <c r="P719" s="370" t="str">
        <f>VLOOKUP(A719,import!A:P,16,0)</f>
        <v>Geleneksel</v>
      </c>
      <c r="Q719" s="370"/>
      <c r="R719" s="370" t="b">
        <v>1</v>
      </c>
      <c r="S719" s="370" t="b">
        <v>0</v>
      </c>
      <c r="T719" s="301" t="s">
        <v>3679</v>
      </c>
      <c r="U719" s="301" t="s">
        <v>79</v>
      </c>
      <c r="V719" s="301" t="s">
        <v>78</v>
      </c>
      <c r="W719" s="301" t="s">
        <v>6061</v>
      </c>
      <c r="X719" s="371">
        <v>44446.0</v>
      </c>
      <c r="Y719" s="371">
        <v>44447.0</v>
      </c>
      <c r="Z719" s="372"/>
      <c r="AA719" s="373" t="s">
        <v>3696</v>
      </c>
      <c r="AB719" s="374">
        <v>44412.0</v>
      </c>
      <c r="AC719" s="373" t="s">
        <v>3682</v>
      </c>
      <c r="AD719" s="374">
        <v>44428.0</v>
      </c>
      <c r="AE719" s="373" t="s">
        <v>3681</v>
      </c>
      <c r="AF719" s="374">
        <v>44446.0</v>
      </c>
      <c r="AG719" s="92"/>
      <c r="AH719" s="375"/>
      <c r="AI719" s="375"/>
      <c r="AJ719" s="375"/>
      <c r="AK719" s="373" t="s">
        <v>3729</v>
      </c>
      <c r="AL719" s="375"/>
      <c r="AM719" s="373" t="s">
        <v>79</v>
      </c>
      <c r="AN719" s="375"/>
      <c r="AO719" s="375"/>
      <c r="AP719" s="376" t="s">
        <v>3686</v>
      </c>
      <c r="AQ719" s="375"/>
    </row>
    <row r="720">
      <c r="A720" s="257" t="s">
        <v>6062</v>
      </c>
      <c r="B720" s="257" t="s">
        <v>6063</v>
      </c>
      <c r="C720" s="257" t="str">
        <f>VLOOKUP(A720,import!A:J,3,0)</f>
        <v>DOĞRU</v>
      </c>
      <c r="D720" s="257" t="s">
        <v>3759</v>
      </c>
      <c r="E720" s="257">
        <f>VLOOKUP(A720,import!A:J,5,0)</f>
        <v>1390</v>
      </c>
      <c r="F720" s="257">
        <f>VLOOKUP(A720,import!A:J,6,0)</f>
        <v>90</v>
      </c>
      <c r="G720" s="257">
        <f>VLOOKUP(A720,import!A:J,7,0)</f>
        <v>0</v>
      </c>
      <c r="H720" s="257">
        <f>VLOOKUP(A720,import!A:J,8,0)</f>
        <v>6</v>
      </c>
      <c r="I720" s="257">
        <f>VLOOKUP(A720,import!A:J,9,0)</f>
        <v>6</v>
      </c>
      <c r="J720" s="369">
        <f>VLOOKUP(A720,import!A:J,10,0)</f>
        <v>0</v>
      </c>
      <c r="K720" s="257" t="s">
        <v>6064</v>
      </c>
      <c r="L720" s="257">
        <v>3.22324095E9</v>
      </c>
      <c r="M720" s="257" t="s">
        <v>3707</v>
      </c>
      <c r="N720" s="257" t="s">
        <v>5245</v>
      </c>
      <c r="O720" s="257" t="s">
        <v>6065</v>
      </c>
      <c r="P720" s="370" t="str">
        <f>VLOOKUP(A720,import!A:P,16,0)</f>
        <v>Geleneksel</v>
      </c>
      <c r="Q720" s="370"/>
      <c r="R720" s="370" t="b">
        <v>1</v>
      </c>
      <c r="S720" s="370" t="b">
        <v>1</v>
      </c>
      <c r="T720" s="301"/>
      <c r="U720" s="379"/>
      <c r="V720" s="379"/>
      <c r="W720" s="301" t="s">
        <v>6066</v>
      </c>
      <c r="X720" s="381"/>
      <c r="Y720" s="381"/>
      <c r="Z720" s="372"/>
      <c r="AA720" s="373" t="s">
        <v>3682</v>
      </c>
      <c r="AB720" s="374">
        <v>44463.0</v>
      </c>
      <c r="AC720" s="373" t="s">
        <v>3682</v>
      </c>
      <c r="AD720" s="374">
        <v>44463.0</v>
      </c>
      <c r="AE720" s="373" t="s">
        <v>3682</v>
      </c>
      <c r="AF720" s="374">
        <v>44491.0</v>
      </c>
      <c r="AG720" s="92"/>
      <c r="AH720" s="375"/>
      <c r="AI720" s="375"/>
      <c r="AJ720" s="375"/>
      <c r="AK720" s="373" t="s">
        <v>2542</v>
      </c>
      <c r="AL720" s="373" t="s">
        <v>2542</v>
      </c>
      <c r="AM720" s="373" t="s">
        <v>2542</v>
      </c>
      <c r="AN720" s="375"/>
      <c r="AO720" s="375"/>
      <c r="AP720" s="376" t="s">
        <v>3686</v>
      </c>
      <c r="AQ720" s="375"/>
    </row>
    <row r="721">
      <c r="A721" s="257" t="s">
        <v>2287</v>
      </c>
      <c r="B721" s="257" t="s">
        <v>2288</v>
      </c>
      <c r="C721" s="257" t="str">
        <f>VLOOKUP(A721,import!A:J,3,0)</f>
        <v>DOĞRU</v>
      </c>
      <c r="D721" s="257" t="s">
        <v>3699</v>
      </c>
      <c r="E721" s="257">
        <f>VLOOKUP(A721,import!A:J,5,0)</f>
        <v>525</v>
      </c>
      <c r="F721" s="257">
        <f>VLOOKUP(A721,import!A:J,6,0)</f>
        <v>155</v>
      </c>
      <c r="G721" s="257">
        <f>VLOOKUP(A721,import!A:J,7,0)</f>
        <v>26</v>
      </c>
      <c r="H721" s="257">
        <f>VLOOKUP(A721,import!A:J,8,0)</f>
        <v>5</v>
      </c>
      <c r="I721" s="257">
        <f>VLOOKUP(A721,import!A:J,9,0)</f>
        <v>31</v>
      </c>
      <c r="J721" s="369">
        <f>VLOOKUP(A721,import!A:J,10,0)</f>
        <v>0.84</v>
      </c>
      <c r="K721" s="257" t="s">
        <v>6067</v>
      </c>
      <c r="L721" s="257">
        <v>5.324072494E9</v>
      </c>
      <c r="M721" s="257" t="s">
        <v>286</v>
      </c>
      <c r="N721" s="257" t="s">
        <v>3754</v>
      </c>
      <c r="O721" s="257" t="s">
        <v>2290</v>
      </c>
      <c r="P721" s="370" t="str">
        <f>VLOOKUP(A721,import!A:P,16,0)</f>
        <v>Geleneksel</v>
      </c>
      <c r="Q721" s="370"/>
      <c r="R721" s="370" t="b">
        <v>1</v>
      </c>
      <c r="S721" s="370" t="b">
        <v>0</v>
      </c>
      <c r="T721" s="301" t="s">
        <v>3679</v>
      </c>
      <c r="U721" s="301" t="s">
        <v>79</v>
      </c>
      <c r="V721" s="301" t="s">
        <v>78</v>
      </c>
      <c r="W721" s="301" t="s">
        <v>6068</v>
      </c>
      <c r="X721" s="371">
        <v>44474.0</v>
      </c>
      <c r="Y721" s="371">
        <v>44475.0</v>
      </c>
      <c r="Z721" s="372"/>
      <c r="AA721" s="373" t="s">
        <v>3682</v>
      </c>
      <c r="AB721" s="374">
        <v>44442.0</v>
      </c>
      <c r="AC721" s="373" t="s">
        <v>3682</v>
      </c>
      <c r="AD721" s="374">
        <v>44456.0</v>
      </c>
      <c r="AE721" s="373"/>
      <c r="AF721" s="374"/>
      <c r="AG721" s="92"/>
      <c r="AH721" s="375"/>
      <c r="AI721" s="375"/>
      <c r="AJ721" s="375"/>
      <c r="AK721" s="373" t="s">
        <v>399</v>
      </c>
      <c r="AL721" s="373" t="s">
        <v>2542</v>
      </c>
      <c r="AM721" s="375"/>
      <c r="AN721" s="375"/>
      <c r="AO721" s="375"/>
      <c r="AP721" s="376" t="s">
        <v>3686</v>
      </c>
      <c r="AQ721" s="375"/>
    </row>
    <row r="722">
      <c r="A722" s="257" t="s">
        <v>1972</v>
      </c>
      <c r="B722" s="257" t="s">
        <v>1973</v>
      </c>
      <c r="C722" s="257" t="str">
        <f>VLOOKUP(A722,import!A:J,3,0)</f>
        <v>DOĞRU</v>
      </c>
      <c r="D722" s="257" t="s">
        <v>3699</v>
      </c>
      <c r="E722" s="257">
        <f>VLOOKUP(A722,import!A:J,5,0)</f>
        <v>2389</v>
      </c>
      <c r="F722" s="257">
        <f>VLOOKUP(A722,import!A:J,6,0)</f>
        <v>326</v>
      </c>
      <c r="G722" s="257">
        <f>VLOOKUP(A722,import!A:J,7,0)</f>
        <v>17</v>
      </c>
      <c r="H722" s="257">
        <f>VLOOKUP(A722,import!A:J,8,0)</f>
        <v>3</v>
      </c>
      <c r="I722" s="257">
        <f>VLOOKUP(A722,import!A:J,9,0)</f>
        <v>20</v>
      </c>
      <c r="J722" s="369">
        <f>VLOOKUP(A722,import!A:J,10,0)</f>
        <v>0.85</v>
      </c>
      <c r="K722" s="257" t="s">
        <v>6069</v>
      </c>
      <c r="L722" s="257">
        <v>5.306031067E9</v>
      </c>
      <c r="M722" s="257" t="s">
        <v>286</v>
      </c>
      <c r="N722" s="257" t="s">
        <v>3769</v>
      </c>
      <c r="O722" s="257" t="s">
        <v>1975</v>
      </c>
      <c r="P722" s="370" t="str">
        <f>VLOOKUP(A722,import!A:P,16,0)</f>
        <v>Geleneksel</v>
      </c>
      <c r="Q722" s="370"/>
      <c r="R722" s="370" t="b">
        <v>1</v>
      </c>
      <c r="S722" s="370" t="b">
        <v>0</v>
      </c>
      <c r="T722" s="301" t="s">
        <v>3696</v>
      </c>
      <c r="U722" s="379"/>
      <c r="V722" s="379"/>
      <c r="W722" s="301" t="s">
        <v>6070</v>
      </c>
      <c r="X722" s="381"/>
      <c r="Y722" s="381"/>
      <c r="Z722" s="372"/>
      <c r="AA722" s="373" t="s">
        <v>3448</v>
      </c>
      <c r="AB722" s="374">
        <v>44377.0</v>
      </c>
      <c r="AC722" s="373" t="s">
        <v>3696</v>
      </c>
      <c r="AD722" s="374">
        <v>44379.0</v>
      </c>
      <c r="AE722" s="373" t="s">
        <v>3682</v>
      </c>
      <c r="AF722" s="374">
        <v>44474.0</v>
      </c>
      <c r="AG722" s="92"/>
      <c r="AH722" s="375"/>
      <c r="AI722" s="375"/>
      <c r="AJ722" s="375"/>
      <c r="AK722" s="373" t="s">
        <v>399</v>
      </c>
      <c r="AL722" s="373" t="s">
        <v>1014</v>
      </c>
      <c r="AM722" s="373" t="s">
        <v>2576</v>
      </c>
      <c r="AN722" s="375"/>
      <c r="AO722" s="375"/>
      <c r="AP722" s="376" t="s">
        <v>3686</v>
      </c>
      <c r="AQ722" s="375"/>
    </row>
    <row r="723">
      <c r="A723" s="257" t="s">
        <v>938</v>
      </c>
      <c r="B723" s="257" t="s">
        <v>939</v>
      </c>
      <c r="C723" s="257" t="str">
        <f>VLOOKUP(A723,import!A:J,3,0)</f>
        <v>DOĞRU</v>
      </c>
      <c r="D723" s="257" t="s">
        <v>3699</v>
      </c>
      <c r="E723" s="257">
        <f>VLOOKUP(A723,import!A:J,5,0)</f>
        <v>1037</v>
      </c>
      <c r="F723" s="257">
        <f>VLOOKUP(A723,import!A:J,6,0)</f>
        <v>37</v>
      </c>
      <c r="G723" s="257">
        <f>VLOOKUP(A723,import!A:J,7,0)</f>
        <v>3</v>
      </c>
      <c r="H723" s="257">
        <f>VLOOKUP(A723,import!A:J,8,0)</f>
        <v>6</v>
      </c>
      <c r="I723" s="257">
        <f>VLOOKUP(A723,import!A:J,9,0)</f>
        <v>9</v>
      </c>
      <c r="J723" s="369">
        <f>VLOOKUP(A723,import!A:J,10,0)</f>
        <v>0.33</v>
      </c>
      <c r="K723" s="257" t="s">
        <v>6071</v>
      </c>
      <c r="L723" s="257">
        <v>5.539594629E9</v>
      </c>
      <c r="M723" s="257" t="s">
        <v>14</v>
      </c>
      <c r="N723" s="257" t="s">
        <v>3935</v>
      </c>
      <c r="O723" s="257" t="s">
        <v>941</v>
      </c>
      <c r="P723" s="370" t="str">
        <f>VLOOKUP(A723,import!A:P,16,0)</f>
        <v>Geleneksel</v>
      </c>
      <c r="Q723" s="370"/>
      <c r="R723" s="370" t="b">
        <v>1</v>
      </c>
      <c r="S723" s="370" t="b">
        <v>0</v>
      </c>
      <c r="T723" s="301" t="s">
        <v>3679</v>
      </c>
      <c r="U723" s="301" t="s">
        <v>3073</v>
      </c>
      <c r="V723" s="301" t="s">
        <v>78</v>
      </c>
      <c r="W723" s="301" t="s">
        <v>6072</v>
      </c>
      <c r="X723" s="371">
        <v>44544.0</v>
      </c>
      <c r="Y723" s="371">
        <v>44546.0</v>
      </c>
      <c r="Z723" s="372"/>
      <c r="AA723" s="373" t="s">
        <v>3682</v>
      </c>
      <c r="AB723" s="374">
        <v>44350.0</v>
      </c>
      <c r="AC723" s="373" t="s">
        <v>3682</v>
      </c>
      <c r="AD723" s="374">
        <v>44377.0</v>
      </c>
      <c r="AE723" s="373" t="s">
        <v>3682</v>
      </c>
      <c r="AF723" s="374">
        <v>44382.0</v>
      </c>
      <c r="AG723" s="373" t="s">
        <v>3448</v>
      </c>
      <c r="AH723" s="374">
        <v>44383.0</v>
      </c>
      <c r="AI723" s="373" t="s">
        <v>3682</v>
      </c>
      <c r="AJ723" s="374">
        <v>44574.0</v>
      </c>
      <c r="AK723" s="373" t="s">
        <v>3789</v>
      </c>
      <c r="AL723" s="373" t="s">
        <v>79</v>
      </c>
      <c r="AM723" s="373" t="s">
        <v>111</v>
      </c>
      <c r="AN723" s="375"/>
      <c r="AO723" s="373" t="s">
        <v>2706</v>
      </c>
      <c r="AP723" s="376" t="s">
        <v>3683</v>
      </c>
      <c r="AQ723" s="373"/>
    </row>
    <row r="724">
      <c r="A724" s="257" t="s">
        <v>3347</v>
      </c>
      <c r="B724" s="257" t="s">
        <v>3348</v>
      </c>
      <c r="C724" s="257" t="str">
        <f>VLOOKUP(A724,import!A:J,3,0)</f>
        <v>DOĞRU</v>
      </c>
      <c r="D724" s="257" t="s">
        <v>3713</v>
      </c>
      <c r="E724" s="257">
        <f>VLOOKUP(A724,import!A:J,5,0)</f>
        <v>100</v>
      </c>
      <c r="F724" s="257">
        <f>VLOOKUP(A724,import!A:J,6,0)</f>
        <v>11</v>
      </c>
      <c r="G724" s="257">
        <f>VLOOKUP(A724,import!A:J,7,0)</f>
        <v>6</v>
      </c>
      <c r="H724" s="257">
        <f>VLOOKUP(A724,import!A:J,8,0)</f>
        <v>3</v>
      </c>
      <c r="I724" s="257">
        <f>VLOOKUP(A724,import!A:J,9,0)</f>
        <v>9</v>
      </c>
      <c r="J724" s="369">
        <f>VLOOKUP(A724,import!A:J,10,0)</f>
        <v>0.67</v>
      </c>
      <c r="K724" s="257" t="s">
        <v>6073</v>
      </c>
      <c r="L724" s="257">
        <v>5.418724122E9</v>
      </c>
      <c r="M724" s="257" t="s">
        <v>3707</v>
      </c>
      <c r="N724" s="257" t="s">
        <v>3715</v>
      </c>
      <c r="O724" s="257" t="s">
        <v>3351</v>
      </c>
      <c r="P724" s="370" t="str">
        <f>VLOOKUP(A724,import!A:P,16,0)</f>
        <v>Geleneksel</v>
      </c>
      <c r="Q724" s="370"/>
      <c r="R724" s="370" t="b">
        <v>1</v>
      </c>
      <c r="S724" s="370" t="b">
        <v>0</v>
      </c>
      <c r="T724" s="301" t="s">
        <v>3679</v>
      </c>
      <c r="U724" s="301" t="s">
        <v>2576</v>
      </c>
      <c r="V724" s="301" t="s">
        <v>3331</v>
      </c>
      <c r="W724" s="301"/>
      <c r="X724" s="371">
        <v>44617.0</v>
      </c>
      <c r="Y724" s="371">
        <v>44620.0</v>
      </c>
      <c r="Z724" s="372"/>
      <c r="AA724" s="373" t="s">
        <v>3682</v>
      </c>
      <c r="AB724" s="374">
        <v>44617.0</v>
      </c>
      <c r="AC724" s="373"/>
      <c r="AD724" s="374"/>
      <c r="AE724" s="373"/>
      <c r="AF724" s="374"/>
      <c r="AG724" s="373"/>
      <c r="AH724" s="374"/>
      <c r="AI724" s="375"/>
      <c r="AJ724" s="375"/>
      <c r="AK724" s="373" t="s">
        <v>2576</v>
      </c>
      <c r="AL724" s="375"/>
      <c r="AM724" s="375"/>
      <c r="AN724" s="373"/>
      <c r="AO724" s="375"/>
      <c r="AP724" s="376"/>
      <c r="AQ724" s="375"/>
    </row>
    <row r="725">
      <c r="A725" s="376" t="s">
        <v>6074</v>
      </c>
      <c r="B725" s="376" t="s">
        <v>6075</v>
      </c>
      <c r="C725" s="257" t="str">
        <f>VLOOKUP(A725,import!A:J,3,0)</f>
        <v>DOĞRU</v>
      </c>
      <c r="D725" s="376" t="s">
        <v>3907</v>
      </c>
      <c r="E725" s="257">
        <f>VLOOKUP(A725,import!A:J,5,0)</f>
        <v>6</v>
      </c>
      <c r="F725" s="257">
        <f>VLOOKUP(A725,import!A:J,6,0)</f>
        <v>6</v>
      </c>
      <c r="G725" s="257">
        <f>VLOOKUP(A725,import!A:J,7,0)</f>
        <v>0</v>
      </c>
      <c r="H725" s="257">
        <f>VLOOKUP(A725,import!A:J,8,0)</f>
        <v>18</v>
      </c>
      <c r="I725" s="257">
        <f>VLOOKUP(A725,import!A:J,9,0)</f>
        <v>18</v>
      </c>
      <c r="J725" s="369">
        <f>VLOOKUP(A725,import!A:J,10,0)</f>
        <v>0</v>
      </c>
      <c r="K725" s="376" t="s">
        <v>6076</v>
      </c>
      <c r="L725" s="376">
        <v>5.323906301E9</v>
      </c>
      <c r="M725" s="376" t="s">
        <v>286</v>
      </c>
      <c r="N725" s="376" t="s">
        <v>4411</v>
      </c>
      <c r="O725" s="376" t="s">
        <v>6077</v>
      </c>
      <c r="P725" s="370" t="str">
        <f>VLOOKUP(A725,import!A:P,16,0)</f>
        <v>Geleneksel</v>
      </c>
      <c r="Q725" s="370"/>
      <c r="R725" s="370" t="b">
        <v>0</v>
      </c>
      <c r="S725" s="370" t="b">
        <v>0</v>
      </c>
      <c r="T725" s="301"/>
      <c r="U725" s="301"/>
      <c r="V725" s="301"/>
      <c r="W725" s="301"/>
      <c r="X725" s="371"/>
      <c r="Y725" s="371"/>
      <c r="Z725" s="372"/>
      <c r="AA725" s="373"/>
      <c r="AB725" s="374"/>
      <c r="AC725" s="373"/>
      <c r="AD725" s="374"/>
      <c r="AE725" s="373"/>
      <c r="AF725" s="374"/>
      <c r="AG725" s="373"/>
      <c r="AH725" s="374"/>
      <c r="AI725" s="373"/>
      <c r="AJ725" s="374"/>
      <c r="AK725" s="373"/>
      <c r="AL725" s="373"/>
      <c r="AM725" s="373"/>
      <c r="AN725" s="373"/>
      <c r="AO725" s="373"/>
      <c r="AP725" s="376"/>
      <c r="AQ725" s="373"/>
    </row>
    <row r="726">
      <c r="A726" s="257" t="s">
        <v>1992</v>
      </c>
      <c r="B726" s="257" t="s">
        <v>1993</v>
      </c>
      <c r="C726" s="257" t="str">
        <f>VLOOKUP(A726,import!A:J,3,0)</f>
        <v>DOĞRU</v>
      </c>
      <c r="D726" s="257" t="s">
        <v>3759</v>
      </c>
      <c r="E726" s="257">
        <f>VLOOKUP(A726,import!A:J,5,0)</f>
        <v>2546</v>
      </c>
      <c r="F726" s="257">
        <f>VLOOKUP(A726,import!A:J,6,0)</f>
        <v>57</v>
      </c>
      <c r="G726" s="257">
        <f>VLOOKUP(A726,import!A:J,7,0)</f>
        <v>13</v>
      </c>
      <c r="H726" s="257">
        <f>VLOOKUP(A726,import!A:J,8,0)</f>
        <v>11</v>
      </c>
      <c r="I726" s="257">
        <f>VLOOKUP(A726,import!A:J,9,0)</f>
        <v>24</v>
      </c>
      <c r="J726" s="369">
        <f>VLOOKUP(A726,import!A:J,10,0)</f>
        <v>0.54</v>
      </c>
      <c r="K726" s="257" t="s">
        <v>6078</v>
      </c>
      <c r="L726" s="257">
        <v>3.222420002E9</v>
      </c>
      <c r="M726" s="257" t="s">
        <v>14</v>
      </c>
      <c r="N726" s="257" t="s">
        <v>5227</v>
      </c>
      <c r="O726" s="257" t="s">
        <v>1995</v>
      </c>
      <c r="P726" s="370" t="str">
        <f>VLOOKUP(A726,import!A:P,16,0)</f>
        <v>Geleneksel</v>
      </c>
      <c r="Q726" s="370"/>
      <c r="R726" s="370" t="b">
        <v>1</v>
      </c>
      <c r="S726" s="370" t="b">
        <v>0</v>
      </c>
      <c r="T726" s="301" t="s">
        <v>3735</v>
      </c>
      <c r="U726" s="301" t="s">
        <v>79</v>
      </c>
      <c r="V726" s="301" t="s">
        <v>78</v>
      </c>
      <c r="W726" s="411">
        <v>5.302231353E9</v>
      </c>
      <c r="X726" s="371">
        <v>44473.0</v>
      </c>
      <c r="Y726" s="371">
        <v>44474.0</v>
      </c>
      <c r="Z726" s="372"/>
      <c r="AA726" s="373" t="s">
        <v>3695</v>
      </c>
      <c r="AB726" s="374">
        <v>44358.0</v>
      </c>
      <c r="AC726" s="373" t="s">
        <v>3448</v>
      </c>
      <c r="AD726" s="374">
        <v>44382.0</v>
      </c>
      <c r="AE726" s="373" t="s">
        <v>3682</v>
      </c>
      <c r="AF726" s="374">
        <v>44427.0</v>
      </c>
      <c r="AG726" s="373" t="s">
        <v>3448</v>
      </c>
      <c r="AH726" s="374">
        <v>44445.0</v>
      </c>
      <c r="AI726" s="373" t="s">
        <v>3682</v>
      </c>
      <c r="AJ726" s="374">
        <v>44473.0</v>
      </c>
      <c r="AK726" s="373" t="s">
        <v>79</v>
      </c>
      <c r="AL726" s="373" t="s">
        <v>3974</v>
      </c>
      <c r="AM726" s="373" t="s">
        <v>1953</v>
      </c>
      <c r="AN726" s="373" t="s">
        <v>79</v>
      </c>
      <c r="AO726" s="373" t="s">
        <v>79</v>
      </c>
      <c r="AP726" s="376" t="s">
        <v>3683</v>
      </c>
      <c r="AQ726" s="373"/>
    </row>
    <row r="727">
      <c r="A727" s="257" t="s">
        <v>6079</v>
      </c>
      <c r="B727" s="257" t="s">
        <v>6080</v>
      </c>
      <c r="C727" s="257" t="str">
        <f>VLOOKUP(A727,import!A:J,3,0)</f>
        <v>DOĞRU</v>
      </c>
      <c r="D727" s="257" t="s">
        <v>3759</v>
      </c>
      <c r="E727" s="257">
        <f>VLOOKUP(A727,import!A:J,5,0)</f>
        <v>1465</v>
      </c>
      <c r="F727" s="257">
        <f>VLOOKUP(A727,import!A:J,6,0)</f>
        <v>65</v>
      </c>
      <c r="G727" s="257">
        <f>VLOOKUP(A727,import!A:J,7,0)</f>
        <v>3</v>
      </c>
      <c r="H727" s="257">
        <f>VLOOKUP(A727,import!A:J,8,0)</f>
        <v>8</v>
      </c>
      <c r="I727" s="257">
        <f>VLOOKUP(A727,import!A:J,9,0)</f>
        <v>11</v>
      </c>
      <c r="J727" s="369">
        <f>VLOOKUP(A727,import!A:J,10,0)</f>
        <v>0.27</v>
      </c>
      <c r="K727" s="257" t="s">
        <v>6078</v>
      </c>
      <c r="L727" s="257">
        <v>3.2236504E9</v>
      </c>
      <c r="M727" s="257" t="s">
        <v>286</v>
      </c>
      <c r="N727" s="257" t="s">
        <v>5364</v>
      </c>
      <c r="O727" s="257" t="s">
        <v>6081</v>
      </c>
      <c r="P727" s="370" t="str">
        <f>VLOOKUP(A727,import!A:P,16,0)</f>
        <v>Geleneksel</v>
      </c>
      <c r="Q727" s="370"/>
      <c r="R727" s="370" t="b">
        <v>1</v>
      </c>
      <c r="S727" s="370" t="b">
        <v>0</v>
      </c>
      <c r="T727" s="301" t="s">
        <v>3735</v>
      </c>
      <c r="U727" s="379"/>
      <c r="V727" s="379"/>
      <c r="W727" s="301" t="s">
        <v>6082</v>
      </c>
      <c r="X727" s="381"/>
      <c r="Y727" s="381"/>
      <c r="Z727" s="372"/>
      <c r="AA727" s="373" t="s">
        <v>3448</v>
      </c>
      <c r="AB727" s="374">
        <v>44379.0</v>
      </c>
      <c r="AC727" s="373" t="s">
        <v>3682</v>
      </c>
      <c r="AD727" s="374">
        <v>44436.0</v>
      </c>
      <c r="AE727" s="92"/>
      <c r="AF727" s="375"/>
      <c r="AG727" s="92"/>
      <c r="AH727" s="375"/>
      <c r="AI727" s="375"/>
      <c r="AJ727" s="375"/>
      <c r="AK727" s="373" t="s">
        <v>1014</v>
      </c>
      <c r="AL727" s="373" t="s">
        <v>1953</v>
      </c>
      <c r="AM727" s="375"/>
      <c r="AN727" s="375"/>
      <c r="AO727" s="375"/>
      <c r="AP727" s="376" t="s">
        <v>3686</v>
      </c>
      <c r="AQ727" s="375"/>
    </row>
    <row r="728">
      <c r="A728" s="257" t="s">
        <v>132</v>
      </c>
      <c r="B728" s="257" t="s">
        <v>133</v>
      </c>
      <c r="C728" s="257" t="str">
        <f>VLOOKUP(A728,import!A:J,3,0)</f>
        <v>DOĞRU</v>
      </c>
      <c r="D728" s="257" t="s">
        <v>3759</v>
      </c>
      <c r="E728" s="257">
        <f>VLOOKUP(A728,import!A:J,5,0)</f>
        <v>5959</v>
      </c>
      <c r="F728" s="257">
        <f>VLOOKUP(A728,import!A:J,6,0)</f>
        <v>194</v>
      </c>
      <c r="G728" s="257">
        <f>VLOOKUP(A728,import!A:J,7,0)</f>
        <v>19</v>
      </c>
      <c r="H728" s="257">
        <f>VLOOKUP(A728,import!A:J,8,0)</f>
        <v>18</v>
      </c>
      <c r="I728" s="257">
        <f>VLOOKUP(A728,import!A:J,9,0)</f>
        <v>37</v>
      </c>
      <c r="J728" s="369">
        <f>VLOOKUP(A728,import!A:J,10,0)</f>
        <v>0.51</v>
      </c>
      <c r="K728" s="257" t="s">
        <v>6083</v>
      </c>
      <c r="L728" s="257">
        <v>3.222310085E9</v>
      </c>
      <c r="M728" s="257" t="s">
        <v>14</v>
      </c>
      <c r="N728" s="257" t="s">
        <v>3767</v>
      </c>
      <c r="O728" s="257" t="s">
        <v>136</v>
      </c>
      <c r="P728" s="370" t="str">
        <f>VLOOKUP(A728,import!A:P,16,0)</f>
        <v>Geleneksel</v>
      </c>
      <c r="Q728" s="370"/>
      <c r="R728" s="370" t="b">
        <v>1</v>
      </c>
      <c r="S728" s="370" t="b">
        <v>0</v>
      </c>
      <c r="T728" s="301" t="s">
        <v>3679</v>
      </c>
      <c r="U728" s="301" t="s">
        <v>3723</v>
      </c>
      <c r="V728" s="301" t="s">
        <v>78</v>
      </c>
      <c r="W728" s="301" t="s">
        <v>6084</v>
      </c>
      <c r="X728" s="371">
        <v>44424.0</v>
      </c>
      <c r="Y728" s="371">
        <v>44428.0</v>
      </c>
      <c r="Z728" s="377"/>
      <c r="AA728" s="373" t="s">
        <v>3682</v>
      </c>
      <c r="AB728" s="374">
        <v>44364.0</v>
      </c>
      <c r="AC728" s="373" t="s">
        <v>3682</v>
      </c>
      <c r="AD728" s="374">
        <v>44407.0</v>
      </c>
      <c r="AE728" s="373" t="s">
        <v>3682</v>
      </c>
      <c r="AF728" s="374">
        <v>44424.0</v>
      </c>
      <c r="AG728" s="92"/>
      <c r="AH728" s="375"/>
      <c r="AI728" s="375"/>
      <c r="AJ728" s="375"/>
      <c r="AK728" s="373" t="s">
        <v>3916</v>
      </c>
      <c r="AL728" s="373" t="s">
        <v>79</v>
      </c>
      <c r="AM728" s="373" t="s">
        <v>3723</v>
      </c>
      <c r="AN728" s="375"/>
      <c r="AO728" s="375"/>
      <c r="AP728" s="376" t="s">
        <v>3683</v>
      </c>
      <c r="AQ728" s="375"/>
    </row>
    <row r="729">
      <c r="A729" s="376" t="s">
        <v>6085</v>
      </c>
      <c r="B729" s="376" t="s">
        <v>6086</v>
      </c>
      <c r="C729" s="257" t="str">
        <f>VLOOKUP(A729,import!A:J,3,0)</f>
        <v>DOĞRU</v>
      </c>
      <c r="D729" s="376" t="s">
        <v>3842</v>
      </c>
      <c r="E729" s="257">
        <f>VLOOKUP(A729,import!A:J,5,0)</f>
        <v>6</v>
      </c>
      <c r="F729" s="257">
        <f>VLOOKUP(A729,import!A:J,6,0)</f>
        <v>6</v>
      </c>
      <c r="G729" s="257">
        <f>VLOOKUP(A729,import!A:J,7,0)</f>
        <v>0</v>
      </c>
      <c r="H729" s="257">
        <f>VLOOKUP(A729,import!A:J,8,0)</f>
        <v>11</v>
      </c>
      <c r="I729" s="257">
        <f>VLOOKUP(A729,import!A:J,9,0)</f>
        <v>11</v>
      </c>
      <c r="J729" s="369">
        <f>VLOOKUP(A729,import!A:J,10,0)</f>
        <v>0</v>
      </c>
      <c r="K729" s="376" t="s">
        <v>6087</v>
      </c>
      <c r="L729" s="376">
        <v>5.441920201E9</v>
      </c>
      <c r="M729" s="376" t="s">
        <v>3707</v>
      </c>
      <c r="N729" s="412">
        <v>44700.0</v>
      </c>
      <c r="O729" s="376" t="s">
        <v>6088</v>
      </c>
      <c r="P729" s="370" t="str">
        <f>VLOOKUP(A729,import!A:P,16,0)</f>
        <v>Geleneksel</v>
      </c>
      <c r="Q729" s="370"/>
      <c r="R729" s="370" t="b">
        <v>0</v>
      </c>
      <c r="S729" s="370" t="b">
        <v>0</v>
      </c>
      <c r="T729" s="301"/>
      <c r="U729" s="301"/>
      <c r="V729" s="301"/>
      <c r="W729" s="301"/>
      <c r="X729" s="371"/>
      <c r="Y729" s="371"/>
      <c r="Z729" s="372"/>
      <c r="AA729" s="373"/>
      <c r="AB729" s="374"/>
      <c r="AC729" s="373"/>
      <c r="AD729" s="374"/>
      <c r="AE729" s="373"/>
      <c r="AF729" s="374"/>
      <c r="AG729" s="373"/>
      <c r="AH729" s="374"/>
      <c r="AI729" s="373"/>
      <c r="AJ729" s="374"/>
      <c r="AK729" s="373"/>
      <c r="AL729" s="373"/>
      <c r="AM729" s="373"/>
      <c r="AN729" s="373"/>
      <c r="AO729" s="373"/>
      <c r="AP729" s="376"/>
      <c r="AQ729" s="373"/>
    </row>
    <row r="730">
      <c r="A730" s="257" t="s">
        <v>3509</v>
      </c>
      <c r="B730" s="257" t="s">
        <v>3510</v>
      </c>
      <c r="C730" s="257" t="str">
        <f>VLOOKUP(A730,import!A:J,3,0)</f>
        <v>DOĞRU</v>
      </c>
      <c r="D730" s="257" t="s">
        <v>3699</v>
      </c>
      <c r="E730" s="257">
        <f>VLOOKUP(A730,import!A:J,5,0)</f>
        <v>7</v>
      </c>
      <c r="F730" s="257">
        <f>VLOOKUP(A730,import!A:J,6,0)</f>
        <v>2</v>
      </c>
      <c r="G730" s="257">
        <f>VLOOKUP(A730,import!A:J,7,0)</f>
        <v>0</v>
      </c>
      <c r="H730" s="257">
        <f>VLOOKUP(A730,import!A:J,8,0)</f>
        <v>29</v>
      </c>
      <c r="I730" s="257">
        <f>VLOOKUP(A730,import!A:J,9,0)</f>
        <v>29</v>
      </c>
      <c r="J730" s="369">
        <f>VLOOKUP(A730,import!A:J,10,0)</f>
        <v>0</v>
      </c>
      <c r="K730" s="257" t="s">
        <v>6089</v>
      </c>
      <c r="L730" s="257">
        <v>5.538834715E9</v>
      </c>
      <c r="M730" s="257" t="s">
        <v>14</v>
      </c>
      <c r="N730" s="257" t="s">
        <v>3935</v>
      </c>
      <c r="O730" s="257" t="s">
        <v>3512</v>
      </c>
      <c r="P730" s="370" t="str">
        <f>VLOOKUP(A730,import!A:P,16,0)</f>
        <v>Geleneksel</v>
      </c>
      <c r="Q730" s="370"/>
      <c r="R730" s="370" t="b">
        <v>1</v>
      </c>
      <c r="S730" s="370" t="b">
        <v>0</v>
      </c>
      <c r="T730" s="301" t="s">
        <v>3679</v>
      </c>
      <c r="U730" s="301" t="s">
        <v>2192</v>
      </c>
      <c r="V730" s="394" t="s">
        <v>3331</v>
      </c>
      <c r="W730" s="301" t="s">
        <v>6090</v>
      </c>
      <c r="X730" s="371">
        <v>44635.0</v>
      </c>
      <c r="Y730" s="371">
        <v>44636.0</v>
      </c>
      <c r="Z730" s="372"/>
      <c r="AA730" s="373" t="s">
        <v>3682</v>
      </c>
      <c r="AB730" s="371">
        <v>44632.0</v>
      </c>
      <c r="AC730" s="373" t="s">
        <v>3682</v>
      </c>
      <c r="AD730" s="374">
        <v>44635.0</v>
      </c>
      <c r="AE730" s="373"/>
      <c r="AF730" s="374"/>
      <c r="AG730" s="373"/>
      <c r="AH730" s="374"/>
      <c r="AI730" s="375"/>
      <c r="AJ730" s="375"/>
      <c r="AK730" s="373" t="s">
        <v>2542</v>
      </c>
      <c r="AL730" s="373" t="s">
        <v>2192</v>
      </c>
      <c r="AM730" s="375"/>
      <c r="AN730" s="373"/>
      <c r="AO730" s="375"/>
      <c r="AP730" s="376"/>
      <c r="AQ730" s="375"/>
    </row>
    <row r="731">
      <c r="A731" s="257" t="s">
        <v>1485</v>
      </c>
      <c r="B731" s="257" t="s">
        <v>1486</v>
      </c>
      <c r="C731" s="257" t="str">
        <f>VLOOKUP(A731,import!A:J,3,0)</f>
        <v>DOĞRU</v>
      </c>
      <c r="D731" s="257" t="s">
        <v>3676</v>
      </c>
      <c r="E731" s="257">
        <f>VLOOKUP(A731,import!A:J,5,0)</f>
        <v>934</v>
      </c>
      <c r="F731" s="257">
        <f>VLOOKUP(A731,import!A:J,6,0)</f>
        <v>17</v>
      </c>
      <c r="G731" s="257">
        <f>VLOOKUP(A731,import!A:J,7,0)</f>
        <v>11</v>
      </c>
      <c r="H731" s="257">
        <f>VLOOKUP(A731,import!A:J,8,0)</f>
        <v>8</v>
      </c>
      <c r="I731" s="257">
        <f>VLOOKUP(A731,import!A:J,9,0)</f>
        <v>19</v>
      </c>
      <c r="J731" s="369">
        <f>VLOOKUP(A731,import!A:J,10,0)</f>
        <v>0.58</v>
      </c>
      <c r="K731" s="257" t="s">
        <v>6091</v>
      </c>
      <c r="L731" s="257">
        <v>3.222611E9</v>
      </c>
      <c r="M731" s="257" t="s">
        <v>286</v>
      </c>
      <c r="N731" s="257" t="s">
        <v>3746</v>
      </c>
      <c r="O731" s="257" t="s">
        <v>1488</v>
      </c>
      <c r="P731" s="370" t="str">
        <f>VLOOKUP(A731,import!A:P,16,0)</f>
        <v>Geleneksel</v>
      </c>
      <c r="Q731" s="370"/>
      <c r="R731" s="370" t="b">
        <v>1</v>
      </c>
      <c r="S731" s="370" t="b">
        <v>0</v>
      </c>
      <c r="T731" s="301" t="s">
        <v>3770</v>
      </c>
      <c r="U731" s="301" t="s">
        <v>3719</v>
      </c>
      <c r="V731" s="301" t="s">
        <v>78</v>
      </c>
      <c r="W731" s="301" t="s">
        <v>6092</v>
      </c>
      <c r="X731" s="371">
        <v>44390.0</v>
      </c>
      <c r="Y731" s="371">
        <v>44393.0</v>
      </c>
      <c r="Z731" s="372"/>
      <c r="AA731" s="373" t="s">
        <v>3682</v>
      </c>
      <c r="AB731" s="374">
        <v>44390.0</v>
      </c>
      <c r="AC731" s="373" t="s">
        <v>3682</v>
      </c>
      <c r="AD731" s="374">
        <v>44434.0</v>
      </c>
      <c r="AE731" s="92"/>
      <c r="AF731" s="375"/>
      <c r="AG731" s="92"/>
      <c r="AH731" s="375"/>
      <c r="AI731" s="375"/>
      <c r="AJ731" s="375"/>
      <c r="AK731" s="375"/>
      <c r="AL731" s="373" t="s">
        <v>3723</v>
      </c>
      <c r="AM731" s="375"/>
      <c r="AN731" s="375"/>
      <c r="AO731" s="375"/>
      <c r="AP731" s="376" t="s">
        <v>3686</v>
      </c>
      <c r="AQ731" s="375"/>
    </row>
    <row r="732">
      <c r="A732" s="257" t="s">
        <v>6093</v>
      </c>
      <c r="B732" s="257" t="s">
        <v>6094</v>
      </c>
      <c r="C732" s="257" t="str">
        <f>VLOOKUP(A732,import!A:J,3,0)</f>
        <v>DOĞRU</v>
      </c>
      <c r="D732" s="257" t="s">
        <v>3699</v>
      </c>
      <c r="E732" s="257">
        <f>VLOOKUP(A732,import!A:J,5,0)</f>
        <v>42</v>
      </c>
      <c r="F732" s="257" t="str">
        <f>VLOOKUP(A732,import!A:J,6,0)</f>
        <v/>
      </c>
      <c r="G732" s="257">
        <f>VLOOKUP(A732,import!A:J,7,0)</f>
        <v>17</v>
      </c>
      <c r="H732" s="257">
        <f>VLOOKUP(A732,import!A:J,8,0)</f>
        <v>13</v>
      </c>
      <c r="I732" s="257">
        <f>VLOOKUP(A732,import!A:J,9,0)</f>
        <v>30</v>
      </c>
      <c r="J732" s="369">
        <f>VLOOKUP(A732,import!A:J,10,0)</f>
        <v>0.57</v>
      </c>
      <c r="K732" s="257" t="s">
        <v>6095</v>
      </c>
      <c r="L732" s="257">
        <v>5.323964516E9</v>
      </c>
      <c r="M732" s="257" t="s">
        <v>286</v>
      </c>
      <c r="N732" s="257" t="s">
        <v>3688</v>
      </c>
      <c r="O732" s="257" t="s">
        <v>6096</v>
      </c>
      <c r="P732" s="370" t="str">
        <f>VLOOKUP(A732,import!A:P,16,0)</f>
        <v>Geleneksel</v>
      </c>
      <c r="Q732" s="370"/>
      <c r="R732" s="370" t="b">
        <v>1</v>
      </c>
      <c r="S732" s="370" t="b">
        <v>0</v>
      </c>
      <c r="T732" s="300" t="s">
        <v>3817</v>
      </c>
      <c r="U732" s="379"/>
      <c r="V732" s="379"/>
      <c r="W732" s="301" t="s">
        <v>6097</v>
      </c>
      <c r="X732" s="381"/>
      <c r="Y732" s="381"/>
      <c r="Z732" s="372"/>
      <c r="AA732" s="373" t="s">
        <v>3448</v>
      </c>
      <c r="AB732" s="374">
        <v>44389.0</v>
      </c>
      <c r="AC732" s="373" t="s">
        <v>3696</v>
      </c>
      <c r="AD732" s="374">
        <v>44427.0</v>
      </c>
      <c r="AE732" s="373" t="s">
        <v>3448</v>
      </c>
      <c r="AF732" s="374">
        <v>44428.0</v>
      </c>
      <c r="AG732" s="373" t="s">
        <v>3682</v>
      </c>
      <c r="AH732" s="374">
        <v>44446.0</v>
      </c>
      <c r="AI732" s="375"/>
      <c r="AJ732" s="375"/>
      <c r="AK732" s="373" t="s">
        <v>4089</v>
      </c>
      <c r="AL732" s="373" t="s">
        <v>3723</v>
      </c>
      <c r="AM732" s="373" t="s">
        <v>1953</v>
      </c>
      <c r="AN732" s="373" t="s">
        <v>79</v>
      </c>
      <c r="AO732" s="375"/>
      <c r="AP732" s="376" t="s">
        <v>3686</v>
      </c>
      <c r="AQ732" s="375"/>
    </row>
    <row r="733">
      <c r="A733" s="257" t="s">
        <v>2719</v>
      </c>
      <c r="B733" s="257" t="s">
        <v>2720</v>
      </c>
      <c r="C733" s="257" t="str">
        <f>VLOOKUP(A733,import!A:J,3,0)</f>
        <v>DOĞRU</v>
      </c>
      <c r="D733" s="257" t="s">
        <v>3690</v>
      </c>
      <c r="E733" s="257">
        <f>VLOOKUP(A733,import!A:J,5,0)</f>
        <v>2718</v>
      </c>
      <c r="F733" s="257">
        <f>VLOOKUP(A733,import!A:J,6,0)</f>
        <v>168</v>
      </c>
      <c r="G733" s="257">
        <f>VLOOKUP(A733,import!A:J,7,0)</f>
        <v>14</v>
      </c>
      <c r="H733" s="257">
        <f>VLOOKUP(A733,import!A:J,8,0)</f>
        <v>13</v>
      </c>
      <c r="I733" s="257">
        <f>VLOOKUP(A733,import!A:J,9,0)</f>
        <v>27</v>
      </c>
      <c r="J733" s="369">
        <f>VLOOKUP(A733,import!A:J,10,0)</f>
        <v>0.52</v>
      </c>
      <c r="K733" s="257" t="s">
        <v>6098</v>
      </c>
      <c r="L733" s="257">
        <v>5.324042101E9</v>
      </c>
      <c r="M733" s="257" t="s">
        <v>286</v>
      </c>
      <c r="N733" s="257" t="s">
        <v>3855</v>
      </c>
      <c r="O733" s="257" t="s">
        <v>2722</v>
      </c>
      <c r="P733" s="370" t="str">
        <f>VLOOKUP(A733,import!A:P,16,0)</f>
        <v>Geleneksel</v>
      </c>
      <c r="Q733" s="370"/>
      <c r="R733" s="370" t="b">
        <v>1</v>
      </c>
      <c r="S733" s="370" t="b">
        <v>0</v>
      </c>
      <c r="T733" s="301" t="s">
        <v>3679</v>
      </c>
      <c r="U733" s="301" t="s">
        <v>2706</v>
      </c>
      <c r="V733" s="301" t="s">
        <v>78</v>
      </c>
      <c r="W733" s="301"/>
      <c r="X733" s="371">
        <v>44469.0</v>
      </c>
      <c r="Y733" s="371">
        <v>44470.0</v>
      </c>
      <c r="Z733" s="372"/>
      <c r="AA733" s="373" t="s">
        <v>3448</v>
      </c>
      <c r="AB733" s="374">
        <v>44392.0</v>
      </c>
      <c r="AC733" s="375"/>
      <c r="AD733" s="375"/>
      <c r="AE733" s="92"/>
      <c r="AF733" s="375"/>
      <c r="AG733" s="92"/>
      <c r="AH733" s="375"/>
      <c r="AI733" s="375"/>
      <c r="AJ733" s="375"/>
      <c r="AK733" s="373" t="s">
        <v>4089</v>
      </c>
      <c r="AL733" s="375"/>
      <c r="AM733" s="375"/>
      <c r="AN733" s="375"/>
      <c r="AO733" s="375"/>
      <c r="AP733" s="376" t="s">
        <v>3686</v>
      </c>
      <c r="AQ733" s="375"/>
    </row>
    <row r="734">
      <c r="A734" s="257" t="s">
        <v>1255</v>
      </c>
      <c r="B734" s="257" t="s">
        <v>1256</v>
      </c>
      <c r="C734" s="257" t="str">
        <f>VLOOKUP(A734,import!A:J,3,0)</f>
        <v>DOĞRU</v>
      </c>
      <c r="D734" s="257" t="s">
        <v>3759</v>
      </c>
      <c r="E734" s="257">
        <f>VLOOKUP(A734,import!A:J,5,0)</f>
        <v>544</v>
      </c>
      <c r="F734" s="257">
        <f>VLOOKUP(A734,import!A:J,6,0)</f>
        <v>30</v>
      </c>
      <c r="G734" s="257">
        <f>VLOOKUP(A734,import!A:J,7,0)</f>
        <v>55</v>
      </c>
      <c r="H734" s="257">
        <f>VLOOKUP(A734,import!A:J,8,0)</f>
        <v>15</v>
      </c>
      <c r="I734" s="257">
        <f>VLOOKUP(A734,import!A:J,9,0)</f>
        <v>70</v>
      </c>
      <c r="J734" s="369">
        <f>VLOOKUP(A734,import!A:J,10,0)</f>
        <v>0.79</v>
      </c>
      <c r="K734" s="257" t="s">
        <v>6099</v>
      </c>
      <c r="L734" s="257">
        <v>3.222350725E9</v>
      </c>
      <c r="M734" s="257" t="s">
        <v>14</v>
      </c>
      <c r="N734" s="257" t="s">
        <v>3797</v>
      </c>
      <c r="O734" s="257" t="s">
        <v>1258</v>
      </c>
      <c r="P734" s="370" t="str">
        <f>VLOOKUP(A734,import!A:P,16,0)</f>
        <v>Geleneksel</v>
      </c>
      <c r="Q734" s="370"/>
      <c r="R734" s="370" t="b">
        <v>1</v>
      </c>
      <c r="S734" s="370" t="b">
        <v>0</v>
      </c>
      <c r="T734" s="301" t="s">
        <v>3679</v>
      </c>
      <c r="U734" s="301" t="s">
        <v>1947</v>
      </c>
      <c r="V734" s="301" t="s">
        <v>78</v>
      </c>
      <c r="W734" s="301" t="s">
        <v>6100</v>
      </c>
      <c r="X734" s="371">
        <v>44415.0</v>
      </c>
      <c r="Y734" s="371">
        <v>44421.0</v>
      </c>
      <c r="Z734" s="372"/>
      <c r="AA734" s="373" t="s">
        <v>3682</v>
      </c>
      <c r="AB734" s="374">
        <v>44348.0</v>
      </c>
      <c r="AC734" s="373" t="s">
        <v>3681</v>
      </c>
      <c r="AD734" s="374">
        <v>44362.0</v>
      </c>
      <c r="AE734" s="373" t="s">
        <v>3682</v>
      </c>
      <c r="AF734" s="374">
        <v>44382.0</v>
      </c>
      <c r="AG734" s="373" t="s">
        <v>3682</v>
      </c>
      <c r="AH734" s="374">
        <v>44415.0</v>
      </c>
      <c r="AI734" s="375"/>
      <c r="AJ734" s="375"/>
      <c r="AK734" s="373" t="s">
        <v>79</v>
      </c>
      <c r="AL734" s="373" t="s">
        <v>3916</v>
      </c>
      <c r="AM734" s="373" t="s">
        <v>3719</v>
      </c>
      <c r="AN734" s="373" t="s">
        <v>1947</v>
      </c>
      <c r="AO734" s="375"/>
      <c r="AP734" s="376" t="s">
        <v>3683</v>
      </c>
      <c r="AQ734" s="375"/>
    </row>
    <row r="735">
      <c r="A735" s="257" t="s">
        <v>6101</v>
      </c>
      <c r="B735" s="257" t="s">
        <v>6102</v>
      </c>
      <c r="C735" s="257" t="str">
        <f>VLOOKUP(A735,import!A:J,3,0)</f>
        <v>DOĞRU</v>
      </c>
      <c r="D735" s="257" t="s">
        <v>3699</v>
      </c>
      <c r="E735" s="257">
        <f>VLOOKUP(A735,import!A:J,5,0)</f>
        <v>15</v>
      </c>
      <c r="F735" s="257">
        <f>VLOOKUP(A735,import!A:J,6,0)</f>
        <v>3</v>
      </c>
      <c r="G735" s="257">
        <f>VLOOKUP(A735,import!A:J,7,0)</f>
        <v>0</v>
      </c>
      <c r="H735" s="257">
        <f>VLOOKUP(A735,import!A:J,8,0)</f>
        <v>88</v>
      </c>
      <c r="I735" s="257">
        <f>VLOOKUP(A735,import!A:J,9,0)</f>
        <v>88</v>
      </c>
      <c r="J735" s="369">
        <f>VLOOKUP(A735,import!A:J,10,0)</f>
        <v>0</v>
      </c>
      <c r="K735" s="257" t="s">
        <v>6103</v>
      </c>
      <c r="L735" s="257">
        <v>3.224595152E9</v>
      </c>
      <c r="M735" s="257" t="s">
        <v>286</v>
      </c>
      <c r="N735" s="257" t="s">
        <v>3737</v>
      </c>
      <c r="O735" s="257" t="s">
        <v>6104</v>
      </c>
      <c r="P735" s="370" t="str">
        <f>VLOOKUP(A735,import!A:P,16,0)</f>
        <v>Geleneksel</v>
      </c>
      <c r="Q735" s="370"/>
      <c r="R735" s="370" t="b">
        <v>1</v>
      </c>
      <c r="S735" s="370" t="b">
        <v>0</v>
      </c>
      <c r="T735" s="301" t="s">
        <v>3696</v>
      </c>
      <c r="U735" s="301"/>
      <c r="V735" s="301"/>
      <c r="W735" s="301" t="s">
        <v>6105</v>
      </c>
      <c r="X735" s="371"/>
      <c r="Y735" s="371"/>
      <c r="Z735" s="372"/>
      <c r="AA735" s="373" t="s">
        <v>3696</v>
      </c>
      <c r="AB735" s="374">
        <v>44620.0</v>
      </c>
      <c r="AC735" s="373"/>
      <c r="AD735" s="374"/>
      <c r="AE735" s="373"/>
      <c r="AF735" s="374"/>
      <c r="AG735" s="373"/>
      <c r="AH735" s="374"/>
      <c r="AI735" s="373"/>
      <c r="AJ735" s="374"/>
      <c r="AK735" s="373" t="s">
        <v>2576</v>
      </c>
      <c r="AL735" s="373"/>
      <c r="AM735" s="373"/>
      <c r="AN735" s="373"/>
      <c r="AO735" s="373"/>
      <c r="AP735" s="376"/>
      <c r="AQ735" s="373"/>
    </row>
    <row r="736">
      <c r="A736" s="257" t="s">
        <v>501</v>
      </c>
      <c r="B736" s="257" t="s">
        <v>502</v>
      </c>
      <c r="C736" s="257" t="str">
        <f>VLOOKUP(A736,import!A:J,3,0)</f>
        <v>YANLIŞ</v>
      </c>
      <c r="D736" s="257" t="s">
        <v>3759</v>
      </c>
      <c r="E736" s="257">
        <f>VLOOKUP(A736,import!A:J,5,0)</f>
        <v>596</v>
      </c>
      <c r="F736" s="257" t="str">
        <f>VLOOKUP(A736,import!A:J,6,0)</f>
        <v/>
      </c>
      <c r="G736" s="257">
        <f>VLOOKUP(A736,import!A:J,7,0)</f>
        <v>41</v>
      </c>
      <c r="H736" s="257">
        <f>VLOOKUP(A736,import!A:J,8,0)</f>
        <v>15</v>
      </c>
      <c r="I736" s="257">
        <f>VLOOKUP(A736,import!A:J,9,0)</f>
        <v>56</v>
      </c>
      <c r="J736" s="369">
        <f>VLOOKUP(A736,import!A:J,10,0)</f>
        <v>0.73</v>
      </c>
      <c r="K736" s="257" t="s">
        <v>6106</v>
      </c>
      <c r="L736" s="257">
        <v>3.224590404E9</v>
      </c>
      <c r="M736" s="257" t="s">
        <v>286</v>
      </c>
      <c r="N736" s="257" t="s">
        <v>3737</v>
      </c>
      <c r="O736" s="257" t="s">
        <v>504</v>
      </c>
      <c r="P736" s="370" t="str">
        <f>VLOOKUP(A736,import!A:P,16,0)</f>
        <v>Geleneksel</v>
      </c>
      <c r="Q736" s="370"/>
      <c r="R736" s="370" t="b">
        <v>1</v>
      </c>
      <c r="S736" s="370" t="b">
        <v>0</v>
      </c>
      <c r="T736" s="301" t="s">
        <v>3679</v>
      </c>
      <c r="U736" s="301" t="s">
        <v>79</v>
      </c>
      <c r="V736" s="301" t="s">
        <v>4866</v>
      </c>
      <c r="W736" s="301" t="s">
        <v>6107</v>
      </c>
      <c r="X736" s="371">
        <v>44310.0</v>
      </c>
      <c r="Y736" s="371">
        <v>44313.0</v>
      </c>
      <c r="Z736" s="377"/>
      <c r="AA736" s="373" t="s">
        <v>3696</v>
      </c>
      <c r="AB736" s="374">
        <v>44510.0</v>
      </c>
      <c r="AC736" s="375"/>
      <c r="AD736" s="375"/>
      <c r="AE736" s="92"/>
      <c r="AF736" s="375"/>
      <c r="AG736" s="92"/>
      <c r="AH736" s="375"/>
      <c r="AI736" s="375"/>
      <c r="AJ736" s="375"/>
      <c r="AK736" s="373" t="s">
        <v>3073</v>
      </c>
      <c r="AL736" s="375"/>
      <c r="AM736" s="375"/>
      <c r="AN736" s="375"/>
      <c r="AO736" s="375"/>
      <c r="AP736" s="376" t="s">
        <v>3683</v>
      </c>
      <c r="AQ736" s="375"/>
    </row>
    <row r="737">
      <c r="A737" s="257" t="s">
        <v>6108</v>
      </c>
      <c r="B737" s="257" t="s">
        <v>6109</v>
      </c>
      <c r="C737" s="257" t="str">
        <f>VLOOKUP(A737,import!A:J,3,0)</f>
        <v>DOĞRU</v>
      </c>
      <c r="D737" s="257" t="s">
        <v>3883</v>
      </c>
      <c r="E737" s="257">
        <f>VLOOKUP(A737,import!A:J,5,0)</f>
        <v>320</v>
      </c>
      <c r="F737" s="257">
        <f>VLOOKUP(A737,import!A:J,6,0)</f>
        <v>87</v>
      </c>
      <c r="G737" s="257">
        <f>VLOOKUP(A737,import!A:J,7,0)</f>
        <v>0</v>
      </c>
      <c r="H737" s="257">
        <f>VLOOKUP(A737,import!A:J,8,0)</f>
        <v>88</v>
      </c>
      <c r="I737" s="257">
        <f>VLOOKUP(A737,import!A:J,9,0)</f>
        <v>88</v>
      </c>
      <c r="J737" s="369">
        <f>VLOOKUP(A737,import!A:J,10,0)</f>
        <v>0</v>
      </c>
      <c r="K737" s="257" t="s">
        <v>6110</v>
      </c>
      <c r="L737" s="257">
        <v>3.224590644E9</v>
      </c>
      <c r="M737" s="257" t="s">
        <v>286</v>
      </c>
      <c r="N737" s="257" t="s">
        <v>3806</v>
      </c>
      <c r="O737" s="257" t="s">
        <v>6111</v>
      </c>
      <c r="P737" s="370" t="str">
        <f>VLOOKUP(A737,import!A:P,16,0)</f>
        <v>Geleneksel</v>
      </c>
      <c r="Q737" s="370"/>
      <c r="R737" s="370" t="b">
        <v>0</v>
      </c>
      <c r="S737" s="370" t="b">
        <v>0</v>
      </c>
      <c r="T737" s="301"/>
      <c r="U737" s="301"/>
      <c r="V737" s="301"/>
      <c r="W737" s="301"/>
      <c r="X737" s="371"/>
      <c r="Y737" s="371"/>
      <c r="Z737" s="372"/>
      <c r="AA737" s="373"/>
      <c r="AB737" s="374"/>
      <c r="AC737" s="373"/>
      <c r="AD737" s="374"/>
      <c r="AE737" s="373"/>
      <c r="AF737" s="374"/>
      <c r="AG737" s="373"/>
      <c r="AH737" s="374"/>
      <c r="AI737" s="373"/>
      <c r="AJ737" s="374"/>
      <c r="AK737" s="373"/>
      <c r="AL737" s="373"/>
      <c r="AM737" s="373"/>
      <c r="AN737" s="373"/>
      <c r="AO737" s="373"/>
      <c r="AP737" s="376"/>
      <c r="AQ737" s="373"/>
    </row>
    <row r="738">
      <c r="A738" s="257" t="s">
        <v>452</v>
      </c>
      <c r="B738" s="257" t="s">
        <v>453</v>
      </c>
      <c r="C738" s="257" t="str">
        <f>VLOOKUP(A738,import!A:J,3,0)</f>
        <v>DOĞRU</v>
      </c>
      <c r="D738" s="257" t="s">
        <v>3699</v>
      </c>
      <c r="E738" s="257">
        <f>VLOOKUP(A738,import!A:J,5,0)</f>
        <v>5156</v>
      </c>
      <c r="F738" s="257">
        <f>VLOOKUP(A738,import!A:J,6,0)</f>
        <v>376</v>
      </c>
      <c r="G738" s="257">
        <f>VLOOKUP(A738,import!A:J,7,0)</f>
        <v>42</v>
      </c>
      <c r="H738" s="257">
        <f>VLOOKUP(A738,import!A:J,8,0)</f>
        <v>28</v>
      </c>
      <c r="I738" s="257">
        <f>VLOOKUP(A738,import!A:J,9,0)</f>
        <v>70</v>
      </c>
      <c r="J738" s="369">
        <f>VLOOKUP(A738,import!A:J,10,0)</f>
        <v>0.6</v>
      </c>
      <c r="K738" s="257" t="s">
        <v>6112</v>
      </c>
      <c r="L738" s="257">
        <v>5.357645905E9</v>
      </c>
      <c r="M738" s="257" t="s">
        <v>286</v>
      </c>
      <c r="N738" s="257" t="s">
        <v>3688</v>
      </c>
      <c r="O738" s="257" t="s">
        <v>2038</v>
      </c>
      <c r="P738" s="370" t="str">
        <f>VLOOKUP(A738,import!A:P,16,0)</f>
        <v>Geleneksel</v>
      </c>
      <c r="Q738" s="370"/>
      <c r="R738" s="370" t="b">
        <v>1</v>
      </c>
      <c r="S738" s="370" t="b">
        <v>0</v>
      </c>
      <c r="T738" s="301" t="s">
        <v>3679</v>
      </c>
      <c r="U738" s="301" t="s">
        <v>1947</v>
      </c>
      <c r="V738" s="301" t="s">
        <v>78</v>
      </c>
      <c r="W738" s="301" t="s">
        <v>6113</v>
      </c>
      <c r="X738" s="371">
        <v>44427.0</v>
      </c>
      <c r="Y738" s="371">
        <v>44432.0</v>
      </c>
      <c r="Z738" s="377"/>
      <c r="AA738" s="375"/>
      <c r="AB738" s="375"/>
      <c r="AC738" s="373" t="s">
        <v>3682</v>
      </c>
      <c r="AD738" s="374">
        <v>44427.0</v>
      </c>
      <c r="AE738" s="373" t="s">
        <v>3448</v>
      </c>
      <c r="AF738" s="374">
        <v>44510.0</v>
      </c>
      <c r="AG738" s="92"/>
      <c r="AH738" s="375"/>
      <c r="AI738" s="375"/>
      <c r="AJ738" s="375"/>
      <c r="AK738" s="375"/>
      <c r="AL738" s="373" t="s">
        <v>1947</v>
      </c>
      <c r="AM738" s="373" t="s">
        <v>3073</v>
      </c>
      <c r="AN738" s="375"/>
      <c r="AO738" s="375"/>
      <c r="AP738" s="376" t="s">
        <v>3686</v>
      </c>
      <c r="AQ738" s="375"/>
    </row>
    <row r="739">
      <c r="A739" s="257" t="s">
        <v>6114</v>
      </c>
      <c r="B739" s="257" t="s">
        <v>6115</v>
      </c>
      <c r="C739" s="257" t="str">
        <f>VLOOKUP(A739,import!A:J,3,0)</f>
        <v>DOĞRU</v>
      </c>
      <c r="D739" s="257" t="s">
        <v>3699</v>
      </c>
      <c r="E739" s="257">
        <f>VLOOKUP(A739,import!A:J,5,0)</f>
        <v>209</v>
      </c>
      <c r="F739" s="257">
        <f>VLOOKUP(A739,import!A:J,6,0)</f>
        <v>36</v>
      </c>
      <c r="G739" s="257">
        <f>VLOOKUP(A739,import!A:J,7,0)</f>
        <v>0</v>
      </c>
      <c r="H739" s="257">
        <f>VLOOKUP(A739,import!A:J,8,0)</f>
        <v>62</v>
      </c>
      <c r="I739" s="257">
        <f>VLOOKUP(A739,import!A:J,9,0)</f>
        <v>62</v>
      </c>
      <c r="J739" s="369">
        <f>VLOOKUP(A739,import!A:J,10,0)</f>
        <v>0</v>
      </c>
      <c r="K739" s="257" t="s">
        <v>6116</v>
      </c>
      <c r="L739" s="257">
        <v>3.222264656E9</v>
      </c>
      <c r="M739" s="257" t="s">
        <v>286</v>
      </c>
      <c r="N739" s="257" t="s">
        <v>3754</v>
      </c>
      <c r="O739" s="257" t="s">
        <v>6117</v>
      </c>
      <c r="P739" s="370" t="str">
        <f>VLOOKUP(A739,import!A:P,16,0)</f>
        <v>Geleneksel</v>
      </c>
      <c r="Q739" s="370"/>
      <c r="R739" s="370" t="b">
        <v>0</v>
      </c>
      <c r="S739" s="370" t="b">
        <v>0</v>
      </c>
      <c r="T739" s="301"/>
      <c r="U739" s="379"/>
      <c r="V739" s="379"/>
      <c r="W739" s="301"/>
      <c r="X739" s="381"/>
      <c r="Y739" s="381"/>
      <c r="Z739" s="372"/>
      <c r="AA739" s="373"/>
      <c r="AB739" s="374"/>
      <c r="AC739" s="373"/>
      <c r="AD739" s="374"/>
      <c r="AE739" s="373"/>
      <c r="AF739" s="374"/>
      <c r="AG739" s="373"/>
      <c r="AH739" s="374"/>
      <c r="AI739" s="375"/>
      <c r="AJ739" s="375"/>
      <c r="AK739" s="373"/>
      <c r="AL739" s="375"/>
      <c r="AM739" s="375"/>
      <c r="AN739" s="373"/>
      <c r="AO739" s="375"/>
      <c r="AP739" s="376"/>
      <c r="AQ739" s="375"/>
    </row>
    <row r="740">
      <c r="A740" s="257" t="s">
        <v>6118</v>
      </c>
      <c r="B740" s="257" t="s">
        <v>6119</v>
      </c>
      <c r="C740" s="257" t="str">
        <f>VLOOKUP(A740,import!A:J,3,0)</f>
        <v>DOĞRU</v>
      </c>
      <c r="D740" s="257" t="s">
        <v>3699</v>
      </c>
      <c r="E740" s="257">
        <f>VLOOKUP(A740,import!A:J,5,0)</f>
        <v>105</v>
      </c>
      <c r="F740" s="257">
        <f>VLOOKUP(A740,import!A:J,6,0)</f>
        <v>17</v>
      </c>
      <c r="G740" s="257">
        <f>VLOOKUP(A740,import!A:J,7,0)</f>
        <v>0</v>
      </c>
      <c r="H740" s="257">
        <f>VLOOKUP(A740,import!A:J,8,0)</f>
        <v>49</v>
      </c>
      <c r="I740" s="257">
        <f>VLOOKUP(A740,import!A:J,9,0)</f>
        <v>49</v>
      </c>
      <c r="J740" s="369">
        <f>VLOOKUP(A740,import!A:J,10,0)</f>
        <v>0</v>
      </c>
      <c r="K740" s="257" t="s">
        <v>6116</v>
      </c>
      <c r="L740" s="257">
        <v>3.223333537E9</v>
      </c>
      <c r="M740" s="257" t="s">
        <v>3707</v>
      </c>
      <c r="N740" s="257" t="s">
        <v>5245</v>
      </c>
      <c r="O740" s="257" t="s">
        <v>6120</v>
      </c>
      <c r="P740" s="370" t="str">
        <f>VLOOKUP(A740,import!A:P,16,0)</f>
        <v>Geleneksel</v>
      </c>
      <c r="Q740" s="370"/>
      <c r="R740" s="370" t="b">
        <v>0</v>
      </c>
      <c r="S740" s="370" t="b">
        <v>0</v>
      </c>
      <c r="T740" s="301"/>
      <c r="U740" s="379"/>
      <c r="V740" s="379"/>
      <c r="W740" s="301"/>
      <c r="X740" s="381"/>
      <c r="Y740" s="381"/>
      <c r="Z740" s="372"/>
      <c r="AA740" s="373"/>
      <c r="AB740" s="374"/>
      <c r="AC740" s="373"/>
      <c r="AD740" s="374"/>
      <c r="AE740" s="373"/>
      <c r="AF740" s="374"/>
      <c r="AG740" s="373"/>
      <c r="AH740" s="374"/>
      <c r="AI740" s="375"/>
      <c r="AJ740" s="375"/>
      <c r="AK740" s="373"/>
      <c r="AL740" s="375"/>
      <c r="AM740" s="375"/>
      <c r="AN740" s="373"/>
      <c r="AO740" s="375"/>
      <c r="AP740" s="376"/>
      <c r="AQ740" s="375"/>
    </row>
    <row r="741">
      <c r="A741" s="257" t="s">
        <v>6121</v>
      </c>
      <c r="B741" s="257" t="s">
        <v>6122</v>
      </c>
      <c r="C741" s="257" t="str">
        <f>VLOOKUP(A741,import!A:J,3,0)</f>
        <v>DOĞRU</v>
      </c>
      <c r="D741" s="257" t="s">
        <v>3713</v>
      </c>
      <c r="E741" s="257">
        <f>VLOOKUP(A741,import!A:J,5,0)</f>
        <v>1837</v>
      </c>
      <c r="F741" s="257">
        <f>VLOOKUP(A741,import!A:J,6,0)</f>
        <v>68</v>
      </c>
      <c r="G741" s="257">
        <f>VLOOKUP(A741,import!A:J,7,0)</f>
        <v>0</v>
      </c>
      <c r="H741" s="257">
        <f>VLOOKUP(A741,import!A:J,8,0)</f>
        <v>30</v>
      </c>
      <c r="I741" s="257">
        <f>VLOOKUP(A741,import!A:J,9,0)</f>
        <v>30</v>
      </c>
      <c r="J741" s="369">
        <f>VLOOKUP(A741,import!A:J,10,0)</f>
        <v>0</v>
      </c>
      <c r="K741" s="257" t="s">
        <v>6123</v>
      </c>
      <c r="L741" s="257">
        <v>5.308674701E9</v>
      </c>
      <c r="M741" s="257" t="s">
        <v>286</v>
      </c>
      <c r="N741" s="257" t="s">
        <v>3782</v>
      </c>
      <c r="O741" s="257" t="s">
        <v>6124</v>
      </c>
      <c r="P741" s="370" t="str">
        <f>VLOOKUP(A741,import!A:P,16,0)</f>
        <v>Geleneksel</v>
      </c>
      <c r="Q741" s="370"/>
      <c r="R741" s="370" t="b">
        <v>1</v>
      </c>
      <c r="S741" s="370" t="b">
        <v>0</v>
      </c>
      <c r="T741" s="301" t="s">
        <v>3770</v>
      </c>
      <c r="U741" s="379"/>
      <c r="V741" s="379"/>
      <c r="W741" s="301" t="s">
        <v>6125</v>
      </c>
      <c r="X741" s="381"/>
      <c r="Y741" s="381"/>
      <c r="Z741" s="372"/>
      <c r="AA741" s="373" t="s">
        <v>3682</v>
      </c>
      <c r="AB741" s="374">
        <v>44389.0</v>
      </c>
      <c r="AC741" s="373" t="s">
        <v>3682</v>
      </c>
      <c r="AD741" s="374">
        <v>44427.0</v>
      </c>
      <c r="AE741" s="92"/>
      <c r="AF741" s="375"/>
      <c r="AG741" s="92"/>
      <c r="AH741" s="375"/>
      <c r="AI741" s="375"/>
      <c r="AJ741" s="375"/>
      <c r="AK741" s="373" t="s">
        <v>4089</v>
      </c>
      <c r="AL741" s="373" t="s">
        <v>3723</v>
      </c>
      <c r="AM741" s="375"/>
      <c r="AN741" s="375"/>
      <c r="AO741" s="375"/>
      <c r="AP741" s="376" t="s">
        <v>3686</v>
      </c>
      <c r="AQ741" s="375"/>
    </row>
    <row r="742">
      <c r="A742" s="257" t="s">
        <v>6126</v>
      </c>
      <c r="B742" s="257" t="s">
        <v>6127</v>
      </c>
      <c r="C742" s="257" t="str">
        <f>VLOOKUP(A742,import!A:J,3,0)</f>
        <v>DOĞRU</v>
      </c>
      <c r="D742" s="257" t="s">
        <v>3878</v>
      </c>
      <c r="E742" s="257">
        <f>VLOOKUP(A742,import!A:J,5,0)</f>
        <v>1673</v>
      </c>
      <c r="F742" s="257">
        <f>VLOOKUP(A742,import!A:J,6,0)</f>
        <v>79</v>
      </c>
      <c r="G742" s="257">
        <f>VLOOKUP(A742,import!A:J,7,0)</f>
        <v>0</v>
      </c>
      <c r="H742" s="257">
        <f>VLOOKUP(A742,import!A:J,8,0)</f>
        <v>74</v>
      </c>
      <c r="I742" s="257">
        <f>VLOOKUP(A742,import!A:J,9,0)</f>
        <v>74</v>
      </c>
      <c r="J742" s="369">
        <f>VLOOKUP(A742,import!A:J,10,0)</f>
        <v>0</v>
      </c>
      <c r="K742" s="257" t="s">
        <v>6128</v>
      </c>
      <c r="L742" s="257">
        <v>3.222441014E9</v>
      </c>
      <c r="M742" s="257" t="s">
        <v>286</v>
      </c>
      <c r="N742" s="257" t="s">
        <v>3737</v>
      </c>
      <c r="O742" s="257" t="s">
        <v>6129</v>
      </c>
      <c r="P742" s="370" t="str">
        <f>VLOOKUP(A742,import!A:P,16,0)</f>
        <v>Geleneksel</v>
      </c>
      <c r="Q742" s="370"/>
      <c r="R742" s="370" t="b">
        <v>1</v>
      </c>
      <c r="S742" s="370" t="b">
        <v>1</v>
      </c>
      <c r="T742" s="301"/>
      <c r="U742" s="301"/>
      <c r="V742" s="301"/>
      <c r="W742" s="301" t="s">
        <v>6130</v>
      </c>
      <c r="X742" s="371"/>
      <c r="Y742" s="371"/>
      <c r="Z742" s="377"/>
      <c r="AA742" s="373" t="s">
        <v>3682</v>
      </c>
      <c r="AB742" s="374">
        <v>44454.0</v>
      </c>
      <c r="AC742" s="375"/>
      <c r="AD742" s="375"/>
      <c r="AE742" s="92"/>
      <c r="AF742" s="375"/>
      <c r="AG742" s="92"/>
      <c r="AH742" s="375"/>
      <c r="AI742" s="375"/>
      <c r="AJ742" s="375"/>
      <c r="AK742" s="373" t="s">
        <v>2542</v>
      </c>
      <c r="AL742" s="375"/>
      <c r="AM742" s="375"/>
      <c r="AN742" s="375"/>
      <c r="AO742" s="375"/>
      <c r="AP742" s="376" t="s">
        <v>3683</v>
      </c>
      <c r="AQ742" s="375"/>
    </row>
    <row r="743">
      <c r="A743" s="257" t="s">
        <v>6131</v>
      </c>
      <c r="B743" s="257" t="s">
        <v>6132</v>
      </c>
      <c r="C743" s="257" t="str">
        <f>VLOOKUP(A743,import!A:J,3,0)</f>
        <v>DOĞRU</v>
      </c>
      <c r="D743" s="257" t="s">
        <v>3994</v>
      </c>
      <c r="E743" s="257">
        <f>VLOOKUP(A743,import!A:J,5,0)</f>
        <v>369</v>
      </c>
      <c r="F743" s="257">
        <f>VLOOKUP(A743,import!A:J,6,0)</f>
        <v>6</v>
      </c>
      <c r="G743" s="257">
        <f>VLOOKUP(A743,import!A:J,7,0)</f>
        <v>0</v>
      </c>
      <c r="H743" s="257">
        <f>VLOOKUP(A743,import!A:J,8,0)</f>
        <v>45</v>
      </c>
      <c r="I743" s="257">
        <f>VLOOKUP(A743,import!A:J,9,0)</f>
        <v>45</v>
      </c>
      <c r="J743" s="369">
        <f>VLOOKUP(A743,import!A:J,10,0)</f>
        <v>0</v>
      </c>
      <c r="K743" s="257" t="s">
        <v>6133</v>
      </c>
      <c r="L743" s="257">
        <v>3.22233323E9</v>
      </c>
      <c r="M743" s="257" t="s">
        <v>14</v>
      </c>
      <c r="N743" s="257" t="s">
        <v>3733</v>
      </c>
      <c r="O743" s="257" t="s">
        <v>6134</v>
      </c>
      <c r="P743" s="370" t="str">
        <f>VLOOKUP(A743,import!A:P,16,0)</f>
        <v>Geleneksel</v>
      </c>
      <c r="Q743" s="370"/>
      <c r="R743" s="370" t="b">
        <v>1</v>
      </c>
      <c r="S743" s="370" t="b">
        <v>0</v>
      </c>
      <c r="T743" s="301" t="s">
        <v>3770</v>
      </c>
      <c r="U743" s="379"/>
      <c r="V743" s="379"/>
      <c r="W743" s="301" t="s">
        <v>6135</v>
      </c>
      <c r="X743" s="381"/>
      <c r="Y743" s="381"/>
      <c r="Z743" s="372"/>
      <c r="AA743" s="373" t="s">
        <v>3681</v>
      </c>
      <c r="AB743" s="374">
        <v>44348.0</v>
      </c>
      <c r="AC743" s="373" t="s">
        <v>3681</v>
      </c>
      <c r="AD743" s="374">
        <v>44355.0</v>
      </c>
      <c r="AE743" s="373" t="s">
        <v>3448</v>
      </c>
      <c r="AF743" s="374">
        <v>44362.0</v>
      </c>
      <c r="AG743" s="373" t="s">
        <v>3682</v>
      </c>
      <c r="AH743" s="374">
        <v>44363.0</v>
      </c>
      <c r="AI743" s="373" t="s">
        <v>3695</v>
      </c>
      <c r="AJ743" s="374">
        <v>44523.0</v>
      </c>
      <c r="AK743" s="373" t="s">
        <v>79</v>
      </c>
      <c r="AL743" s="373" t="s">
        <v>399</v>
      </c>
      <c r="AM743" s="373" t="s">
        <v>2706</v>
      </c>
      <c r="AN743" s="373" t="s">
        <v>399</v>
      </c>
      <c r="AO743" s="373" t="s">
        <v>2941</v>
      </c>
      <c r="AP743" s="376" t="s">
        <v>3683</v>
      </c>
      <c r="AQ743" s="373"/>
    </row>
    <row r="744">
      <c r="A744" s="257" t="s">
        <v>2266</v>
      </c>
      <c r="B744" s="257" t="s">
        <v>2267</v>
      </c>
      <c r="C744" s="257" t="str">
        <f>VLOOKUP(A744,import!A:J,3,0)</f>
        <v>DOĞRU</v>
      </c>
      <c r="D744" s="257" t="s">
        <v>3842</v>
      </c>
      <c r="E744" s="257">
        <f>VLOOKUP(A744,import!A:J,5,0)</f>
        <v>2553</v>
      </c>
      <c r="F744" s="257">
        <f>VLOOKUP(A744,import!A:J,6,0)</f>
        <v>112</v>
      </c>
      <c r="G744" s="257">
        <f>VLOOKUP(A744,import!A:J,7,0)</f>
        <v>20</v>
      </c>
      <c r="H744" s="257">
        <f>VLOOKUP(A744,import!A:J,8,0)</f>
        <v>20</v>
      </c>
      <c r="I744" s="257">
        <f>VLOOKUP(A744,import!A:J,9,0)</f>
        <v>40</v>
      </c>
      <c r="J744" s="369">
        <f>VLOOKUP(A744,import!A:J,10,0)</f>
        <v>0.5</v>
      </c>
      <c r="K744" s="257" t="s">
        <v>6136</v>
      </c>
      <c r="L744" s="257">
        <v>3.224560419E9</v>
      </c>
      <c r="M744" s="257" t="s">
        <v>286</v>
      </c>
      <c r="N744" s="257" t="s">
        <v>3688</v>
      </c>
      <c r="O744" s="257" t="s">
        <v>2269</v>
      </c>
      <c r="P744" s="370" t="str">
        <f>VLOOKUP(A744,import!A:P,16,0)</f>
        <v>Geleneksel</v>
      </c>
      <c r="Q744" s="370"/>
      <c r="R744" s="370" t="b">
        <v>1</v>
      </c>
      <c r="S744" s="370" t="b">
        <v>0</v>
      </c>
      <c r="T744" s="389" t="s">
        <v>3679</v>
      </c>
      <c r="U744" s="389" t="s">
        <v>2542</v>
      </c>
      <c r="V744" s="389" t="s">
        <v>78</v>
      </c>
      <c r="W744" s="389" t="s">
        <v>6137</v>
      </c>
      <c r="X744" s="390">
        <v>44441.0</v>
      </c>
      <c r="Y744" s="390">
        <v>44442.0</v>
      </c>
      <c r="Z744" s="399"/>
      <c r="AA744" s="373" t="s">
        <v>3695</v>
      </c>
      <c r="AB744" s="374">
        <v>44379.0</v>
      </c>
      <c r="AC744" s="373" t="s">
        <v>3682</v>
      </c>
      <c r="AD744" s="374">
        <v>44441.0</v>
      </c>
      <c r="AE744" s="92"/>
      <c r="AF744" s="375"/>
      <c r="AG744" s="92"/>
      <c r="AH744" s="375"/>
      <c r="AI744" s="375"/>
      <c r="AJ744" s="375"/>
      <c r="AK744" s="373" t="s">
        <v>1014</v>
      </c>
      <c r="AL744" s="373" t="s">
        <v>2542</v>
      </c>
      <c r="AM744" s="375"/>
      <c r="AN744" s="375"/>
      <c r="AO744" s="375"/>
      <c r="AP744" s="376" t="s">
        <v>3683</v>
      </c>
      <c r="AQ744" s="375"/>
    </row>
    <row r="745">
      <c r="A745" s="257" t="s">
        <v>6138</v>
      </c>
      <c r="B745" s="257" t="s">
        <v>6139</v>
      </c>
      <c r="C745" s="257" t="str">
        <f>VLOOKUP(A745,import!A:J,3,0)</f>
        <v>YANLIŞ</v>
      </c>
      <c r="D745" s="257" t="s">
        <v>3842</v>
      </c>
      <c r="E745" s="257">
        <f>VLOOKUP(A745,import!A:J,5,0)</f>
        <v>2339</v>
      </c>
      <c r="F745" s="257" t="str">
        <f>VLOOKUP(A745,import!A:J,6,0)</f>
        <v/>
      </c>
      <c r="G745" s="257">
        <f>VLOOKUP(A745,import!A:J,7,0)</f>
        <v>0</v>
      </c>
      <c r="H745" s="257">
        <f>VLOOKUP(A745,import!A:J,8,0)</f>
        <v>39</v>
      </c>
      <c r="I745" s="257">
        <f>VLOOKUP(A745,import!A:J,9,0)</f>
        <v>39</v>
      </c>
      <c r="J745" s="369">
        <f>VLOOKUP(A745,import!A:J,10,0)</f>
        <v>0</v>
      </c>
      <c r="K745" s="257" t="s">
        <v>6140</v>
      </c>
      <c r="L745" s="257">
        <v>3.225030252E9</v>
      </c>
      <c r="M745" s="257" t="s">
        <v>286</v>
      </c>
      <c r="N745" s="257" t="s">
        <v>3746</v>
      </c>
      <c r="O745" s="257" t="s">
        <v>6141</v>
      </c>
      <c r="P745" s="370" t="str">
        <f>VLOOKUP(A745,import!A:P,16,0)</f>
        <v>Geleneksel</v>
      </c>
      <c r="Q745" s="370"/>
      <c r="R745" s="370" t="b">
        <v>1</v>
      </c>
      <c r="S745" s="370" t="b">
        <v>1</v>
      </c>
      <c r="T745" s="301"/>
      <c r="U745" s="379"/>
      <c r="V745" s="379"/>
      <c r="W745" s="301" t="s">
        <v>6142</v>
      </c>
      <c r="X745" s="381"/>
      <c r="Y745" s="381"/>
      <c r="Z745" s="372"/>
      <c r="AA745" s="373" t="s">
        <v>3682</v>
      </c>
      <c r="AB745" s="374">
        <v>44379.0</v>
      </c>
      <c r="AC745" s="373" t="s">
        <v>3682</v>
      </c>
      <c r="AD745" s="374">
        <v>44441.0</v>
      </c>
      <c r="AE745" s="373" t="s">
        <v>3682</v>
      </c>
      <c r="AF745" s="374">
        <v>44450.0</v>
      </c>
      <c r="AG745" s="92"/>
      <c r="AH745" s="375"/>
      <c r="AI745" s="375"/>
      <c r="AJ745" s="375"/>
      <c r="AK745" s="373" t="s">
        <v>1014</v>
      </c>
      <c r="AL745" s="373" t="s">
        <v>2542</v>
      </c>
      <c r="AM745" s="373" t="s">
        <v>2418</v>
      </c>
      <c r="AN745" s="375"/>
      <c r="AO745" s="375"/>
      <c r="AP745" s="376" t="s">
        <v>3686</v>
      </c>
      <c r="AQ745" s="375"/>
    </row>
    <row r="746">
      <c r="A746" s="257" t="s">
        <v>6143</v>
      </c>
      <c r="B746" s="257" t="s">
        <v>6144</v>
      </c>
      <c r="C746" s="257" t="str">
        <f>VLOOKUP(A746,import!A:J,3,0)</f>
        <v>DOĞRU</v>
      </c>
      <c r="D746" s="257" t="s">
        <v>3676</v>
      </c>
      <c r="E746" s="257">
        <f>VLOOKUP(A746,import!A:J,5,0)</f>
        <v>654</v>
      </c>
      <c r="F746" s="257">
        <f>VLOOKUP(A746,import!A:J,6,0)</f>
        <v>21</v>
      </c>
      <c r="G746" s="257">
        <f>VLOOKUP(A746,import!A:J,7,0)</f>
        <v>0</v>
      </c>
      <c r="H746" s="257">
        <f>VLOOKUP(A746,import!A:J,8,0)</f>
        <v>18</v>
      </c>
      <c r="I746" s="257">
        <f>VLOOKUP(A746,import!A:J,9,0)</f>
        <v>18</v>
      </c>
      <c r="J746" s="369">
        <f>VLOOKUP(A746,import!A:J,10,0)</f>
        <v>0</v>
      </c>
      <c r="K746" s="257" t="s">
        <v>6145</v>
      </c>
      <c r="L746" s="257">
        <v>5.071670853E9</v>
      </c>
      <c r="M746" s="257" t="s">
        <v>286</v>
      </c>
      <c r="N746" s="257" t="s">
        <v>3855</v>
      </c>
      <c r="O746" s="257" t="s">
        <v>6146</v>
      </c>
      <c r="P746" s="370" t="str">
        <f>VLOOKUP(A746,import!A:P,16,0)</f>
        <v>Geleneksel</v>
      </c>
      <c r="Q746" s="370"/>
      <c r="R746" s="370" t="b">
        <v>1</v>
      </c>
      <c r="S746" s="370" t="b">
        <v>0</v>
      </c>
      <c r="T746" s="301" t="s">
        <v>3696</v>
      </c>
      <c r="U746" s="379"/>
      <c r="V746" s="379"/>
      <c r="W746" s="301" t="s">
        <v>6147</v>
      </c>
      <c r="X746" s="381"/>
      <c r="Y746" s="381"/>
      <c r="Z746" s="372"/>
      <c r="AA746" s="373" t="s">
        <v>3682</v>
      </c>
      <c r="AB746" s="374">
        <v>44379.0</v>
      </c>
      <c r="AC746" s="373" t="s">
        <v>3448</v>
      </c>
      <c r="AD746" s="374">
        <v>44390.0</v>
      </c>
      <c r="AE746" s="373" t="s">
        <v>3448</v>
      </c>
      <c r="AF746" s="374">
        <v>44414.0</v>
      </c>
      <c r="AG746" s="373" t="s">
        <v>3696</v>
      </c>
      <c r="AH746" s="374">
        <v>44431.0</v>
      </c>
      <c r="AI746" s="375"/>
      <c r="AJ746" s="375"/>
      <c r="AK746" s="373" t="s">
        <v>1014</v>
      </c>
      <c r="AL746" s="373" t="s">
        <v>3719</v>
      </c>
      <c r="AM746" s="373" t="s">
        <v>3729</v>
      </c>
      <c r="AN746" s="373" t="s">
        <v>3729</v>
      </c>
      <c r="AO746" s="375"/>
      <c r="AP746" s="376" t="s">
        <v>3686</v>
      </c>
      <c r="AQ746" s="375"/>
    </row>
    <row r="747">
      <c r="A747" s="257" t="s">
        <v>6148</v>
      </c>
      <c r="B747" s="257" t="s">
        <v>6149</v>
      </c>
      <c r="C747" s="257" t="str">
        <f>VLOOKUP(A747,import!A:J,3,0)</f>
        <v>DOĞRU</v>
      </c>
      <c r="D747" s="257" t="s">
        <v>3994</v>
      </c>
      <c r="E747" s="257">
        <f>VLOOKUP(A747,import!A:J,5,0)</f>
        <v>294</v>
      </c>
      <c r="F747" s="257">
        <f>VLOOKUP(A747,import!A:J,6,0)</f>
        <v>5</v>
      </c>
      <c r="G747" s="257">
        <f>VLOOKUP(A747,import!A:J,7,0)</f>
        <v>0</v>
      </c>
      <c r="H747" s="257">
        <f>VLOOKUP(A747,import!A:J,8,0)</f>
        <v>89</v>
      </c>
      <c r="I747" s="257">
        <f>VLOOKUP(A747,import!A:J,9,0)</f>
        <v>89</v>
      </c>
      <c r="J747" s="369">
        <f>VLOOKUP(A747,import!A:J,10,0)</f>
        <v>0</v>
      </c>
      <c r="K747" s="257" t="s">
        <v>6145</v>
      </c>
      <c r="L747" s="257">
        <v>3.222611121E9</v>
      </c>
      <c r="M747" s="257" t="s">
        <v>286</v>
      </c>
      <c r="N747" s="257" t="s">
        <v>3855</v>
      </c>
      <c r="O747" s="257" t="s">
        <v>6146</v>
      </c>
      <c r="P747" s="370" t="str">
        <f>VLOOKUP(A747,import!A:P,16,0)</f>
        <v>Geleneksel</v>
      </c>
      <c r="Q747" s="370"/>
      <c r="R747" s="370" t="b">
        <v>1</v>
      </c>
      <c r="S747" s="370" t="b">
        <v>0</v>
      </c>
      <c r="T747" s="301" t="s">
        <v>3696</v>
      </c>
      <c r="U747" s="379"/>
      <c r="V747" s="379"/>
      <c r="W747" s="301" t="s">
        <v>6150</v>
      </c>
      <c r="X747" s="381"/>
      <c r="Y747" s="381"/>
      <c r="Z747" s="372"/>
      <c r="AA747" s="373" t="s">
        <v>3682</v>
      </c>
      <c r="AB747" s="374">
        <v>44379.0</v>
      </c>
      <c r="AC747" s="373" t="s">
        <v>3695</v>
      </c>
      <c r="AD747" s="374">
        <v>44389.0</v>
      </c>
      <c r="AE747" s="373" t="s">
        <v>3682</v>
      </c>
      <c r="AF747" s="374">
        <v>44389.0</v>
      </c>
      <c r="AG747" s="373" t="s">
        <v>3448</v>
      </c>
      <c r="AH747" s="374">
        <v>44390.0</v>
      </c>
      <c r="AI747" s="373" t="s">
        <v>3448</v>
      </c>
      <c r="AJ747" s="413">
        <v>44457.0</v>
      </c>
      <c r="AK747" s="373" t="s">
        <v>1014</v>
      </c>
      <c r="AL747" s="373" t="s">
        <v>79</v>
      </c>
      <c r="AM747" s="373" t="s">
        <v>4089</v>
      </c>
      <c r="AN747" s="373" t="s">
        <v>3719</v>
      </c>
      <c r="AO747" s="373" t="s">
        <v>79</v>
      </c>
      <c r="AP747" s="376" t="s">
        <v>3686</v>
      </c>
      <c r="AQ747" s="373"/>
    </row>
    <row r="748">
      <c r="A748" s="257" t="s">
        <v>6151</v>
      </c>
      <c r="B748" s="257" t="s">
        <v>3484</v>
      </c>
      <c r="C748" s="257" t="str">
        <f>VLOOKUP(A748,import!A:J,3,0)</f>
        <v>DOĞRU</v>
      </c>
      <c r="D748" s="257" t="s">
        <v>3699</v>
      </c>
      <c r="E748" s="257">
        <f>VLOOKUP(A748,import!A:J,5,0)</f>
        <v>1513</v>
      </c>
      <c r="F748" s="257">
        <f>VLOOKUP(A748,import!A:J,6,0)</f>
        <v>155</v>
      </c>
      <c r="G748" s="257">
        <f>VLOOKUP(A748,import!A:J,7,0)</f>
        <v>16</v>
      </c>
      <c r="H748" s="257">
        <f>VLOOKUP(A748,import!A:J,8,0)</f>
        <v>17</v>
      </c>
      <c r="I748" s="257">
        <f>VLOOKUP(A748,import!A:J,9,0)</f>
        <v>33</v>
      </c>
      <c r="J748" s="369">
        <f>VLOOKUP(A748,import!A:J,10,0)</f>
        <v>0.48</v>
      </c>
      <c r="K748" s="257" t="s">
        <v>5645</v>
      </c>
      <c r="L748" s="257">
        <v>5.425450126E9</v>
      </c>
      <c r="M748" s="257" t="s">
        <v>14</v>
      </c>
      <c r="N748" s="257" t="s">
        <v>3797</v>
      </c>
      <c r="O748" s="257" t="s">
        <v>3288</v>
      </c>
      <c r="P748" s="370" t="str">
        <f>VLOOKUP(A748,import!A:P,16,0)</f>
        <v>Geleneksel</v>
      </c>
      <c r="Q748" s="370"/>
      <c r="R748" s="370" t="b">
        <v>1</v>
      </c>
      <c r="S748" s="370" t="b">
        <v>0</v>
      </c>
      <c r="T748" s="301"/>
      <c r="U748" s="379"/>
      <c r="V748" s="379"/>
      <c r="W748" s="301"/>
      <c r="X748" s="381"/>
      <c r="Y748" s="381"/>
      <c r="Z748" s="372"/>
      <c r="AA748" s="373" t="s">
        <v>3448</v>
      </c>
      <c r="AB748" s="374">
        <v>44536.0</v>
      </c>
      <c r="AC748" s="373"/>
      <c r="AD748" s="374"/>
      <c r="AE748" s="373"/>
      <c r="AF748" s="374"/>
      <c r="AG748" s="373"/>
      <c r="AH748" s="374"/>
      <c r="AI748" s="375"/>
      <c r="AJ748" s="375"/>
      <c r="AK748" s="373" t="s">
        <v>2192</v>
      </c>
      <c r="AL748" s="375"/>
      <c r="AM748" s="375"/>
      <c r="AN748" s="373"/>
      <c r="AO748" s="375"/>
      <c r="AP748" s="376" t="s">
        <v>3683</v>
      </c>
      <c r="AQ748" s="375"/>
    </row>
    <row r="749">
      <c r="A749" s="257" t="s">
        <v>3483</v>
      </c>
      <c r="B749" s="257" t="s">
        <v>3484</v>
      </c>
      <c r="C749" s="257" t="str">
        <f>VLOOKUP(A749,import!A:J,3,0)</f>
        <v>DOĞRU</v>
      </c>
      <c r="D749" s="257" t="s">
        <v>3699</v>
      </c>
      <c r="E749" s="257">
        <f>VLOOKUP(A749,import!A:J,5,0)</f>
        <v>38</v>
      </c>
      <c r="F749" s="257">
        <f>VLOOKUP(A749,import!A:J,6,0)</f>
        <v>28</v>
      </c>
      <c r="G749" s="257">
        <f>VLOOKUP(A749,import!A:J,7,0)</f>
        <v>2</v>
      </c>
      <c r="H749" s="257">
        <f>VLOOKUP(A749,import!A:J,8,0)</f>
        <v>4</v>
      </c>
      <c r="I749" s="257">
        <f>VLOOKUP(A749,import!A:J,9,0)</f>
        <v>6</v>
      </c>
      <c r="J749" s="369">
        <f>VLOOKUP(A749,import!A:J,10,0)</f>
        <v>0.33</v>
      </c>
      <c r="K749" s="257" t="s">
        <v>6152</v>
      </c>
      <c r="L749" s="257">
        <v>5.425190954E9</v>
      </c>
      <c r="M749" s="257" t="s">
        <v>14</v>
      </c>
      <c r="N749" s="257" t="s">
        <v>3797</v>
      </c>
      <c r="O749" s="257" t="s">
        <v>6153</v>
      </c>
      <c r="P749" s="370" t="str">
        <f>VLOOKUP(A749,import!A:P,16,0)</f>
        <v>Geleneksel</v>
      </c>
      <c r="Q749" s="370"/>
      <c r="R749" s="370" t="b">
        <v>1</v>
      </c>
      <c r="S749" s="370" t="b">
        <v>0</v>
      </c>
      <c r="T749" s="301" t="s">
        <v>3679</v>
      </c>
      <c r="U749" s="301" t="s">
        <v>2576</v>
      </c>
      <c r="V749" s="301" t="s">
        <v>3331</v>
      </c>
      <c r="W749" s="301"/>
      <c r="X749" s="371">
        <v>44630.0</v>
      </c>
      <c r="Y749" s="371">
        <v>44631.0</v>
      </c>
      <c r="Z749" s="372"/>
      <c r="AA749" s="373" t="s">
        <v>3682</v>
      </c>
      <c r="AB749" s="374">
        <v>44630.0</v>
      </c>
      <c r="AC749" s="373"/>
      <c r="AD749" s="374"/>
      <c r="AE749" s="373"/>
      <c r="AF749" s="374"/>
      <c r="AG749" s="373"/>
      <c r="AH749" s="374"/>
      <c r="AI749" s="375"/>
      <c r="AJ749" s="375"/>
      <c r="AK749" s="373" t="s">
        <v>2576</v>
      </c>
      <c r="AL749" s="375"/>
      <c r="AM749" s="375"/>
      <c r="AN749" s="373"/>
      <c r="AO749" s="375"/>
      <c r="AP749" s="376"/>
      <c r="AQ749" s="375"/>
    </row>
    <row r="750">
      <c r="A750" s="257" t="s">
        <v>1283</v>
      </c>
      <c r="B750" s="257" t="s">
        <v>1284</v>
      </c>
      <c r="C750" s="257" t="str">
        <f>VLOOKUP(A750,import!A:J,3,0)</f>
        <v>DOĞRU</v>
      </c>
      <c r="D750" s="257" t="s">
        <v>3699</v>
      </c>
      <c r="E750" s="257">
        <f>VLOOKUP(A750,import!A:J,5,0)</f>
        <v>3989</v>
      </c>
      <c r="F750" s="257">
        <f>VLOOKUP(A750,import!A:J,6,0)</f>
        <v>178</v>
      </c>
      <c r="G750" s="257">
        <f>VLOOKUP(A750,import!A:J,7,0)</f>
        <v>0</v>
      </c>
      <c r="H750" s="257">
        <f>VLOOKUP(A750,import!A:J,8,0)</f>
        <v>44</v>
      </c>
      <c r="I750" s="257">
        <f>VLOOKUP(A750,import!A:J,9,0)</f>
        <v>44</v>
      </c>
      <c r="J750" s="369">
        <f>VLOOKUP(A750,import!A:J,10,0)</f>
        <v>0</v>
      </c>
      <c r="K750" s="257" t="s">
        <v>6154</v>
      </c>
      <c r="L750" s="257">
        <v>5.445127366E9</v>
      </c>
      <c r="M750" s="257" t="s">
        <v>286</v>
      </c>
      <c r="N750" s="257" t="s">
        <v>3855</v>
      </c>
      <c r="O750" s="257" t="s">
        <v>1286</v>
      </c>
      <c r="P750" s="370" t="str">
        <f>VLOOKUP(A750,import!A:P,16,0)</f>
        <v>Geleneksel</v>
      </c>
      <c r="Q750" s="370"/>
      <c r="R750" s="370" t="b">
        <v>1</v>
      </c>
      <c r="S750" s="370" t="b">
        <v>0</v>
      </c>
      <c r="T750" s="301" t="s">
        <v>3679</v>
      </c>
      <c r="U750" s="301" t="s">
        <v>79</v>
      </c>
      <c r="V750" s="301" t="s">
        <v>78</v>
      </c>
      <c r="W750" s="301" t="s">
        <v>6155</v>
      </c>
      <c r="X750" s="371">
        <v>44460.0</v>
      </c>
      <c r="Y750" s="371">
        <v>44462.0</v>
      </c>
      <c r="Z750" s="372"/>
      <c r="AA750" s="373" t="s">
        <v>3682</v>
      </c>
      <c r="AB750" s="374">
        <v>44379.0</v>
      </c>
      <c r="AC750" s="373" t="s">
        <v>3695</v>
      </c>
      <c r="AD750" s="374">
        <v>44442.0</v>
      </c>
      <c r="AE750" s="373" t="s">
        <v>3448</v>
      </c>
      <c r="AF750" s="374">
        <v>44574.0</v>
      </c>
      <c r="AG750" s="92"/>
      <c r="AH750" s="375"/>
      <c r="AI750" s="375"/>
      <c r="AJ750" s="374"/>
      <c r="AK750" s="373" t="s">
        <v>1014</v>
      </c>
      <c r="AL750" s="373" t="s">
        <v>399</v>
      </c>
      <c r="AM750" s="373" t="s">
        <v>2706</v>
      </c>
      <c r="AN750" s="375"/>
      <c r="AO750" s="375"/>
      <c r="AP750" s="376" t="s">
        <v>3686</v>
      </c>
      <c r="AQ750" s="375"/>
    </row>
    <row r="751">
      <c r="A751" s="376" t="s">
        <v>6156</v>
      </c>
      <c r="B751" s="376" t="s">
        <v>6157</v>
      </c>
      <c r="C751" s="257" t="str">
        <f>VLOOKUP(A751,import!A:J,3,0)</f>
        <v>DOĞRU</v>
      </c>
      <c r="D751" s="376" t="s">
        <v>3699</v>
      </c>
      <c r="E751" s="257">
        <f>VLOOKUP(A751,import!A:J,5,0)</f>
        <v>5</v>
      </c>
      <c r="F751" s="257">
        <f>VLOOKUP(A751,import!A:J,6,0)</f>
        <v>5</v>
      </c>
      <c r="G751" s="257">
        <f>VLOOKUP(A751,import!A:J,7,0)</f>
        <v>0</v>
      </c>
      <c r="H751" s="257">
        <f>VLOOKUP(A751,import!A:J,8,0)</f>
        <v>47</v>
      </c>
      <c r="I751" s="257">
        <f>VLOOKUP(A751,import!A:J,9,0)</f>
        <v>47</v>
      </c>
      <c r="J751" s="369">
        <f>VLOOKUP(A751,import!A:J,10,0)</f>
        <v>0</v>
      </c>
      <c r="K751" s="376" t="s">
        <v>6158</v>
      </c>
      <c r="L751" s="376">
        <v>3.222346262E9</v>
      </c>
      <c r="M751" s="376" t="s">
        <v>14</v>
      </c>
      <c r="N751" s="376" t="s">
        <v>3718</v>
      </c>
      <c r="O751" s="376" t="s">
        <v>6159</v>
      </c>
      <c r="P751" s="370" t="str">
        <f>VLOOKUP(A751,import!A:P,16,0)</f>
        <v>Geleneksel</v>
      </c>
      <c r="Q751" s="370"/>
      <c r="R751" s="370" t="b">
        <v>0</v>
      </c>
      <c r="S751" s="370" t="b">
        <v>0</v>
      </c>
      <c r="T751" s="301"/>
      <c r="U751" s="301"/>
      <c r="V751" s="36"/>
      <c r="W751" s="301"/>
      <c r="X751" s="371"/>
      <c r="Y751" s="371"/>
      <c r="Z751" s="372"/>
      <c r="AA751" s="373"/>
      <c r="AB751" s="374"/>
      <c r="AC751" s="373"/>
      <c r="AD751" s="374"/>
      <c r="AE751" s="373"/>
      <c r="AF751" s="374"/>
      <c r="AG751" s="373"/>
      <c r="AH751" s="374"/>
      <c r="AI751" s="373"/>
      <c r="AJ751" s="374"/>
      <c r="AK751" s="373"/>
      <c r="AL751" s="373"/>
      <c r="AM751" s="373"/>
      <c r="AN751" s="373"/>
      <c r="AO751" s="373"/>
      <c r="AP751" s="376"/>
      <c r="AQ751" s="373"/>
    </row>
    <row r="752">
      <c r="A752" s="257" t="s">
        <v>3468</v>
      </c>
      <c r="B752" s="257" t="s">
        <v>3469</v>
      </c>
      <c r="C752" s="257" t="str">
        <f>VLOOKUP(A752,import!A:J,3,0)</f>
        <v>DOĞRU</v>
      </c>
      <c r="D752" s="257" t="s">
        <v>3883</v>
      </c>
      <c r="E752" s="257">
        <f>VLOOKUP(A752,import!A:J,5,0)</f>
        <v>270</v>
      </c>
      <c r="F752" s="257">
        <f>VLOOKUP(A752,import!A:J,6,0)</f>
        <v>60</v>
      </c>
      <c r="G752" s="257">
        <f>VLOOKUP(A752,import!A:J,7,0)</f>
        <v>0</v>
      </c>
      <c r="H752" s="257">
        <f>VLOOKUP(A752,import!A:J,8,0)</f>
        <v>80</v>
      </c>
      <c r="I752" s="257">
        <f>VLOOKUP(A752,import!A:J,9,0)</f>
        <v>80</v>
      </c>
      <c r="J752" s="369">
        <f>VLOOKUP(A752,import!A:J,10,0)</f>
        <v>0</v>
      </c>
      <c r="K752" s="257" t="s">
        <v>6160</v>
      </c>
      <c r="L752" s="257">
        <v>5.064874475E9</v>
      </c>
      <c r="M752" s="257" t="s">
        <v>14</v>
      </c>
      <c r="N752" s="257" t="s">
        <v>5433</v>
      </c>
      <c r="O752" s="257" t="s">
        <v>3472</v>
      </c>
      <c r="P752" s="370" t="str">
        <f>VLOOKUP(A752,import!A:P,16,0)</f>
        <v>Geleneksel</v>
      </c>
      <c r="Q752" s="370"/>
      <c r="R752" s="370" t="b">
        <v>1</v>
      </c>
      <c r="S752" s="370" t="b">
        <v>0</v>
      </c>
      <c r="T752" s="301" t="s">
        <v>3679</v>
      </c>
      <c r="U752" s="301" t="s">
        <v>2576</v>
      </c>
      <c r="V752" s="394" t="s">
        <v>3331</v>
      </c>
      <c r="W752" s="301"/>
      <c r="X752" s="371">
        <v>44630.0</v>
      </c>
      <c r="Y752" s="371">
        <v>44631.0</v>
      </c>
      <c r="Z752" s="372"/>
      <c r="AA752" s="373" t="s">
        <v>3682</v>
      </c>
      <c r="AB752" s="374">
        <v>44630.0</v>
      </c>
      <c r="AC752" s="373"/>
      <c r="AD752" s="374"/>
      <c r="AE752" s="373"/>
      <c r="AF752" s="374"/>
      <c r="AG752" s="373"/>
      <c r="AH752" s="374"/>
      <c r="AI752" s="375"/>
      <c r="AJ752" s="375"/>
      <c r="AK752" s="373" t="s">
        <v>2576</v>
      </c>
      <c r="AL752" s="375"/>
      <c r="AM752" s="375"/>
      <c r="AN752" s="373"/>
      <c r="AO752" s="375"/>
      <c r="AP752" s="376"/>
      <c r="AQ752" s="375"/>
    </row>
    <row r="753">
      <c r="A753" s="257" t="s">
        <v>6161</v>
      </c>
      <c r="B753" s="257" t="s">
        <v>6162</v>
      </c>
      <c r="C753" s="257" t="str">
        <f>VLOOKUP(A753,import!A:J,3,0)</f>
        <v>DOĞRU</v>
      </c>
      <c r="D753" s="257" t="s">
        <v>3699</v>
      </c>
      <c r="E753" s="257">
        <f>VLOOKUP(A753,import!A:J,5,0)</f>
        <v>1868</v>
      </c>
      <c r="F753" s="257">
        <f>VLOOKUP(A753,import!A:J,6,0)</f>
        <v>136</v>
      </c>
      <c r="G753" s="257">
        <f>VLOOKUP(A753,import!A:J,7,0)</f>
        <v>0</v>
      </c>
      <c r="H753" s="257">
        <f>VLOOKUP(A753,import!A:J,8,0)</f>
        <v>55</v>
      </c>
      <c r="I753" s="257">
        <f>VLOOKUP(A753,import!A:J,9,0)</f>
        <v>55</v>
      </c>
      <c r="J753" s="369">
        <f>VLOOKUP(A753,import!A:J,10,0)</f>
        <v>0</v>
      </c>
      <c r="K753" s="257" t="s">
        <v>6163</v>
      </c>
      <c r="L753" s="257">
        <v>4449940.0</v>
      </c>
      <c r="M753" s="257" t="s">
        <v>14</v>
      </c>
      <c r="N753" s="257" t="s">
        <v>5433</v>
      </c>
      <c r="O753" s="257" t="s">
        <v>3472</v>
      </c>
      <c r="P753" s="370" t="str">
        <f>VLOOKUP(A753,import!A:P,16,0)</f>
        <v>Geleneksel</v>
      </c>
      <c r="Q753" s="370"/>
      <c r="R753" s="370" t="b">
        <v>1</v>
      </c>
      <c r="S753" s="370" t="b">
        <v>1</v>
      </c>
      <c r="T753" s="379"/>
      <c r="U753" s="379"/>
      <c r="V753" s="379"/>
      <c r="W753" s="301" t="s">
        <v>6164</v>
      </c>
      <c r="X753" s="381"/>
      <c r="Y753" s="381"/>
      <c r="Z753" s="372"/>
      <c r="AA753" s="373" t="s">
        <v>3682</v>
      </c>
      <c r="AB753" s="374">
        <v>44350.0</v>
      </c>
      <c r="AC753" s="373" t="s">
        <v>3448</v>
      </c>
      <c r="AD753" s="374">
        <v>44383.0</v>
      </c>
      <c r="AE753" s="373" t="s">
        <v>3682</v>
      </c>
      <c r="AF753" s="374">
        <v>44441.0</v>
      </c>
      <c r="AG753" s="373" t="s">
        <v>3448</v>
      </c>
      <c r="AH753" s="374">
        <v>44499.0</v>
      </c>
      <c r="AI753" s="375"/>
      <c r="AJ753" s="375"/>
      <c r="AK753" s="373" t="s">
        <v>3789</v>
      </c>
      <c r="AL753" s="373" t="s">
        <v>79</v>
      </c>
      <c r="AM753" s="373" t="s">
        <v>2542</v>
      </c>
      <c r="AN753" s="373" t="s">
        <v>2542</v>
      </c>
      <c r="AO753" s="375"/>
      <c r="AP753" s="376" t="s">
        <v>3683</v>
      </c>
      <c r="AQ753" s="375"/>
    </row>
    <row r="754">
      <c r="A754" s="266" t="s">
        <v>834</v>
      </c>
      <c r="B754" s="266" t="s">
        <v>835</v>
      </c>
      <c r="C754" s="257" t="str">
        <f>VLOOKUP(A754,import!A:J,3,0)</f>
        <v>DOĞRU</v>
      </c>
      <c r="D754" s="266" t="s">
        <v>3699</v>
      </c>
      <c r="E754" s="257">
        <f>VLOOKUP(A754,import!A:J,5,0)</f>
        <v>939</v>
      </c>
      <c r="F754" s="257" t="str">
        <f>VLOOKUP(A754,import!A:J,6,0)</f>
        <v/>
      </c>
      <c r="G754" s="257">
        <f>VLOOKUP(A754,import!A:J,7,0)</f>
        <v>8</v>
      </c>
      <c r="H754" s="257">
        <f>VLOOKUP(A754,import!A:J,8,0)</f>
        <v>1</v>
      </c>
      <c r="I754" s="257">
        <f>VLOOKUP(A754,import!A:J,9,0)</f>
        <v>9</v>
      </c>
      <c r="J754" s="369">
        <f>VLOOKUP(A754,import!A:J,10,0)</f>
        <v>0.89</v>
      </c>
      <c r="K754" s="266" t="s">
        <v>6165</v>
      </c>
      <c r="L754" s="266">
        <v>3.222399444E9</v>
      </c>
      <c r="M754" s="266" t="s">
        <v>14</v>
      </c>
      <c r="N754" s="266" t="s">
        <v>3826</v>
      </c>
      <c r="O754" s="266" t="s">
        <v>837</v>
      </c>
      <c r="P754" s="370" t="str">
        <f>VLOOKUP(A754,import!A:P,16,0)</f>
        <v>Geleneksel</v>
      </c>
      <c r="Q754" s="370"/>
      <c r="R754" s="370" t="b">
        <v>1</v>
      </c>
      <c r="S754" s="370" t="b">
        <v>0</v>
      </c>
      <c r="T754" s="301" t="s">
        <v>3679</v>
      </c>
      <c r="U754" s="301" t="s">
        <v>79</v>
      </c>
      <c r="V754" s="301" t="s">
        <v>78</v>
      </c>
      <c r="W754" s="301"/>
      <c r="X754" s="371">
        <v>44344.0</v>
      </c>
      <c r="Y754" s="371">
        <v>44348.0</v>
      </c>
      <c r="Z754" s="377"/>
      <c r="AA754" s="375"/>
      <c r="AB754" s="375"/>
      <c r="AC754" s="375"/>
      <c r="AD754" s="375"/>
      <c r="AE754" s="92"/>
      <c r="AF754" s="375"/>
      <c r="AG754" s="92"/>
      <c r="AH754" s="375"/>
      <c r="AI754" s="375"/>
      <c r="AJ754" s="375"/>
      <c r="AK754" s="375"/>
      <c r="AL754" s="375"/>
      <c r="AM754" s="375"/>
      <c r="AN754" s="375"/>
      <c r="AO754" s="375"/>
      <c r="AP754" s="376" t="s">
        <v>3683</v>
      </c>
      <c r="AQ754" s="375"/>
    </row>
    <row r="755">
      <c r="A755" s="257" t="s">
        <v>2867</v>
      </c>
      <c r="B755" s="257" t="s">
        <v>2868</v>
      </c>
      <c r="C755" s="257" t="str">
        <f>VLOOKUP(A755,import!A:J,3,0)</f>
        <v>DOĞRU</v>
      </c>
      <c r="D755" s="257" t="s">
        <v>3699</v>
      </c>
      <c r="E755" s="257">
        <f>VLOOKUP(A755,import!A:J,5,0)</f>
        <v>297</v>
      </c>
      <c r="F755" s="257">
        <f>VLOOKUP(A755,import!A:J,6,0)</f>
        <v>4</v>
      </c>
      <c r="G755" s="257">
        <f>VLOOKUP(A755,import!A:J,7,0)</f>
        <v>41</v>
      </c>
      <c r="H755" s="257">
        <f>VLOOKUP(A755,import!A:J,8,0)</f>
        <v>16</v>
      </c>
      <c r="I755" s="257">
        <f>VLOOKUP(A755,import!A:J,9,0)</f>
        <v>57</v>
      </c>
      <c r="J755" s="369">
        <f>VLOOKUP(A755,import!A:J,10,0)</f>
        <v>0.72</v>
      </c>
      <c r="K755" s="257" t="s">
        <v>6166</v>
      </c>
      <c r="L755" s="257">
        <v>5.368930798E9</v>
      </c>
      <c r="M755" s="257" t="s">
        <v>286</v>
      </c>
      <c r="N755" s="257" t="s">
        <v>3754</v>
      </c>
      <c r="O755" s="257" t="s">
        <v>2870</v>
      </c>
      <c r="P755" s="370" t="str">
        <f>VLOOKUP(A755,import!A:P,16,0)</f>
        <v>Geleneksel</v>
      </c>
      <c r="Q755" s="370"/>
      <c r="R755" s="370" t="b">
        <v>1</v>
      </c>
      <c r="S755" s="370" t="b">
        <v>0</v>
      </c>
      <c r="T755" s="301" t="s">
        <v>3679</v>
      </c>
      <c r="U755" s="301" t="s">
        <v>2542</v>
      </c>
      <c r="V755" s="301" t="s">
        <v>78</v>
      </c>
      <c r="W755" s="301" t="s">
        <v>6167</v>
      </c>
      <c r="X755" s="371">
        <v>44484.0</v>
      </c>
      <c r="Y755" s="371">
        <v>44487.0</v>
      </c>
      <c r="Z755" s="372"/>
      <c r="AA755" s="373" t="s">
        <v>3682</v>
      </c>
      <c r="AB755" s="374">
        <v>44484.0</v>
      </c>
      <c r="AC755" s="373"/>
      <c r="AD755" s="374"/>
      <c r="AE755" s="373"/>
      <c r="AF755" s="374"/>
      <c r="AG755" s="373"/>
      <c r="AH755" s="374"/>
      <c r="AI755" s="375"/>
      <c r="AJ755" s="375"/>
      <c r="AK755" s="373" t="s">
        <v>2542</v>
      </c>
      <c r="AL755" s="375"/>
      <c r="AM755" s="375"/>
      <c r="AN755" s="373"/>
      <c r="AO755" s="375"/>
      <c r="AP755" s="376" t="s">
        <v>3686</v>
      </c>
      <c r="AQ755" s="375"/>
    </row>
    <row r="756">
      <c r="A756" s="257" t="s">
        <v>2862</v>
      </c>
      <c r="B756" s="257" t="s">
        <v>2863</v>
      </c>
      <c r="C756" s="257" t="str">
        <f>VLOOKUP(A756,import!A:J,3,0)</f>
        <v>DOĞRU</v>
      </c>
      <c r="D756" s="257" t="s">
        <v>3699</v>
      </c>
      <c r="E756" s="257">
        <f>VLOOKUP(A756,import!A:J,5,0)</f>
        <v>109</v>
      </c>
      <c r="F756" s="257">
        <f>VLOOKUP(A756,import!A:J,6,0)</f>
        <v>14</v>
      </c>
      <c r="G756" s="257">
        <f>VLOOKUP(A756,import!A:J,7,0)</f>
        <v>18</v>
      </c>
      <c r="H756" s="257">
        <f>VLOOKUP(A756,import!A:J,8,0)</f>
        <v>24</v>
      </c>
      <c r="I756" s="257">
        <f>VLOOKUP(A756,import!A:J,9,0)</f>
        <v>42</v>
      </c>
      <c r="J756" s="369">
        <f>VLOOKUP(A756,import!A:J,10,0)</f>
        <v>0.43</v>
      </c>
      <c r="K756" s="257" t="s">
        <v>6168</v>
      </c>
      <c r="L756" s="257">
        <v>3.224578585E9</v>
      </c>
      <c r="M756" s="257" t="s">
        <v>286</v>
      </c>
      <c r="N756" s="257" t="s">
        <v>3806</v>
      </c>
      <c r="O756" s="257" t="s">
        <v>6169</v>
      </c>
      <c r="P756" s="370" t="str">
        <f>VLOOKUP(A756,import!A:P,16,0)</f>
        <v>Geleneksel</v>
      </c>
      <c r="Q756" s="370"/>
      <c r="R756" s="370" t="b">
        <v>1</v>
      </c>
      <c r="S756" s="370" t="b">
        <v>0</v>
      </c>
      <c r="T756" s="301" t="s">
        <v>3679</v>
      </c>
      <c r="U756" s="301" t="s">
        <v>79</v>
      </c>
      <c r="V756" s="301" t="s">
        <v>78</v>
      </c>
      <c r="W756" s="301"/>
      <c r="X756" s="371">
        <v>44484.0</v>
      </c>
      <c r="Y756" s="371">
        <v>44487.0</v>
      </c>
      <c r="Z756" s="372"/>
      <c r="AA756" s="373" t="s">
        <v>3682</v>
      </c>
      <c r="AB756" s="374">
        <v>44484.0</v>
      </c>
      <c r="AC756" s="373"/>
      <c r="AD756" s="374"/>
      <c r="AE756" s="373"/>
      <c r="AF756" s="374"/>
      <c r="AG756" s="373"/>
      <c r="AH756" s="374"/>
      <c r="AI756" s="375"/>
      <c r="AJ756" s="375"/>
      <c r="AK756" s="373" t="s">
        <v>79</v>
      </c>
      <c r="AL756" s="375"/>
      <c r="AM756" s="375"/>
      <c r="AN756" s="373"/>
      <c r="AO756" s="375"/>
      <c r="AP756" s="376" t="s">
        <v>3686</v>
      </c>
      <c r="AQ756" s="375"/>
    </row>
    <row r="757">
      <c r="A757" s="257" t="s">
        <v>2753</v>
      </c>
      <c r="B757" s="257" t="s">
        <v>2754</v>
      </c>
      <c r="C757" s="257" t="str">
        <f>VLOOKUP(A757,import!A:J,3,0)</f>
        <v>DOĞRU</v>
      </c>
      <c r="D757" s="257" t="s">
        <v>3699</v>
      </c>
      <c r="E757" s="257">
        <f>VLOOKUP(A757,import!A:J,5,0)</f>
        <v>54</v>
      </c>
      <c r="F757" s="257" t="str">
        <f>VLOOKUP(A757,import!A:J,6,0)</f>
        <v/>
      </c>
      <c r="G757" s="257">
        <f>VLOOKUP(A757,import!A:J,7,0)</f>
        <v>0</v>
      </c>
      <c r="H757" s="257">
        <f>VLOOKUP(A757,import!A:J,8,0)</f>
        <v>14</v>
      </c>
      <c r="I757" s="257">
        <f>VLOOKUP(A757,import!A:J,9,0)</f>
        <v>14</v>
      </c>
      <c r="J757" s="369">
        <f>VLOOKUP(A757,import!A:J,10,0)</f>
        <v>0</v>
      </c>
      <c r="K757" s="257" t="s">
        <v>6170</v>
      </c>
      <c r="L757" s="257">
        <v>5.357697918E9</v>
      </c>
      <c r="M757" s="257" t="s">
        <v>14</v>
      </c>
      <c r="N757" s="257" t="s">
        <v>3767</v>
      </c>
      <c r="O757" s="257" t="s">
        <v>779</v>
      </c>
      <c r="P757" s="370" t="str">
        <f>VLOOKUP(A757,import!A:P,16,0)</f>
        <v>Geleneksel</v>
      </c>
      <c r="Q757" s="370"/>
      <c r="R757" s="370" t="b">
        <v>1</v>
      </c>
      <c r="S757" s="370" t="b">
        <v>0</v>
      </c>
      <c r="T757" s="301" t="s">
        <v>3787</v>
      </c>
      <c r="U757" s="301" t="s">
        <v>2542</v>
      </c>
      <c r="V757" s="301" t="s">
        <v>78</v>
      </c>
      <c r="W757" s="301"/>
      <c r="X757" s="371">
        <v>44473.0</v>
      </c>
      <c r="Y757" s="371">
        <v>44474.0</v>
      </c>
      <c r="Z757" s="372"/>
      <c r="AA757" s="373" t="s">
        <v>3682</v>
      </c>
      <c r="AB757" s="374">
        <v>44473.0</v>
      </c>
      <c r="AC757" s="373"/>
      <c r="AD757" s="374"/>
      <c r="AE757" s="373"/>
      <c r="AF757" s="374"/>
      <c r="AG757" s="373"/>
      <c r="AH757" s="374"/>
      <c r="AI757" s="375"/>
      <c r="AJ757" s="375"/>
      <c r="AK757" s="373" t="s">
        <v>2542</v>
      </c>
      <c r="AL757" s="375"/>
      <c r="AM757" s="375"/>
      <c r="AN757" s="373"/>
      <c r="AO757" s="375"/>
      <c r="AP757" s="376" t="s">
        <v>3683</v>
      </c>
      <c r="AQ757" s="375"/>
    </row>
    <row r="758">
      <c r="A758" s="257" t="s">
        <v>6171</v>
      </c>
      <c r="B758" s="257" t="s">
        <v>6172</v>
      </c>
      <c r="C758" s="257" t="str">
        <f>VLOOKUP(A758,import!A:J,3,0)</f>
        <v>DOĞRU</v>
      </c>
      <c r="D758" s="257" t="s">
        <v>4000</v>
      </c>
      <c r="E758" s="257">
        <f>VLOOKUP(A758,import!A:J,5,0)</f>
        <v>1109</v>
      </c>
      <c r="F758" s="257">
        <f>VLOOKUP(A758,import!A:J,6,0)</f>
        <v>152</v>
      </c>
      <c r="G758" s="257">
        <f>VLOOKUP(A758,import!A:J,7,0)</f>
        <v>1</v>
      </c>
      <c r="H758" s="257">
        <f>VLOOKUP(A758,import!A:J,8,0)</f>
        <v>13</v>
      </c>
      <c r="I758" s="257">
        <f>VLOOKUP(A758,import!A:J,9,0)</f>
        <v>14</v>
      </c>
      <c r="J758" s="369">
        <f>VLOOKUP(A758,import!A:J,10,0)</f>
        <v>0.07</v>
      </c>
      <c r="K758" s="257" t="s">
        <v>6173</v>
      </c>
      <c r="L758" s="257">
        <v>3.229995069E9</v>
      </c>
      <c r="M758" s="257" t="s">
        <v>14</v>
      </c>
      <c r="N758" s="257" t="s">
        <v>3733</v>
      </c>
      <c r="O758" s="257" t="s">
        <v>3279</v>
      </c>
      <c r="P758" s="370" t="str">
        <f>VLOOKUP(A758,import!A:P,16,0)</f>
        <v>Geleneksel</v>
      </c>
      <c r="Q758" s="370"/>
      <c r="R758" s="370" t="b">
        <v>0</v>
      </c>
      <c r="S758" s="370" t="b">
        <v>0</v>
      </c>
      <c r="T758" s="301"/>
      <c r="U758" s="301"/>
      <c r="V758" s="301"/>
      <c r="W758" s="301"/>
      <c r="X758" s="371"/>
      <c r="Y758" s="371"/>
      <c r="Z758" s="372"/>
      <c r="AA758" s="373"/>
      <c r="AB758" s="374"/>
      <c r="AC758" s="373"/>
      <c r="AD758" s="374"/>
      <c r="AE758" s="373"/>
      <c r="AF758" s="374"/>
      <c r="AG758" s="373"/>
      <c r="AH758" s="374"/>
      <c r="AI758" s="373"/>
      <c r="AJ758" s="374"/>
      <c r="AK758" s="373"/>
      <c r="AL758" s="373"/>
      <c r="AM758" s="373"/>
      <c r="AN758" s="373"/>
      <c r="AO758" s="373"/>
      <c r="AP758" s="376"/>
      <c r="AQ758" s="373"/>
    </row>
    <row r="759">
      <c r="A759" s="257" t="s">
        <v>3276</v>
      </c>
      <c r="B759" s="257" t="s">
        <v>3277</v>
      </c>
      <c r="C759" s="257" t="str">
        <f>VLOOKUP(A759,import!A:J,3,0)</f>
        <v>DOĞRU</v>
      </c>
      <c r="D759" s="257" t="s">
        <v>3676</v>
      </c>
      <c r="E759" s="257">
        <f>VLOOKUP(A759,import!A:J,5,0)</f>
        <v>3686</v>
      </c>
      <c r="F759" s="257">
        <f>VLOOKUP(A759,import!A:J,6,0)</f>
        <v>181</v>
      </c>
      <c r="G759" s="257">
        <f>VLOOKUP(A759,import!A:J,7,0)</f>
        <v>10</v>
      </c>
      <c r="H759" s="257">
        <f>VLOOKUP(A759,import!A:J,8,0)</f>
        <v>12</v>
      </c>
      <c r="I759" s="257">
        <f>VLOOKUP(A759,import!A:J,9,0)</f>
        <v>22</v>
      </c>
      <c r="J759" s="369">
        <f>VLOOKUP(A759,import!A:J,10,0)</f>
        <v>0.45</v>
      </c>
      <c r="K759" s="257" t="s">
        <v>6173</v>
      </c>
      <c r="L759" s="257">
        <v>5.42780445E9</v>
      </c>
      <c r="M759" s="257" t="s">
        <v>14</v>
      </c>
      <c r="N759" s="257" t="s">
        <v>3733</v>
      </c>
      <c r="O759" s="257" t="s">
        <v>3279</v>
      </c>
      <c r="P759" s="370" t="str">
        <f>VLOOKUP(A759,import!A:P,16,0)</f>
        <v>Geleneksel</v>
      </c>
      <c r="Q759" s="370"/>
      <c r="R759" s="370" t="b">
        <v>1</v>
      </c>
      <c r="S759" s="370" t="b">
        <v>0</v>
      </c>
      <c r="T759" s="301" t="s">
        <v>3679</v>
      </c>
      <c r="U759" s="301" t="s">
        <v>2542</v>
      </c>
      <c r="V759" s="301" t="s">
        <v>78</v>
      </c>
      <c r="W759" s="301" t="s">
        <v>6174</v>
      </c>
      <c r="X759" s="371">
        <v>44560.0</v>
      </c>
      <c r="Y759" s="414">
        <v>44566.0</v>
      </c>
      <c r="Z759" s="372"/>
      <c r="AA759" s="373" t="s">
        <v>3682</v>
      </c>
      <c r="AB759" s="374">
        <v>44557.0</v>
      </c>
      <c r="AC759" s="373" t="s">
        <v>3682</v>
      </c>
      <c r="AD759" s="374">
        <v>44560.0</v>
      </c>
      <c r="AE759" s="373"/>
      <c r="AF759" s="374"/>
      <c r="AG759" s="373"/>
      <c r="AH759" s="374"/>
      <c r="AI759" s="375"/>
      <c r="AJ759" s="375"/>
      <c r="AK759" s="373" t="s">
        <v>2542</v>
      </c>
      <c r="AL759" s="373" t="s">
        <v>2542</v>
      </c>
      <c r="AM759" s="375"/>
      <c r="AN759" s="373"/>
      <c r="AO759" s="375"/>
      <c r="AP759" s="376"/>
      <c r="AQ759" s="375"/>
    </row>
    <row r="760">
      <c r="A760" s="257" t="s">
        <v>3188</v>
      </c>
      <c r="B760" s="257" t="s">
        <v>3189</v>
      </c>
      <c r="C760" s="257" t="str">
        <f>VLOOKUP(A760,import!A:J,3,0)</f>
        <v>DOĞRU</v>
      </c>
      <c r="D760" s="257" t="s">
        <v>3676</v>
      </c>
      <c r="E760" s="257">
        <f>VLOOKUP(A760,import!A:J,5,0)</f>
        <v>758</v>
      </c>
      <c r="F760" s="257" t="str">
        <f>VLOOKUP(A760,import!A:J,6,0)</f>
        <v/>
      </c>
      <c r="G760" s="257">
        <f>VLOOKUP(A760,import!A:J,7,0)</f>
        <v>0</v>
      </c>
      <c r="H760" s="257">
        <f>VLOOKUP(A760,import!A:J,8,0)</f>
        <v>14</v>
      </c>
      <c r="I760" s="257">
        <f>VLOOKUP(A760,import!A:J,9,0)</f>
        <v>14</v>
      </c>
      <c r="J760" s="369">
        <f>VLOOKUP(A760,import!A:J,10,0)</f>
        <v>0</v>
      </c>
      <c r="K760" s="257" t="s">
        <v>6175</v>
      </c>
      <c r="L760" s="257">
        <v>5.448187999E9</v>
      </c>
      <c r="M760" s="257" t="s">
        <v>286</v>
      </c>
      <c r="N760" s="257" t="s">
        <v>4086</v>
      </c>
      <c r="O760" s="257" t="s">
        <v>3191</v>
      </c>
      <c r="P760" s="370" t="str">
        <f>VLOOKUP(A760,import!A:P,16,0)</f>
        <v>Geleneksel</v>
      </c>
      <c r="Q760" s="370"/>
      <c r="R760" s="370" t="b">
        <v>1</v>
      </c>
      <c r="S760" s="370" t="b">
        <v>0</v>
      </c>
      <c r="T760" s="301" t="s">
        <v>3696</v>
      </c>
      <c r="U760" s="301" t="s">
        <v>2192</v>
      </c>
      <c r="V760" s="403" t="s">
        <v>78</v>
      </c>
      <c r="W760" s="301" t="s">
        <v>6176</v>
      </c>
      <c r="X760" s="371">
        <v>44530.0</v>
      </c>
      <c r="Y760" s="371">
        <v>44502.0</v>
      </c>
      <c r="Z760" s="372"/>
      <c r="AA760" s="373" t="s">
        <v>3682</v>
      </c>
      <c r="AB760" s="374">
        <v>44530.0</v>
      </c>
      <c r="AC760" s="373" t="s">
        <v>3696</v>
      </c>
      <c r="AD760" s="374">
        <v>44628.0</v>
      </c>
      <c r="AE760" s="373"/>
      <c r="AF760" s="374"/>
      <c r="AG760" s="373"/>
      <c r="AH760" s="374"/>
      <c r="AI760" s="375"/>
      <c r="AJ760" s="375"/>
      <c r="AK760" s="373" t="s">
        <v>2192</v>
      </c>
      <c r="AL760" s="373" t="s">
        <v>2192</v>
      </c>
      <c r="AM760" s="375"/>
      <c r="AN760" s="373"/>
      <c r="AO760" s="375"/>
      <c r="AP760" s="376" t="s">
        <v>3686</v>
      </c>
      <c r="AQ760" s="375"/>
    </row>
    <row r="761">
      <c r="A761" s="257" t="s">
        <v>6177</v>
      </c>
      <c r="B761" s="257" t="s">
        <v>6178</v>
      </c>
      <c r="C761" s="257" t="str">
        <f>VLOOKUP(A761,import!A:J,3,0)</f>
        <v>DOĞRU</v>
      </c>
      <c r="D761" s="257" t="s">
        <v>3713</v>
      </c>
      <c r="E761" s="257">
        <f>VLOOKUP(A761,import!A:J,5,0)</f>
        <v>294</v>
      </c>
      <c r="F761" s="257">
        <f>VLOOKUP(A761,import!A:J,6,0)</f>
        <v>16</v>
      </c>
      <c r="G761" s="257">
        <f>VLOOKUP(A761,import!A:J,7,0)</f>
        <v>0</v>
      </c>
      <c r="H761" s="257">
        <f>VLOOKUP(A761,import!A:J,8,0)</f>
        <v>31</v>
      </c>
      <c r="I761" s="257">
        <f>VLOOKUP(A761,import!A:J,9,0)</f>
        <v>31</v>
      </c>
      <c r="J761" s="369">
        <f>VLOOKUP(A761,import!A:J,10,0)</f>
        <v>0</v>
      </c>
      <c r="K761" s="257" t="s">
        <v>6179</v>
      </c>
      <c r="L761" s="257">
        <v>5.346157265E9</v>
      </c>
      <c r="M761" s="257" t="s">
        <v>14</v>
      </c>
      <c r="N761" s="257" t="s">
        <v>3826</v>
      </c>
      <c r="O761" s="257" t="s">
        <v>6180</v>
      </c>
      <c r="P761" s="370" t="str">
        <f>VLOOKUP(A761,import!A:P,16,0)</f>
        <v>Geleneksel</v>
      </c>
      <c r="Q761" s="370"/>
      <c r="R761" s="370" t="b">
        <v>1</v>
      </c>
      <c r="S761" s="370" t="b">
        <v>0</v>
      </c>
      <c r="T761" s="301"/>
      <c r="U761" s="379"/>
      <c r="V761" s="379"/>
      <c r="W761" s="301" t="s">
        <v>6181</v>
      </c>
      <c r="X761" s="381"/>
      <c r="Y761" s="381"/>
      <c r="Z761" s="372"/>
      <c r="AA761" s="373" t="s">
        <v>3695</v>
      </c>
      <c r="AB761" s="374">
        <v>44564.0</v>
      </c>
      <c r="AC761" s="373"/>
      <c r="AD761" s="374"/>
      <c r="AE761" s="373"/>
      <c r="AF761" s="374"/>
      <c r="AG761" s="373"/>
      <c r="AH761" s="374"/>
      <c r="AI761" s="375"/>
      <c r="AJ761" s="375"/>
      <c r="AK761" s="373" t="s">
        <v>2542</v>
      </c>
      <c r="AL761" s="375"/>
      <c r="AM761" s="375"/>
      <c r="AN761" s="373"/>
      <c r="AO761" s="375"/>
      <c r="AP761" s="376"/>
      <c r="AQ761" s="375"/>
    </row>
    <row r="762">
      <c r="A762" s="257" t="s">
        <v>6182</v>
      </c>
      <c r="B762" s="257" t="s">
        <v>6183</v>
      </c>
      <c r="C762" s="257" t="str">
        <f>VLOOKUP(A762,import!A:J,3,0)</f>
        <v>DOĞRU</v>
      </c>
      <c r="D762" s="257" t="s">
        <v>3842</v>
      </c>
      <c r="E762" s="257">
        <f>VLOOKUP(A762,import!A:J,5,0)</f>
        <v>1378</v>
      </c>
      <c r="F762" s="257">
        <f>VLOOKUP(A762,import!A:J,6,0)</f>
        <v>119</v>
      </c>
      <c r="G762" s="257">
        <f>VLOOKUP(A762,import!A:J,7,0)</f>
        <v>0</v>
      </c>
      <c r="H762" s="257">
        <f>VLOOKUP(A762,import!A:J,8,0)</f>
        <v>48</v>
      </c>
      <c r="I762" s="257">
        <f>VLOOKUP(A762,import!A:J,9,0)</f>
        <v>48</v>
      </c>
      <c r="J762" s="369">
        <f>VLOOKUP(A762,import!A:J,10,0)</f>
        <v>0</v>
      </c>
      <c r="K762" s="257" t="s">
        <v>6184</v>
      </c>
      <c r="L762" s="257">
        <v>5.52516077E9</v>
      </c>
      <c r="M762" s="257" t="s">
        <v>3814</v>
      </c>
      <c r="N762" s="257" t="s">
        <v>4072</v>
      </c>
      <c r="O762" s="257" t="s">
        <v>6185</v>
      </c>
      <c r="P762" s="370" t="str">
        <f>VLOOKUP(A762,import!A:P,16,0)</f>
        <v>Geleneksel</v>
      </c>
      <c r="Q762" s="370"/>
      <c r="R762" s="370" t="b">
        <v>0</v>
      </c>
      <c r="S762" s="370" t="b">
        <v>0</v>
      </c>
      <c r="T762" s="301" t="s">
        <v>3862</v>
      </c>
      <c r="U762" s="379"/>
      <c r="V762" s="379"/>
      <c r="W762" s="301"/>
      <c r="X762" s="381"/>
      <c r="Y762" s="381"/>
      <c r="Z762" s="372"/>
      <c r="AA762" s="373"/>
      <c r="AB762" s="374"/>
      <c r="AC762" s="373"/>
      <c r="AD762" s="374"/>
      <c r="AE762" s="373"/>
      <c r="AF762" s="374"/>
      <c r="AG762" s="373"/>
      <c r="AH762" s="374"/>
      <c r="AI762" s="375"/>
      <c r="AJ762" s="375"/>
      <c r="AK762" s="373"/>
      <c r="AL762" s="375"/>
      <c r="AM762" s="375"/>
      <c r="AN762" s="373"/>
      <c r="AO762" s="375"/>
      <c r="AP762" s="376" t="s">
        <v>3686</v>
      </c>
      <c r="AQ762" s="375"/>
    </row>
    <row r="763">
      <c r="A763" s="257" t="s">
        <v>6186</v>
      </c>
      <c r="B763" s="257" t="s">
        <v>6187</v>
      </c>
      <c r="C763" s="257" t="str">
        <f>VLOOKUP(A763,import!A:J,3,0)</f>
        <v>YANLIŞ</v>
      </c>
      <c r="D763" s="257" t="s">
        <v>3690</v>
      </c>
      <c r="E763" s="257">
        <f>VLOOKUP(A763,import!A:J,5,0)</f>
        <v>43</v>
      </c>
      <c r="F763" s="257" t="str">
        <f>VLOOKUP(A763,import!A:J,6,0)</f>
        <v/>
      </c>
      <c r="G763" s="257">
        <f>VLOOKUP(A763,import!A:J,7,0)</f>
        <v>0</v>
      </c>
      <c r="H763" s="257">
        <f>VLOOKUP(A763,import!A:J,8,0)</f>
        <v>4</v>
      </c>
      <c r="I763" s="257">
        <f>VLOOKUP(A763,import!A:J,9,0)</f>
        <v>4</v>
      </c>
      <c r="J763" s="369">
        <f>VLOOKUP(A763,import!A:J,10,0)</f>
        <v>0</v>
      </c>
      <c r="K763" s="257" t="s">
        <v>6188</v>
      </c>
      <c r="L763" s="257">
        <v>5.491961976E9</v>
      </c>
      <c r="M763" s="257" t="s">
        <v>286</v>
      </c>
      <c r="N763" s="257" t="s">
        <v>3855</v>
      </c>
      <c r="O763" s="257" t="s">
        <v>6189</v>
      </c>
      <c r="P763" s="370" t="str">
        <f>VLOOKUP(A763,import!A:P,16,0)</f>
        <v>Geleneksel</v>
      </c>
      <c r="Q763" s="370"/>
      <c r="R763" s="370" t="b">
        <v>1</v>
      </c>
      <c r="S763" s="370" t="b">
        <v>0</v>
      </c>
      <c r="T763" s="301" t="s">
        <v>3448</v>
      </c>
      <c r="U763" s="379"/>
      <c r="V763" s="379"/>
      <c r="W763" s="301" t="s">
        <v>6190</v>
      </c>
      <c r="X763" s="381"/>
      <c r="Y763" s="381"/>
      <c r="Z763" s="372"/>
      <c r="AA763" s="373" t="s">
        <v>3448</v>
      </c>
      <c r="AB763" s="374">
        <v>44621.0</v>
      </c>
      <c r="AC763" s="373"/>
      <c r="AD763" s="374"/>
      <c r="AE763" s="373"/>
      <c r="AF763" s="374"/>
      <c r="AG763" s="373"/>
      <c r="AH763" s="374"/>
      <c r="AI763" s="375"/>
      <c r="AJ763" s="375"/>
      <c r="AK763" s="373" t="s">
        <v>2576</v>
      </c>
      <c r="AL763" s="375"/>
      <c r="AM763" s="375"/>
      <c r="AN763" s="373"/>
      <c r="AO763" s="375"/>
      <c r="AP763" s="376"/>
      <c r="AQ763" s="375"/>
    </row>
    <row r="764">
      <c r="A764" s="257" t="s">
        <v>661</v>
      </c>
      <c r="B764" s="257" t="s">
        <v>662</v>
      </c>
      <c r="C764" s="257" t="str">
        <f>VLOOKUP(A764,import!A:J,3,0)</f>
        <v>DOĞRU</v>
      </c>
      <c r="D764" s="257" t="s">
        <v>3912</v>
      </c>
      <c r="E764" s="257">
        <f>VLOOKUP(A764,import!A:J,5,0)</f>
        <v>1252</v>
      </c>
      <c r="F764" s="257">
        <f>VLOOKUP(A764,import!A:J,6,0)</f>
        <v>92</v>
      </c>
      <c r="G764" s="257">
        <f>VLOOKUP(A764,import!A:J,7,0)</f>
        <v>15</v>
      </c>
      <c r="H764" s="257">
        <f>VLOOKUP(A764,import!A:J,8,0)</f>
        <v>6</v>
      </c>
      <c r="I764" s="257">
        <f>VLOOKUP(A764,import!A:J,9,0)</f>
        <v>21</v>
      </c>
      <c r="J764" s="369">
        <f>VLOOKUP(A764,import!A:J,10,0)</f>
        <v>0.71</v>
      </c>
      <c r="K764" s="257" t="s">
        <v>6191</v>
      </c>
      <c r="L764" s="257">
        <v>5.354646636E9</v>
      </c>
      <c r="M764" s="257" t="s">
        <v>286</v>
      </c>
      <c r="N764" s="257" t="s">
        <v>3806</v>
      </c>
      <c r="O764" s="257" t="s">
        <v>6192</v>
      </c>
      <c r="P764" s="370" t="str">
        <f>VLOOKUP(A764,import!A:P,16,0)</f>
        <v>Geleneksel</v>
      </c>
      <c r="Q764" s="370"/>
      <c r="R764" s="370" t="b">
        <v>1</v>
      </c>
      <c r="S764" s="370" t="b">
        <v>0</v>
      </c>
      <c r="T764" s="301" t="s">
        <v>3679</v>
      </c>
      <c r="U764" s="301" t="s">
        <v>399</v>
      </c>
      <c r="V764" s="301" t="s">
        <v>78</v>
      </c>
      <c r="W764" s="301" t="s">
        <v>6193</v>
      </c>
      <c r="X764" s="371">
        <v>44386.0</v>
      </c>
      <c r="Y764" s="371">
        <v>44389.0</v>
      </c>
      <c r="Z764" s="377"/>
      <c r="AA764" s="373" t="s">
        <v>3682</v>
      </c>
      <c r="AB764" s="374">
        <v>44386.0</v>
      </c>
      <c r="AC764" s="373" t="s">
        <v>3682</v>
      </c>
      <c r="AD764" s="374">
        <v>44392.0</v>
      </c>
      <c r="AE764" s="92"/>
      <c r="AF764" s="375"/>
      <c r="AG764" s="92"/>
      <c r="AH764" s="375"/>
      <c r="AI764" s="375"/>
      <c r="AJ764" s="375"/>
      <c r="AK764" s="373" t="s">
        <v>399</v>
      </c>
      <c r="AL764" s="373" t="s">
        <v>4088</v>
      </c>
      <c r="AM764" s="375"/>
      <c r="AN764" s="375"/>
      <c r="AO764" s="375"/>
      <c r="AP764" s="376" t="s">
        <v>3686</v>
      </c>
      <c r="AQ764" s="375"/>
    </row>
    <row r="765">
      <c r="A765" s="257" t="s">
        <v>2491</v>
      </c>
      <c r="B765" s="257" t="s">
        <v>2492</v>
      </c>
      <c r="C765" s="257" t="str">
        <f>VLOOKUP(A765,import!A:J,3,0)</f>
        <v>DOĞRU</v>
      </c>
      <c r="D765" s="257" t="s">
        <v>3676</v>
      </c>
      <c r="E765" s="257">
        <f>VLOOKUP(A765,import!A:J,5,0)</f>
        <v>8005</v>
      </c>
      <c r="F765" s="257">
        <f>VLOOKUP(A765,import!A:J,6,0)</f>
        <v>229</v>
      </c>
      <c r="G765" s="257">
        <f>VLOOKUP(A765,import!A:J,7,0)</f>
        <v>16</v>
      </c>
      <c r="H765" s="257">
        <f>VLOOKUP(A765,import!A:J,8,0)</f>
        <v>6</v>
      </c>
      <c r="I765" s="257">
        <f>VLOOKUP(A765,import!A:J,9,0)</f>
        <v>22</v>
      </c>
      <c r="J765" s="369">
        <f>VLOOKUP(A765,import!A:J,10,0)</f>
        <v>0.73</v>
      </c>
      <c r="K765" s="257" t="s">
        <v>6194</v>
      </c>
      <c r="L765" s="257">
        <v>3.224320909E9</v>
      </c>
      <c r="M765" s="257" t="s">
        <v>286</v>
      </c>
      <c r="N765" s="257" t="s">
        <v>4217</v>
      </c>
      <c r="O765" s="257" t="s">
        <v>2494</v>
      </c>
      <c r="P765" s="370" t="str">
        <f>VLOOKUP(A765,import!A:P,16,0)</f>
        <v>Geleneksel</v>
      </c>
      <c r="Q765" s="370"/>
      <c r="R765" s="370" t="b">
        <v>1</v>
      </c>
      <c r="S765" s="370" t="b">
        <v>0</v>
      </c>
      <c r="T765" s="389" t="s">
        <v>3679</v>
      </c>
      <c r="U765" s="389" t="s">
        <v>2542</v>
      </c>
      <c r="V765" s="389" t="s">
        <v>78</v>
      </c>
      <c r="W765" s="389" t="s">
        <v>6195</v>
      </c>
      <c r="X765" s="390">
        <v>44454.0</v>
      </c>
      <c r="Y765" s="390">
        <v>44455.0</v>
      </c>
      <c r="Z765" s="399"/>
      <c r="AA765" s="373" t="s">
        <v>3695</v>
      </c>
      <c r="AB765" s="374">
        <v>44389.0</v>
      </c>
      <c r="AC765" s="373" t="s">
        <v>3695</v>
      </c>
      <c r="AD765" s="374">
        <v>44424.0</v>
      </c>
      <c r="AE765" s="373" t="s">
        <v>3681</v>
      </c>
      <c r="AF765" s="374">
        <v>44427.0</v>
      </c>
      <c r="AG765" s="373" t="s">
        <v>3696</v>
      </c>
      <c r="AH765" s="374">
        <v>44428.0</v>
      </c>
      <c r="AI765" s="373" t="s">
        <v>3682</v>
      </c>
      <c r="AJ765" s="374">
        <v>44454.0</v>
      </c>
      <c r="AK765" s="373" t="s">
        <v>79</v>
      </c>
      <c r="AL765" s="373" t="s">
        <v>3729</v>
      </c>
      <c r="AM765" s="373" t="s">
        <v>3723</v>
      </c>
      <c r="AN765" s="373" t="s">
        <v>3729</v>
      </c>
      <c r="AO765" s="373" t="s">
        <v>2542</v>
      </c>
      <c r="AP765" s="376" t="s">
        <v>3686</v>
      </c>
      <c r="AQ765" s="373"/>
    </row>
    <row r="766">
      <c r="A766" s="257" t="s">
        <v>2352</v>
      </c>
      <c r="B766" s="257" t="s">
        <v>2353</v>
      </c>
      <c r="C766" s="257" t="str">
        <f>VLOOKUP(A766,import!A:J,3,0)</f>
        <v>DOĞRU</v>
      </c>
      <c r="D766" s="257" t="s">
        <v>3994</v>
      </c>
      <c r="E766" s="257">
        <f>VLOOKUP(A766,import!A:J,5,0)</f>
        <v>371</v>
      </c>
      <c r="F766" s="257">
        <f>VLOOKUP(A766,import!A:J,6,0)</f>
        <v>17</v>
      </c>
      <c r="G766" s="257">
        <f>VLOOKUP(A766,import!A:J,7,0)</f>
        <v>27</v>
      </c>
      <c r="H766" s="257">
        <f>VLOOKUP(A766,import!A:J,8,0)</f>
        <v>25</v>
      </c>
      <c r="I766" s="257">
        <f>VLOOKUP(A766,import!A:J,9,0)</f>
        <v>52</v>
      </c>
      <c r="J766" s="369">
        <f>VLOOKUP(A766,import!A:J,10,0)</f>
        <v>0.52</v>
      </c>
      <c r="K766" s="257" t="s">
        <v>6196</v>
      </c>
      <c r="L766" s="257">
        <v>5.075600201E9</v>
      </c>
      <c r="M766" s="257" t="s">
        <v>14</v>
      </c>
      <c r="N766" s="257" t="s">
        <v>3733</v>
      </c>
      <c r="O766" s="257" t="s">
        <v>2355</v>
      </c>
      <c r="P766" s="370" t="str">
        <f>VLOOKUP(A766,import!A:P,16,0)</f>
        <v>Geleneksel</v>
      </c>
      <c r="Q766" s="370"/>
      <c r="R766" s="370" t="b">
        <v>1</v>
      </c>
      <c r="S766" s="370" t="b">
        <v>0</v>
      </c>
      <c r="T766" s="301" t="s">
        <v>3679</v>
      </c>
      <c r="U766" s="301" t="s">
        <v>79</v>
      </c>
      <c r="V766" s="301" t="s">
        <v>78</v>
      </c>
      <c r="W766" s="301" t="s">
        <v>6197</v>
      </c>
      <c r="X766" s="371">
        <v>44462.0</v>
      </c>
      <c r="Y766" s="371">
        <v>44463.0</v>
      </c>
      <c r="Z766" s="372"/>
      <c r="AA766" s="373" t="s">
        <v>3682</v>
      </c>
      <c r="AB766" s="374">
        <v>44431.0</v>
      </c>
      <c r="AC766" s="373" t="s">
        <v>3682</v>
      </c>
      <c r="AD766" s="374">
        <v>44447.0</v>
      </c>
      <c r="AE766" s="373"/>
      <c r="AF766" s="374"/>
      <c r="AG766" s="92"/>
      <c r="AH766" s="375"/>
      <c r="AI766" s="375"/>
      <c r="AJ766" s="375"/>
      <c r="AK766" s="373" t="s">
        <v>1953</v>
      </c>
      <c r="AL766" s="373" t="s">
        <v>2542</v>
      </c>
      <c r="AM766" s="375"/>
      <c r="AN766" s="375"/>
      <c r="AO766" s="375"/>
      <c r="AP766" s="376" t="s">
        <v>3683</v>
      </c>
      <c r="AQ766" s="375"/>
    </row>
    <row r="767">
      <c r="A767" s="257" t="s">
        <v>6198</v>
      </c>
      <c r="B767" s="257" t="s">
        <v>6199</v>
      </c>
      <c r="C767" s="257" t="str">
        <f>VLOOKUP(A767,import!A:J,3,0)</f>
        <v>DOĞRU</v>
      </c>
      <c r="D767" s="257" t="s">
        <v>3994</v>
      </c>
      <c r="E767" s="257">
        <f>VLOOKUP(A767,import!A:J,5,0)</f>
        <v>2040</v>
      </c>
      <c r="F767" s="257">
        <f>VLOOKUP(A767,import!A:J,6,0)</f>
        <v>65</v>
      </c>
      <c r="G767" s="257">
        <f>VLOOKUP(A767,import!A:J,7,0)</f>
        <v>52</v>
      </c>
      <c r="H767" s="257">
        <f>VLOOKUP(A767,import!A:J,8,0)</f>
        <v>19</v>
      </c>
      <c r="I767" s="257">
        <f>VLOOKUP(A767,import!A:J,9,0)</f>
        <v>71</v>
      </c>
      <c r="J767" s="369">
        <f>VLOOKUP(A767,import!A:J,10,0)</f>
        <v>0.73</v>
      </c>
      <c r="K767" s="257" t="s">
        <v>6200</v>
      </c>
      <c r="L767" s="257">
        <v>3.224443214E9</v>
      </c>
      <c r="M767" s="257" t="s">
        <v>14</v>
      </c>
      <c r="N767" s="257" t="s">
        <v>3797</v>
      </c>
      <c r="O767" s="257" t="s">
        <v>6201</v>
      </c>
      <c r="P767" s="370" t="str">
        <f>VLOOKUP(A767,import!A:P,16,0)</f>
        <v>Geleneksel</v>
      </c>
      <c r="Q767" s="370"/>
      <c r="R767" s="370" t="b">
        <v>1</v>
      </c>
      <c r="S767" s="370" t="b">
        <v>1</v>
      </c>
      <c r="T767" s="301"/>
      <c r="U767" s="379"/>
      <c r="V767" s="379"/>
      <c r="W767" s="301" t="s">
        <v>6202</v>
      </c>
      <c r="X767" s="381"/>
      <c r="Y767" s="381"/>
      <c r="Z767" s="372"/>
      <c r="AA767" s="373" t="s">
        <v>3682</v>
      </c>
      <c r="AB767" s="374">
        <v>44441.0</v>
      </c>
      <c r="AC767" s="373" t="s">
        <v>3682</v>
      </c>
      <c r="AD767" s="374">
        <v>44453.0</v>
      </c>
      <c r="AE767" s="373" t="s">
        <v>3682</v>
      </c>
      <c r="AF767" s="374">
        <v>44459.0</v>
      </c>
      <c r="AG767" s="92"/>
      <c r="AH767" s="375"/>
      <c r="AI767" s="375"/>
      <c r="AJ767" s="375"/>
      <c r="AK767" s="373" t="s">
        <v>2542</v>
      </c>
      <c r="AL767" s="373" t="s">
        <v>2542</v>
      </c>
      <c r="AM767" s="373" t="s">
        <v>2542</v>
      </c>
      <c r="AN767" s="375"/>
      <c r="AO767" s="375"/>
      <c r="AP767" s="376" t="s">
        <v>3683</v>
      </c>
      <c r="AQ767" s="375"/>
    </row>
    <row r="768">
      <c r="A768" s="257" t="s">
        <v>6203</v>
      </c>
      <c r="B768" s="257" t="s">
        <v>6204</v>
      </c>
      <c r="C768" s="257" t="str">
        <f>VLOOKUP(A768,import!A:J,3,0)</f>
        <v>DOĞRU</v>
      </c>
      <c r="D768" s="257" t="s">
        <v>3994</v>
      </c>
      <c r="E768" s="257">
        <f>VLOOKUP(A768,import!A:J,5,0)</f>
        <v>1140</v>
      </c>
      <c r="F768" s="257">
        <f>VLOOKUP(A768,import!A:J,6,0)</f>
        <v>55</v>
      </c>
      <c r="G768" s="257">
        <f>VLOOKUP(A768,import!A:J,7,0)</f>
        <v>0</v>
      </c>
      <c r="H768" s="257">
        <f>VLOOKUP(A768,import!A:J,8,0)</f>
        <v>16</v>
      </c>
      <c r="I768" s="257">
        <f>VLOOKUP(A768,import!A:J,9,0)</f>
        <v>16</v>
      </c>
      <c r="J768" s="369">
        <f>VLOOKUP(A768,import!A:J,10,0)</f>
        <v>0</v>
      </c>
      <c r="K768" s="257" t="s">
        <v>6205</v>
      </c>
      <c r="L768" s="257">
        <v>3.22234809E9</v>
      </c>
      <c r="M768" s="257" t="s">
        <v>14</v>
      </c>
      <c r="N768" s="257" t="s">
        <v>3767</v>
      </c>
      <c r="O768" s="257" t="s">
        <v>6206</v>
      </c>
      <c r="P768" s="370" t="str">
        <f>VLOOKUP(A768,import!A:P,16,0)</f>
        <v>Geleneksel</v>
      </c>
      <c r="Q768" s="370"/>
      <c r="R768" s="370" t="b">
        <v>1</v>
      </c>
      <c r="S768" s="370" t="b">
        <v>0</v>
      </c>
      <c r="T768" s="301" t="s">
        <v>3770</v>
      </c>
      <c r="U768" s="379"/>
      <c r="V768" s="379"/>
      <c r="W768" s="301" t="s">
        <v>6207</v>
      </c>
      <c r="X768" s="381"/>
      <c r="Y768" s="381"/>
      <c r="Z768" s="372"/>
      <c r="AA768" s="373" t="s">
        <v>3682</v>
      </c>
      <c r="AB768" s="374">
        <v>44356.0</v>
      </c>
      <c r="AC768" s="373" t="s">
        <v>3695</v>
      </c>
      <c r="AD768" s="374">
        <v>44371.0</v>
      </c>
      <c r="AE768" s="373" t="s">
        <v>3695</v>
      </c>
      <c r="AF768" s="374">
        <v>44382.0</v>
      </c>
      <c r="AG768" s="373" t="s">
        <v>3695</v>
      </c>
      <c r="AH768" s="374">
        <v>44447.0</v>
      </c>
      <c r="AI768" s="373" t="s">
        <v>3682</v>
      </c>
      <c r="AJ768" s="374">
        <v>44460.0</v>
      </c>
      <c r="AK768" s="373" t="s">
        <v>2706</v>
      </c>
      <c r="AL768" s="373" t="s">
        <v>1014</v>
      </c>
      <c r="AM768" s="373" t="s">
        <v>79</v>
      </c>
      <c r="AN768" s="373" t="s">
        <v>2542</v>
      </c>
      <c r="AO768" s="373" t="s">
        <v>2542</v>
      </c>
      <c r="AP768" s="376" t="s">
        <v>3683</v>
      </c>
      <c r="AQ768" s="373"/>
    </row>
    <row r="769">
      <c r="A769" s="257" t="s">
        <v>6208</v>
      </c>
      <c r="B769" s="257" t="s">
        <v>6209</v>
      </c>
      <c r="C769" s="257" t="str">
        <f>VLOOKUP(A769,import!A:J,3,0)</f>
        <v>DOĞRU</v>
      </c>
      <c r="D769" s="257" t="s">
        <v>3994</v>
      </c>
      <c r="E769" s="257">
        <f>VLOOKUP(A769,import!A:J,5,0)</f>
        <v>1377</v>
      </c>
      <c r="F769" s="257">
        <f>VLOOKUP(A769,import!A:J,6,0)</f>
        <v>102</v>
      </c>
      <c r="G769" s="257">
        <f>VLOOKUP(A769,import!A:J,7,0)</f>
        <v>0</v>
      </c>
      <c r="H769" s="257">
        <f>VLOOKUP(A769,import!A:J,8,0)</f>
        <v>30</v>
      </c>
      <c r="I769" s="257">
        <f>VLOOKUP(A769,import!A:J,9,0)</f>
        <v>30</v>
      </c>
      <c r="J769" s="369">
        <f>VLOOKUP(A769,import!A:J,10,0)</f>
        <v>0</v>
      </c>
      <c r="K769" s="257" t="s">
        <v>6210</v>
      </c>
      <c r="L769" s="257">
        <v>5.3983875E9</v>
      </c>
      <c r="M769" s="257" t="s">
        <v>14</v>
      </c>
      <c r="N769" s="257" t="s">
        <v>3767</v>
      </c>
      <c r="O769" s="257" t="s">
        <v>6211</v>
      </c>
      <c r="P769" s="370" t="str">
        <f>VLOOKUP(A769,import!A:P,16,0)</f>
        <v>Geleneksel</v>
      </c>
      <c r="Q769" s="370"/>
      <c r="R769" s="370" t="b">
        <v>1</v>
      </c>
      <c r="S769" s="370" t="b">
        <v>0</v>
      </c>
      <c r="T769" s="301" t="s">
        <v>3770</v>
      </c>
      <c r="U769" s="379"/>
      <c r="V769" s="379"/>
      <c r="W769" s="301" t="s">
        <v>6212</v>
      </c>
      <c r="X769" s="381"/>
      <c r="Y769" s="381"/>
      <c r="Z769" s="372"/>
      <c r="AA769" s="373" t="s">
        <v>3682</v>
      </c>
      <c r="AB769" s="374">
        <v>44473.0</v>
      </c>
      <c r="AC769" s="373" t="s">
        <v>3682</v>
      </c>
      <c r="AD769" s="374">
        <v>44495.0</v>
      </c>
      <c r="AE769" s="373" t="s">
        <v>3682</v>
      </c>
      <c r="AF769" s="374">
        <v>44505.0</v>
      </c>
      <c r="AG769" s="373" t="s">
        <v>3682</v>
      </c>
      <c r="AH769" s="374">
        <v>44523.0</v>
      </c>
      <c r="AI769" s="375"/>
      <c r="AJ769" s="375"/>
      <c r="AK769" s="373" t="s">
        <v>2542</v>
      </c>
      <c r="AL769" s="373" t="s">
        <v>2542</v>
      </c>
      <c r="AM769" s="373" t="s">
        <v>2542</v>
      </c>
      <c r="AN769" s="373" t="s">
        <v>2941</v>
      </c>
      <c r="AO769" s="375"/>
      <c r="AP769" s="376" t="s">
        <v>3683</v>
      </c>
      <c r="AQ769" s="375"/>
    </row>
    <row r="770">
      <c r="A770" s="257" t="s">
        <v>2009</v>
      </c>
      <c r="B770" s="257" t="s">
        <v>2010</v>
      </c>
      <c r="C770" s="257" t="str">
        <f>VLOOKUP(A770,import!A:J,3,0)</f>
        <v>DOĞRU</v>
      </c>
      <c r="D770" s="257" t="s">
        <v>3994</v>
      </c>
      <c r="E770" s="257">
        <f>VLOOKUP(A770,import!A:J,5,0)</f>
        <v>2132</v>
      </c>
      <c r="F770" s="257">
        <f>VLOOKUP(A770,import!A:J,6,0)</f>
        <v>29</v>
      </c>
      <c r="G770" s="257">
        <f>VLOOKUP(A770,import!A:J,7,0)</f>
        <v>47</v>
      </c>
      <c r="H770" s="257">
        <f>VLOOKUP(A770,import!A:J,8,0)</f>
        <v>45</v>
      </c>
      <c r="I770" s="257">
        <f>VLOOKUP(A770,import!A:J,9,0)</f>
        <v>92</v>
      </c>
      <c r="J770" s="369">
        <f>VLOOKUP(A770,import!A:J,10,0)</f>
        <v>0.51</v>
      </c>
      <c r="K770" s="257" t="s">
        <v>6213</v>
      </c>
      <c r="L770" s="257">
        <v>3.229994929E9</v>
      </c>
      <c r="M770" s="257" t="s">
        <v>286</v>
      </c>
      <c r="N770" s="257" t="s">
        <v>3855</v>
      </c>
      <c r="O770" s="257" t="s">
        <v>2012</v>
      </c>
      <c r="P770" s="370" t="str">
        <f>VLOOKUP(A770,import!A:P,16,0)</f>
        <v>Geleneksel</v>
      </c>
      <c r="Q770" s="370"/>
      <c r="R770" s="370" t="b">
        <v>1</v>
      </c>
      <c r="S770" s="370" t="b">
        <v>0</v>
      </c>
      <c r="T770" s="389" t="s">
        <v>3679</v>
      </c>
      <c r="U770" s="389" t="s">
        <v>1953</v>
      </c>
      <c r="V770" s="389" t="s">
        <v>78</v>
      </c>
      <c r="W770" s="389" t="s">
        <v>6214</v>
      </c>
      <c r="X770" s="390">
        <v>44427.0</v>
      </c>
      <c r="Y770" s="390">
        <v>44431.0</v>
      </c>
      <c r="Z770" s="391"/>
      <c r="AA770" s="373" t="s">
        <v>3682</v>
      </c>
      <c r="AB770" s="374">
        <v>44389.0</v>
      </c>
      <c r="AC770" s="373" t="s">
        <v>3448</v>
      </c>
      <c r="AD770" s="374">
        <v>44414.0</v>
      </c>
      <c r="AE770" s="373" t="s">
        <v>3682</v>
      </c>
      <c r="AF770" s="374">
        <v>44427.0</v>
      </c>
      <c r="AG770" s="92"/>
      <c r="AH770" s="375"/>
      <c r="AI770" s="375"/>
      <c r="AJ770" s="375"/>
      <c r="AK770" s="373" t="s">
        <v>4089</v>
      </c>
      <c r="AL770" s="373" t="s">
        <v>3729</v>
      </c>
      <c r="AM770" s="373" t="s">
        <v>1953</v>
      </c>
      <c r="AN770" s="375"/>
      <c r="AO770" s="375"/>
      <c r="AP770" s="376" t="s">
        <v>3686</v>
      </c>
      <c r="AQ770" s="375"/>
    </row>
    <row r="771">
      <c r="A771" s="376" t="s">
        <v>6215</v>
      </c>
      <c r="B771" s="376" t="s">
        <v>6216</v>
      </c>
      <c r="C771" s="257" t="str">
        <f>VLOOKUP(A771,import!A:J,3,0)</f>
        <v>DOĞRU</v>
      </c>
      <c r="D771" s="376" t="s">
        <v>3994</v>
      </c>
      <c r="E771" s="257">
        <f>VLOOKUP(A771,import!A:J,5,0)</f>
        <v>4</v>
      </c>
      <c r="F771" s="257">
        <f>VLOOKUP(A771,import!A:J,6,0)</f>
        <v>4</v>
      </c>
      <c r="G771" s="257">
        <f>VLOOKUP(A771,import!A:J,7,0)</f>
        <v>0</v>
      </c>
      <c r="H771" s="257">
        <f>VLOOKUP(A771,import!A:J,8,0)</f>
        <v>32</v>
      </c>
      <c r="I771" s="257">
        <f>VLOOKUP(A771,import!A:J,9,0)</f>
        <v>32</v>
      </c>
      <c r="J771" s="369">
        <f>VLOOKUP(A771,import!A:J,10,0)</f>
        <v>0</v>
      </c>
      <c r="K771" s="376" t="s">
        <v>6217</v>
      </c>
      <c r="L771" s="376">
        <v>5.354516257E9</v>
      </c>
      <c r="M771" s="376" t="s">
        <v>14</v>
      </c>
      <c r="N771" s="376" t="s">
        <v>3797</v>
      </c>
      <c r="O771" s="376" t="s">
        <v>6218</v>
      </c>
      <c r="P771" s="370" t="str">
        <f>VLOOKUP(A771,import!A:P,16,0)</f>
        <v>Geleneksel</v>
      </c>
      <c r="Q771" s="370"/>
      <c r="R771" s="370" t="b">
        <v>0</v>
      </c>
      <c r="S771" s="370" t="b">
        <v>0</v>
      </c>
      <c r="T771" s="301"/>
      <c r="U771" s="301"/>
      <c r="V771" s="301"/>
      <c r="W771" s="301"/>
      <c r="X771" s="371"/>
      <c r="Y771" s="371"/>
      <c r="Z771" s="372"/>
      <c r="AA771" s="373"/>
      <c r="AB771" s="374"/>
      <c r="AC771" s="373"/>
      <c r="AD771" s="374"/>
      <c r="AE771" s="373"/>
      <c r="AF771" s="374"/>
      <c r="AG771" s="373"/>
      <c r="AH771" s="374"/>
      <c r="AI771" s="373"/>
      <c r="AJ771" s="374"/>
      <c r="AK771" s="373"/>
      <c r="AL771" s="373"/>
      <c r="AM771" s="373"/>
      <c r="AN771" s="373"/>
      <c r="AO771" s="373"/>
      <c r="AP771" s="376"/>
      <c r="AQ771" s="373"/>
    </row>
    <row r="772">
      <c r="A772" s="257" t="s">
        <v>2043</v>
      </c>
      <c r="B772" s="257" t="s">
        <v>2044</v>
      </c>
      <c r="C772" s="257" t="str">
        <f>VLOOKUP(A772,import!A:J,3,0)</f>
        <v>DOĞRU</v>
      </c>
      <c r="D772" s="257" t="s">
        <v>3994</v>
      </c>
      <c r="E772" s="257">
        <f>VLOOKUP(A772,import!A:J,5,0)</f>
        <v>1301</v>
      </c>
      <c r="F772" s="257">
        <f>VLOOKUP(A772,import!A:J,6,0)</f>
        <v>34</v>
      </c>
      <c r="G772" s="257">
        <f>VLOOKUP(A772,import!A:J,7,0)</f>
        <v>13</v>
      </c>
      <c r="H772" s="257">
        <f>VLOOKUP(A772,import!A:J,8,0)</f>
        <v>22</v>
      </c>
      <c r="I772" s="257">
        <f>VLOOKUP(A772,import!A:J,9,0)</f>
        <v>35</v>
      </c>
      <c r="J772" s="369">
        <f>VLOOKUP(A772,import!A:J,10,0)</f>
        <v>0.37</v>
      </c>
      <c r="K772" s="257" t="s">
        <v>6219</v>
      </c>
      <c r="L772" s="257">
        <v>5.449110103E9</v>
      </c>
      <c r="M772" s="257" t="s">
        <v>286</v>
      </c>
      <c r="N772" s="257" t="s">
        <v>3806</v>
      </c>
      <c r="O772" s="257" t="s">
        <v>2046</v>
      </c>
      <c r="P772" s="370" t="str">
        <f>VLOOKUP(A772,import!A:P,16,0)</f>
        <v>Geleneksel</v>
      </c>
      <c r="Q772" s="370"/>
      <c r="R772" s="370" t="b">
        <v>1</v>
      </c>
      <c r="S772" s="370" t="b">
        <v>0</v>
      </c>
      <c r="T772" s="301" t="s">
        <v>3679</v>
      </c>
      <c r="U772" s="301" t="s">
        <v>3723</v>
      </c>
      <c r="V772" s="301" t="s">
        <v>78</v>
      </c>
      <c r="W772" s="301" t="s">
        <v>6220</v>
      </c>
      <c r="X772" s="381"/>
      <c r="Y772" s="381"/>
      <c r="Z772" s="372"/>
      <c r="AA772" s="373" t="s">
        <v>3682</v>
      </c>
      <c r="AB772" s="374">
        <v>44392.0</v>
      </c>
      <c r="AC772" s="373" t="s">
        <v>3448</v>
      </c>
      <c r="AD772" s="374">
        <v>44427.0</v>
      </c>
      <c r="AE772" s="373" t="s">
        <v>3682</v>
      </c>
      <c r="AF772" s="374">
        <v>44427.0</v>
      </c>
      <c r="AG772" s="92"/>
      <c r="AH772" s="375"/>
      <c r="AI772" s="375"/>
      <c r="AJ772" s="375"/>
      <c r="AK772" s="373" t="s">
        <v>4089</v>
      </c>
      <c r="AL772" s="373" t="s">
        <v>3723</v>
      </c>
      <c r="AM772" s="373" t="s">
        <v>3723</v>
      </c>
      <c r="AN772" s="375"/>
      <c r="AO772" s="375"/>
      <c r="AP772" s="376" t="s">
        <v>3686</v>
      </c>
      <c r="AQ772" s="375"/>
    </row>
    <row r="773">
      <c r="A773" s="257" t="s">
        <v>6221</v>
      </c>
      <c r="B773" s="257" t="s">
        <v>6222</v>
      </c>
      <c r="C773" s="257" t="str">
        <f>VLOOKUP(A773,import!A:J,3,0)</f>
        <v>DOĞRU</v>
      </c>
      <c r="D773" s="257" t="s">
        <v>3994</v>
      </c>
      <c r="E773" s="257">
        <f>VLOOKUP(A773,import!A:J,5,0)</f>
        <v>784</v>
      </c>
      <c r="F773" s="257">
        <f>VLOOKUP(A773,import!A:J,6,0)</f>
        <v>133</v>
      </c>
      <c r="G773" s="257">
        <f>VLOOKUP(A773,import!A:J,7,0)</f>
        <v>0</v>
      </c>
      <c r="H773" s="257">
        <f>VLOOKUP(A773,import!A:J,8,0)</f>
        <v>49</v>
      </c>
      <c r="I773" s="257">
        <f>VLOOKUP(A773,import!A:J,9,0)</f>
        <v>49</v>
      </c>
      <c r="J773" s="369">
        <f>VLOOKUP(A773,import!A:J,10,0)</f>
        <v>0</v>
      </c>
      <c r="K773" s="257" t="s">
        <v>6223</v>
      </c>
      <c r="L773" s="257">
        <v>3.222270094E9</v>
      </c>
      <c r="M773" s="257" t="s">
        <v>14</v>
      </c>
      <c r="N773" s="257" t="s">
        <v>3678</v>
      </c>
      <c r="O773" s="257" t="s">
        <v>6224</v>
      </c>
      <c r="P773" s="370" t="str">
        <f>VLOOKUP(A773,import!A:P,16,0)</f>
        <v>Geleneksel</v>
      </c>
      <c r="Q773" s="370"/>
      <c r="R773" s="370" t="b">
        <v>0</v>
      </c>
      <c r="S773" s="370" t="b">
        <v>0</v>
      </c>
      <c r="T773" s="301"/>
      <c r="U773" s="379"/>
      <c r="V773" s="379"/>
      <c r="W773" s="301" t="s">
        <v>6225</v>
      </c>
      <c r="X773" s="381"/>
      <c r="Y773" s="381"/>
      <c r="Z773" s="372"/>
      <c r="AA773" s="373"/>
      <c r="AB773" s="374"/>
      <c r="AC773" s="373"/>
      <c r="AD773" s="374"/>
      <c r="AE773" s="373"/>
      <c r="AF773" s="374"/>
      <c r="AG773" s="373"/>
      <c r="AH773" s="374"/>
      <c r="AI773" s="375"/>
      <c r="AJ773" s="375"/>
      <c r="AK773" s="373"/>
      <c r="AL773" s="375"/>
      <c r="AM773" s="375"/>
      <c r="AN773" s="373"/>
      <c r="AO773" s="375"/>
      <c r="AP773" s="376"/>
      <c r="AQ773" s="375"/>
    </row>
    <row r="774">
      <c r="A774" s="257" t="s">
        <v>2565</v>
      </c>
      <c r="B774" s="257" t="s">
        <v>2566</v>
      </c>
      <c r="C774" s="257" t="str">
        <f>VLOOKUP(A774,import!A:J,3,0)</f>
        <v>DOĞRU</v>
      </c>
      <c r="D774" s="257" t="s">
        <v>3994</v>
      </c>
      <c r="E774" s="257">
        <f>VLOOKUP(A774,import!A:J,5,0)</f>
        <v>1409</v>
      </c>
      <c r="F774" s="257">
        <f>VLOOKUP(A774,import!A:J,6,0)</f>
        <v>64</v>
      </c>
      <c r="G774" s="257">
        <f>VLOOKUP(A774,import!A:J,7,0)</f>
        <v>0</v>
      </c>
      <c r="H774" s="257">
        <f>VLOOKUP(A774,import!A:J,8,0)</f>
        <v>11</v>
      </c>
      <c r="I774" s="257">
        <f>VLOOKUP(A774,import!A:J,9,0)</f>
        <v>11</v>
      </c>
      <c r="J774" s="369">
        <f>VLOOKUP(A774,import!A:J,10,0)</f>
        <v>0</v>
      </c>
      <c r="K774" s="257" t="s">
        <v>6226</v>
      </c>
      <c r="L774" s="257">
        <v>5.528250001E9</v>
      </c>
      <c r="M774" s="257" t="s">
        <v>14</v>
      </c>
      <c r="N774" s="257" t="s">
        <v>3733</v>
      </c>
      <c r="O774" s="257" t="s">
        <v>2568</v>
      </c>
      <c r="P774" s="370" t="str">
        <f>VLOOKUP(A774,import!A:P,16,0)</f>
        <v>Geleneksel</v>
      </c>
      <c r="Q774" s="370"/>
      <c r="R774" s="370" t="b">
        <v>1</v>
      </c>
      <c r="S774" s="370" t="b">
        <v>0</v>
      </c>
      <c r="T774" s="301" t="s">
        <v>3787</v>
      </c>
      <c r="U774" s="301" t="s">
        <v>79</v>
      </c>
      <c r="V774" s="301" t="s">
        <v>78</v>
      </c>
      <c r="W774" s="301" t="s">
        <v>6227</v>
      </c>
      <c r="X774" s="371">
        <v>44457.0</v>
      </c>
      <c r="Y774" s="371">
        <v>44461.0</v>
      </c>
      <c r="Z774" s="372"/>
      <c r="AA774" s="373" t="s">
        <v>3681</v>
      </c>
      <c r="AB774" s="374">
        <v>44348.0</v>
      </c>
      <c r="AC774" s="373" t="s">
        <v>3682</v>
      </c>
      <c r="AD774" s="374">
        <v>44362.0</v>
      </c>
      <c r="AE774" s="373" t="s">
        <v>3682</v>
      </c>
      <c r="AF774" s="374">
        <v>44440.0</v>
      </c>
      <c r="AG774" s="373" t="s">
        <v>3448</v>
      </c>
      <c r="AH774" s="374">
        <v>44453.0</v>
      </c>
      <c r="AI774" s="373" t="s">
        <v>3448</v>
      </c>
      <c r="AJ774" s="374">
        <v>44505.0</v>
      </c>
      <c r="AK774" s="373" t="s">
        <v>79</v>
      </c>
      <c r="AL774" s="373" t="s">
        <v>2706</v>
      </c>
      <c r="AM774" s="373" t="s">
        <v>2542</v>
      </c>
      <c r="AN774" s="373" t="s">
        <v>2542</v>
      </c>
      <c r="AO774" s="373" t="s">
        <v>2542</v>
      </c>
      <c r="AP774" s="376" t="s">
        <v>3686</v>
      </c>
      <c r="AQ774" s="373"/>
    </row>
    <row r="775">
      <c r="A775" s="257" t="s">
        <v>161</v>
      </c>
      <c r="B775" s="257" t="s">
        <v>162</v>
      </c>
      <c r="C775" s="257" t="str">
        <f>VLOOKUP(A775,import!A:J,3,0)</f>
        <v>DOĞRU</v>
      </c>
      <c r="D775" s="257" t="s">
        <v>3994</v>
      </c>
      <c r="E775" s="257">
        <f>VLOOKUP(A775,import!A:J,5,0)</f>
        <v>5101</v>
      </c>
      <c r="F775" s="257">
        <f>VLOOKUP(A775,import!A:J,6,0)</f>
        <v>208</v>
      </c>
      <c r="G775" s="257">
        <f>VLOOKUP(A775,import!A:J,7,0)</f>
        <v>0</v>
      </c>
      <c r="H775" s="257">
        <f>VLOOKUP(A775,import!A:J,8,0)</f>
        <v>162</v>
      </c>
      <c r="I775" s="257">
        <f>VLOOKUP(A775,import!A:J,9,0)</f>
        <v>162</v>
      </c>
      <c r="J775" s="369">
        <f>VLOOKUP(A775,import!A:J,10,0)</f>
        <v>0</v>
      </c>
      <c r="K775" s="257" t="s">
        <v>6228</v>
      </c>
      <c r="L775" s="257">
        <v>3.229994049E9</v>
      </c>
      <c r="M775" s="257" t="s">
        <v>14</v>
      </c>
      <c r="N775" s="257" t="s">
        <v>3767</v>
      </c>
      <c r="O775" s="257" t="s">
        <v>164</v>
      </c>
      <c r="P775" s="370" t="str">
        <f>VLOOKUP(A775,import!A:P,16,0)</f>
        <v>Geleneksel</v>
      </c>
      <c r="Q775" s="370"/>
      <c r="R775" s="370" t="b">
        <v>1</v>
      </c>
      <c r="S775" s="370" t="b">
        <v>1</v>
      </c>
      <c r="T775" s="301"/>
      <c r="U775" s="301" t="s">
        <v>145</v>
      </c>
      <c r="V775" s="301"/>
      <c r="W775" s="301" t="s">
        <v>6229</v>
      </c>
      <c r="X775" s="371"/>
      <c r="Y775" s="371"/>
      <c r="Z775" s="377"/>
      <c r="AA775" s="373" t="s">
        <v>3681</v>
      </c>
      <c r="AB775" s="374">
        <v>44348.0</v>
      </c>
      <c r="AC775" s="373" t="s">
        <v>3681</v>
      </c>
      <c r="AD775" s="374">
        <v>44349.0</v>
      </c>
      <c r="AE775" s="373" t="s">
        <v>3448</v>
      </c>
      <c r="AF775" s="374">
        <v>44356.0</v>
      </c>
      <c r="AG775" s="373" t="s">
        <v>3695</v>
      </c>
      <c r="AH775" s="374">
        <v>44371.0</v>
      </c>
      <c r="AI775" s="373" t="s">
        <v>3682</v>
      </c>
      <c r="AJ775" s="374">
        <v>44453.0</v>
      </c>
      <c r="AK775" s="373" t="s">
        <v>79</v>
      </c>
      <c r="AL775" s="373" t="s">
        <v>2706</v>
      </c>
      <c r="AM775" s="373" t="s">
        <v>2706</v>
      </c>
      <c r="AN775" s="373" t="s">
        <v>1014</v>
      </c>
      <c r="AO775" s="373" t="s">
        <v>2542</v>
      </c>
      <c r="AP775" s="376" t="s">
        <v>3683</v>
      </c>
      <c r="AQ775" s="373"/>
    </row>
    <row r="776">
      <c r="A776" s="257" t="s">
        <v>6230</v>
      </c>
      <c r="B776" s="257" t="s">
        <v>6231</v>
      </c>
      <c r="C776" s="257" t="str">
        <f>VLOOKUP(A776,import!A:J,3,0)</f>
        <v>DOĞRU</v>
      </c>
      <c r="D776" s="257" t="s">
        <v>3994</v>
      </c>
      <c r="E776" s="257">
        <f>VLOOKUP(A776,import!A:J,5,0)</f>
        <v>1418</v>
      </c>
      <c r="F776" s="257">
        <f>VLOOKUP(A776,import!A:J,6,0)</f>
        <v>57</v>
      </c>
      <c r="G776" s="257">
        <f>VLOOKUP(A776,import!A:J,7,0)</f>
        <v>0</v>
      </c>
      <c r="H776" s="257">
        <f>VLOOKUP(A776,import!A:J,8,0)</f>
        <v>55</v>
      </c>
      <c r="I776" s="257">
        <f>VLOOKUP(A776,import!A:J,9,0)</f>
        <v>55</v>
      </c>
      <c r="J776" s="369">
        <f>VLOOKUP(A776,import!A:J,10,0)</f>
        <v>0</v>
      </c>
      <c r="K776" s="257" t="s">
        <v>6232</v>
      </c>
      <c r="L776" s="257">
        <v>3.229991445E9</v>
      </c>
      <c r="M776" s="257" t="s">
        <v>286</v>
      </c>
      <c r="N776" s="257" t="s">
        <v>3855</v>
      </c>
      <c r="O776" s="257" t="s">
        <v>4002</v>
      </c>
      <c r="P776" s="370" t="str">
        <f>VLOOKUP(A776,import!A:P,16,0)</f>
        <v>Geleneksel</v>
      </c>
      <c r="Q776" s="370"/>
      <c r="R776" s="370" t="b">
        <v>1</v>
      </c>
      <c r="S776" s="370" t="b">
        <v>1</v>
      </c>
      <c r="T776" s="301"/>
      <c r="U776" s="379"/>
      <c r="V776" s="379"/>
      <c r="W776" s="301" t="s">
        <v>6233</v>
      </c>
      <c r="X776" s="381"/>
      <c r="Y776" s="381"/>
      <c r="Z776" s="372"/>
      <c r="AA776" s="373" t="s">
        <v>3682</v>
      </c>
      <c r="AB776" s="374">
        <v>44390.0</v>
      </c>
      <c r="AC776" s="373" t="s">
        <v>3682</v>
      </c>
      <c r="AD776" s="374">
        <v>44454.0</v>
      </c>
      <c r="AE776" s="373" t="s">
        <v>3682</v>
      </c>
      <c r="AF776" s="374">
        <v>44539.0</v>
      </c>
      <c r="AG776" s="92"/>
      <c r="AH776" s="375"/>
      <c r="AI776" s="375"/>
      <c r="AJ776" s="375"/>
      <c r="AK776" s="373" t="s">
        <v>3719</v>
      </c>
      <c r="AL776" s="373" t="s">
        <v>2542</v>
      </c>
      <c r="AM776" s="373" t="s">
        <v>3213</v>
      </c>
      <c r="AN776" s="375"/>
      <c r="AO776" s="375"/>
      <c r="AP776" s="376" t="s">
        <v>3686</v>
      </c>
      <c r="AQ776" s="375"/>
    </row>
    <row r="777">
      <c r="A777" s="376" t="s">
        <v>6234</v>
      </c>
      <c r="B777" s="376" t="s">
        <v>313</v>
      </c>
      <c r="C777" s="257" t="str">
        <f>VLOOKUP(A777,import!A:J,3,0)</f>
        <v>DOĞRU</v>
      </c>
      <c r="D777" s="376" t="s">
        <v>3994</v>
      </c>
      <c r="E777" s="257" t="str">
        <f>VLOOKUP(A777,import!A:J,5,0)</f>
        <v/>
      </c>
      <c r="F777" s="257" t="str">
        <f>VLOOKUP(A777,import!A:J,6,0)</f>
        <v/>
      </c>
      <c r="G777" s="257">
        <f>VLOOKUP(A777,import!A:J,7,0)</f>
        <v>0</v>
      </c>
      <c r="H777" s="257">
        <f>VLOOKUP(A777,import!A:J,8,0)</f>
        <v>88</v>
      </c>
      <c r="I777" s="257">
        <f>VLOOKUP(A777,import!A:J,9,0)</f>
        <v>88</v>
      </c>
      <c r="J777" s="369">
        <f>VLOOKUP(A777,import!A:J,10,0)</f>
        <v>0</v>
      </c>
      <c r="K777" s="376" t="s">
        <v>6235</v>
      </c>
      <c r="L777" s="376">
        <v>5.525767874E9</v>
      </c>
      <c r="M777" s="376" t="s">
        <v>14</v>
      </c>
      <c r="N777" s="376" t="s">
        <v>3733</v>
      </c>
      <c r="O777" s="376" t="s">
        <v>315</v>
      </c>
      <c r="P777" s="370" t="str">
        <f>VLOOKUP(A777,import!A:P,16,0)</f>
        <v>Geleneksel</v>
      </c>
      <c r="Q777" s="370"/>
      <c r="R777" s="370" t="b">
        <v>0</v>
      </c>
      <c r="S777" s="370" t="b">
        <v>0</v>
      </c>
      <c r="T777" s="301"/>
      <c r="U777" s="301"/>
      <c r="V777" s="301"/>
      <c r="W777" s="301"/>
      <c r="X777" s="371"/>
      <c r="Y777" s="371"/>
      <c r="Z777" s="372"/>
      <c r="AA777" s="373"/>
      <c r="AB777" s="374"/>
      <c r="AC777" s="373"/>
      <c r="AD777" s="374"/>
      <c r="AE777" s="373"/>
      <c r="AF777" s="374"/>
      <c r="AG777" s="373"/>
      <c r="AH777" s="374"/>
      <c r="AI777" s="373"/>
      <c r="AJ777" s="374"/>
      <c r="AK777" s="373"/>
      <c r="AL777" s="373"/>
      <c r="AM777" s="373"/>
      <c r="AN777" s="373"/>
      <c r="AO777" s="373"/>
      <c r="AP777" s="376"/>
      <c r="AQ777" s="373"/>
    </row>
    <row r="778">
      <c r="A778" s="257" t="s">
        <v>6236</v>
      </c>
      <c r="B778" s="257" t="s">
        <v>6237</v>
      </c>
      <c r="C778" s="257" t="str">
        <f>VLOOKUP(A778,import!A:J,3,0)</f>
        <v>DOĞRU</v>
      </c>
      <c r="D778" s="257" t="s">
        <v>3994</v>
      </c>
      <c r="E778" s="257">
        <f>VLOOKUP(A778,import!A:J,5,0)</f>
        <v>51</v>
      </c>
      <c r="F778" s="257" t="str">
        <f>VLOOKUP(A778,import!A:J,6,0)</f>
        <v/>
      </c>
      <c r="G778" s="257">
        <f>VLOOKUP(A778,import!A:J,7,0)</f>
        <v>0</v>
      </c>
      <c r="H778" s="257">
        <f>VLOOKUP(A778,import!A:J,8,0)</f>
        <v>28</v>
      </c>
      <c r="I778" s="257">
        <f>VLOOKUP(A778,import!A:J,9,0)</f>
        <v>28</v>
      </c>
      <c r="J778" s="369">
        <f>VLOOKUP(A778,import!A:J,10,0)</f>
        <v>0</v>
      </c>
      <c r="K778" s="257" t="s">
        <v>6238</v>
      </c>
      <c r="L778" s="257">
        <v>5.376779148E9</v>
      </c>
      <c r="M778" s="257" t="s">
        <v>286</v>
      </c>
      <c r="N778" s="257" t="s">
        <v>3806</v>
      </c>
      <c r="O778" s="257" t="s">
        <v>6239</v>
      </c>
      <c r="P778" s="370" t="str">
        <f>VLOOKUP(A778,import!A:P,16,0)</f>
        <v>Geleneksel</v>
      </c>
      <c r="Q778" s="370"/>
      <c r="R778" s="370" t="b">
        <v>1</v>
      </c>
      <c r="S778" s="370" t="b">
        <v>0</v>
      </c>
      <c r="T778" s="301" t="s">
        <v>3770</v>
      </c>
      <c r="U778" s="379"/>
      <c r="V778" s="379"/>
      <c r="W778" s="301" t="s">
        <v>6240</v>
      </c>
      <c r="X778" s="381"/>
      <c r="Y778" s="381"/>
      <c r="Z778" s="372"/>
      <c r="AA778" s="373" t="s">
        <v>3682</v>
      </c>
      <c r="AB778" s="374">
        <v>44424.0</v>
      </c>
      <c r="AC778" s="373" t="s">
        <v>3448</v>
      </c>
      <c r="AD778" s="374">
        <v>44452.0</v>
      </c>
      <c r="AE778" s="373" t="s">
        <v>3448</v>
      </c>
      <c r="AF778" s="374">
        <v>44453.0</v>
      </c>
      <c r="AG778" s="373" t="s">
        <v>3682</v>
      </c>
      <c r="AH778" s="374">
        <v>44502.0</v>
      </c>
      <c r="AI778" s="373" t="s">
        <v>3682</v>
      </c>
      <c r="AJ778" s="374">
        <v>44502.0</v>
      </c>
      <c r="AK778" s="373" t="s">
        <v>3729</v>
      </c>
      <c r="AL778" s="373" t="s">
        <v>2542</v>
      </c>
      <c r="AM778" s="373" t="s">
        <v>2542</v>
      </c>
      <c r="AN778" s="373" t="s">
        <v>2542</v>
      </c>
      <c r="AO778" s="373" t="s">
        <v>2542</v>
      </c>
      <c r="AP778" s="376" t="s">
        <v>3686</v>
      </c>
      <c r="AQ778" s="373"/>
    </row>
    <row r="779">
      <c r="A779" s="257" t="s">
        <v>246</v>
      </c>
      <c r="B779" s="257" t="s">
        <v>247</v>
      </c>
      <c r="C779" s="257" t="str">
        <f>VLOOKUP(A779,import!A:J,3,0)</f>
        <v>DOĞRU</v>
      </c>
      <c r="D779" s="257" t="s">
        <v>3994</v>
      </c>
      <c r="E779" s="257">
        <f>VLOOKUP(A779,import!A:J,5,0)</f>
        <v>258</v>
      </c>
      <c r="F779" s="257">
        <f>VLOOKUP(A779,import!A:J,6,0)</f>
        <v>3</v>
      </c>
      <c r="G779" s="257">
        <f>VLOOKUP(A779,import!A:J,7,0)</f>
        <v>8</v>
      </c>
      <c r="H779" s="257">
        <f>VLOOKUP(A779,import!A:J,8,0)</f>
        <v>39</v>
      </c>
      <c r="I779" s="257">
        <f>VLOOKUP(A779,import!A:J,9,0)</f>
        <v>47</v>
      </c>
      <c r="J779" s="369">
        <f>VLOOKUP(A779,import!A:J,10,0)</f>
        <v>0.17</v>
      </c>
      <c r="K779" s="257" t="s">
        <v>6241</v>
      </c>
      <c r="L779" s="257">
        <v>3.229990585E9</v>
      </c>
      <c r="M779" s="257" t="s">
        <v>14</v>
      </c>
      <c r="N779" s="257" t="s">
        <v>3797</v>
      </c>
      <c r="O779" s="257" t="s">
        <v>250</v>
      </c>
      <c r="P779" s="370" t="str">
        <f>VLOOKUP(A779,import!A:P,16,0)</f>
        <v>Geleneksel</v>
      </c>
      <c r="Q779" s="370"/>
      <c r="R779" s="370" t="b">
        <v>1</v>
      </c>
      <c r="S779" s="370" t="b">
        <v>0</v>
      </c>
      <c r="T779" s="300" t="s">
        <v>3735</v>
      </c>
      <c r="U779" s="301"/>
      <c r="V779" s="301"/>
      <c r="W779" s="301" t="s">
        <v>6242</v>
      </c>
      <c r="X779" s="371"/>
      <c r="Y779" s="371"/>
      <c r="Z779" s="377"/>
      <c r="AA779" s="375"/>
      <c r="AB779" s="375"/>
      <c r="AC779" s="375"/>
      <c r="AD779" s="375"/>
      <c r="AE779" s="92"/>
      <c r="AF779" s="375"/>
      <c r="AG779" s="92"/>
      <c r="AH779" s="375"/>
      <c r="AI779" s="375"/>
      <c r="AJ779" s="375"/>
      <c r="AK779" s="375"/>
      <c r="AL779" s="375"/>
      <c r="AM779" s="375"/>
      <c r="AN779" s="375"/>
      <c r="AO779" s="375"/>
      <c r="AP779" s="376" t="s">
        <v>3683</v>
      </c>
      <c r="AQ779" s="375"/>
    </row>
    <row r="780">
      <c r="A780" s="257" t="s">
        <v>274</v>
      </c>
      <c r="B780" s="257" t="s">
        <v>275</v>
      </c>
      <c r="C780" s="257" t="str">
        <f>VLOOKUP(A780,import!A:J,3,0)</f>
        <v>DOĞRU</v>
      </c>
      <c r="D780" s="257" t="s">
        <v>3994</v>
      </c>
      <c r="E780" s="257">
        <f>VLOOKUP(A780,import!A:J,5,0)</f>
        <v>1448</v>
      </c>
      <c r="F780" s="257">
        <f>VLOOKUP(A780,import!A:J,6,0)</f>
        <v>19</v>
      </c>
      <c r="G780" s="257">
        <f>VLOOKUP(A780,import!A:J,7,0)</f>
        <v>24</v>
      </c>
      <c r="H780" s="257">
        <f>VLOOKUP(A780,import!A:J,8,0)</f>
        <v>60</v>
      </c>
      <c r="I780" s="257">
        <f>VLOOKUP(A780,import!A:J,9,0)</f>
        <v>84</v>
      </c>
      <c r="J780" s="369">
        <f>VLOOKUP(A780,import!A:J,10,0)</f>
        <v>0.29</v>
      </c>
      <c r="K780" s="257" t="s">
        <v>6241</v>
      </c>
      <c r="L780" s="257">
        <v>3.222341555E9</v>
      </c>
      <c r="M780" s="257" t="s">
        <v>14</v>
      </c>
      <c r="N780" s="257" t="s">
        <v>3733</v>
      </c>
      <c r="O780" s="257" t="s">
        <v>277</v>
      </c>
      <c r="P780" s="370" t="str">
        <f>VLOOKUP(A780,import!A:P,16,0)</f>
        <v>Geleneksel</v>
      </c>
      <c r="Q780" s="370"/>
      <c r="R780" s="370" t="b">
        <v>1</v>
      </c>
      <c r="S780" s="370" t="b">
        <v>0</v>
      </c>
      <c r="T780" s="301" t="s">
        <v>3679</v>
      </c>
      <c r="U780" s="301" t="s">
        <v>208</v>
      </c>
      <c r="V780" s="301" t="s">
        <v>78</v>
      </c>
      <c r="W780" s="301" t="s">
        <v>6243</v>
      </c>
      <c r="X780" s="371">
        <v>44301.0</v>
      </c>
      <c r="Y780" s="371">
        <v>44308.0</v>
      </c>
      <c r="Z780" s="377"/>
      <c r="AA780" s="373" t="s">
        <v>3681</v>
      </c>
      <c r="AB780" s="374">
        <v>44355.0</v>
      </c>
      <c r="AC780" s="373" t="s">
        <v>3448</v>
      </c>
      <c r="AD780" s="374">
        <v>44382.0</v>
      </c>
      <c r="AE780" s="373" t="s">
        <v>3695</v>
      </c>
      <c r="AF780" s="374">
        <v>44425.0</v>
      </c>
      <c r="AG780" s="373" t="s">
        <v>3682</v>
      </c>
      <c r="AH780" s="374">
        <v>44469.0</v>
      </c>
      <c r="AI780" s="375"/>
      <c r="AJ780" s="375"/>
      <c r="AK780" s="373" t="s">
        <v>399</v>
      </c>
      <c r="AL780" s="373" t="s">
        <v>399</v>
      </c>
      <c r="AM780" s="373" t="s">
        <v>1953</v>
      </c>
      <c r="AN780" s="373" t="s">
        <v>2282</v>
      </c>
      <c r="AO780" s="375"/>
      <c r="AP780" s="376" t="s">
        <v>3683</v>
      </c>
      <c r="AQ780" s="375"/>
    </row>
    <row r="781">
      <c r="A781" s="257" t="s">
        <v>2999</v>
      </c>
      <c r="B781" s="257" t="s">
        <v>3000</v>
      </c>
      <c r="C781" s="257" t="str">
        <f>VLOOKUP(A781,import!A:J,3,0)</f>
        <v>DOĞRU</v>
      </c>
      <c r="D781" s="257" t="s">
        <v>3994</v>
      </c>
      <c r="E781" s="257">
        <f>VLOOKUP(A781,import!A:J,5,0)</f>
        <v>2538</v>
      </c>
      <c r="F781" s="257">
        <f>VLOOKUP(A781,import!A:J,6,0)</f>
        <v>96</v>
      </c>
      <c r="G781" s="257">
        <f>VLOOKUP(A781,import!A:J,7,0)</f>
        <v>9</v>
      </c>
      <c r="H781" s="257">
        <f>VLOOKUP(A781,import!A:J,8,0)</f>
        <v>81</v>
      </c>
      <c r="I781" s="257">
        <f>VLOOKUP(A781,import!A:J,9,0)</f>
        <v>90</v>
      </c>
      <c r="J781" s="369">
        <f>VLOOKUP(A781,import!A:J,10,0)</f>
        <v>0.1</v>
      </c>
      <c r="K781" s="257" t="s">
        <v>6244</v>
      </c>
      <c r="L781" s="257">
        <v>5.412710184E9</v>
      </c>
      <c r="M781" s="257" t="s">
        <v>286</v>
      </c>
      <c r="N781" s="257" t="s">
        <v>4235</v>
      </c>
      <c r="O781" s="257" t="s">
        <v>3003</v>
      </c>
      <c r="P781" s="370" t="str">
        <f>VLOOKUP(A781,import!A:P,16,0)</f>
        <v>Geleneksel</v>
      </c>
      <c r="Q781" s="370"/>
      <c r="R781" s="370" t="b">
        <v>1</v>
      </c>
      <c r="S781" s="370" t="b">
        <v>0</v>
      </c>
      <c r="T781" s="301" t="s">
        <v>3679</v>
      </c>
      <c r="U781" s="301" t="s">
        <v>2941</v>
      </c>
      <c r="V781" s="301" t="s">
        <v>78</v>
      </c>
      <c r="W781" s="301" t="s">
        <v>6245</v>
      </c>
      <c r="X781" s="371">
        <v>44503.0</v>
      </c>
      <c r="Y781" s="371">
        <v>44504.0</v>
      </c>
      <c r="Z781" s="301"/>
      <c r="AA781" s="373" t="s">
        <v>3682</v>
      </c>
      <c r="AB781" s="374">
        <v>44389.0</v>
      </c>
      <c r="AC781" s="373" t="s">
        <v>3682</v>
      </c>
      <c r="AD781" s="374">
        <v>44441.0</v>
      </c>
      <c r="AE781" s="373" t="s">
        <v>3682</v>
      </c>
      <c r="AF781" s="374">
        <v>44503.0</v>
      </c>
      <c r="AG781" s="92"/>
      <c r="AH781" s="375"/>
      <c r="AI781" s="375"/>
      <c r="AJ781" s="375"/>
      <c r="AK781" s="373" t="s">
        <v>4088</v>
      </c>
      <c r="AL781" s="373" t="s">
        <v>2542</v>
      </c>
      <c r="AM781" s="373" t="s">
        <v>2941</v>
      </c>
      <c r="AN781" s="375"/>
      <c r="AO781" s="375"/>
      <c r="AP781" s="376" t="s">
        <v>3686</v>
      </c>
      <c r="AQ781" s="375"/>
    </row>
    <row r="782">
      <c r="A782" s="257" t="s">
        <v>6246</v>
      </c>
      <c r="B782" s="257" t="s">
        <v>6247</v>
      </c>
      <c r="C782" s="257" t="str">
        <f>VLOOKUP(A782,import!A:J,3,0)</f>
        <v>DOĞRU</v>
      </c>
      <c r="D782" s="257" t="s">
        <v>3994</v>
      </c>
      <c r="E782" s="257">
        <f>VLOOKUP(A782,import!A:J,5,0)</f>
        <v>6003</v>
      </c>
      <c r="F782" s="257">
        <f>VLOOKUP(A782,import!A:J,6,0)</f>
        <v>164</v>
      </c>
      <c r="G782" s="257">
        <f>VLOOKUP(A782,import!A:J,7,0)</f>
        <v>9</v>
      </c>
      <c r="H782" s="257">
        <f>VLOOKUP(A782,import!A:J,8,0)</f>
        <v>89</v>
      </c>
      <c r="I782" s="257">
        <f>VLOOKUP(A782,import!A:J,9,0)</f>
        <v>98</v>
      </c>
      <c r="J782" s="369">
        <f>VLOOKUP(A782,import!A:J,10,0)</f>
        <v>0.09</v>
      </c>
      <c r="K782" s="257" t="s">
        <v>6248</v>
      </c>
      <c r="L782" s="257">
        <v>3.228810111E9</v>
      </c>
      <c r="M782" s="257" t="s">
        <v>14</v>
      </c>
      <c r="N782" s="257" t="s">
        <v>3826</v>
      </c>
      <c r="O782" s="257" t="s">
        <v>6249</v>
      </c>
      <c r="P782" s="370" t="str">
        <f>VLOOKUP(A782,import!A:P,16,0)</f>
        <v>Geleneksel</v>
      </c>
      <c r="Q782" s="370"/>
      <c r="R782" s="370" t="b">
        <v>1</v>
      </c>
      <c r="S782" s="370" t="b">
        <v>1</v>
      </c>
      <c r="T782" s="300" t="s">
        <v>3735</v>
      </c>
      <c r="U782" s="301"/>
      <c r="V782" s="380"/>
      <c r="W782" s="301" t="s">
        <v>6250</v>
      </c>
      <c r="X782" s="371"/>
      <c r="Y782" s="371"/>
      <c r="Z782" s="377"/>
      <c r="AA782" s="373" t="s">
        <v>3682</v>
      </c>
      <c r="AB782" s="374">
        <v>44440.0</v>
      </c>
      <c r="AC782" s="373" t="s">
        <v>3448</v>
      </c>
      <c r="AD782" s="374">
        <v>44453.0</v>
      </c>
      <c r="AE782" s="92"/>
      <c r="AF782" s="375"/>
      <c r="AG782" s="92"/>
      <c r="AH782" s="375"/>
      <c r="AI782" s="375"/>
      <c r="AJ782" s="375"/>
      <c r="AK782" s="373" t="s">
        <v>2542</v>
      </c>
      <c r="AL782" s="373" t="s">
        <v>2542</v>
      </c>
      <c r="AM782" s="375"/>
      <c r="AN782" s="375"/>
      <c r="AO782" s="375"/>
      <c r="AP782" s="376" t="s">
        <v>3683</v>
      </c>
      <c r="AQ782" s="375"/>
    </row>
    <row r="783">
      <c r="A783" s="257" t="s">
        <v>6251</v>
      </c>
      <c r="B783" s="257" t="s">
        <v>6252</v>
      </c>
      <c r="C783" s="257" t="str">
        <f>VLOOKUP(A783,import!A:J,3,0)</f>
        <v>DOĞRU</v>
      </c>
      <c r="D783" s="257" t="s">
        <v>3994</v>
      </c>
      <c r="E783" s="257">
        <f>VLOOKUP(A783,import!A:J,5,0)</f>
        <v>12307</v>
      </c>
      <c r="F783" s="257">
        <f>VLOOKUP(A783,import!A:J,6,0)</f>
        <v>630</v>
      </c>
      <c r="G783" s="257">
        <f>VLOOKUP(A783,import!A:J,7,0)</f>
        <v>10</v>
      </c>
      <c r="H783" s="257">
        <f>VLOOKUP(A783,import!A:J,8,0)</f>
        <v>84</v>
      </c>
      <c r="I783" s="257">
        <f>VLOOKUP(A783,import!A:J,9,0)</f>
        <v>94</v>
      </c>
      <c r="J783" s="369">
        <f>VLOOKUP(A783,import!A:J,10,0)</f>
        <v>0.11</v>
      </c>
      <c r="K783" s="257" t="s">
        <v>6253</v>
      </c>
      <c r="L783" s="257">
        <v>3.22770007E9</v>
      </c>
      <c r="M783" s="257" t="s">
        <v>14</v>
      </c>
      <c r="N783" s="257" t="s">
        <v>3767</v>
      </c>
      <c r="O783" s="257" t="s">
        <v>6254</v>
      </c>
      <c r="P783" s="370" t="str">
        <f>VLOOKUP(A783,import!A:P,16,0)</f>
        <v>Geleneksel</v>
      </c>
      <c r="Q783" s="370"/>
      <c r="R783" s="370" t="b">
        <v>1</v>
      </c>
      <c r="S783" s="370" t="b">
        <v>1</v>
      </c>
      <c r="T783" s="300" t="s">
        <v>3735</v>
      </c>
      <c r="U783" s="301"/>
      <c r="V783" s="301"/>
      <c r="W783" s="301" t="s">
        <v>6255</v>
      </c>
      <c r="X783" s="371"/>
      <c r="Y783" s="371"/>
      <c r="Z783" s="377"/>
      <c r="AA783" s="373" t="s">
        <v>3682</v>
      </c>
      <c r="AB783" s="374">
        <v>44440.0</v>
      </c>
      <c r="AC783" s="373" t="s">
        <v>3696</v>
      </c>
      <c r="AD783" s="374">
        <v>44453.0</v>
      </c>
      <c r="AE783" s="92"/>
      <c r="AF783" s="375"/>
      <c r="AG783" s="92"/>
      <c r="AH783" s="375"/>
      <c r="AI783" s="375"/>
      <c r="AJ783" s="375"/>
      <c r="AK783" s="373" t="s">
        <v>2542</v>
      </c>
      <c r="AL783" s="373" t="s">
        <v>2542</v>
      </c>
      <c r="AM783" s="375"/>
      <c r="AN783" s="375"/>
      <c r="AO783" s="375"/>
      <c r="AP783" s="376" t="s">
        <v>3683</v>
      </c>
      <c r="AQ783" s="375"/>
    </row>
    <row r="784">
      <c r="A784" s="257" t="s">
        <v>6256</v>
      </c>
      <c r="B784" s="257" t="s">
        <v>6257</v>
      </c>
      <c r="C784" s="257" t="str">
        <f>VLOOKUP(A784,import!A:J,3,0)</f>
        <v>DOĞRU</v>
      </c>
      <c r="D784" s="257" t="s">
        <v>3994</v>
      </c>
      <c r="E784" s="257">
        <f>VLOOKUP(A784,import!A:J,5,0)</f>
        <v>3823</v>
      </c>
      <c r="F784" s="257">
        <f>VLOOKUP(A784,import!A:J,6,0)</f>
        <v>176</v>
      </c>
      <c r="G784" s="257">
        <f>VLOOKUP(A784,import!A:J,7,0)</f>
        <v>9</v>
      </c>
      <c r="H784" s="257">
        <f>VLOOKUP(A784,import!A:J,8,0)</f>
        <v>94</v>
      </c>
      <c r="I784" s="257">
        <f>VLOOKUP(A784,import!A:J,9,0)</f>
        <v>103</v>
      </c>
      <c r="J784" s="369">
        <f>VLOOKUP(A784,import!A:J,10,0)</f>
        <v>0.09</v>
      </c>
      <c r="K784" s="257" t="s">
        <v>6258</v>
      </c>
      <c r="L784" s="257">
        <v>3.225023232E9</v>
      </c>
      <c r="M784" s="257" t="s">
        <v>3701</v>
      </c>
      <c r="N784" s="257" t="s">
        <v>3702</v>
      </c>
      <c r="O784" s="257" t="s">
        <v>6259</v>
      </c>
      <c r="P784" s="370" t="str">
        <f>VLOOKUP(A784,import!A:P,16,0)</f>
        <v>Geleneksel</v>
      </c>
      <c r="Q784" s="370"/>
      <c r="R784" s="370" t="b">
        <v>1</v>
      </c>
      <c r="S784" s="370" t="b">
        <v>1</v>
      </c>
      <c r="T784" s="300" t="s">
        <v>3735</v>
      </c>
      <c r="U784" s="379"/>
      <c r="V784" s="379"/>
      <c r="W784" s="301"/>
      <c r="X784" s="381"/>
      <c r="Y784" s="381"/>
      <c r="Z784" s="372"/>
      <c r="AA784" s="375"/>
      <c r="AB784" s="375"/>
      <c r="AC784" s="375"/>
      <c r="AD784" s="375"/>
      <c r="AE784" s="92"/>
      <c r="AF784" s="375"/>
      <c r="AG784" s="92"/>
      <c r="AH784" s="375"/>
      <c r="AI784" s="375"/>
      <c r="AJ784" s="375"/>
      <c r="AK784" s="375"/>
      <c r="AL784" s="375"/>
      <c r="AM784" s="375"/>
      <c r="AN784" s="375"/>
      <c r="AO784" s="375"/>
      <c r="AP784" s="376" t="s">
        <v>3686</v>
      </c>
      <c r="AQ784" s="375"/>
    </row>
    <row r="785">
      <c r="A785" s="257" t="s">
        <v>6260</v>
      </c>
      <c r="B785" s="257" t="s">
        <v>6261</v>
      </c>
      <c r="C785" s="257" t="str">
        <f>VLOOKUP(A785,import!A:J,3,0)</f>
        <v>DOĞRU</v>
      </c>
      <c r="D785" s="257" t="s">
        <v>3994</v>
      </c>
      <c r="E785" s="257">
        <f>VLOOKUP(A785,import!A:J,5,0)</f>
        <v>6891</v>
      </c>
      <c r="F785" s="257">
        <f>VLOOKUP(A785,import!A:J,6,0)</f>
        <v>154</v>
      </c>
      <c r="G785" s="257">
        <f>VLOOKUP(A785,import!A:J,7,0)</f>
        <v>11</v>
      </c>
      <c r="H785" s="257">
        <f>VLOOKUP(A785,import!A:J,8,0)</f>
        <v>84</v>
      </c>
      <c r="I785" s="257">
        <f>VLOOKUP(A785,import!A:J,9,0)</f>
        <v>95</v>
      </c>
      <c r="J785" s="369">
        <f>VLOOKUP(A785,import!A:J,10,0)</f>
        <v>0.12</v>
      </c>
      <c r="K785" s="257" t="s">
        <v>4380</v>
      </c>
      <c r="L785" s="257">
        <v>3.222420303E9</v>
      </c>
      <c r="M785" s="257" t="s">
        <v>14</v>
      </c>
      <c r="N785" s="257" t="s">
        <v>3718</v>
      </c>
      <c r="O785" s="257" t="s">
        <v>6262</v>
      </c>
      <c r="P785" s="370" t="str">
        <f>VLOOKUP(A785,import!A:P,16,0)</f>
        <v>Geleneksel</v>
      </c>
      <c r="Q785" s="370"/>
      <c r="R785" s="370" t="b">
        <v>1</v>
      </c>
      <c r="S785" s="370" t="b">
        <v>0</v>
      </c>
      <c r="T785" s="300" t="s">
        <v>3735</v>
      </c>
      <c r="U785" s="301"/>
      <c r="V785" s="301"/>
      <c r="W785" s="301" t="s">
        <v>6263</v>
      </c>
      <c r="X785" s="371"/>
      <c r="Y785" s="371"/>
      <c r="Z785" s="377"/>
      <c r="AA785" s="373" t="s">
        <v>3448</v>
      </c>
      <c r="AB785" s="374">
        <v>44440.0</v>
      </c>
      <c r="AC785" s="373" t="s">
        <v>3682</v>
      </c>
      <c r="AD785" s="374">
        <v>44464.0</v>
      </c>
      <c r="AE785" s="92"/>
      <c r="AF785" s="375"/>
      <c r="AG785" s="92"/>
      <c r="AH785" s="375"/>
      <c r="AI785" s="375"/>
      <c r="AJ785" s="375"/>
      <c r="AK785" s="373" t="s">
        <v>2542</v>
      </c>
      <c r="AL785" s="373" t="s">
        <v>2576</v>
      </c>
      <c r="AM785" s="375"/>
      <c r="AN785" s="375"/>
      <c r="AO785" s="375"/>
      <c r="AP785" s="376" t="s">
        <v>3683</v>
      </c>
      <c r="AQ785" s="375"/>
    </row>
    <row r="786">
      <c r="A786" s="257" t="s">
        <v>6264</v>
      </c>
      <c r="B786" s="257" t="s">
        <v>6265</v>
      </c>
      <c r="C786" s="257" t="str">
        <f>VLOOKUP(A786,import!A:J,3,0)</f>
        <v>DOĞRU</v>
      </c>
      <c r="D786" s="257" t="s">
        <v>3994</v>
      </c>
      <c r="E786" s="257">
        <f>VLOOKUP(A786,import!A:J,5,0)</f>
        <v>8199</v>
      </c>
      <c r="F786" s="257">
        <f>VLOOKUP(A786,import!A:J,6,0)</f>
        <v>270</v>
      </c>
      <c r="G786" s="257">
        <f>VLOOKUP(A786,import!A:J,7,0)</f>
        <v>10</v>
      </c>
      <c r="H786" s="257">
        <f>VLOOKUP(A786,import!A:J,8,0)</f>
        <v>92</v>
      </c>
      <c r="I786" s="257">
        <f>VLOOKUP(A786,import!A:J,9,0)</f>
        <v>102</v>
      </c>
      <c r="J786" s="369">
        <f>VLOOKUP(A786,import!A:J,10,0)</f>
        <v>0.1</v>
      </c>
      <c r="K786" s="257" t="s">
        <v>6266</v>
      </c>
      <c r="L786" s="257">
        <v>3.222564848E9</v>
      </c>
      <c r="M786" s="257" t="s">
        <v>14</v>
      </c>
      <c r="N786" s="257" t="s">
        <v>3678</v>
      </c>
      <c r="O786" s="257" t="s">
        <v>6267</v>
      </c>
      <c r="P786" s="370" t="str">
        <f>VLOOKUP(A786,import!A:P,16,0)</f>
        <v>Geleneksel</v>
      </c>
      <c r="Q786" s="370"/>
      <c r="R786" s="370" t="b">
        <v>1</v>
      </c>
      <c r="S786" s="370" t="b">
        <v>1</v>
      </c>
      <c r="T786" s="300" t="s">
        <v>3735</v>
      </c>
      <c r="U786" s="379"/>
      <c r="V786" s="379"/>
      <c r="W786" s="301" t="s">
        <v>6268</v>
      </c>
      <c r="X786" s="381"/>
      <c r="Y786" s="381"/>
      <c r="Z786" s="372"/>
      <c r="AA786" s="373" t="s">
        <v>3448</v>
      </c>
      <c r="AB786" s="374">
        <v>44441.0</v>
      </c>
      <c r="AC786" s="375"/>
      <c r="AD786" s="375"/>
      <c r="AE786" s="92"/>
      <c r="AF786" s="375"/>
      <c r="AG786" s="92"/>
      <c r="AH786" s="375"/>
      <c r="AI786" s="375"/>
      <c r="AJ786" s="375"/>
      <c r="AK786" s="373" t="s">
        <v>2542</v>
      </c>
      <c r="AL786" s="375"/>
      <c r="AM786" s="375"/>
      <c r="AN786" s="375"/>
      <c r="AO786" s="375"/>
      <c r="AP786" s="376" t="s">
        <v>3683</v>
      </c>
      <c r="AQ786" s="375"/>
    </row>
    <row r="787">
      <c r="A787" s="257" t="s">
        <v>6269</v>
      </c>
      <c r="B787" s="257" t="s">
        <v>6270</v>
      </c>
      <c r="C787" s="257" t="str">
        <f>VLOOKUP(A787,import!A:J,3,0)</f>
        <v>DOĞRU</v>
      </c>
      <c r="D787" s="257" t="s">
        <v>3994</v>
      </c>
      <c r="E787" s="257">
        <f>VLOOKUP(A787,import!A:J,5,0)</f>
        <v>2518</v>
      </c>
      <c r="F787" s="257">
        <f>VLOOKUP(A787,import!A:J,6,0)</f>
        <v>109</v>
      </c>
      <c r="G787" s="257">
        <f>VLOOKUP(A787,import!A:J,7,0)</f>
        <v>10</v>
      </c>
      <c r="H787" s="257">
        <f>VLOOKUP(A787,import!A:J,8,0)</f>
        <v>77</v>
      </c>
      <c r="I787" s="257">
        <f>VLOOKUP(A787,import!A:J,9,0)</f>
        <v>87</v>
      </c>
      <c r="J787" s="369">
        <f>VLOOKUP(A787,import!A:J,10,0)</f>
        <v>0.11</v>
      </c>
      <c r="K787" s="257" t="s">
        <v>6271</v>
      </c>
      <c r="L787" s="257">
        <v>3.224502121E9</v>
      </c>
      <c r="M787" s="257" t="s">
        <v>3692</v>
      </c>
      <c r="N787" s="257" t="s">
        <v>3721</v>
      </c>
      <c r="O787" s="257" t="s">
        <v>6272</v>
      </c>
      <c r="P787" s="370" t="str">
        <f>VLOOKUP(A787,import!A:P,16,0)</f>
        <v>Geleneksel</v>
      </c>
      <c r="Q787" s="370"/>
      <c r="R787" s="370" t="b">
        <v>1</v>
      </c>
      <c r="S787" s="370" t="b">
        <v>1</v>
      </c>
      <c r="T787" s="300" t="s">
        <v>3735</v>
      </c>
      <c r="U787" s="301"/>
      <c r="V787" s="301"/>
      <c r="W787" s="301"/>
      <c r="X787" s="371"/>
      <c r="Y787" s="371"/>
      <c r="Z787" s="372"/>
      <c r="AA787" s="373"/>
      <c r="AB787" s="374"/>
      <c r="AC787" s="373"/>
      <c r="AD787" s="374"/>
      <c r="AE787" s="373"/>
      <c r="AF787" s="374"/>
      <c r="AG787" s="92"/>
      <c r="AH787" s="375"/>
      <c r="AI787" s="375"/>
      <c r="AJ787" s="375"/>
      <c r="AK787" s="373"/>
      <c r="AL787" s="375"/>
      <c r="AM787" s="375"/>
      <c r="AN787" s="375"/>
      <c r="AO787" s="375"/>
      <c r="AP787" s="376" t="s">
        <v>3686</v>
      </c>
      <c r="AQ787" s="375"/>
    </row>
    <row r="788">
      <c r="A788" s="257" t="s">
        <v>6273</v>
      </c>
      <c r="B788" s="257" t="s">
        <v>2236</v>
      </c>
      <c r="C788" s="257" t="str">
        <f>VLOOKUP(A788,import!A:J,3,0)</f>
        <v>DOĞRU</v>
      </c>
      <c r="D788" s="257" t="s">
        <v>3994</v>
      </c>
      <c r="E788" s="257">
        <f>VLOOKUP(A788,import!A:J,5,0)</f>
        <v>776</v>
      </c>
      <c r="F788" s="257">
        <f>VLOOKUP(A788,import!A:J,6,0)</f>
        <v>130</v>
      </c>
      <c r="G788" s="257">
        <f>VLOOKUP(A788,import!A:J,7,0)</f>
        <v>0</v>
      </c>
      <c r="H788" s="257">
        <f>VLOOKUP(A788,import!A:J,8,0)</f>
        <v>86</v>
      </c>
      <c r="I788" s="257">
        <f>VLOOKUP(A788,import!A:J,9,0)</f>
        <v>86</v>
      </c>
      <c r="J788" s="369">
        <f>VLOOKUP(A788,import!A:J,10,0)</f>
        <v>0</v>
      </c>
      <c r="K788" s="257" t="s">
        <v>6274</v>
      </c>
      <c r="L788" s="257">
        <v>3.222903838E9</v>
      </c>
      <c r="M788" s="257" t="s">
        <v>286</v>
      </c>
      <c r="N788" s="257" t="s">
        <v>3688</v>
      </c>
      <c r="O788" s="257" t="s">
        <v>6275</v>
      </c>
      <c r="P788" s="370" t="str">
        <f>VLOOKUP(A788,import!A:P,16,0)</f>
        <v>Geleneksel</v>
      </c>
      <c r="Q788" s="370"/>
      <c r="R788" s="370" t="b">
        <v>1</v>
      </c>
      <c r="S788" s="370" t="b">
        <v>0</v>
      </c>
      <c r="T788" s="301" t="s">
        <v>3696</v>
      </c>
      <c r="U788" s="379"/>
      <c r="V788" s="379"/>
      <c r="W788" s="301" t="s">
        <v>6276</v>
      </c>
      <c r="X788" s="381"/>
      <c r="Y788" s="381"/>
      <c r="Z788" s="372"/>
      <c r="AA788" s="373" t="s">
        <v>3696</v>
      </c>
      <c r="AB788" s="374">
        <v>44628.0</v>
      </c>
      <c r="AC788" s="373"/>
      <c r="AD788" s="374"/>
      <c r="AE788" s="373"/>
      <c r="AF788" s="374"/>
      <c r="AG788" s="373"/>
      <c r="AH788" s="374"/>
      <c r="AI788" s="375"/>
      <c r="AJ788" s="375"/>
      <c r="AK788" s="373" t="s">
        <v>2192</v>
      </c>
      <c r="AL788" s="375"/>
      <c r="AM788" s="375"/>
      <c r="AN788" s="373"/>
      <c r="AO788" s="375"/>
      <c r="AP788" s="376"/>
      <c r="AQ788" s="375"/>
    </row>
    <row r="789">
      <c r="A789" s="257" t="s">
        <v>6277</v>
      </c>
      <c r="B789" s="257" t="s">
        <v>6278</v>
      </c>
      <c r="C789" s="257" t="str">
        <f>VLOOKUP(A789,import!A:J,3,0)</f>
        <v>DOĞRU</v>
      </c>
      <c r="D789" s="257" t="s">
        <v>3994</v>
      </c>
      <c r="E789" s="257">
        <f>VLOOKUP(A789,import!A:J,5,0)</f>
        <v>2486</v>
      </c>
      <c r="F789" s="257">
        <f>VLOOKUP(A789,import!A:J,6,0)</f>
        <v>87</v>
      </c>
      <c r="G789" s="257">
        <f>VLOOKUP(A789,import!A:J,7,0)</f>
        <v>6</v>
      </c>
      <c r="H789" s="257">
        <f>VLOOKUP(A789,import!A:J,8,0)</f>
        <v>69</v>
      </c>
      <c r="I789" s="257">
        <f>VLOOKUP(A789,import!A:J,9,0)</f>
        <v>75</v>
      </c>
      <c r="J789" s="369">
        <f>VLOOKUP(A789,import!A:J,10,0)</f>
        <v>0.08</v>
      </c>
      <c r="K789" s="257" t="s">
        <v>6279</v>
      </c>
      <c r="L789" s="257">
        <v>3.224501515E9</v>
      </c>
      <c r="M789" s="257" t="s">
        <v>286</v>
      </c>
      <c r="N789" s="257" t="s">
        <v>5389</v>
      </c>
      <c r="O789" s="257" t="s">
        <v>6280</v>
      </c>
      <c r="P789" s="370" t="str">
        <f>VLOOKUP(A789,import!A:P,16,0)</f>
        <v>Geleneksel</v>
      </c>
      <c r="Q789" s="370"/>
      <c r="R789" s="370" t="b">
        <v>1</v>
      </c>
      <c r="S789" s="370" t="b">
        <v>1</v>
      </c>
      <c r="T789" s="300" t="s">
        <v>3735</v>
      </c>
      <c r="U789" s="379"/>
      <c r="V789" s="379"/>
      <c r="W789" s="301" t="s">
        <v>6281</v>
      </c>
      <c r="X789" s="381"/>
      <c r="Y789" s="381"/>
      <c r="Z789" s="372"/>
      <c r="AA789" s="373" t="s">
        <v>3448</v>
      </c>
      <c r="AB789" s="374">
        <v>44441.0</v>
      </c>
      <c r="AC789" s="373" t="s">
        <v>3682</v>
      </c>
      <c r="AD789" s="374">
        <v>44539.0</v>
      </c>
      <c r="AE789" s="92"/>
      <c r="AF789" s="375"/>
      <c r="AG789" s="92"/>
      <c r="AH789" s="375"/>
      <c r="AI789" s="375"/>
      <c r="AJ789" s="375"/>
      <c r="AK789" s="373" t="s">
        <v>2542</v>
      </c>
      <c r="AL789" s="373" t="s">
        <v>2542</v>
      </c>
      <c r="AM789" s="375"/>
      <c r="AN789" s="375"/>
      <c r="AO789" s="375"/>
      <c r="AP789" s="376" t="s">
        <v>3686</v>
      </c>
      <c r="AQ789" s="375"/>
    </row>
    <row r="790">
      <c r="A790" s="257" t="s">
        <v>6282</v>
      </c>
      <c r="B790" s="257" t="s">
        <v>6283</v>
      </c>
      <c r="C790" s="257" t="str">
        <f>VLOOKUP(A790,import!A:J,3,0)</f>
        <v>DOĞRU</v>
      </c>
      <c r="D790" s="257" t="s">
        <v>3994</v>
      </c>
      <c r="E790" s="257">
        <f>VLOOKUP(A790,import!A:J,5,0)</f>
        <v>476</v>
      </c>
      <c r="F790" s="257">
        <f>VLOOKUP(A790,import!A:J,6,0)</f>
        <v>195</v>
      </c>
      <c r="G790" s="257">
        <f>VLOOKUP(A790,import!A:J,7,0)</f>
        <v>0</v>
      </c>
      <c r="H790" s="257">
        <f>VLOOKUP(A790,import!A:J,8,0)</f>
        <v>107</v>
      </c>
      <c r="I790" s="257">
        <f>VLOOKUP(A790,import!A:J,9,0)</f>
        <v>107</v>
      </c>
      <c r="J790" s="369">
        <f>VLOOKUP(A790,import!A:J,10,0)</f>
        <v>0</v>
      </c>
      <c r="K790" s="257" t="s">
        <v>6284</v>
      </c>
      <c r="L790" s="257">
        <v>3.222902E9</v>
      </c>
      <c r="M790" s="257" t="s">
        <v>286</v>
      </c>
      <c r="N790" s="257" t="s">
        <v>3746</v>
      </c>
      <c r="O790" s="257" t="s">
        <v>6285</v>
      </c>
      <c r="P790" s="370" t="str">
        <f>VLOOKUP(A790,import!A:P,16,0)</f>
        <v>Geleneksel</v>
      </c>
      <c r="Q790" s="370"/>
      <c r="R790" s="370" t="b">
        <v>0</v>
      </c>
      <c r="S790" s="370" t="b">
        <v>0</v>
      </c>
      <c r="T790" s="301"/>
      <c r="U790" s="301"/>
      <c r="V790" s="301"/>
      <c r="W790" s="301"/>
      <c r="X790" s="371"/>
      <c r="Y790" s="371"/>
      <c r="Z790" s="372"/>
      <c r="AA790" s="373"/>
      <c r="AB790" s="374"/>
      <c r="AC790" s="373"/>
      <c r="AD790" s="374"/>
      <c r="AE790" s="373"/>
      <c r="AF790" s="374"/>
      <c r="AG790" s="373"/>
      <c r="AH790" s="374"/>
      <c r="AI790" s="373"/>
      <c r="AJ790" s="374"/>
      <c r="AK790" s="373"/>
      <c r="AL790" s="373"/>
      <c r="AM790" s="373"/>
      <c r="AN790" s="373"/>
      <c r="AO790" s="373"/>
      <c r="AP790" s="376"/>
      <c r="AQ790" s="373"/>
    </row>
    <row r="791">
      <c r="A791" s="257" t="s">
        <v>6286</v>
      </c>
      <c r="B791" s="257" t="s">
        <v>6287</v>
      </c>
      <c r="C791" s="257" t="str">
        <f>VLOOKUP(A791,import!A:J,3,0)</f>
        <v>DOĞRU</v>
      </c>
      <c r="D791" s="257" t="s">
        <v>3994</v>
      </c>
      <c r="E791" s="257">
        <f>VLOOKUP(A791,import!A:J,5,0)</f>
        <v>7668</v>
      </c>
      <c r="F791" s="257">
        <f>VLOOKUP(A791,import!A:J,6,0)</f>
        <v>290</v>
      </c>
      <c r="G791" s="257">
        <f>VLOOKUP(A791,import!A:J,7,0)</f>
        <v>10</v>
      </c>
      <c r="H791" s="257">
        <f>VLOOKUP(A791,import!A:J,8,0)</f>
        <v>96</v>
      </c>
      <c r="I791" s="257">
        <f>VLOOKUP(A791,import!A:J,9,0)</f>
        <v>106</v>
      </c>
      <c r="J791" s="369">
        <f>VLOOKUP(A791,import!A:J,10,0)</f>
        <v>0.09</v>
      </c>
      <c r="K791" s="257" t="s">
        <v>6271</v>
      </c>
      <c r="L791" s="257">
        <v>3.22220002E9</v>
      </c>
      <c r="M791" s="257" t="s">
        <v>286</v>
      </c>
      <c r="N791" s="257" t="s">
        <v>3754</v>
      </c>
      <c r="O791" s="257" t="s">
        <v>6288</v>
      </c>
      <c r="P791" s="370" t="str">
        <f>VLOOKUP(A791,import!A:P,16,0)</f>
        <v>Geleneksel</v>
      </c>
      <c r="Q791" s="370"/>
      <c r="R791" s="370" t="b">
        <v>1</v>
      </c>
      <c r="S791" s="370" t="b">
        <v>1</v>
      </c>
      <c r="T791" s="300" t="s">
        <v>3735</v>
      </c>
      <c r="U791" s="301"/>
      <c r="V791" s="301"/>
      <c r="W791" s="301" t="s">
        <v>6289</v>
      </c>
      <c r="X791" s="371"/>
      <c r="Y791" s="371"/>
      <c r="Z791" s="377"/>
      <c r="AA791" s="373" t="s">
        <v>3682</v>
      </c>
      <c r="AB791" s="374">
        <v>44442.0</v>
      </c>
      <c r="AC791" s="375"/>
      <c r="AD791" s="375"/>
      <c r="AE791" s="92"/>
      <c r="AF791" s="375"/>
      <c r="AG791" s="92"/>
      <c r="AH791" s="375"/>
      <c r="AI791" s="375"/>
      <c r="AJ791" s="375"/>
      <c r="AK791" s="373" t="s">
        <v>399</v>
      </c>
      <c r="AL791" s="375"/>
      <c r="AM791" s="375"/>
      <c r="AN791" s="375"/>
      <c r="AO791" s="375"/>
      <c r="AP791" s="376" t="s">
        <v>3686</v>
      </c>
      <c r="AQ791" s="375"/>
    </row>
    <row r="792">
      <c r="A792" s="257" t="s">
        <v>6290</v>
      </c>
      <c r="B792" s="257" t="s">
        <v>6291</v>
      </c>
      <c r="C792" s="257" t="str">
        <f>VLOOKUP(A792,import!A:J,3,0)</f>
        <v>DOĞRU</v>
      </c>
      <c r="D792" s="257" t="s">
        <v>3994</v>
      </c>
      <c r="E792" s="257">
        <f>VLOOKUP(A792,import!A:J,5,0)</f>
        <v>7033</v>
      </c>
      <c r="F792" s="257">
        <f>VLOOKUP(A792,import!A:J,6,0)</f>
        <v>254</v>
      </c>
      <c r="G792" s="257">
        <f>VLOOKUP(A792,import!A:J,7,0)</f>
        <v>10</v>
      </c>
      <c r="H792" s="257">
        <f>VLOOKUP(A792,import!A:J,8,0)</f>
        <v>90</v>
      </c>
      <c r="I792" s="257">
        <f>VLOOKUP(A792,import!A:J,9,0)</f>
        <v>100</v>
      </c>
      <c r="J792" s="369">
        <f>VLOOKUP(A792,import!A:J,10,0)</f>
        <v>0.1</v>
      </c>
      <c r="K792" s="257" t="s">
        <v>6292</v>
      </c>
      <c r="L792" s="257">
        <v>3.228820882E9</v>
      </c>
      <c r="M792" s="257" t="s">
        <v>3707</v>
      </c>
      <c r="N792" s="257" t="s">
        <v>4417</v>
      </c>
      <c r="O792" s="257" t="s">
        <v>6293</v>
      </c>
      <c r="P792" s="370" t="str">
        <f>VLOOKUP(A792,import!A:P,16,0)</f>
        <v>Geleneksel</v>
      </c>
      <c r="Q792" s="370"/>
      <c r="R792" s="370" t="b">
        <v>1</v>
      </c>
      <c r="S792" s="370" t="b">
        <v>1</v>
      </c>
      <c r="T792" s="300" t="s">
        <v>3735</v>
      </c>
      <c r="U792" s="301"/>
      <c r="V792" s="301"/>
      <c r="W792" s="301" t="s">
        <v>6294</v>
      </c>
      <c r="X792" s="371"/>
      <c r="Y792" s="371"/>
      <c r="Z792" s="377"/>
      <c r="AA792" s="373" t="s">
        <v>3695</v>
      </c>
      <c r="AB792" s="374">
        <v>44391.0</v>
      </c>
      <c r="AC792" s="373" t="s">
        <v>3682</v>
      </c>
      <c r="AD792" s="374">
        <v>44392.0</v>
      </c>
      <c r="AE792" s="92"/>
      <c r="AF792" s="375"/>
      <c r="AG792" s="92"/>
      <c r="AH792" s="375"/>
      <c r="AI792" s="375"/>
      <c r="AJ792" s="375"/>
      <c r="AK792" s="373" t="s">
        <v>3752</v>
      </c>
      <c r="AL792" s="373" t="s">
        <v>4089</v>
      </c>
      <c r="AM792" s="375"/>
      <c r="AN792" s="375"/>
      <c r="AO792" s="375"/>
      <c r="AP792" s="376" t="s">
        <v>3686</v>
      </c>
      <c r="AQ792" s="375"/>
    </row>
    <row r="793">
      <c r="A793" s="257" t="s">
        <v>6295</v>
      </c>
      <c r="B793" s="257" t="s">
        <v>6296</v>
      </c>
      <c r="C793" s="257" t="str">
        <f>VLOOKUP(A793,import!A:J,3,0)</f>
        <v>DOĞRU</v>
      </c>
      <c r="D793" s="257" t="s">
        <v>3994</v>
      </c>
      <c r="E793" s="257">
        <f>VLOOKUP(A793,import!A:J,5,0)</f>
        <v>1548</v>
      </c>
      <c r="F793" s="257">
        <f>VLOOKUP(A793,import!A:J,6,0)</f>
        <v>97</v>
      </c>
      <c r="G793" s="257">
        <f>VLOOKUP(A793,import!A:J,7,0)</f>
        <v>0</v>
      </c>
      <c r="H793" s="257">
        <f>VLOOKUP(A793,import!A:J,8,0)</f>
        <v>91</v>
      </c>
      <c r="I793" s="257">
        <f>VLOOKUP(A793,import!A:J,9,0)</f>
        <v>91</v>
      </c>
      <c r="J793" s="369">
        <f>VLOOKUP(A793,import!A:J,10,0)</f>
        <v>0</v>
      </c>
      <c r="K793" s="257" t="s">
        <v>6297</v>
      </c>
      <c r="L793" s="257">
        <v>3.224543704E9</v>
      </c>
      <c r="M793" s="257" t="s">
        <v>286</v>
      </c>
      <c r="N793" s="257" t="s">
        <v>3737</v>
      </c>
      <c r="O793" s="257" t="s">
        <v>6298</v>
      </c>
      <c r="P793" s="370" t="str">
        <f>VLOOKUP(A793,import!A:P,16,0)</f>
        <v>Geleneksel</v>
      </c>
      <c r="Q793" s="370"/>
      <c r="R793" s="370" t="b">
        <v>1</v>
      </c>
      <c r="S793" s="370" t="b">
        <v>0</v>
      </c>
      <c r="T793" s="301" t="s">
        <v>3710</v>
      </c>
      <c r="U793" s="379"/>
      <c r="V793" s="379"/>
      <c r="W793" s="301" t="s">
        <v>6299</v>
      </c>
      <c r="X793" s="381"/>
      <c r="Y793" s="381"/>
      <c r="Z793" s="372"/>
      <c r="AA793" s="373" t="s">
        <v>3682</v>
      </c>
      <c r="AB793" s="374">
        <v>44378.0</v>
      </c>
      <c r="AC793" s="373" t="s">
        <v>3695</v>
      </c>
      <c r="AD793" s="374">
        <v>44384.0</v>
      </c>
      <c r="AE793" s="373" t="s">
        <v>3682</v>
      </c>
      <c r="AF793" s="374">
        <v>44459.0</v>
      </c>
      <c r="AG793" s="373" t="s">
        <v>3682</v>
      </c>
      <c r="AH793" s="374">
        <v>44539.0</v>
      </c>
      <c r="AI793" s="375"/>
      <c r="AJ793" s="375"/>
      <c r="AK793" s="373" t="s">
        <v>111</v>
      </c>
      <c r="AL793" s="373" t="s">
        <v>3719</v>
      </c>
      <c r="AM793" s="373" t="s">
        <v>2542</v>
      </c>
      <c r="AN793" s="373" t="s">
        <v>3213</v>
      </c>
      <c r="AO793" s="375"/>
      <c r="AP793" s="376" t="s">
        <v>3683</v>
      </c>
      <c r="AQ793" s="375"/>
    </row>
    <row r="794">
      <c r="A794" s="257" t="s">
        <v>6300</v>
      </c>
      <c r="B794" s="257" t="s">
        <v>6301</v>
      </c>
      <c r="C794" s="257" t="str">
        <f>VLOOKUP(A794,import!A:J,3,0)</f>
        <v>DOĞRU</v>
      </c>
      <c r="D794" s="257" t="s">
        <v>3994</v>
      </c>
      <c r="E794" s="257">
        <f>VLOOKUP(A794,import!A:J,5,0)</f>
        <v>1229</v>
      </c>
      <c r="F794" s="257">
        <f>VLOOKUP(A794,import!A:J,6,0)</f>
        <v>64</v>
      </c>
      <c r="G794" s="257">
        <f>VLOOKUP(A794,import!A:J,7,0)</f>
        <v>0</v>
      </c>
      <c r="H794" s="257">
        <f>VLOOKUP(A794,import!A:J,8,0)</f>
        <v>44</v>
      </c>
      <c r="I794" s="257">
        <f>VLOOKUP(A794,import!A:J,9,0)</f>
        <v>44</v>
      </c>
      <c r="J794" s="369">
        <f>VLOOKUP(A794,import!A:J,10,0)</f>
        <v>0</v>
      </c>
      <c r="K794" s="257" t="s">
        <v>4322</v>
      </c>
      <c r="L794" s="257">
        <v>3.224441476E9</v>
      </c>
      <c r="M794" s="257" t="s">
        <v>286</v>
      </c>
      <c r="N794" s="257" t="s">
        <v>3855</v>
      </c>
      <c r="O794" s="257" t="s">
        <v>4323</v>
      </c>
      <c r="P794" s="370" t="str">
        <f>VLOOKUP(A794,import!A:P,16,0)</f>
        <v>Geleneksel</v>
      </c>
      <c r="Q794" s="370"/>
      <c r="R794" s="370" t="b">
        <v>1</v>
      </c>
      <c r="S794" s="370" t="b">
        <v>0</v>
      </c>
      <c r="T794" s="301" t="s">
        <v>3448</v>
      </c>
      <c r="U794" s="379"/>
      <c r="V794" s="379"/>
      <c r="W794" s="301" t="s">
        <v>6302</v>
      </c>
      <c r="X794" s="381"/>
      <c r="Y794" s="381"/>
      <c r="Z794" s="372"/>
      <c r="AA794" s="373" t="s">
        <v>3448</v>
      </c>
      <c r="AB794" s="374">
        <v>44427.0</v>
      </c>
      <c r="AC794" s="373" t="s">
        <v>3448</v>
      </c>
      <c r="AD794" s="374">
        <v>44442.0</v>
      </c>
      <c r="AE794" s="373" t="s">
        <v>3448</v>
      </c>
      <c r="AF794" s="374">
        <v>44452.0</v>
      </c>
      <c r="AG794" s="92"/>
      <c r="AH794" s="375"/>
      <c r="AI794" s="375"/>
      <c r="AJ794" s="375"/>
      <c r="AK794" s="373" t="s">
        <v>3723</v>
      </c>
      <c r="AL794" s="373" t="s">
        <v>399</v>
      </c>
      <c r="AM794" s="373" t="s">
        <v>2542</v>
      </c>
      <c r="AN794" s="375"/>
      <c r="AO794" s="375"/>
      <c r="AP794" s="376" t="s">
        <v>3686</v>
      </c>
      <c r="AQ794" s="375"/>
    </row>
    <row r="795">
      <c r="A795" s="257" t="s">
        <v>6303</v>
      </c>
      <c r="B795" s="257" t="s">
        <v>6304</v>
      </c>
      <c r="C795" s="257" t="str">
        <f>VLOOKUP(A795,import!A:J,3,0)</f>
        <v>YANLIŞ</v>
      </c>
      <c r="D795" s="257" t="s">
        <v>3994</v>
      </c>
      <c r="E795" s="257">
        <f>VLOOKUP(A795,import!A:J,5,0)</f>
        <v>1251</v>
      </c>
      <c r="F795" s="257" t="str">
        <f>VLOOKUP(A795,import!A:J,6,0)</f>
        <v/>
      </c>
      <c r="G795" s="257">
        <f>VLOOKUP(A795,import!A:J,7,0)</f>
        <v>0</v>
      </c>
      <c r="H795" s="257">
        <f>VLOOKUP(A795,import!A:J,8,0)</f>
        <v>18</v>
      </c>
      <c r="I795" s="257">
        <f>VLOOKUP(A795,import!A:J,9,0)</f>
        <v>18</v>
      </c>
      <c r="J795" s="369">
        <f>VLOOKUP(A795,import!A:J,10,0)</f>
        <v>0</v>
      </c>
      <c r="K795" s="257" t="s">
        <v>6305</v>
      </c>
      <c r="L795" s="257">
        <v>8.502269928E9</v>
      </c>
      <c r="M795" s="257" t="s">
        <v>286</v>
      </c>
      <c r="N795" s="257" t="s">
        <v>3806</v>
      </c>
      <c r="O795" s="257" t="s">
        <v>6306</v>
      </c>
      <c r="P795" s="370" t="str">
        <f>VLOOKUP(A795,import!A:P,16,0)</f>
        <v>Geleneksel</v>
      </c>
      <c r="Q795" s="370"/>
      <c r="R795" s="370" t="b">
        <v>1</v>
      </c>
      <c r="S795" s="370" t="b">
        <v>0</v>
      </c>
      <c r="T795" s="301" t="s">
        <v>3710</v>
      </c>
      <c r="U795" s="301"/>
      <c r="V795" s="301"/>
      <c r="W795" s="301" t="s">
        <v>6307</v>
      </c>
      <c r="X795" s="371"/>
      <c r="Y795" s="371"/>
      <c r="Z795" s="377"/>
      <c r="AA795" s="373" t="s">
        <v>3695</v>
      </c>
      <c r="AB795" s="374">
        <v>44386.0</v>
      </c>
      <c r="AC795" s="373" t="s">
        <v>3695</v>
      </c>
      <c r="AD795" s="374">
        <v>44476.0</v>
      </c>
      <c r="AE795" s="373" t="s">
        <v>3681</v>
      </c>
      <c r="AF795" s="374">
        <v>44508.0</v>
      </c>
      <c r="AG795" s="92"/>
      <c r="AH795" s="375"/>
      <c r="AI795" s="375"/>
      <c r="AJ795" s="375"/>
      <c r="AK795" s="373" t="s">
        <v>399</v>
      </c>
      <c r="AL795" s="373" t="s">
        <v>79</v>
      </c>
      <c r="AM795" s="373" t="s">
        <v>2192</v>
      </c>
      <c r="AN795" s="375"/>
      <c r="AO795" s="375"/>
      <c r="AP795" s="376" t="s">
        <v>3686</v>
      </c>
      <c r="AQ795" s="375"/>
    </row>
    <row r="796">
      <c r="A796" s="257" t="s">
        <v>2507</v>
      </c>
      <c r="B796" s="257" t="s">
        <v>2508</v>
      </c>
      <c r="C796" s="257" t="str">
        <f>VLOOKUP(A796,import!A:J,3,0)</f>
        <v>DOĞRU</v>
      </c>
      <c r="D796" s="257" t="s">
        <v>3676</v>
      </c>
      <c r="E796" s="257">
        <f>VLOOKUP(A796,import!A:J,5,0)</f>
        <v>801</v>
      </c>
      <c r="F796" s="257">
        <f>VLOOKUP(A796,import!A:J,6,0)</f>
        <v>32</v>
      </c>
      <c r="G796" s="257">
        <f>VLOOKUP(A796,import!A:J,7,0)</f>
        <v>16</v>
      </c>
      <c r="H796" s="257">
        <f>VLOOKUP(A796,import!A:J,8,0)</f>
        <v>16</v>
      </c>
      <c r="I796" s="257">
        <f>VLOOKUP(A796,import!A:J,9,0)</f>
        <v>32</v>
      </c>
      <c r="J796" s="369">
        <f>VLOOKUP(A796,import!A:J,10,0)</f>
        <v>0.5</v>
      </c>
      <c r="K796" s="257" t="s">
        <v>6308</v>
      </c>
      <c r="L796" s="257">
        <v>5.384527498E9</v>
      </c>
      <c r="M796" s="257" t="s">
        <v>14</v>
      </c>
      <c r="N796" s="257" t="s">
        <v>3935</v>
      </c>
      <c r="O796" s="257" t="s">
        <v>2510</v>
      </c>
      <c r="P796" s="370" t="str">
        <f>VLOOKUP(A796,import!A:P,16,0)</f>
        <v>Geleneksel</v>
      </c>
      <c r="Q796" s="370"/>
      <c r="R796" s="370" t="b">
        <v>1</v>
      </c>
      <c r="S796" s="370" t="b">
        <v>0</v>
      </c>
      <c r="T796" s="301" t="s">
        <v>3679</v>
      </c>
      <c r="U796" s="301" t="s">
        <v>79</v>
      </c>
      <c r="V796" s="301" t="s">
        <v>78</v>
      </c>
      <c r="W796" s="301" t="s">
        <v>6309</v>
      </c>
      <c r="X796" s="371">
        <v>44455.0</v>
      </c>
      <c r="Y796" s="371">
        <v>44456.0</v>
      </c>
      <c r="Z796" s="372"/>
      <c r="AA796" s="373" t="s">
        <v>3682</v>
      </c>
      <c r="AB796" s="374">
        <v>44440.0</v>
      </c>
      <c r="AC796" s="375"/>
      <c r="AD796" s="375"/>
      <c r="AE796" s="92"/>
      <c r="AF796" s="375"/>
      <c r="AG796" s="92"/>
      <c r="AH796" s="375"/>
      <c r="AI796" s="375"/>
      <c r="AJ796" s="375"/>
      <c r="AK796" s="373" t="s">
        <v>2542</v>
      </c>
      <c r="AL796" s="375"/>
      <c r="AM796" s="375"/>
      <c r="AN796" s="375"/>
      <c r="AO796" s="375"/>
      <c r="AP796" s="376" t="s">
        <v>3683</v>
      </c>
      <c r="AQ796" s="375"/>
    </row>
    <row r="797">
      <c r="A797" s="257" t="s">
        <v>571</v>
      </c>
      <c r="B797" s="257" t="s">
        <v>572</v>
      </c>
      <c r="C797" s="257" t="str">
        <f>VLOOKUP(A797,import!A:J,3,0)</f>
        <v>DOĞRU</v>
      </c>
      <c r="D797" s="257" t="s">
        <v>3676</v>
      </c>
      <c r="E797" s="257">
        <f>VLOOKUP(A797,import!A:J,5,0)</f>
        <v>6397</v>
      </c>
      <c r="F797" s="257">
        <f>VLOOKUP(A797,import!A:J,6,0)</f>
        <v>239</v>
      </c>
      <c r="G797" s="257">
        <f>VLOOKUP(A797,import!A:J,7,0)</f>
        <v>4</v>
      </c>
      <c r="H797" s="257">
        <f>VLOOKUP(A797,import!A:J,8,0)</f>
        <v>2</v>
      </c>
      <c r="I797" s="257">
        <f>VLOOKUP(A797,import!A:J,9,0)</f>
        <v>6</v>
      </c>
      <c r="J797" s="369">
        <f>VLOOKUP(A797,import!A:J,10,0)</f>
        <v>0.67</v>
      </c>
      <c r="K797" s="257" t="s">
        <v>6310</v>
      </c>
      <c r="L797" s="257">
        <v>5.07445459E9</v>
      </c>
      <c r="M797" s="257" t="s">
        <v>14</v>
      </c>
      <c r="N797" s="257" t="s">
        <v>3767</v>
      </c>
      <c r="O797" s="257" t="s">
        <v>574</v>
      </c>
      <c r="P797" s="370" t="str">
        <f>VLOOKUP(A797,import!A:P,16,0)</f>
        <v>Geleneksel</v>
      </c>
      <c r="Q797" s="370"/>
      <c r="R797" s="370" t="b">
        <v>1</v>
      </c>
      <c r="S797" s="370" t="b">
        <v>0</v>
      </c>
      <c r="T797" s="301" t="s">
        <v>3679</v>
      </c>
      <c r="U797" s="415" t="s">
        <v>6311</v>
      </c>
      <c r="V797" s="301" t="s">
        <v>78</v>
      </c>
      <c r="W797" s="301"/>
      <c r="X797" s="371">
        <v>44424.0</v>
      </c>
      <c r="Y797" s="371">
        <v>44427.0</v>
      </c>
      <c r="Z797" s="377"/>
      <c r="AA797" s="373" t="s">
        <v>3682</v>
      </c>
      <c r="AB797" s="374">
        <v>44356.0</v>
      </c>
      <c r="AC797" s="373" t="s">
        <v>3448</v>
      </c>
      <c r="AD797" s="374">
        <v>44421.0</v>
      </c>
      <c r="AE797" s="373" t="s">
        <v>3682</v>
      </c>
      <c r="AF797" s="374">
        <v>44424.0</v>
      </c>
      <c r="AG797" s="92"/>
      <c r="AH797" s="375"/>
      <c r="AI797" s="375"/>
      <c r="AJ797" s="375"/>
      <c r="AK797" s="373" t="s">
        <v>2706</v>
      </c>
      <c r="AL797" s="373" t="s">
        <v>1947</v>
      </c>
      <c r="AM797" s="373" t="s">
        <v>1953</v>
      </c>
      <c r="AN797" s="375"/>
      <c r="AO797" s="375"/>
      <c r="AP797" s="376" t="s">
        <v>3683</v>
      </c>
      <c r="AQ797" s="375"/>
    </row>
    <row r="798">
      <c r="A798" s="257" t="s">
        <v>2993</v>
      </c>
      <c r="B798" s="257" t="s">
        <v>2994</v>
      </c>
      <c r="C798" s="257" t="str">
        <f>VLOOKUP(A798,import!A:J,3,0)</f>
        <v>DOĞRU</v>
      </c>
      <c r="D798" s="257" t="s">
        <v>3878</v>
      </c>
      <c r="E798" s="257">
        <f>VLOOKUP(A798,import!A:J,5,0)</f>
        <v>151</v>
      </c>
      <c r="F798" s="257">
        <f>VLOOKUP(A798,import!A:J,6,0)</f>
        <v>26</v>
      </c>
      <c r="G798" s="257">
        <f>VLOOKUP(A798,import!A:J,7,0)</f>
        <v>0</v>
      </c>
      <c r="H798" s="257">
        <f>VLOOKUP(A798,import!A:J,8,0)</f>
        <v>65</v>
      </c>
      <c r="I798" s="257">
        <f>VLOOKUP(A798,import!A:J,9,0)</f>
        <v>65</v>
      </c>
      <c r="J798" s="369">
        <f>VLOOKUP(A798,import!A:J,10,0)</f>
        <v>0</v>
      </c>
      <c r="K798" s="257" t="s">
        <v>6312</v>
      </c>
      <c r="L798" s="257">
        <v>5.050703611E9</v>
      </c>
      <c r="M798" s="257" t="s">
        <v>286</v>
      </c>
      <c r="N798" s="257" t="s">
        <v>3737</v>
      </c>
      <c r="O798" s="257" t="s">
        <v>2996</v>
      </c>
      <c r="P798" s="370" t="s">
        <v>3941</v>
      </c>
      <c r="Q798" s="370"/>
      <c r="R798" s="370" t="b">
        <v>1</v>
      </c>
      <c r="S798" s="370" t="b">
        <v>0</v>
      </c>
      <c r="T798" s="301" t="s">
        <v>3787</v>
      </c>
      <c r="U798" s="301" t="s">
        <v>2542</v>
      </c>
      <c r="V798" s="301" t="s">
        <v>78</v>
      </c>
      <c r="W798" s="301"/>
      <c r="X798" s="371">
        <v>44502.0</v>
      </c>
      <c r="Y798" s="371">
        <v>44503.0</v>
      </c>
      <c r="Z798" s="372"/>
      <c r="AA798" s="373" t="s">
        <v>3682</v>
      </c>
      <c r="AB798" s="374">
        <v>44502.0</v>
      </c>
      <c r="AC798" s="373"/>
      <c r="AD798" s="374"/>
      <c r="AE798" s="373"/>
      <c r="AF798" s="374"/>
      <c r="AG798" s="373"/>
      <c r="AH798" s="374"/>
      <c r="AI798" s="375"/>
      <c r="AJ798" s="375"/>
      <c r="AK798" s="373" t="s">
        <v>2542</v>
      </c>
      <c r="AL798" s="375"/>
      <c r="AM798" s="375"/>
      <c r="AN798" s="373"/>
      <c r="AO798" s="375"/>
      <c r="AP798" s="376" t="s">
        <v>3683</v>
      </c>
      <c r="AQ798" s="375"/>
    </row>
    <row r="799">
      <c r="A799" s="257" t="s">
        <v>6313</v>
      </c>
      <c r="B799" s="257" t="s">
        <v>6314</v>
      </c>
      <c r="C799" s="257" t="str">
        <f>VLOOKUP(A799,import!A:J,3,0)</f>
        <v>DOĞRU</v>
      </c>
      <c r="D799" s="257" t="s">
        <v>3994</v>
      </c>
      <c r="E799" s="257">
        <f>VLOOKUP(A799,import!A:J,5,0)</f>
        <v>106</v>
      </c>
      <c r="F799" s="257" t="str">
        <f>VLOOKUP(A799,import!A:J,6,0)</f>
        <v/>
      </c>
      <c r="G799" s="257">
        <f>VLOOKUP(A799,import!A:J,7,0)</f>
        <v>0</v>
      </c>
      <c r="H799" s="257">
        <f>VLOOKUP(A799,import!A:J,8,0)</f>
        <v>12</v>
      </c>
      <c r="I799" s="257">
        <f>VLOOKUP(A799,import!A:J,9,0)</f>
        <v>12</v>
      </c>
      <c r="J799" s="369">
        <f>VLOOKUP(A799,import!A:J,10,0)</f>
        <v>0</v>
      </c>
      <c r="K799" s="257" t="s">
        <v>6315</v>
      </c>
      <c r="L799" s="257">
        <v>3.222616261E9</v>
      </c>
      <c r="M799" s="257" t="s">
        <v>286</v>
      </c>
      <c r="N799" s="257" t="s">
        <v>3746</v>
      </c>
      <c r="O799" s="257" t="s">
        <v>6316</v>
      </c>
      <c r="P799" s="370" t="str">
        <f>VLOOKUP(A799,import!A:P,16,0)</f>
        <v>Geleneksel</v>
      </c>
      <c r="Q799" s="370"/>
      <c r="R799" s="370" t="b">
        <v>1</v>
      </c>
      <c r="S799" s="370" t="b">
        <v>0</v>
      </c>
      <c r="T799" s="301" t="s">
        <v>3696</v>
      </c>
      <c r="U799" s="379"/>
      <c r="V799" s="379"/>
      <c r="W799" s="416" t="s">
        <v>6317</v>
      </c>
      <c r="X799" s="381"/>
      <c r="Y799" s="381"/>
      <c r="Z799" s="372"/>
      <c r="AA799" s="373" t="s">
        <v>3682</v>
      </c>
      <c r="AB799" s="374">
        <v>44389.0</v>
      </c>
      <c r="AC799" s="373" t="s">
        <v>3448</v>
      </c>
      <c r="AD799" s="374">
        <v>44427.0</v>
      </c>
      <c r="AE799" s="373" t="s">
        <v>3682</v>
      </c>
      <c r="AF799" s="374">
        <v>44434.0</v>
      </c>
      <c r="AG799" s="373" t="s">
        <v>3696</v>
      </c>
      <c r="AH799" s="374">
        <v>44460.0</v>
      </c>
      <c r="AI799" s="373" t="s">
        <v>3448</v>
      </c>
      <c r="AJ799" s="374">
        <v>44481.0</v>
      </c>
      <c r="AK799" s="373" t="s">
        <v>4089</v>
      </c>
      <c r="AL799" s="373" t="s">
        <v>3723</v>
      </c>
      <c r="AM799" s="373" t="s">
        <v>3723</v>
      </c>
      <c r="AN799" s="373" t="s">
        <v>79</v>
      </c>
      <c r="AO799" s="373" t="s">
        <v>2542</v>
      </c>
      <c r="AP799" s="376" t="s">
        <v>3686</v>
      </c>
      <c r="AQ799" s="373"/>
    </row>
    <row r="800">
      <c r="A800" s="257" t="s">
        <v>1459</v>
      </c>
      <c r="B800" s="257" t="s">
        <v>1460</v>
      </c>
      <c r="C800" s="257" t="str">
        <f>VLOOKUP(A800,import!A:J,3,0)</f>
        <v>DOĞRU</v>
      </c>
      <c r="D800" s="257" t="s">
        <v>3713</v>
      </c>
      <c r="E800" s="257">
        <f>VLOOKUP(A800,import!A:J,5,0)</f>
        <v>4395</v>
      </c>
      <c r="F800" s="257">
        <f>VLOOKUP(A800,import!A:J,6,0)</f>
        <v>233</v>
      </c>
      <c r="G800" s="257">
        <f>VLOOKUP(A800,import!A:J,7,0)</f>
        <v>19</v>
      </c>
      <c r="H800" s="257">
        <f>VLOOKUP(A800,import!A:J,8,0)</f>
        <v>6</v>
      </c>
      <c r="I800" s="257">
        <f>VLOOKUP(A800,import!A:J,9,0)</f>
        <v>25</v>
      </c>
      <c r="J800" s="369">
        <f>VLOOKUP(A800,import!A:J,10,0)</f>
        <v>0.76</v>
      </c>
      <c r="K800" s="257" t="s">
        <v>6318</v>
      </c>
      <c r="L800" s="257">
        <v>5.051377547E9</v>
      </c>
      <c r="M800" s="257" t="s">
        <v>3707</v>
      </c>
      <c r="N800" s="257" t="s">
        <v>4570</v>
      </c>
      <c r="O800" s="257" t="s">
        <v>6319</v>
      </c>
      <c r="P800" s="370" t="str">
        <f>VLOOKUP(A800,import!A:P,16,0)</f>
        <v>Geleneksel</v>
      </c>
      <c r="Q800" s="370"/>
      <c r="R800" s="370" t="b">
        <v>1</v>
      </c>
      <c r="S800" s="370" t="b">
        <v>0</v>
      </c>
      <c r="T800" s="301" t="s">
        <v>3679</v>
      </c>
      <c r="U800" s="301" t="s">
        <v>1014</v>
      </c>
      <c r="V800" s="301" t="s">
        <v>78</v>
      </c>
      <c r="W800" s="301" t="s">
        <v>6320</v>
      </c>
      <c r="X800" s="371">
        <v>44391.0</v>
      </c>
      <c r="Y800" s="371">
        <v>44392.0</v>
      </c>
      <c r="Z800" s="301" t="s">
        <v>3957</v>
      </c>
      <c r="AA800" s="373" t="s">
        <v>3682</v>
      </c>
      <c r="AB800" s="374">
        <v>44390.0</v>
      </c>
      <c r="AC800" s="373" t="s">
        <v>3682</v>
      </c>
      <c r="AD800" s="374">
        <v>44391.0</v>
      </c>
      <c r="AE800" s="92"/>
      <c r="AF800" s="375"/>
      <c r="AG800" s="92"/>
      <c r="AH800" s="375"/>
      <c r="AI800" s="375"/>
      <c r="AJ800" s="375"/>
      <c r="AK800" s="373" t="s">
        <v>3719</v>
      </c>
      <c r="AL800" s="373" t="s">
        <v>1014</v>
      </c>
      <c r="AM800" s="375"/>
      <c r="AN800" s="375"/>
      <c r="AO800" s="375"/>
      <c r="AP800" s="376" t="s">
        <v>3686</v>
      </c>
      <c r="AQ800" s="375"/>
    </row>
    <row r="801">
      <c r="A801" s="257" t="s">
        <v>1510</v>
      </c>
      <c r="B801" s="257" t="s">
        <v>1511</v>
      </c>
      <c r="C801" s="257" t="str">
        <f>VLOOKUP(A801,import!A:J,3,0)</f>
        <v>DOĞRU</v>
      </c>
      <c r="D801" s="257" t="s">
        <v>3713</v>
      </c>
      <c r="E801" s="257">
        <f>VLOOKUP(A801,import!A:J,5,0)</f>
        <v>885</v>
      </c>
      <c r="F801" s="257">
        <f>VLOOKUP(A801,import!A:J,6,0)</f>
        <v>40</v>
      </c>
      <c r="G801" s="257">
        <f>VLOOKUP(A801,import!A:J,7,0)</f>
        <v>10</v>
      </c>
      <c r="H801" s="257">
        <f>VLOOKUP(A801,import!A:J,8,0)</f>
        <v>8</v>
      </c>
      <c r="I801" s="257">
        <f>VLOOKUP(A801,import!A:J,9,0)</f>
        <v>18</v>
      </c>
      <c r="J801" s="369">
        <f>VLOOKUP(A801,import!A:J,10,0)</f>
        <v>0.56</v>
      </c>
      <c r="K801" s="257" t="s">
        <v>6321</v>
      </c>
      <c r="L801" s="257">
        <v>5.051254865E9</v>
      </c>
      <c r="M801" s="257" t="s">
        <v>3707</v>
      </c>
      <c r="N801" s="257" t="s">
        <v>5130</v>
      </c>
      <c r="O801" s="257" t="s">
        <v>6322</v>
      </c>
      <c r="P801" s="370" t="str">
        <f>VLOOKUP(A801,import!A:P,16,0)</f>
        <v>Geleneksel</v>
      </c>
      <c r="Q801" s="370"/>
      <c r="R801" s="370" t="b">
        <v>1</v>
      </c>
      <c r="S801" s="370" t="b">
        <v>0</v>
      </c>
      <c r="T801" s="301" t="s">
        <v>3679</v>
      </c>
      <c r="U801" s="301" t="s">
        <v>4088</v>
      </c>
      <c r="V801" s="301" t="s">
        <v>78</v>
      </c>
      <c r="W801" s="301" t="s">
        <v>6323</v>
      </c>
      <c r="X801" s="371">
        <v>44390.0</v>
      </c>
      <c r="Y801" s="371">
        <v>44393.0</v>
      </c>
      <c r="Z801" s="301" t="s">
        <v>3957</v>
      </c>
      <c r="AA801" s="373" t="s">
        <v>3682</v>
      </c>
      <c r="AB801" s="374">
        <v>44390.0</v>
      </c>
      <c r="AC801" s="375"/>
      <c r="AD801" s="375"/>
      <c r="AE801" s="92"/>
      <c r="AF801" s="375"/>
      <c r="AG801" s="92"/>
      <c r="AH801" s="375"/>
      <c r="AI801" s="375"/>
      <c r="AJ801" s="375"/>
      <c r="AK801" s="373" t="s">
        <v>4088</v>
      </c>
      <c r="AL801" s="375"/>
      <c r="AM801" s="375"/>
      <c r="AN801" s="375"/>
      <c r="AO801" s="375"/>
      <c r="AP801" s="376" t="s">
        <v>3686</v>
      </c>
      <c r="AQ801" s="375"/>
    </row>
    <row r="802">
      <c r="A802" s="257" t="s">
        <v>689</v>
      </c>
      <c r="B802" s="257" t="s">
        <v>690</v>
      </c>
      <c r="C802" s="257" t="str">
        <f>VLOOKUP(A802,import!A:J,3,0)</f>
        <v>YANLIŞ</v>
      </c>
      <c r="D802" s="257" t="s">
        <v>3676</v>
      </c>
      <c r="E802" s="257">
        <f>VLOOKUP(A802,import!A:J,5,0)</f>
        <v>3305</v>
      </c>
      <c r="F802" s="257" t="str">
        <f>VLOOKUP(A802,import!A:J,6,0)</f>
        <v/>
      </c>
      <c r="G802" s="257">
        <f>VLOOKUP(A802,import!A:J,7,0)</f>
        <v>33</v>
      </c>
      <c r="H802" s="257">
        <f>VLOOKUP(A802,import!A:J,8,0)</f>
        <v>11</v>
      </c>
      <c r="I802" s="257">
        <f>VLOOKUP(A802,import!A:J,9,0)</f>
        <v>44</v>
      </c>
      <c r="J802" s="369">
        <f>VLOOKUP(A802,import!A:J,10,0)</f>
        <v>0.75</v>
      </c>
      <c r="K802" s="257" t="s">
        <v>6324</v>
      </c>
      <c r="L802" s="257">
        <v>5.45432809E9</v>
      </c>
      <c r="M802" s="257" t="s">
        <v>14</v>
      </c>
      <c r="N802" s="257" t="s">
        <v>3733</v>
      </c>
      <c r="O802" s="257" t="s">
        <v>692</v>
      </c>
      <c r="P802" s="370" t="str">
        <f>VLOOKUP(A802,import!A:P,16,0)</f>
        <v>Geleneksel</v>
      </c>
      <c r="Q802" s="370"/>
      <c r="R802" s="370" t="b">
        <v>1</v>
      </c>
      <c r="S802" s="370" t="b">
        <v>0</v>
      </c>
      <c r="T802" s="301" t="s">
        <v>3679</v>
      </c>
      <c r="U802" s="301" t="s">
        <v>399</v>
      </c>
      <c r="V802" s="301" t="s">
        <v>78</v>
      </c>
      <c r="W802" s="301" t="s">
        <v>6325</v>
      </c>
      <c r="X802" s="371">
        <v>44382.0</v>
      </c>
      <c r="Y802" s="371">
        <v>44384.0</v>
      </c>
      <c r="Z802" s="377"/>
      <c r="AA802" s="373" t="s">
        <v>3682</v>
      </c>
      <c r="AB802" s="374">
        <v>44382.0</v>
      </c>
      <c r="AC802" s="375"/>
      <c r="AD802" s="375"/>
      <c r="AE802" s="92"/>
      <c r="AF802" s="375"/>
      <c r="AG802" s="92"/>
      <c r="AH802" s="375"/>
      <c r="AI802" s="375"/>
      <c r="AJ802" s="375"/>
      <c r="AK802" s="373" t="s">
        <v>399</v>
      </c>
      <c r="AL802" s="375"/>
      <c r="AM802" s="375"/>
      <c r="AN802" s="375"/>
      <c r="AO802" s="375"/>
      <c r="AP802" s="376" t="s">
        <v>3683</v>
      </c>
      <c r="AQ802" s="375"/>
    </row>
    <row r="803">
      <c r="A803" s="257" t="s">
        <v>1762</v>
      </c>
      <c r="B803" s="257" t="s">
        <v>1763</v>
      </c>
      <c r="C803" s="257" t="str">
        <f>VLOOKUP(A803,import!A:J,3,0)</f>
        <v>DOĞRU</v>
      </c>
      <c r="D803" s="257" t="s">
        <v>4249</v>
      </c>
      <c r="E803" s="257">
        <f>VLOOKUP(A803,import!A:J,5,0)</f>
        <v>1594</v>
      </c>
      <c r="F803" s="257">
        <f>VLOOKUP(A803,import!A:J,6,0)</f>
        <v>137</v>
      </c>
      <c r="G803" s="257">
        <f>VLOOKUP(A803,import!A:J,7,0)</f>
        <v>25</v>
      </c>
      <c r="H803" s="257">
        <f>VLOOKUP(A803,import!A:J,8,0)</f>
        <v>10</v>
      </c>
      <c r="I803" s="257">
        <f>VLOOKUP(A803,import!A:J,9,0)</f>
        <v>35</v>
      </c>
      <c r="J803" s="369">
        <f>VLOOKUP(A803,import!A:J,10,0)</f>
        <v>0.71</v>
      </c>
      <c r="K803" s="257" t="s">
        <v>6326</v>
      </c>
      <c r="L803" s="257">
        <v>5.331441753E9</v>
      </c>
      <c r="M803" s="257" t="s">
        <v>286</v>
      </c>
      <c r="N803" s="257" t="s">
        <v>4135</v>
      </c>
      <c r="O803" s="257" t="s">
        <v>1766</v>
      </c>
      <c r="P803" s="370" t="str">
        <f>VLOOKUP(A803,import!A:P,16,0)</f>
        <v>Geleneksel</v>
      </c>
      <c r="Q803" s="370"/>
      <c r="R803" s="370" t="b">
        <v>1</v>
      </c>
      <c r="S803" s="370" t="b">
        <v>0</v>
      </c>
      <c r="T803" s="301" t="s">
        <v>3679</v>
      </c>
      <c r="U803" s="301" t="s">
        <v>3729</v>
      </c>
      <c r="V803" s="301" t="s">
        <v>78</v>
      </c>
      <c r="W803" s="301"/>
      <c r="X803" s="371">
        <v>44412.0</v>
      </c>
      <c r="Y803" s="417">
        <v>44417.0</v>
      </c>
      <c r="Z803" s="372"/>
      <c r="AA803" s="373" t="s">
        <v>3682</v>
      </c>
      <c r="AB803" s="374">
        <v>44412.0</v>
      </c>
      <c r="AC803" s="375"/>
      <c r="AD803" s="375"/>
      <c r="AE803" s="92"/>
      <c r="AF803" s="375"/>
      <c r="AG803" s="92"/>
      <c r="AH803" s="375"/>
      <c r="AI803" s="375"/>
      <c r="AJ803" s="375"/>
      <c r="AK803" s="373" t="s">
        <v>3729</v>
      </c>
      <c r="AL803" s="375"/>
      <c r="AM803" s="375"/>
      <c r="AN803" s="375"/>
      <c r="AO803" s="375"/>
      <c r="AP803" s="376" t="s">
        <v>3686</v>
      </c>
      <c r="AQ803" s="375"/>
    </row>
    <row r="804">
      <c r="A804" s="257" t="s">
        <v>6327</v>
      </c>
      <c r="B804" s="257" t="s">
        <v>6328</v>
      </c>
      <c r="C804" s="257" t="str">
        <f>VLOOKUP(A804,import!A:J,3,0)</f>
        <v>DOĞRU</v>
      </c>
      <c r="D804" s="257" t="s">
        <v>3676</v>
      </c>
      <c r="E804" s="257">
        <f>VLOOKUP(A804,import!A:J,5,0)</f>
        <v>2927</v>
      </c>
      <c r="F804" s="257" t="str">
        <f>VLOOKUP(A804,import!A:J,6,0)</f>
        <v/>
      </c>
      <c r="G804" s="257">
        <f>VLOOKUP(A804,import!A:J,7,0)</f>
        <v>0</v>
      </c>
      <c r="H804" s="257">
        <f>VLOOKUP(A804,import!A:J,8,0)</f>
        <v>7</v>
      </c>
      <c r="I804" s="257">
        <f>VLOOKUP(A804,import!A:J,9,0)</f>
        <v>7</v>
      </c>
      <c r="J804" s="369">
        <f>VLOOKUP(A804,import!A:J,10,0)</f>
        <v>0</v>
      </c>
      <c r="K804" s="257" t="s">
        <v>6329</v>
      </c>
      <c r="L804" s="257">
        <v>5.437287117E9</v>
      </c>
      <c r="M804" s="257" t="s">
        <v>286</v>
      </c>
      <c r="N804" s="257" t="s">
        <v>3855</v>
      </c>
      <c r="O804" s="257" t="s">
        <v>6330</v>
      </c>
      <c r="P804" s="370" t="str">
        <f>VLOOKUP(A804,import!A:P,16,0)</f>
        <v>Geleneksel</v>
      </c>
      <c r="Q804" s="370"/>
      <c r="R804" s="370" t="b">
        <v>1</v>
      </c>
      <c r="S804" s="370" t="b">
        <v>1</v>
      </c>
      <c r="T804" s="301"/>
      <c r="U804" s="301"/>
      <c r="V804" s="301"/>
      <c r="W804" s="301" t="s">
        <v>6331</v>
      </c>
      <c r="X804" s="371"/>
      <c r="Y804" s="371"/>
      <c r="Z804" s="377"/>
      <c r="AA804" s="373" t="s">
        <v>3682</v>
      </c>
      <c r="AB804" s="374">
        <v>44441.0</v>
      </c>
      <c r="AC804" s="373" t="s">
        <v>3682</v>
      </c>
      <c r="AD804" s="374">
        <v>44452.0</v>
      </c>
      <c r="AE804" s="373" t="s">
        <v>3682</v>
      </c>
      <c r="AF804" s="374">
        <v>44474.0</v>
      </c>
      <c r="AG804" s="373" t="s">
        <v>3682</v>
      </c>
      <c r="AH804" s="374">
        <v>44537.0</v>
      </c>
      <c r="AI804" s="375"/>
      <c r="AJ804" s="375"/>
      <c r="AK804" s="373" t="s">
        <v>2542</v>
      </c>
      <c r="AL804" s="373" t="s">
        <v>2542</v>
      </c>
      <c r="AM804" s="373" t="s">
        <v>2542</v>
      </c>
      <c r="AN804" s="373" t="s">
        <v>3213</v>
      </c>
      <c r="AO804" s="375"/>
      <c r="AP804" s="376" t="s">
        <v>3686</v>
      </c>
      <c r="AQ804" s="375"/>
    </row>
    <row r="805">
      <c r="A805" s="257" t="s">
        <v>6332</v>
      </c>
      <c r="B805" s="257" t="s">
        <v>6333</v>
      </c>
      <c r="C805" s="257" t="str">
        <f>VLOOKUP(A805,import!A:J,3,0)</f>
        <v>DOĞRU</v>
      </c>
      <c r="D805" s="257" t="s">
        <v>3699</v>
      </c>
      <c r="E805" s="257">
        <f>VLOOKUP(A805,import!A:J,5,0)</f>
        <v>3158</v>
      </c>
      <c r="F805" s="257" t="str">
        <f>VLOOKUP(A805,import!A:J,6,0)</f>
        <v/>
      </c>
      <c r="G805" s="257">
        <f>VLOOKUP(A805,import!A:J,7,0)</f>
        <v>13</v>
      </c>
      <c r="H805" s="257">
        <f>VLOOKUP(A805,import!A:J,8,0)</f>
        <v>32</v>
      </c>
      <c r="I805" s="257">
        <f>VLOOKUP(A805,import!A:J,9,0)</f>
        <v>45</v>
      </c>
      <c r="J805" s="369">
        <f>VLOOKUP(A805,import!A:J,10,0)</f>
        <v>0.29</v>
      </c>
      <c r="K805" s="257" t="s">
        <v>6334</v>
      </c>
      <c r="L805" s="257">
        <v>5.411520102E9</v>
      </c>
      <c r="M805" s="257" t="s">
        <v>14</v>
      </c>
      <c r="N805" s="257" t="s">
        <v>3935</v>
      </c>
      <c r="O805" s="257" t="s">
        <v>6335</v>
      </c>
      <c r="P805" s="370" t="str">
        <f>VLOOKUP(A805,import!A:P,16,0)</f>
        <v>Geleneksel</v>
      </c>
      <c r="Q805" s="370"/>
      <c r="R805" s="370" t="b">
        <v>1</v>
      </c>
      <c r="S805" s="370" t="b">
        <v>0</v>
      </c>
      <c r="T805" s="301" t="s">
        <v>3735</v>
      </c>
      <c r="U805" s="379"/>
      <c r="V805" s="379"/>
      <c r="W805" s="301" t="s">
        <v>6336</v>
      </c>
      <c r="X805" s="381"/>
      <c r="Y805" s="381"/>
      <c r="Z805" s="372"/>
      <c r="AA805" s="373" t="s">
        <v>3682</v>
      </c>
      <c r="AB805" s="374">
        <v>44375.0</v>
      </c>
      <c r="AC805" s="375"/>
      <c r="AD805" s="375"/>
      <c r="AE805" s="92"/>
      <c r="AF805" s="375"/>
      <c r="AG805" s="92"/>
      <c r="AH805" s="375"/>
      <c r="AI805" s="375"/>
      <c r="AJ805" s="375"/>
      <c r="AK805" s="375"/>
      <c r="AL805" s="375"/>
      <c r="AM805" s="375"/>
      <c r="AN805" s="375"/>
      <c r="AO805" s="375"/>
      <c r="AP805" s="376" t="s">
        <v>3683</v>
      </c>
      <c r="AQ805" s="375"/>
    </row>
    <row r="806">
      <c r="A806" s="257" t="s">
        <v>1176</v>
      </c>
      <c r="B806" s="257" t="s">
        <v>1177</v>
      </c>
      <c r="C806" s="257" t="str">
        <f>VLOOKUP(A806,import!A:J,3,0)</f>
        <v>DOĞRU</v>
      </c>
      <c r="D806" s="257" t="s">
        <v>3699</v>
      </c>
      <c r="E806" s="257">
        <f>VLOOKUP(A806,import!A:J,5,0)</f>
        <v>8566</v>
      </c>
      <c r="F806" s="257">
        <f>VLOOKUP(A806,import!A:J,6,0)</f>
        <v>282</v>
      </c>
      <c r="G806" s="257">
        <f>VLOOKUP(A806,import!A:J,7,0)</f>
        <v>82</v>
      </c>
      <c r="H806" s="257">
        <f>VLOOKUP(A806,import!A:J,8,0)</f>
        <v>27</v>
      </c>
      <c r="I806" s="257">
        <f>VLOOKUP(A806,import!A:J,9,0)</f>
        <v>109</v>
      </c>
      <c r="J806" s="369">
        <f>VLOOKUP(A806,import!A:J,10,0)</f>
        <v>0.75</v>
      </c>
      <c r="K806" s="257" t="s">
        <v>6337</v>
      </c>
      <c r="L806" s="257">
        <v>4440831.0</v>
      </c>
      <c r="M806" s="257" t="s">
        <v>14</v>
      </c>
      <c r="N806" s="257" t="s">
        <v>3797</v>
      </c>
      <c r="O806" s="257" t="s">
        <v>1179</v>
      </c>
      <c r="P806" s="370" t="str">
        <f>VLOOKUP(A806,import!A:P,16,0)</f>
        <v>Geleneksel</v>
      </c>
      <c r="Q806" s="370"/>
      <c r="R806" s="370" t="b">
        <v>1</v>
      </c>
      <c r="S806" s="370" t="b">
        <v>0</v>
      </c>
      <c r="T806" s="301" t="s">
        <v>3679</v>
      </c>
      <c r="U806" s="301" t="s">
        <v>1947</v>
      </c>
      <c r="V806" s="301" t="s">
        <v>78</v>
      </c>
      <c r="W806" s="301" t="s">
        <v>6338</v>
      </c>
      <c r="X806" s="371">
        <v>44421.0</v>
      </c>
      <c r="Y806" s="371">
        <v>44426.0</v>
      </c>
      <c r="Z806" s="372"/>
      <c r="AA806" s="373" t="s">
        <v>3682</v>
      </c>
      <c r="AB806" s="374">
        <v>44375.0</v>
      </c>
      <c r="AC806" s="373" t="s">
        <v>3682</v>
      </c>
      <c r="AD806" s="374">
        <v>44407.0</v>
      </c>
      <c r="AE806" s="373" t="s">
        <v>3682</v>
      </c>
      <c r="AF806" s="374">
        <v>44421.0</v>
      </c>
      <c r="AG806" s="92"/>
      <c r="AH806" s="375"/>
      <c r="AI806" s="375"/>
      <c r="AJ806" s="375"/>
      <c r="AK806" s="373" t="s">
        <v>399</v>
      </c>
      <c r="AL806" s="373" t="s">
        <v>4088</v>
      </c>
      <c r="AM806" s="373" t="s">
        <v>1947</v>
      </c>
      <c r="AN806" s="375"/>
      <c r="AO806" s="375"/>
      <c r="AP806" s="376" t="s">
        <v>3683</v>
      </c>
      <c r="AQ806" s="375"/>
    </row>
    <row r="807">
      <c r="A807" s="257" t="s">
        <v>1616</v>
      </c>
      <c r="B807" s="257" t="s">
        <v>1617</v>
      </c>
      <c r="C807" s="257" t="str">
        <f>VLOOKUP(A807,import!A:J,3,0)</f>
        <v>DOĞRU</v>
      </c>
      <c r="D807" s="257" t="s">
        <v>3699</v>
      </c>
      <c r="E807" s="257">
        <f>VLOOKUP(A807,import!A:J,5,0)</f>
        <v>976</v>
      </c>
      <c r="F807" s="257">
        <f>VLOOKUP(A807,import!A:J,6,0)</f>
        <v>30</v>
      </c>
      <c r="G807" s="257">
        <f>VLOOKUP(A807,import!A:J,7,0)</f>
        <v>12</v>
      </c>
      <c r="H807" s="257">
        <f>VLOOKUP(A807,import!A:J,8,0)</f>
        <v>18</v>
      </c>
      <c r="I807" s="257">
        <f>VLOOKUP(A807,import!A:J,9,0)</f>
        <v>30</v>
      </c>
      <c r="J807" s="369">
        <f>VLOOKUP(A807,import!A:J,10,0)</f>
        <v>0.4</v>
      </c>
      <c r="K807" s="257" t="s">
        <v>6339</v>
      </c>
      <c r="L807" s="257">
        <v>3.222347172E9</v>
      </c>
      <c r="M807" s="257" t="s">
        <v>14</v>
      </c>
      <c r="N807" s="257" t="s">
        <v>3797</v>
      </c>
      <c r="O807" s="257" t="s">
        <v>1619</v>
      </c>
      <c r="P807" s="370" t="str">
        <f>VLOOKUP(A807,import!A:P,16,0)</f>
        <v>Geleneksel</v>
      </c>
      <c r="Q807" s="370"/>
      <c r="R807" s="370" t="b">
        <v>1</v>
      </c>
      <c r="S807" s="370" t="b">
        <v>0</v>
      </c>
      <c r="T807" s="301" t="s">
        <v>3679</v>
      </c>
      <c r="U807" s="301" t="s">
        <v>79</v>
      </c>
      <c r="V807" s="301" t="s">
        <v>78</v>
      </c>
      <c r="W807" s="301"/>
      <c r="X807" s="371">
        <v>44457.0</v>
      </c>
      <c r="Y807" s="371">
        <v>44459.0</v>
      </c>
      <c r="Z807" s="372"/>
      <c r="AA807" s="373" t="s">
        <v>3682</v>
      </c>
      <c r="AB807" s="374">
        <v>44404.0</v>
      </c>
      <c r="AC807" s="373" t="s">
        <v>3682</v>
      </c>
      <c r="AD807" s="374">
        <v>44421.0</v>
      </c>
      <c r="AE807" s="92"/>
      <c r="AF807" s="375"/>
      <c r="AG807" s="92"/>
      <c r="AH807" s="375"/>
      <c r="AI807" s="375"/>
      <c r="AJ807" s="375"/>
      <c r="AK807" s="373" t="s">
        <v>3752</v>
      </c>
      <c r="AL807" s="373" t="s">
        <v>1947</v>
      </c>
      <c r="AM807" s="375"/>
      <c r="AN807" s="375"/>
      <c r="AO807" s="375"/>
      <c r="AP807" s="376" t="s">
        <v>3683</v>
      </c>
      <c r="AQ807" s="375"/>
    </row>
    <row r="808">
      <c r="A808" s="257" t="s">
        <v>3193</v>
      </c>
      <c r="B808" s="257" t="s">
        <v>3194</v>
      </c>
      <c r="C808" s="257" t="str">
        <f>VLOOKUP(A808,import!A:J,3,0)</f>
        <v>DOĞRU</v>
      </c>
      <c r="D808" s="257" t="s">
        <v>3699</v>
      </c>
      <c r="E808" s="257">
        <f>VLOOKUP(A808,import!A:J,5,0)</f>
        <v>462</v>
      </c>
      <c r="F808" s="257">
        <f>VLOOKUP(A808,import!A:J,6,0)</f>
        <v>20</v>
      </c>
      <c r="G808" s="257">
        <f>VLOOKUP(A808,import!A:J,7,0)</f>
        <v>0</v>
      </c>
      <c r="H808" s="257">
        <f>VLOOKUP(A808,import!A:J,8,0)</f>
        <v>15</v>
      </c>
      <c r="I808" s="257">
        <f>VLOOKUP(A808,import!A:J,9,0)</f>
        <v>15</v>
      </c>
      <c r="J808" s="369">
        <f>VLOOKUP(A808,import!A:J,10,0)</f>
        <v>0</v>
      </c>
      <c r="K808" s="257" t="s">
        <v>6340</v>
      </c>
      <c r="L808" s="257">
        <v>3.222335358E9</v>
      </c>
      <c r="M808" s="257" t="s">
        <v>14</v>
      </c>
      <c r="N808" s="257" t="s">
        <v>3733</v>
      </c>
      <c r="O808" s="257" t="s">
        <v>3196</v>
      </c>
      <c r="P808" s="370" t="str">
        <f>VLOOKUP(A808,import!A:P,16,0)</f>
        <v>Geleneksel</v>
      </c>
      <c r="Q808" s="370"/>
      <c r="R808" s="370" t="b">
        <v>1</v>
      </c>
      <c r="S808" s="370" t="b">
        <v>0</v>
      </c>
      <c r="T808" s="301" t="s">
        <v>3710</v>
      </c>
      <c r="U808" s="301" t="s">
        <v>2192</v>
      </c>
      <c r="V808" s="403" t="s">
        <v>78</v>
      </c>
      <c r="W808" s="301" t="s">
        <v>6341</v>
      </c>
      <c r="X808" s="371">
        <v>44539.0</v>
      </c>
      <c r="Y808" s="371">
        <v>44540.0</v>
      </c>
      <c r="Z808" s="372"/>
      <c r="AA808" s="373" t="s">
        <v>3682</v>
      </c>
      <c r="AB808" s="374">
        <v>44536.0</v>
      </c>
      <c r="AC808" s="373" t="s">
        <v>3682</v>
      </c>
      <c r="AD808" s="374">
        <v>44574.0</v>
      </c>
      <c r="AE808" s="373" t="s">
        <v>3695</v>
      </c>
      <c r="AF808" s="374">
        <v>44635.0</v>
      </c>
      <c r="AG808" s="373"/>
      <c r="AH808" s="374"/>
      <c r="AI808" s="375"/>
      <c r="AJ808" s="375"/>
      <c r="AK808" s="373" t="s">
        <v>2192</v>
      </c>
      <c r="AL808" s="373" t="s">
        <v>2706</v>
      </c>
      <c r="AM808" s="373" t="s">
        <v>2192</v>
      </c>
      <c r="AN808" s="373"/>
      <c r="AO808" s="375"/>
      <c r="AP808" s="376" t="s">
        <v>3683</v>
      </c>
      <c r="AQ808" s="375"/>
    </row>
    <row r="809">
      <c r="A809" s="257" t="s">
        <v>6342</v>
      </c>
      <c r="B809" s="257" t="s">
        <v>6343</v>
      </c>
      <c r="C809" s="257" t="str">
        <f>VLOOKUP(A809,import!A:J,3,0)</f>
        <v>DOĞRU</v>
      </c>
      <c r="D809" s="257" t="s">
        <v>3699</v>
      </c>
      <c r="E809" s="257">
        <f>VLOOKUP(A809,import!A:J,5,0)</f>
        <v>562</v>
      </c>
      <c r="F809" s="257">
        <f>VLOOKUP(A809,import!A:J,6,0)</f>
        <v>31</v>
      </c>
      <c r="G809" s="257">
        <f>VLOOKUP(A809,import!A:J,7,0)</f>
        <v>3</v>
      </c>
      <c r="H809" s="257">
        <f>VLOOKUP(A809,import!A:J,8,0)</f>
        <v>5</v>
      </c>
      <c r="I809" s="257">
        <f>VLOOKUP(A809,import!A:J,9,0)</f>
        <v>8</v>
      </c>
      <c r="J809" s="369">
        <f>VLOOKUP(A809,import!A:J,10,0)</f>
        <v>0.38</v>
      </c>
      <c r="K809" s="257" t="s">
        <v>6344</v>
      </c>
      <c r="L809" s="257">
        <v>3.224592605E9</v>
      </c>
      <c r="M809" s="257" t="s">
        <v>286</v>
      </c>
      <c r="N809" s="257" t="s">
        <v>3806</v>
      </c>
      <c r="O809" s="257" t="s">
        <v>6345</v>
      </c>
      <c r="P809" s="370" t="str">
        <f>VLOOKUP(A809,import!A:P,16,0)</f>
        <v>Geleneksel</v>
      </c>
      <c r="Q809" s="370"/>
      <c r="R809" s="370" t="b">
        <v>1</v>
      </c>
      <c r="S809" s="370" t="b">
        <v>0</v>
      </c>
      <c r="T809" s="301" t="s">
        <v>3735</v>
      </c>
      <c r="U809" s="379"/>
      <c r="V809" s="379"/>
      <c r="W809" s="301" t="s">
        <v>6346</v>
      </c>
      <c r="X809" s="381"/>
      <c r="Y809" s="381"/>
      <c r="Z809" s="372"/>
      <c r="AA809" s="373" t="s">
        <v>3682</v>
      </c>
      <c r="AB809" s="374">
        <v>44392.0</v>
      </c>
      <c r="AC809" s="373" t="s">
        <v>3682</v>
      </c>
      <c r="AD809" s="374">
        <v>44427.0</v>
      </c>
      <c r="AE809" s="373" t="s">
        <v>3682</v>
      </c>
      <c r="AF809" s="374">
        <v>44454.0</v>
      </c>
      <c r="AG809" s="373" t="s">
        <v>3696</v>
      </c>
      <c r="AH809" s="374">
        <v>44457.0</v>
      </c>
      <c r="AI809" s="375"/>
      <c r="AJ809" s="375"/>
      <c r="AK809" s="373"/>
      <c r="AL809" s="373" t="s">
        <v>3723</v>
      </c>
      <c r="AM809" s="373" t="s">
        <v>2542</v>
      </c>
      <c r="AN809" s="373" t="s">
        <v>79</v>
      </c>
      <c r="AO809" s="375"/>
      <c r="AP809" s="376" t="s">
        <v>3686</v>
      </c>
      <c r="AQ809" s="375"/>
    </row>
    <row r="810">
      <c r="A810" s="257" t="s">
        <v>3270</v>
      </c>
      <c r="B810" s="257" t="s">
        <v>3271</v>
      </c>
      <c r="C810" s="257" t="str">
        <f>VLOOKUP(A810,import!A:J,3,0)</f>
        <v>DOĞRU</v>
      </c>
      <c r="D810" s="257" t="s">
        <v>3713</v>
      </c>
      <c r="E810" s="257">
        <f>VLOOKUP(A810,import!A:J,5,0)</f>
        <v>1497</v>
      </c>
      <c r="F810" s="257">
        <f>VLOOKUP(A810,import!A:J,6,0)</f>
        <v>93</v>
      </c>
      <c r="G810" s="257">
        <f>VLOOKUP(A810,import!A:J,7,0)</f>
        <v>0</v>
      </c>
      <c r="H810" s="257">
        <f>VLOOKUP(A810,import!A:J,8,0)</f>
        <v>18</v>
      </c>
      <c r="I810" s="257">
        <f>VLOOKUP(A810,import!A:J,9,0)</f>
        <v>18</v>
      </c>
      <c r="J810" s="369">
        <f>VLOOKUP(A810,import!A:J,10,0)</f>
        <v>0</v>
      </c>
      <c r="K810" s="257" t="s">
        <v>6347</v>
      </c>
      <c r="L810" s="257">
        <v>3.222269255E9</v>
      </c>
      <c r="M810" s="257" t="s">
        <v>286</v>
      </c>
      <c r="N810" s="257" t="s">
        <v>3961</v>
      </c>
      <c r="O810" s="257" t="s">
        <v>3273</v>
      </c>
      <c r="P810" s="370" t="str">
        <f>VLOOKUP(A810,import!A:P,16,0)</f>
        <v>Geleneksel</v>
      </c>
      <c r="Q810" s="370"/>
      <c r="R810" s="370" t="b">
        <v>1</v>
      </c>
      <c r="S810" s="370" t="b">
        <v>0</v>
      </c>
      <c r="T810" s="301" t="s">
        <v>3710</v>
      </c>
      <c r="U810" s="301" t="s">
        <v>3073</v>
      </c>
      <c r="V810" s="403" t="s">
        <v>78</v>
      </c>
      <c r="W810" s="36" t="s">
        <v>6348</v>
      </c>
      <c r="X810" s="371">
        <v>44555.0</v>
      </c>
      <c r="Y810" s="371">
        <v>44560.0</v>
      </c>
      <c r="Z810" s="372"/>
      <c r="AA810" s="373" t="s">
        <v>3682</v>
      </c>
      <c r="AB810" s="374">
        <v>44552.0</v>
      </c>
      <c r="AC810" s="373" t="s">
        <v>3682</v>
      </c>
      <c r="AD810" s="374">
        <v>44555.0</v>
      </c>
      <c r="AE810" s="373"/>
      <c r="AF810" s="374"/>
      <c r="AG810" s="373"/>
      <c r="AH810" s="374"/>
      <c r="AI810" s="375"/>
      <c r="AJ810" s="375"/>
      <c r="AK810" s="373" t="s">
        <v>3073</v>
      </c>
      <c r="AL810" s="373" t="s">
        <v>3073</v>
      </c>
      <c r="AM810" s="375"/>
      <c r="AN810" s="373"/>
      <c r="AO810" s="375"/>
      <c r="AP810" s="376"/>
      <c r="AQ810" s="375"/>
    </row>
    <row r="811">
      <c r="A811" s="257" t="s">
        <v>865</v>
      </c>
      <c r="B811" s="257" t="s">
        <v>866</v>
      </c>
      <c r="C811" s="257" t="str">
        <f>VLOOKUP(A811,import!A:J,3,0)</f>
        <v>DOĞRU</v>
      </c>
      <c r="D811" s="257" t="s">
        <v>3699</v>
      </c>
      <c r="E811" s="257">
        <f>VLOOKUP(A811,import!A:J,5,0)</f>
        <v>3584</v>
      </c>
      <c r="F811" s="257">
        <f>VLOOKUP(A811,import!A:J,6,0)</f>
        <v>183</v>
      </c>
      <c r="G811" s="257">
        <f>VLOOKUP(A811,import!A:J,7,0)</f>
        <v>17</v>
      </c>
      <c r="H811" s="257">
        <f>VLOOKUP(A811,import!A:J,8,0)</f>
        <v>8</v>
      </c>
      <c r="I811" s="257">
        <f>VLOOKUP(A811,import!A:J,9,0)</f>
        <v>25</v>
      </c>
      <c r="J811" s="369">
        <f>VLOOKUP(A811,import!A:J,10,0)</f>
        <v>0.68</v>
      </c>
      <c r="K811" s="257" t="s">
        <v>6349</v>
      </c>
      <c r="L811" s="257">
        <v>5.32334864E9</v>
      </c>
      <c r="M811" s="257" t="s">
        <v>14</v>
      </c>
      <c r="N811" s="257" t="s">
        <v>3718</v>
      </c>
      <c r="O811" s="257" t="s">
        <v>868</v>
      </c>
      <c r="P811" s="370" t="str">
        <f>VLOOKUP(A811,import!A:P,16,0)</f>
        <v>Geleneksel</v>
      </c>
      <c r="Q811" s="370"/>
      <c r="R811" s="370" t="b">
        <v>1</v>
      </c>
      <c r="S811" s="370" t="b">
        <v>0</v>
      </c>
      <c r="T811" s="301" t="s">
        <v>3679</v>
      </c>
      <c r="U811" s="301" t="s">
        <v>2706</v>
      </c>
      <c r="V811" s="301" t="s">
        <v>78</v>
      </c>
      <c r="W811" s="418" t="s">
        <v>6350</v>
      </c>
      <c r="X811" s="371">
        <v>44495.0</v>
      </c>
      <c r="Y811" s="371">
        <v>44496.0</v>
      </c>
      <c r="Z811" s="372"/>
      <c r="AA811" s="373" t="s">
        <v>3682</v>
      </c>
      <c r="AB811" s="374">
        <v>44348.0</v>
      </c>
      <c r="AC811" s="373" t="s">
        <v>3682</v>
      </c>
      <c r="AD811" s="374">
        <v>44495.0</v>
      </c>
      <c r="AE811" s="92"/>
      <c r="AF811" s="375"/>
      <c r="AG811" s="92"/>
      <c r="AH811" s="375"/>
      <c r="AI811" s="375"/>
      <c r="AJ811" s="375"/>
      <c r="AK811" s="373" t="s">
        <v>79</v>
      </c>
      <c r="AL811" s="373" t="s">
        <v>2706</v>
      </c>
      <c r="AM811" s="375"/>
      <c r="AN811" s="375"/>
      <c r="AO811" s="375"/>
      <c r="AP811" s="376" t="s">
        <v>3683</v>
      </c>
      <c r="AQ811" s="375"/>
    </row>
    <row r="812">
      <c r="A812" s="257" t="s">
        <v>6351</v>
      </c>
      <c r="B812" s="257" t="s">
        <v>6352</v>
      </c>
      <c r="C812" s="257" t="str">
        <f>VLOOKUP(A812,import!A:J,3,0)</f>
        <v>YANLIŞ</v>
      </c>
      <c r="D812" s="257" t="s">
        <v>4000</v>
      </c>
      <c r="E812" s="257">
        <f>VLOOKUP(A812,import!A:J,5,0)</f>
        <v>3692</v>
      </c>
      <c r="F812" s="257" t="str">
        <f>VLOOKUP(A812,import!A:J,6,0)</f>
        <v/>
      </c>
      <c r="G812" s="257">
        <f>VLOOKUP(A812,import!A:J,7,0)</f>
        <v>13</v>
      </c>
      <c r="H812" s="257">
        <f>VLOOKUP(A812,import!A:J,8,0)</f>
        <v>23</v>
      </c>
      <c r="I812" s="257">
        <f>VLOOKUP(A812,import!A:J,9,0)</f>
        <v>36</v>
      </c>
      <c r="J812" s="369">
        <f>VLOOKUP(A812,import!A:J,10,0)</f>
        <v>0.36</v>
      </c>
      <c r="K812" s="257" t="s">
        <v>3919</v>
      </c>
      <c r="L812" s="257">
        <v>5.413808788E9</v>
      </c>
      <c r="M812" s="257" t="s">
        <v>286</v>
      </c>
      <c r="N812" s="257" t="s">
        <v>3737</v>
      </c>
      <c r="O812" s="257" t="s">
        <v>3920</v>
      </c>
      <c r="P812" s="370" t="str">
        <f>VLOOKUP(A812,import!A:P,16,0)</f>
        <v>Geleneksel</v>
      </c>
      <c r="Q812" s="370"/>
      <c r="R812" s="370" t="b">
        <v>1</v>
      </c>
      <c r="S812" s="370" t="b">
        <v>0</v>
      </c>
      <c r="T812" s="300" t="s">
        <v>3735</v>
      </c>
      <c r="U812" s="398"/>
      <c r="V812" s="398"/>
      <c r="W812" s="257" t="s">
        <v>6353</v>
      </c>
      <c r="X812" s="405"/>
      <c r="Y812" s="405"/>
      <c r="Z812" s="398"/>
      <c r="AA812" s="373" t="s">
        <v>3681</v>
      </c>
      <c r="AB812" s="374">
        <v>44384.0</v>
      </c>
      <c r="AC812" s="375"/>
      <c r="AD812" s="375"/>
      <c r="AE812" s="92"/>
      <c r="AF812" s="375"/>
      <c r="AG812" s="92"/>
      <c r="AH812" s="375"/>
      <c r="AI812" s="375"/>
      <c r="AJ812" s="375"/>
      <c r="AK812" s="373" t="s">
        <v>1014</v>
      </c>
      <c r="AL812" s="373" t="s">
        <v>3729</v>
      </c>
      <c r="AM812" s="375"/>
      <c r="AN812" s="375"/>
      <c r="AO812" s="375"/>
      <c r="AP812" s="376" t="s">
        <v>3683</v>
      </c>
      <c r="AQ812" s="375"/>
    </row>
    <row r="813">
      <c r="A813" s="257" t="s">
        <v>2013</v>
      </c>
      <c r="B813" s="257" t="s">
        <v>2014</v>
      </c>
      <c r="C813" s="257" t="str">
        <f>VLOOKUP(A813,import!A:J,3,0)</f>
        <v>DOĞRU</v>
      </c>
      <c r="D813" s="257" t="s">
        <v>3883</v>
      </c>
      <c r="E813" s="257">
        <f>VLOOKUP(A813,import!A:J,5,0)</f>
        <v>1202</v>
      </c>
      <c r="F813" s="257">
        <f>VLOOKUP(A813,import!A:J,6,0)</f>
        <v>60</v>
      </c>
      <c r="G813" s="257">
        <f>VLOOKUP(A813,import!A:J,7,0)</f>
        <v>14</v>
      </c>
      <c r="H813" s="257">
        <f>VLOOKUP(A813,import!A:J,8,0)</f>
        <v>8</v>
      </c>
      <c r="I813" s="257">
        <f>VLOOKUP(A813,import!A:J,9,0)</f>
        <v>22</v>
      </c>
      <c r="J813" s="369">
        <f>VLOOKUP(A813,import!A:J,10,0)</f>
        <v>0.64</v>
      </c>
      <c r="K813" s="257" t="s">
        <v>6354</v>
      </c>
      <c r="L813" s="257">
        <v>5.331305772E9</v>
      </c>
      <c r="M813" s="257" t="s">
        <v>286</v>
      </c>
      <c r="N813" s="257" t="s">
        <v>3980</v>
      </c>
      <c r="O813" s="257" t="s">
        <v>2016</v>
      </c>
      <c r="P813" s="370" t="str">
        <f>VLOOKUP(A813,import!A:P,16,0)</f>
        <v>Geleneksel</v>
      </c>
      <c r="Q813" s="370"/>
      <c r="R813" s="370" t="b">
        <v>1</v>
      </c>
      <c r="S813" s="370" t="b">
        <v>0</v>
      </c>
      <c r="T813" s="301" t="s">
        <v>3679</v>
      </c>
      <c r="U813" s="301" t="s">
        <v>3729</v>
      </c>
      <c r="V813" s="301" t="s">
        <v>78</v>
      </c>
      <c r="W813" s="301"/>
      <c r="X813" s="371">
        <v>44431.0</v>
      </c>
      <c r="Y813" s="371">
        <v>44434.0</v>
      </c>
      <c r="Z813" s="372"/>
      <c r="AA813" s="373" t="s">
        <v>3682</v>
      </c>
      <c r="AB813" s="374">
        <v>44427.0</v>
      </c>
      <c r="AC813" s="373" t="s">
        <v>3682</v>
      </c>
      <c r="AD813" s="374">
        <v>44431.0</v>
      </c>
      <c r="AE813" s="373"/>
      <c r="AF813" s="374"/>
      <c r="AG813" s="92"/>
      <c r="AH813" s="375"/>
      <c r="AI813" s="375"/>
      <c r="AJ813" s="375"/>
      <c r="AK813" s="373" t="s">
        <v>1953</v>
      </c>
      <c r="AL813" s="373" t="s">
        <v>3729</v>
      </c>
      <c r="AM813" s="375"/>
      <c r="AN813" s="375"/>
      <c r="AO813" s="375"/>
      <c r="AP813" s="376" t="s">
        <v>3686</v>
      </c>
      <c r="AQ813" s="375"/>
    </row>
    <row r="814">
      <c r="A814" s="257" t="s">
        <v>3133</v>
      </c>
      <c r="B814" s="257" t="s">
        <v>3134</v>
      </c>
      <c r="C814" s="257" t="str">
        <f>VLOOKUP(A814,import!A:J,3,0)</f>
        <v>DOĞRU</v>
      </c>
      <c r="D814" s="257" t="s">
        <v>3912</v>
      </c>
      <c r="E814" s="257">
        <f>VLOOKUP(A814,import!A:J,5,0)</f>
        <v>32</v>
      </c>
      <c r="F814" s="257" t="str">
        <f>VLOOKUP(A814,import!A:J,6,0)</f>
        <v/>
      </c>
      <c r="G814" s="257">
        <f>VLOOKUP(A814,import!A:J,7,0)</f>
        <v>8</v>
      </c>
      <c r="H814" s="257">
        <f>VLOOKUP(A814,import!A:J,8,0)</f>
        <v>2</v>
      </c>
      <c r="I814" s="257">
        <f>VLOOKUP(A814,import!A:J,9,0)</f>
        <v>10</v>
      </c>
      <c r="J814" s="369">
        <f>VLOOKUP(A814,import!A:J,10,0)</f>
        <v>0.8</v>
      </c>
      <c r="K814" s="257" t="s">
        <v>6355</v>
      </c>
      <c r="L814" s="257">
        <v>5.01329286E9</v>
      </c>
      <c r="M814" s="257" t="s">
        <v>14</v>
      </c>
      <c r="N814" s="257" t="s">
        <v>3733</v>
      </c>
      <c r="O814" s="257" t="s">
        <v>3136</v>
      </c>
      <c r="P814" s="370" t="str">
        <f>VLOOKUP(A814,import!A:P,16,0)</f>
        <v>Geleneksel</v>
      </c>
      <c r="Q814" s="370"/>
      <c r="R814" s="370" t="b">
        <v>1</v>
      </c>
      <c r="S814" s="370" t="b">
        <v>0</v>
      </c>
      <c r="T814" s="301" t="s">
        <v>3679</v>
      </c>
      <c r="U814" s="301" t="s">
        <v>3127</v>
      </c>
      <c r="V814" s="301" t="s">
        <v>78</v>
      </c>
      <c r="W814" s="301" t="s">
        <v>6356</v>
      </c>
      <c r="X814" s="371">
        <v>44522.0</v>
      </c>
      <c r="Y814" s="371">
        <v>44524.0</v>
      </c>
      <c r="Z814" s="372"/>
      <c r="AA814" s="373" t="s">
        <v>3682</v>
      </c>
      <c r="AB814" s="374">
        <v>44522.0</v>
      </c>
      <c r="AC814" s="373" t="s">
        <v>3682</v>
      </c>
      <c r="AD814" s="374">
        <v>44574.0</v>
      </c>
      <c r="AE814" s="373"/>
      <c r="AF814" s="374"/>
      <c r="AG814" s="373"/>
      <c r="AH814" s="374"/>
      <c r="AI814" s="375"/>
      <c r="AJ814" s="375"/>
      <c r="AK814" s="373" t="s">
        <v>3127</v>
      </c>
      <c r="AL814" s="373" t="s">
        <v>2706</v>
      </c>
      <c r="AM814" s="375"/>
      <c r="AN814" s="373"/>
      <c r="AO814" s="375"/>
      <c r="AP814" s="376" t="s">
        <v>3683</v>
      </c>
      <c r="AQ814" s="375"/>
    </row>
    <row r="815">
      <c r="A815" s="257" t="s">
        <v>6357</v>
      </c>
      <c r="B815" s="257" t="s">
        <v>6358</v>
      </c>
      <c r="C815" s="257" t="str">
        <f>VLOOKUP(A815,import!A:J,3,0)</f>
        <v>DOĞRU</v>
      </c>
      <c r="D815" s="257" t="s">
        <v>3713</v>
      </c>
      <c r="E815" s="257">
        <f>VLOOKUP(A815,import!A:J,5,0)</f>
        <v>870</v>
      </c>
      <c r="F815" s="257">
        <f>VLOOKUP(A815,import!A:J,6,0)</f>
        <v>19</v>
      </c>
      <c r="G815" s="257">
        <f>VLOOKUP(A815,import!A:J,7,0)</f>
        <v>0</v>
      </c>
      <c r="H815" s="257">
        <f>VLOOKUP(A815,import!A:J,8,0)</f>
        <v>7</v>
      </c>
      <c r="I815" s="257">
        <f>VLOOKUP(A815,import!A:J,9,0)</f>
        <v>7</v>
      </c>
      <c r="J815" s="369">
        <f>VLOOKUP(A815,import!A:J,10,0)</f>
        <v>0</v>
      </c>
      <c r="K815" s="257" t="s">
        <v>6359</v>
      </c>
      <c r="L815" s="257">
        <v>3.225162323E9</v>
      </c>
      <c r="M815" s="257" t="s">
        <v>3814</v>
      </c>
      <c r="N815" s="257" t="s">
        <v>6360</v>
      </c>
      <c r="O815" s="257" t="s">
        <v>6361</v>
      </c>
      <c r="P815" s="370" t="str">
        <f>VLOOKUP(A815,import!A:P,16,0)</f>
        <v>Geleneksel</v>
      </c>
      <c r="Q815" s="370"/>
      <c r="R815" s="370" t="b">
        <v>0</v>
      </c>
      <c r="S815" s="370" t="b">
        <v>0</v>
      </c>
      <c r="T815" s="301" t="s">
        <v>3862</v>
      </c>
      <c r="U815" s="379"/>
      <c r="V815" s="379"/>
      <c r="W815" s="301"/>
      <c r="X815" s="381"/>
      <c r="Y815" s="381"/>
      <c r="Z815" s="372"/>
      <c r="AA815" s="373"/>
      <c r="AB815" s="374"/>
      <c r="AC815" s="373"/>
      <c r="AD815" s="374"/>
      <c r="AE815" s="373"/>
      <c r="AF815" s="374"/>
      <c r="AG815" s="373"/>
      <c r="AH815" s="374"/>
      <c r="AI815" s="375"/>
      <c r="AJ815" s="375"/>
      <c r="AK815" s="373"/>
      <c r="AL815" s="375"/>
      <c r="AM815" s="375"/>
      <c r="AN815" s="373"/>
      <c r="AO815" s="375"/>
      <c r="AP815" s="376" t="s">
        <v>3686</v>
      </c>
      <c r="AQ815" s="375"/>
    </row>
    <row r="816">
      <c r="A816" s="257" t="s">
        <v>2502</v>
      </c>
      <c r="B816" s="257" t="s">
        <v>2503</v>
      </c>
      <c r="C816" s="257" t="str">
        <f>VLOOKUP(A816,import!A:J,3,0)</f>
        <v>DOĞRU</v>
      </c>
      <c r="D816" s="257" t="s">
        <v>3699</v>
      </c>
      <c r="E816" s="257">
        <f>VLOOKUP(A816,import!A:J,5,0)</f>
        <v>887</v>
      </c>
      <c r="F816" s="257" t="str">
        <f>VLOOKUP(A816,import!A:J,6,0)</f>
        <v/>
      </c>
      <c r="G816" s="257">
        <f>VLOOKUP(A816,import!A:J,7,0)</f>
        <v>11</v>
      </c>
      <c r="H816" s="257">
        <f>VLOOKUP(A816,import!A:J,8,0)</f>
        <v>28</v>
      </c>
      <c r="I816" s="257">
        <f>VLOOKUP(A816,import!A:J,9,0)</f>
        <v>39</v>
      </c>
      <c r="J816" s="369">
        <f>VLOOKUP(A816,import!A:J,10,0)</f>
        <v>0.28</v>
      </c>
      <c r="K816" s="257" t="s">
        <v>6362</v>
      </c>
      <c r="L816" s="257">
        <v>5.360341469E9</v>
      </c>
      <c r="M816" s="257" t="s">
        <v>14</v>
      </c>
      <c r="N816" s="257" t="s">
        <v>3678</v>
      </c>
      <c r="O816" s="257" t="s">
        <v>2505</v>
      </c>
      <c r="P816" s="370" t="str">
        <f>VLOOKUP(A816,import!A:P,16,0)</f>
        <v>Geleneksel</v>
      </c>
      <c r="Q816" s="370"/>
      <c r="R816" s="370" t="b">
        <v>1</v>
      </c>
      <c r="S816" s="370" t="b">
        <v>0</v>
      </c>
      <c r="T816" s="389" t="s">
        <v>3679</v>
      </c>
      <c r="U816" s="389"/>
      <c r="V816" s="389" t="s">
        <v>78</v>
      </c>
      <c r="W816" s="389" t="s">
        <v>6363</v>
      </c>
      <c r="X816" s="390"/>
      <c r="Y816" s="390"/>
      <c r="Z816" s="389" t="s">
        <v>3957</v>
      </c>
      <c r="AA816" s="373" t="s">
        <v>3682</v>
      </c>
      <c r="AB816" s="374">
        <v>44368.0</v>
      </c>
      <c r="AC816" s="373" t="s">
        <v>3448</v>
      </c>
      <c r="AD816" s="374">
        <v>44427.0</v>
      </c>
      <c r="AE816" s="373" t="s">
        <v>3448</v>
      </c>
      <c r="AF816" s="374">
        <v>44440.0</v>
      </c>
      <c r="AG816" s="373"/>
      <c r="AH816" s="374"/>
      <c r="AI816" s="375"/>
      <c r="AJ816" s="375"/>
      <c r="AK816" s="373" t="s">
        <v>79</v>
      </c>
      <c r="AL816" s="373" t="s">
        <v>3723</v>
      </c>
      <c r="AM816" s="373" t="s">
        <v>2542</v>
      </c>
      <c r="AN816" s="373"/>
      <c r="AO816" s="375"/>
      <c r="AP816" s="376" t="s">
        <v>3683</v>
      </c>
      <c r="AQ816" s="375"/>
    </row>
    <row r="817">
      <c r="A817" s="257" t="s">
        <v>2339</v>
      </c>
      <c r="B817" s="257" t="s">
        <v>2340</v>
      </c>
      <c r="C817" s="257" t="str">
        <f>VLOOKUP(A817,import!A:J,3,0)</f>
        <v>DOĞRU</v>
      </c>
      <c r="D817" s="257" t="s">
        <v>3699</v>
      </c>
      <c r="E817" s="257">
        <f>VLOOKUP(A817,import!A:J,5,0)</f>
        <v>857</v>
      </c>
      <c r="F817" s="257">
        <f>VLOOKUP(A817,import!A:J,6,0)</f>
        <v>10</v>
      </c>
      <c r="G817" s="257">
        <f>VLOOKUP(A817,import!A:J,7,0)</f>
        <v>7</v>
      </c>
      <c r="H817" s="257">
        <f>VLOOKUP(A817,import!A:J,8,0)</f>
        <v>1</v>
      </c>
      <c r="I817" s="257">
        <f>VLOOKUP(A817,import!A:J,9,0)</f>
        <v>8</v>
      </c>
      <c r="J817" s="369">
        <f>VLOOKUP(A817,import!A:J,10,0)</f>
        <v>0.88</v>
      </c>
      <c r="K817" s="257" t="s">
        <v>6364</v>
      </c>
      <c r="L817" s="257">
        <v>5.06908778E9</v>
      </c>
      <c r="M817" s="257" t="s">
        <v>14</v>
      </c>
      <c r="N817" s="257" t="s">
        <v>3826</v>
      </c>
      <c r="O817" s="257" t="s">
        <v>2453</v>
      </c>
      <c r="P817" s="370" t="str">
        <f>VLOOKUP(A817,import!A:P,16,0)</f>
        <v>Geleneksel</v>
      </c>
      <c r="Q817" s="370"/>
      <c r="R817" s="370" t="b">
        <v>1</v>
      </c>
      <c r="S817" s="370" t="b">
        <v>0</v>
      </c>
      <c r="T817" s="301" t="s">
        <v>3679</v>
      </c>
      <c r="U817" s="301" t="s">
        <v>2542</v>
      </c>
      <c r="V817" s="301" t="s">
        <v>78</v>
      </c>
      <c r="W817" s="301" t="s">
        <v>6365</v>
      </c>
      <c r="X817" s="371">
        <v>44453.0</v>
      </c>
      <c r="Y817" s="371">
        <v>44454.0</v>
      </c>
      <c r="Z817" s="372"/>
      <c r="AA817" s="373" t="s">
        <v>3682</v>
      </c>
      <c r="AB817" s="374">
        <v>44440.0</v>
      </c>
      <c r="AC817" s="373" t="s">
        <v>3682</v>
      </c>
      <c r="AD817" s="374">
        <v>44453.0</v>
      </c>
      <c r="AE817" s="92"/>
      <c r="AF817" s="375"/>
      <c r="AG817" s="92"/>
      <c r="AH817" s="375"/>
      <c r="AI817" s="375"/>
      <c r="AJ817" s="375"/>
      <c r="AK817" s="373" t="s">
        <v>2542</v>
      </c>
      <c r="AL817" s="373" t="s">
        <v>2542</v>
      </c>
      <c r="AM817" s="375"/>
      <c r="AN817" s="375"/>
      <c r="AO817" s="375"/>
      <c r="AP817" s="376" t="s">
        <v>3683</v>
      </c>
      <c r="AQ817" s="375"/>
    </row>
    <row r="818">
      <c r="A818" s="257" t="s">
        <v>6366</v>
      </c>
      <c r="B818" s="257" t="s">
        <v>6367</v>
      </c>
      <c r="C818" s="257" t="str">
        <f>VLOOKUP(A818,import!A:J,3,0)</f>
        <v>DOĞRU</v>
      </c>
      <c r="D818" s="257" t="s">
        <v>3878</v>
      </c>
      <c r="E818" s="257">
        <f>VLOOKUP(A818,import!A:J,5,0)</f>
        <v>319</v>
      </c>
      <c r="F818" s="257">
        <f>VLOOKUP(A818,import!A:J,6,0)</f>
        <v>12</v>
      </c>
      <c r="G818" s="257">
        <f>VLOOKUP(A818,import!A:J,7,0)</f>
        <v>0</v>
      </c>
      <c r="H818" s="257">
        <f>VLOOKUP(A818,import!A:J,8,0)</f>
        <v>80</v>
      </c>
      <c r="I818" s="257">
        <f>VLOOKUP(A818,import!A:J,9,0)</f>
        <v>80</v>
      </c>
      <c r="J818" s="369">
        <f>VLOOKUP(A818,import!A:J,10,0)</f>
        <v>0</v>
      </c>
      <c r="K818" s="257" t="s">
        <v>6368</v>
      </c>
      <c r="L818" s="257">
        <v>3.224540124E9</v>
      </c>
      <c r="M818" s="257" t="s">
        <v>286</v>
      </c>
      <c r="N818" s="257" t="s">
        <v>3806</v>
      </c>
      <c r="O818" s="257" t="s">
        <v>6369</v>
      </c>
      <c r="P818" s="370" t="str">
        <f>VLOOKUP(A818,import!A:P,16,0)</f>
        <v>Geleneksel</v>
      </c>
      <c r="Q818" s="370"/>
      <c r="R818" s="370" t="b">
        <v>1</v>
      </c>
      <c r="S818" s="370" t="b">
        <v>0</v>
      </c>
      <c r="T818" s="301" t="s">
        <v>3770</v>
      </c>
      <c r="U818" s="379"/>
      <c r="V818" s="379"/>
      <c r="W818" s="301" t="s">
        <v>6370</v>
      </c>
      <c r="X818" s="381"/>
      <c r="Y818" s="381"/>
      <c r="Z818" s="372"/>
      <c r="AA818" s="373" t="s">
        <v>3695</v>
      </c>
      <c r="AB818" s="374">
        <v>44386.0</v>
      </c>
      <c r="AC818" s="373" t="s">
        <v>3682</v>
      </c>
      <c r="AD818" s="374">
        <v>44392.0</v>
      </c>
      <c r="AE818" s="373" t="s">
        <v>3682</v>
      </c>
      <c r="AF818" s="374">
        <v>44447.0</v>
      </c>
      <c r="AG818" s="373" t="s">
        <v>3682</v>
      </c>
      <c r="AH818" s="374">
        <v>44454.0</v>
      </c>
      <c r="AI818" s="375"/>
      <c r="AJ818" s="375"/>
      <c r="AK818" s="373" t="s">
        <v>399</v>
      </c>
      <c r="AL818" s="373" t="s">
        <v>4089</v>
      </c>
      <c r="AM818" s="373" t="s">
        <v>2542</v>
      </c>
      <c r="AN818" s="373" t="s">
        <v>2542</v>
      </c>
      <c r="AO818" s="375"/>
      <c r="AP818" s="376" t="s">
        <v>3686</v>
      </c>
      <c r="AQ818" s="375"/>
    </row>
    <row r="819">
      <c r="A819" s="257" t="s">
        <v>6371</v>
      </c>
      <c r="B819" s="257" t="s">
        <v>6372</v>
      </c>
      <c r="C819" s="257" t="str">
        <f>VLOOKUP(A819,import!A:J,3,0)</f>
        <v>DOĞRU</v>
      </c>
      <c r="D819" s="257" t="s">
        <v>3690</v>
      </c>
      <c r="E819" s="257">
        <f>VLOOKUP(A819,import!A:J,5,0)</f>
        <v>191</v>
      </c>
      <c r="F819" s="257">
        <f>VLOOKUP(A819,import!A:J,6,0)</f>
        <v>14</v>
      </c>
      <c r="G819" s="257">
        <f>VLOOKUP(A819,import!A:J,7,0)</f>
        <v>0</v>
      </c>
      <c r="H819" s="257">
        <f>VLOOKUP(A819,import!A:J,8,0)</f>
        <v>8</v>
      </c>
      <c r="I819" s="257">
        <f>VLOOKUP(A819,import!A:J,9,0)</f>
        <v>8</v>
      </c>
      <c r="J819" s="369">
        <f>VLOOKUP(A819,import!A:J,10,0)</f>
        <v>0</v>
      </c>
      <c r="K819" s="257" t="s">
        <v>6373</v>
      </c>
      <c r="L819" s="257">
        <v>5.326420414E9</v>
      </c>
      <c r="M819" s="257" t="s">
        <v>14</v>
      </c>
      <c r="N819" s="257" t="s">
        <v>3914</v>
      </c>
      <c r="O819" s="257" t="s">
        <v>6374</v>
      </c>
      <c r="P819" s="370" t="str">
        <f>VLOOKUP(A819,import!A:P,16,0)</f>
        <v>Geleneksel</v>
      </c>
      <c r="Q819" s="370"/>
      <c r="R819" s="370" t="b">
        <v>1</v>
      </c>
      <c r="S819" s="370" t="b">
        <v>0</v>
      </c>
      <c r="T819" s="301" t="s">
        <v>3696</v>
      </c>
      <c r="U819" s="379"/>
      <c r="V819" s="379"/>
      <c r="W819" s="301" t="s">
        <v>2969</v>
      </c>
      <c r="X819" s="381"/>
      <c r="Y819" s="381"/>
      <c r="Z819" s="372"/>
      <c r="AA819" s="373" t="s">
        <v>3696</v>
      </c>
      <c r="AB819" s="374">
        <v>44522.0</v>
      </c>
      <c r="AC819" s="373" t="s">
        <v>3448</v>
      </c>
      <c r="AD819" s="374">
        <v>44544.0</v>
      </c>
      <c r="AE819" s="373"/>
      <c r="AF819" s="374"/>
      <c r="AG819" s="373"/>
      <c r="AH819" s="374"/>
      <c r="AI819" s="375"/>
      <c r="AJ819" s="375"/>
      <c r="AK819" s="373" t="s">
        <v>3127</v>
      </c>
      <c r="AL819" s="373" t="s">
        <v>2542</v>
      </c>
      <c r="AM819" s="375"/>
      <c r="AN819" s="373"/>
      <c r="AO819" s="375"/>
      <c r="AP819" s="376" t="s">
        <v>3683</v>
      </c>
      <c r="AQ819" s="375"/>
    </row>
    <row r="820">
      <c r="A820" s="257" t="s">
        <v>6375</v>
      </c>
      <c r="B820" s="257" t="s">
        <v>6376</v>
      </c>
      <c r="C820" s="257" t="str">
        <f>VLOOKUP(A820,import!A:J,3,0)</f>
        <v>YANLIŞ</v>
      </c>
      <c r="D820" s="257" t="s">
        <v>3749</v>
      </c>
      <c r="E820" s="257">
        <f>VLOOKUP(A820,import!A:J,5,0)</f>
        <v>389</v>
      </c>
      <c r="F820" s="257" t="str">
        <f>VLOOKUP(A820,import!A:J,6,0)</f>
        <v/>
      </c>
      <c r="G820" s="257">
        <f>VLOOKUP(A820,import!A:J,7,0)</f>
        <v>1</v>
      </c>
      <c r="H820" s="257">
        <f>VLOOKUP(A820,import!A:J,8,0)</f>
        <v>13</v>
      </c>
      <c r="I820" s="257">
        <f>VLOOKUP(A820,import!A:J,9,0)</f>
        <v>14</v>
      </c>
      <c r="J820" s="369">
        <f>VLOOKUP(A820,import!A:J,10,0)</f>
        <v>0.07</v>
      </c>
      <c r="K820" s="257" t="s">
        <v>6377</v>
      </c>
      <c r="L820" s="257">
        <v>5.307004263E9</v>
      </c>
      <c r="M820" s="257" t="s">
        <v>286</v>
      </c>
      <c r="N820" s="257" t="s">
        <v>3746</v>
      </c>
      <c r="O820" s="257" t="s">
        <v>6378</v>
      </c>
      <c r="P820" s="370" t="str">
        <f>VLOOKUP(A820,import!A:P,16,0)</f>
        <v>Geleneksel</v>
      </c>
      <c r="Q820" s="370"/>
      <c r="R820" s="370" t="b">
        <v>1</v>
      </c>
      <c r="S820" s="370" t="b">
        <v>1</v>
      </c>
      <c r="T820" s="301"/>
      <c r="U820" s="379"/>
      <c r="V820" s="379"/>
      <c r="W820" s="301" t="s">
        <v>6379</v>
      </c>
      <c r="X820" s="381"/>
      <c r="Y820" s="381"/>
      <c r="Z820" s="372"/>
      <c r="AA820" s="373" t="s">
        <v>3448</v>
      </c>
      <c r="AB820" s="374">
        <v>44466.0</v>
      </c>
      <c r="AC820" s="373" t="s">
        <v>3448</v>
      </c>
      <c r="AD820" s="374">
        <v>44467.0</v>
      </c>
      <c r="AE820" s="373" t="s">
        <v>3682</v>
      </c>
      <c r="AF820" s="374">
        <v>44468.0</v>
      </c>
      <c r="AG820" s="373" t="s">
        <v>3682</v>
      </c>
      <c r="AH820" s="374">
        <v>44488.0</v>
      </c>
      <c r="AI820" s="375"/>
      <c r="AJ820" s="375"/>
      <c r="AK820" s="373" t="s">
        <v>2542</v>
      </c>
      <c r="AL820" s="373" t="s">
        <v>2192</v>
      </c>
      <c r="AM820" s="373" t="s">
        <v>2576</v>
      </c>
      <c r="AN820" s="373" t="s">
        <v>2542</v>
      </c>
      <c r="AO820" s="375"/>
      <c r="AP820" s="376" t="s">
        <v>3686</v>
      </c>
      <c r="AQ820" s="375"/>
    </row>
    <row r="821">
      <c r="A821" s="257" t="s">
        <v>6380</v>
      </c>
      <c r="B821" s="257" t="s">
        <v>6381</v>
      </c>
      <c r="C821" s="257" t="str">
        <f>VLOOKUP(A821,import!A:J,3,0)</f>
        <v>DOĞRU</v>
      </c>
      <c r="D821" s="257" t="s">
        <v>3878</v>
      </c>
      <c r="E821" s="257">
        <f>VLOOKUP(A821,import!A:J,5,0)</f>
        <v>282</v>
      </c>
      <c r="F821" s="257">
        <f>VLOOKUP(A821,import!A:J,6,0)</f>
        <v>36</v>
      </c>
      <c r="G821" s="257">
        <f>VLOOKUP(A821,import!A:J,7,0)</f>
        <v>0</v>
      </c>
      <c r="H821" s="257">
        <f>VLOOKUP(A821,import!A:J,8,0)</f>
        <v>40</v>
      </c>
      <c r="I821" s="257">
        <f>VLOOKUP(A821,import!A:J,9,0)</f>
        <v>40</v>
      </c>
      <c r="J821" s="369">
        <f>VLOOKUP(A821,import!A:J,10,0)</f>
        <v>0</v>
      </c>
      <c r="K821" s="257" t="s">
        <v>6382</v>
      </c>
      <c r="L821" s="257">
        <v>3.222441054E9</v>
      </c>
      <c r="M821" s="257" t="s">
        <v>14</v>
      </c>
      <c r="N821" s="257" t="s">
        <v>3797</v>
      </c>
      <c r="O821" s="257" t="s">
        <v>6383</v>
      </c>
      <c r="P821" s="370" t="str">
        <f>VLOOKUP(A821,import!A:P,16,0)</f>
        <v>Geleneksel</v>
      </c>
      <c r="Q821" s="370"/>
      <c r="R821" s="370" t="b">
        <v>1</v>
      </c>
      <c r="S821" s="370" t="b">
        <v>1</v>
      </c>
      <c r="T821" s="301"/>
      <c r="U821" s="379"/>
      <c r="V821" s="379"/>
      <c r="W821" s="301" t="s">
        <v>6384</v>
      </c>
      <c r="X821" s="381"/>
      <c r="Y821" s="381"/>
      <c r="Z821" s="372"/>
      <c r="AA821" s="373" t="s">
        <v>3682</v>
      </c>
      <c r="AB821" s="374">
        <v>44382.0</v>
      </c>
      <c r="AC821" s="373" t="s">
        <v>3682</v>
      </c>
      <c r="AD821" s="374">
        <v>44441.0</v>
      </c>
      <c r="AE821" s="92"/>
      <c r="AF821" s="375"/>
      <c r="AG821" s="92"/>
      <c r="AH821" s="375"/>
      <c r="AI821" s="375"/>
      <c r="AJ821" s="375"/>
      <c r="AK821" s="373" t="s">
        <v>79</v>
      </c>
      <c r="AL821" s="373" t="s">
        <v>2542</v>
      </c>
      <c r="AM821" s="375"/>
      <c r="AN821" s="375"/>
      <c r="AO821" s="375"/>
      <c r="AP821" s="376" t="s">
        <v>3683</v>
      </c>
      <c r="AQ821" s="375"/>
    </row>
    <row r="822">
      <c r="A822" s="257" t="s">
        <v>1310</v>
      </c>
      <c r="B822" s="257" t="s">
        <v>1311</v>
      </c>
      <c r="C822" s="257" t="str">
        <f>VLOOKUP(A822,import!A:J,3,0)</f>
        <v>DOĞRU</v>
      </c>
      <c r="D822" s="257" t="s">
        <v>3676</v>
      </c>
      <c r="E822" s="257">
        <f>VLOOKUP(A822,import!A:J,5,0)</f>
        <v>580</v>
      </c>
      <c r="F822" s="257">
        <f>VLOOKUP(A822,import!A:J,6,0)</f>
        <v>5</v>
      </c>
      <c r="G822" s="257">
        <f>VLOOKUP(A822,import!A:J,7,0)</f>
        <v>0</v>
      </c>
      <c r="H822" s="257">
        <f>VLOOKUP(A822,import!A:J,8,0)</f>
        <v>23</v>
      </c>
      <c r="I822" s="257">
        <f>VLOOKUP(A822,import!A:J,9,0)</f>
        <v>23</v>
      </c>
      <c r="J822" s="369">
        <f>VLOOKUP(A822,import!A:J,10,0)</f>
        <v>0</v>
      </c>
      <c r="K822" s="257" t="s">
        <v>6385</v>
      </c>
      <c r="L822" s="257">
        <v>3.224281808E9</v>
      </c>
      <c r="M822" s="257" t="s">
        <v>286</v>
      </c>
      <c r="N822" s="257" t="s">
        <v>3980</v>
      </c>
      <c r="O822" s="257" t="s">
        <v>1314</v>
      </c>
      <c r="P822" s="370" t="str">
        <f>VLOOKUP(A822,import!A:P,16,0)</f>
        <v>Geleneksel</v>
      </c>
      <c r="Q822" s="370"/>
      <c r="R822" s="370" t="b">
        <v>1</v>
      </c>
      <c r="S822" s="370" t="b">
        <v>0</v>
      </c>
      <c r="T822" s="301" t="s">
        <v>3787</v>
      </c>
      <c r="U822" s="301" t="s">
        <v>3719</v>
      </c>
      <c r="V822" s="301" t="s">
        <v>78</v>
      </c>
      <c r="W822" s="301" t="s">
        <v>6386</v>
      </c>
      <c r="X822" s="371">
        <v>44383.0</v>
      </c>
      <c r="Y822" s="371">
        <v>44385.0</v>
      </c>
      <c r="Z822" s="372"/>
      <c r="AA822" s="373" t="s">
        <v>3682</v>
      </c>
      <c r="AB822" s="374">
        <v>44383.0</v>
      </c>
      <c r="AC822" s="373" t="s">
        <v>3682</v>
      </c>
      <c r="AD822" s="374">
        <v>44428.0</v>
      </c>
      <c r="AE822" s="373" t="s">
        <v>3448</v>
      </c>
      <c r="AF822" s="374">
        <v>44503.0</v>
      </c>
      <c r="AG822" s="92"/>
      <c r="AH822" s="375"/>
      <c r="AI822" s="375"/>
      <c r="AJ822" s="375"/>
      <c r="AK822" s="373" t="s">
        <v>3719</v>
      </c>
      <c r="AL822" s="373" t="s">
        <v>1953</v>
      </c>
      <c r="AM822" s="373" t="s">
        <v>2418</v>
      </c>
      <c r="AN822" s="375"/>
      <c r="AO822" s="375"/>
      <c r="AP822" s="376" t="s">
        <v>3686</v>
      </c>
      <c r="AQ822" s="375"/>
    </row>
    <row r="823">
      <c r="A823" s="257" t="s">
        <v>6387</v>
      </c>
      <c r="B823" s="257" t="s">
        <v>6388</v>
      </c>
      <c r="C823" s="257" t="str">
        <f>VLOOKUP(A823,import!A:J,3,0)</f>
        <v>DOĞRU</v>
      </c>
      <c r="D823" s="257" t="s">
        <v>4000</v>
      </c>
      <c r="E823" s="257">
        <f>VLOOKUP(A823,import!A:J,5,0)</f>
        <v>1679</v>
      </c>
      <c r="F823" s="257">
        <f>VLOOKUP(A823,import!A:J,6,0)</f>
        <v>81</v>
      </c>
      <c r="G823" s="257">
        <f>VLOOKUP(A823,import!A:J,7,0)</f>
        <v>0</v>
      </c>
      <c r="H823" s="257">
        <f>VLOOKUP(A823,import!A:J,8,0)</f>
        <v>59</v>
      </c>
      <c r="I823" s="257">
        <f>VLOOKUP(A823,import!A:J,9,0)</f>
        <v>59</v>
      </c>
      <c r="J823" s="369">
        <f>VLOOKUP(A823,import!A:J,10,0)</f>
        <v>0</v>
      </c>
      <c r="K823" s="257" t="s">
        <v>6389</v>
      </c>
      <c r="L823" s="257">
        <v>3.226128686E9</v>
      </c>
      <c r="M823" s="257" t="s">
        <v>3701</v>
      </c>
      <c r="N823" s="257" t="s">
        <v>4342</v>
      </c>
      <c r="O823" s="257" t="s">
        <v>6390</v>
      </c>
      <c r="P823" s="370" t="str">
        <f>VLOOKUP(A823,import!A:P,16,0)</f>
        <v>Geleneksel</v>
      </c>
      <c r="Q823" s="370"/>
      <c r="R823" s="370" t="b">
        <v>1</v>
      </c>
      <c r="S823" s="370" t="b">
        <v>0</v>
      </c>
      <c r="T823" s="301" t="s">
        <v>3710</v>
      </c>
      <c r="U823" s="379"/>
      <c r="V823" s="379"/>
      <c r="W823" s="301" t="s">
        <v>6391</v>
      </c>
      <c r="X823" s="381"/>
      <c r="Y823" s="381"/>
      <c r="Z823" s="372"/>
      <c r="AA823" s="373" t="s">
        <v>3682</v>
      </c>
      <c r="AB823" s="374">
        <v>44428.0</v>
      </c>
      <c r="AC823" s="375"/>
      <c r="AD823" s="375"/>
      <c r="AE823" s="92"/>
      <c r="AF823" s="375"/>
      <c r="AG823" s="92"/>
      <c r="AH823" s="375"/>
      <c r="AI823" s="375"/>
      <c r="AJ823" s="375"/>
      <c r="AK823" s="373" t="s">
        <v>1953</v>
      </c>
      <c r="AL823" s="375"/>
      <c r="AM823" s="375"/>
      <c r="AN823" s="375"/>
      <c r="AO823" s="375"/>
      <c r="AP823" s="376" t="s">
        <v>3686</v>
      </c>
      <c r="AQ823" s="375"/>
    </row>
    <row r="824">
      <c r="A824" s="257" t="s">
        <v>171</v>
      </c>
      <c r="B824" s="257" t="s">
        <v>6392</v>
      </c>
      <c r="C824" s="257" t="str">
        <f>VLOOKUP(A824,import!A:J,3,0)</f>
        <v>DOĞRU</v>
      </c>
      <c r="D824" s="257" t="s">
        <v>3699</v>
      </c>
      <c r="E824" s="257">
        <f>VLOOKUP(A824,import!A:J,5,0)</f>
        <v>267</v>
      </c>
      <c r="F824" s="257">
        <f>VLOOKUP(A824,import!A:J,6,0)</f>
        <v>16</v>
      </c>
      <c r="G824" s="257">
        <f>VLOOKUP(A824,import!A:J,7,0)</f>
        <v>0</v>
      </c>
      <c r="H824" s="257">
        <f>VLOOKUP(A824,import!A:J,8,0)</f>
        <v>36</v>
      </c>
      <c r="I824" s="257">
        <f>VLOOKUP(A824,import!A:J,9,0)</f>
        <v>36</v>
      </c>
      <c r="J824" s="369">
        <f>VLOOKUP(A824,import!A:J,10,0)</f>
        <v>0</v>
      </c>
      <c r="K824" s="257" t="s">
        <v>6393</v>
      </c>
      <c r="L824" s="257">
        <v>5.331503801E9</v>
      </c>
      <c r="M824" s="257" t="s">
        <v>14</v>
      </c>
      <c r="N824" s="257" t="s">
        <v>3797</v>
      </c>
      <c r="O824" s="257" t="s">
        <v>174</v>
      </c>
      <c r="P824" s="370" t="str">
        <f>VLOOKUP(A824,import!A:P,16,0)</f>
        <v>Geleneksel</v>
      </c>
      <c r="Q824" s="370"/>
      <c r="R824" s="370" t="b">
        <v>1</v>
      </c>
      <c r="S824" s="370" t="b">
        <v>0</v>
      </c>
      <c r="T824" s="301" t="s">
        <v>3770</v>
      </c>
      <c r="U824" s="301"/>
      <c r="V824" s="380"/>
      <c r="W824" s="301" t="s">
        <v>6394</v>
      </c>
      <c r="X824" s="371"/>
      <c r="Y824" s="371"/>
      <c r="Z824" s="377"/>
      <c r="AA824" s="373" t="s">
        <v>3682</v>
      </c>
      <c r="AB824" s="374">
        <v>44348.0</v>
      </c>
      <c r="AC824" s="373" t="s">
        <v>3682</v>
      </c>
      <c r="AD824" s="374">
        <v>44382.0</v>
      </c>
      <c r="AE824" s="373" t="s">
        <v>3682</v>
      </c>
      <c r="AF824" s="374">
        <v>44421.0</v>
      </c>
      <c r="AG824" s="92"/>
      <c r="AH824" s="375"/>
      <c r="AI824" s="375"/>
      <c r="AJ824" s="375"/>
      <c r="AK824" s="373" t="s">
        <v>79</v>
      </c>
      <c r="AL824" s="373" t="s">
        <v>79</v>
      </c>
      <c r="AM824" s="373" t="s">
        <v>1947</v>
      </c>
      <c r="AN824" s="375"/>
      <c r="AO824" s="375"/>
      <c r="AP824" s="376" t="s">
        <v>3683</v>
      </c>
      <c r="AQ824" s="375"/>
    </row>
    <row r="825">
      <c r="A825" s="257" t="s">
        <v>676</v>
      </c>
      <c r="B825" s="257" t="s">
        <v>677</v>
      </c>
      <c r="C825" s="257" t="str">
        <f>VLOOKUP(A825,import!A:J,3,0)</f>
        <v>DOĞRU</v>
      </c>
      <c r="D825" s="257" t="s">
        <v>3822</v>
      </c>
      <c r="E825" s="257">
        <f>VLOOKUP(A825,import!A:J,5,0)</f>
        <v>3580</v>
      </c>
      <c r="F825" s="257">
        <f>VLOOKUP(A825,import!A:J,6,0)</f>
        <v>93</v>
      </c>
      <c r="G825" s="257">
        <f>VLOOKUP(A825,import!A:J,7,0)</f>
        <v>13</v>
      </c>
      <c r="H825" s="257">
        <f>VLOOKUP(A825,import!A:J,8,0)</f>
        <v>4</v>
      </c>
      <c r="I825" s="257">
        <f>VLOOKUP(A825,import!A:J,9,0)</f>
        <v>17</v>
      </c>
      <c r="J825" s="369">
        <f>VLOOKUP(A825,import!A:J,10,0)</f>
        <v>0.76</v>
      </c>
      <c r="K825" s="257" t="s">
        <v>3903</v>
      </c>
      <c r="L825" s="257">
        <v>5.457719101E9</v>
      </c>
      <c r="M825" s="257" t="s">
        <v>14</v>
      </c>
      <c r="N825" s="257" t="s">
        <v>3733</v>
      </c>
      <c r="O825" s="257" t="s">
        <v>679</v>
      </c>
      <c r="P825" s="370" t="str">
        <f>VLOOKUP(A825,import!A:P,16,0)</f>
        <v>Geleneksel</v>
      </c>
      <c r="Q825" s="370"/>
      <c r="R825" s="370" t="b">
        <v>1</v>
      </c>
      <c r="S825" s="370" t="b">
        <v>0</v>
      </c>
      <c r="T825" s="301" t="s">
        <v>3679</v>
      </c>
      <c r="U825" s="301" t="s">
        <v>3723</v>
      </c>
      <c r="V825" s="301" t="s">
        <v>78</v>
      </c>
      <c r="W825" s="301"/>
      <c r="X825" s="371">
        <v>44427.0</v>
      </c>
      <c r="Y825" s="371">
        <v>44431.0</v>
      </c>
      <c r="Z825" s="377"/>
      <c r="AA825" s="373" t="s">
        <v>3682</v>
      </c>
      <c r="AB825" s="374">
        <v>44427.0</v>
      </c>
      <c r="AC825" s="375"/>
      <c r="AD825" s="375"/>
      <c r="AE825" s="92"/>
      <c r="AF825" s="375"/>
      <c r="AG825" s="92"/>
      <c r="AH825" s="375"/>
      <c r="AI825" s="375"/>
      <c r="AJ825" s="375"/>
      <c r="AK825" s="373" t="s">
        <v>3723</v>
      </c>
      <c r="AL825" s="375"/>
      <c r="AM825" s="375"/>
      <c r="AN825" s="375"/>
      <c r="AO825" s="375"/>
      <c r="AP825" s="376" t="s">
        <v>3683</v>
      </c>
      <c r="AQ825" s="375"/>
    </row>
    <row r="826">
      <c r="A826" s="257" t="s">
        <v>486</v>
      </c>
      <c r="B826" s="257" t="s">
        <v>487</v>
      </c>
      <c r="C826" s="257" t="str">
        <f>VLOOKUP(A826,import!A:J,3,0)</f>
        <v>DOĞRU</v>
      </c>
      <c r="D826" s="257" t="s">
        <v>3690</v>
      </c>
      <c r="E826" s="257">
        <f>VLOOKUP(A826,import!A:J,5,0)</f>
        <v>1368</v>
      </c>
      <c r="F826" s="257">
        <f>VLOOKUP(A826,import!A:J,6,0)</f>
        <v>56</v>
      </c>
      <c r="G826" s="257">
        <f>VLOOKUP(A826,import!A:J,7,0)</f>
        <v>10</v>
      </c>
      <c r="H826" s="257">
        <f>VLOOKUP(A826,import!A:J,8,0)</f>
        <v>5</v>
      </c>
      <c r="I826" s="257">
        <f>VLOOKUP(A826,import!A:J,9,0)</f>
        <v>15</v>
      </c>
      <c r="J826" s="369">
        <f>VLOOKUP(A826,import!A:J,10,0)</f>
        <v>0.67</v>
      </c>
      <c r="K826" s="257" t="s">
        <v>6395</v>
      </c>
      <c r="L826" s="257">
        <v>5.44938018E9</v>
      </c>
      <c r="M826" s="257" t="s">
        <v>14</v>
      </c>
      <c r="N826" s="257" t="s">
        <v>3718</v>
      </c>
      <c r="O826" s="257" t="s">
        <v>490</v>
      </c>
      <c r="P826" s="370" t="str">
        <f>VLOOKUP(A826,import!A:P,16,0)</f>
        <v>Geleneksel</v>
      </c>
      <c r="Q826" s="370"/>
      <c r="R826" s="370" t="b">
        <v>1</v>
      </c>
      <c r="S826" s="370" t="b">
        <v>0</v>
      </c>
      <c r="T826" s="301" t="s">
        <v>3679</v>
      </c>
      <c r="U826" s="301" t="s">
        <v>399</v>
      </c>
      <c r="V826" s="301" t="s">
        <v>78</v>
      </c>
      <c r="W826" s="301" t="s">
        <v>491</v>
      </c>
      <c r="X826" s="371">
        <v>44311.0</v>
      </c>
      <c r="Y826" s="371">
        <v>44313.0</v>
      </c>
      <c r="Z826" s="377"/>
      <c r="AA826" s="375"/>
      <c r="AB826" s="375"/>
      <c r="AC826" s="375"/>
      <c r="AD826" s="375"/>
      <c r="AE826" s="92"/>
      <c r="AF826" s="375"/>
      <c r="AG826" s="92"/>
      <c r="AH826" s="375"/>
      <c r="AI826" s="375"/>
      <c r="AJ826" s="375"/>
      <c r="AK826" s="375"/>
      <c r="AL826" s="375"/>
      <c r="AM826" s="375"/>
      <c r="AN826" s="375"/>
      <c r="AO826" s="375"/>
      <c r="AP826" s="376" t="s">
        <v>3683</v>
      </c>
      <c r="AQ826" s="375"/>
    </row>
    <row r="827">
      <c r="A827" s="257" t="s">
        <v>6396</v>
      </c>
      <c r="B827" s="257" t="s">
        <v>6397</v>
      </c>
      <c r="C827" s="257" t="str">
        <f>VLOOKUP(A827,import!A:J,3,0)</f>
        <v>DOĞRU</v>
      </c>
      <c r="D827" s="257" t="s">
        <v>3801</v>
      </c>
      <c r="E827" s="257">
        <f>VLOOKUP(A827,import!A:J,5,0)</f>
        <v>22</v>
      </c>
      <c r="F827" s="257" t="str">
        <f>VLOOKUP(A827,import!A:J,6,0)</f>
        <v/>
      </c>
      <c r="G827" s="257">
        <f>VLOOKUP(A827,import!A:J,7,0)</f>
        <v>0</v>
      </c>
      <c r="H827" s="257">
        <f>VLOOKUP(A827,import!A:J,8,0)</f>
        <v>5</v>
      </c>
      <c r="I827" s="257">
        <f>VLOOKUP(A827,import!A:J,9,0)</f>
        <v>5</v>
      </c>
      <c r="J827" s="369">
        <f>VLOOKUP(A827,import!A:J,10,0)</f>
        <v>0</v>
      </c>
      <c r="K827" s="257" t="s">
        <v>6398</v>
      </c>
      <c r="L827" s="257">
        <v>5.078540782E9</v>
      </c>
      <c r="M827" s="257" t="s">
        <v>3692</v>
      </c>
      <c r="N827" s="257" t="s">
        <v>3721</v>
      </c>
      <c r="O827" s="257" t="s">
        <v>6399</v>
      </c>
      <c r="P827" s="370" t="str">
        <f>VLOOKUP(A827,import!A:P,16,0)</f>
        <v>Geleneksel</v>
      </c>
      <c r="Q827" s="370"/>
      <c r="R827" s="370" t="b">
        <v>0</v>
      </c>
      <c r="S827" s="370" t="b">
        <v>0</v>
      </c>
      <c r="T827" s="301"/>
      <c r="U827" s="379"/>
      <c r="V827" s="379"/>
      <c r="W827" s="301"/>
      <c r="X827" s="381"/>
      <c r="Y827" s="381"/>
      <c r="Z827" s="372"/>
      <c r="AA827" s="373"/>
      <c r="AB827" s="374"/>
      <c r="AC827" s="373"/>
      <c r="AD827" s="374"/>
      <c r="AE827" s="373"/>
      <c r="AF827" s="374"/>
      <c r="AG827" s="373"/>
      <c r="AH827" s="374"/>
      <c r="AI827" s="375"/>
      <c r="AJ827" s="375"/>
      <c r="AK827" s="373"/>
      <c r="AL827" s="375"/>
      <c r="AM827" s="375"/>
      <c r="AN827" s="373"/>
      <c r="AO827" s="375"/>
      <c r="AP827" s="376"/>
      <c r="AQ827" s="375"/>
    </row>
    <row r="828">
      <c r="A828" s="257" t="s">
        <v>1652</v>
      </c>
      <c r="B828" s="257" t="s">
        <v>1653</v>
      </c>
      <c r="C828" s="257" t="str">
        <f>VLOOKUP(A828,import!A:J,3,0)</f>
        <v>DOĞRU</v>
      </c>
      <c r="D828" s="257" t="s">
        <v>3699</v>
      </c>
      <c r="E828" s="257">
        <f>VLOOKUP(A828,import!A:J,5,0)</f>
        <v>653</v>
      </c>
      <c r="F828" s="257">
        <f>VLOOKUP(A828,import!A:J,6,0)</f>
        <v>44</v>
      </c>
      <c r="G828" s="257">
        <f>VLOOKUP(A828,import!A:J,7,0)</f>
        <v>16</v>
      </c>
      <c r="H828" s="257">
        <f>VLOOKUP(A828,import!A:J,8,0)</f>
        <v>5</v>
      </c>
      <c r="I828" s="257">
        <f>VLOOKUP(A828,import!A:J,9,0)</f>
        <v>21</v>
      </c>
      <c r="J828" s="369">
        <f>VLOOKUP(A828,import!A:J,10,0)</f>
        <v>0.76</v>
      </c>
      <c r="K828" s="257" t="s">
        <v>6400</v>
      </c>
      <c r="L828" s="257">
        <v>5.354408881E9</v>
      </c>
      <c r="M828" s="257" t="s">
        <v>3692</v>
      </c>
      <c r="N828" s="257" t="s">
        <v>3721</v>
      </c>
      <c r="O828" s="257" t="s">
        <v>1655</v>
      </c>
      <c r="P828" s="370" t="str">
        <f>VLOOKUP(A828,import!A:P,16,0)</f>
        <v>Geleneksel</v>
      </c>
      <c r="Q828" s="370"/>
      <c r="R828" s="370" t="b">
        <v>1</v>
      </c>
      <c r="S828" s="370" t="b">
        <v>0</v>
      </c>
      <c r="T828" s="301" t="s">
        <v>3679</v>
      </c>
      <c r="U828" s="301" t="s">
        <v>2282</v>
      </c>
      <c r="V828" s="301" t="s">
        <v>78</v>
      </c>
      <c r="W828" s="419" t="s">
        <v>838</v>
      </c>
      <c r="X828" s="371">
        <v>44496.0</v>
      </c>
      <c r="Y828" s="371">
        <v>44497.0</v>
      </c>
      <c r="Z828" s="301" t="s">
        <v>3957</v>
      </c>
      <c r="AA828" s="373" t="s">
        <v>3681</v>
      </c>
      <c r="AB828" s="371">
        <v>44405.0</v>
      </c>
      <c r="AC828" s="373" t="s">
        <v>3682</v>
      </c>
      <c r="AD828" s="374">
        <v>44413.0</v>
      </c>
      <c r="AE828" s="373" t="s">
        <v>3682</v>
      </c>
      <c r="AF828" s="374">
        <v>44496.0</v>
      </c>
      <c r="AG828" s="92"/>
      <c r="AH828" s="375"/>
      <c r="AI828" s="375"/>
      <c r="AJ828" s="375"/>
      <c r="AK828" s="373" t="s">
        <v>3752</v>
      </c>
      <c r="AL828" s="373" t="s">
        <v>1953</v>
      </c>
      <c r="AM828" s="373" t="s">
        <v>2282</v>
      </c>
      <c r="AN828" s="375"/>
      <c r="AO828" s="375"/>
      <c r="AP828" s="376" t="s">
        <v>3686</v>
      </c>
      <c r="AQ828" s="375"/>
    </row>
    <row r="829">
      <c r="A829" s="257" t="s">
        <v>6401</v>
      </c>
      <c r="B829" s="257" t="s">
        <v>6402</v>
      </c>
      <c r="C829" s="257" t="str">
        <f>VLOOKUP(A829,import!A:J,3,0)</f>
        <v>DOĞRU</v>
      </c>
      <c r="D829" s="257" t="s">
        <v>3676</v>
      </c>
      <c r="E829" s="257">
        <f>VLOOKUP(A829,import!A:J,5,0)</f>
        <v>1147</v>
      </c>
      <c r="F829" s="257">
        <f>VLOOKUP(A829,import!A:J,6,0)</f>
        <v>28</v>
      </c>
      <c r="G829" s="257">
        <f>VLOOKUP(A829,import!A:J,7,0)</f>
        <v>0</v>
      </c>
      <c r="H829" s="257">
        <f>VLOOKUP(A829,import!A:J,8,0)</f>
        <v>19</v>
      </c>
      <c r="I829" s="257">
        <f>VLOOKUP(A829,import!A:J,9,0)</f>
        <v>19</v>
      </c>
      <c r="J829" s="369">
        <f>VLOOKUP(A829,import!A:J,10,0)</f>
        <v>0</v>
      </c>
      <c r="K829" s="257" t="s">
        <v>6403</v>
      </c>
      <c r="L829" s="257">
        <v>5.533023271E9</v>
      </c>
      <c r="M829" s="257" t="s">
        <v>286</v>
      </c>
      <c r="N829" s="257" t="s">
        <v>3737</v>
      </c>
      <c r="O829" s="257" t="s">
        <v>6404</v>
      </c>
      <c r="P829" s="370" t="str">
        <f>VLOOKUP(A829,import!A:P,16,0)</f>
        <v>Geleneksel</v>
      </c>
      <c r="Q829" s="370"/>
      <c r="R829" s="370" t="b">
        <v>1</v>
      </c>
      <c r="S829" s="370" t="b">
        <v>0</v>
      </c>
      <c r="T829" s="301" t="s">
        <v>3770</v>
      </c>
      <c r="U829" s="379"/>
      <c r="V829" s="379"/>
      <c r="W829" s="301" t="s">
        <v>6405</v>
      </c>
      <c r="X829" s="381"/>
      <c r="Y829" s="381"/>
      <c r="Z829" s="372"/>
      <c r="AA829" s="373" t="s">
        <v>3682</v>
      </c>
      <c r="AB829" s="374">
        <v>44378.0</v>
      </c>
      <c r="AC829" s="373" t="s">
        <v>3682</v>
      </c>
      <c r="AD829" s="374">
        <v>44385.0</v>
      </c>
      <c r="AE829" s="373" t="s">
        <v>3682</v>
      </c>
      <c r="AF829" s="374">
        <v>44427.0</v>
      </c>
      <c r="AG829" s="373" t="s">
        <v>3682</v>
      </c>
      <c r="AH829" s="374">
        <v>44448.0</v>
      </c>
      <c r="AI829" s="373" t="s">
        <v>3682</v>
      </c>
      <c r="AJ829" s="374">
        <v>44505.0</v>
      </c>
      <c r="AK829" s="373" t="s">
        <v>111</v>
      </c>
      <c r="AL829" s="373" t="s">
        <v>79</v>
      </c>
      <c r="AM829" s="373" t="s">
        <v>3723</v>
      </c>
      <c r="AN829" s="373" t="s">
        <v>2542</v>
      </c>
      <c r="AO829" s="373" t="s">
        <v>2941</v>
      </c>
      <c r="AP829" s="376" t="s">
        <v>3683</v>
      </c>
      <c r="AQ829" s="373"/>
    </row>
    <row r="830">
      <c r="A830" s="257" t="s">
        <v>6406</v>
      </c>
      <c r="B830" s="257" t="s">
        <v>6407</v>
      </c>
      <c r="C830" s="257" t="str">
        <f>VLOOKUP(A830,import!A:J,3,0)</f>
        <v>DOĞRU</v>
      </c>
      <c r="D830" s="257" t="s">
        <v>3713</v>
      </c>
      <c r="E830" s="257">
        <f>VLOOKUP(A830,import!A:J,5,0)</f>
        <v>74</v>
      </c>
      <c r="F830" s="257" t="str">
        <f>VLOOKUP(A830,import!A:J,6,0)</f>
        <v/>
      </c>
      <c r="G830" s="257">
        <f>VLOOKUP(A830,import!A:J,7,0)</f>
        <v>0</v>
      </c>
      <c r="H830" s="257">
        <f>VLOOKUP(A830,import!A:J,8,0)</f>
        <v>5</v>
      </c>
      <c r="I830" s="257">
        <f>VLOOKUP(A830,import!A:J,9,0)</f>
        <v>5</v>
      </c>
      <c r="J830" s="369">
        <f>VLOOKUP(A830,import!A:J,10,0)</f>
        <v>0</v>
      </c>
      <c r="K830" s="257" t="s">
        <v>6408</v>
      </c>
      <c r="L830" s="257">
        <v>5.348229227E9</v>
      </c>
      <c r="M830" s="257" t="s">
        <v>14</v>
      </c>
      <c r="N830" s="257" t="s">
        <v>3718</v>
      </c>
      <c r="O830" s="257" t="s">
        <v>6409</v>
      </c>
      <c r="P830" s="370" t="str">
        <f>VLOOKUP(A830,import!A:P,16,0)</f>
        <v>Geleneksel</v>
      </c>
      <c r="Q830" s="370"/>
      <c r="R830" s="370" t="b">
        <v>1</v>
      </c>
      <c r="S830" s="370" t="b">
        <v>1</v>
      </c>
      <c r="T830" s="301" t="s">
        <v>3696</v>
      </c>
      <c r="U830" s="379"/>
      <c r="V830" s="379"/>
      <c r="W830" s="301" t="s">
        <v>6410</v>
      </c>
      <c r="X830" s="381"/>
      <c r="Y830" s="381"/>
      <c r="Z830" s="372"/>
      <c r="AA830" s="373" t="s">
        <v>3682</v>
      </c>
      <c r="AB830" s="374">
        <v>44382.0</v>
      </c>
      <c r="AC830" s="373" t="s">
        <v>3682</v>
      </c>
      <c r="AD830" s="374">
        <v>44390.0</v>
      </c>
      <c r="AE830" s="373" t="s">
        <v>3682</v>
      </c>
      <c r="AF830" s="374">
        <v>44441.0</v>
      </c>
      <c r="AG830" s="373" t="s">
        <v>3682</v>
      </c>
      <c r="AH830" s="374">
        <v>44453.0</v>
      </c>
      <c r="AI830" s="373" t="s">
        <v>3682</v>
      </c>
      <c r="AJ830" s="374">
        <v>44519.0</v>
      </c>
      <c r="AK830" s="373" t="s">
        <v>3719</v>
      </c>
      <c r="AL830" s="373" t="s">
        <v>111</v>
      </c>
      <c r="AM830" s="373" t="s">
        <v>2542</v>
      </c>
      <c r="AN830" s="373" t="s">
        <v>2542</v>
      </c>
      <c r="AO830" s="373" t="s">
        <v>3073</v>
      </c>
      <c r="AP830" s="376" t="s">
        <v>3683</v>
      </c>
      <c r="AQ830" s="373"/>
    </row>
    <row r="831">
      <c r="A831" s="257" t="s">
        <v>6411</v>
      </c>
      <c r="B831" s="257" t="s">
        <v>6412</v>
      </c>
      <c r="C831" s="257" t="str">
        <f>VLOOKUP(A831,import!A:J,3,0)</f>
        <v>DOĞRU</v>
      </c>
      <c r="D831" s="257" t="s">
        <v>3699</v>
      </c>
      <c r="E831" s="257">
        <f>VLOOKUP(A831,import!A:J,5,0)</f>
        <v>415</v>
      </c>
      <c r="F831" s="257">
        <f>VLOOKUP(A831,import!A:J,6,0)</f>
        <v>7</v>
      </c>
      <c r="G831" s="257">
        <f>VLOOKUP(A831,import!A:J,7,0)</f>
        <v>12</v>
      </c>
      <c r="H831" s="257">
        <f>VLOOKUP(A831,import!A:J,8,0)</f>
        <v>3</v>
      </c>
      <c r="I831" s="257">
        <f>VLOOKUP(A831,import!A:J,9,0)</f>
        <v>15</v>
      </c>
      <c r="J831" s="369">
        <f>VLOOKUP(A831,import!A:J,10,0)</f>
        <v>0.8</v>
      </c>
      <c r="K831" s="257" t="s">
        <v>6413</v>
      </c>
      <c r="L831" s="257">
        <v>3.224352404E9</v>
      </c>
      <c r="M831" s="257" t="s">
        <v>286</v>
      </c>
      <c r="N831" s="257" t="s">
        <v>4143</v>
      </c>
      <c r="O831" s="257" t="s">
        <v>6414</v>
      </c>
      <c r="P831" s="370" t="str">
        <f>VLOOKUP(A831,import!A:P,16,0)</f>
        <v>Geleneksel</v>
      </c>
      <c r="Q831" s="370"/>
      <c r="R831" s="370" t="b">
        <v>1</v>
      </c>
      <c r="S831" s="370" t="b">
        <v>1</v>
      </c>
      <c r="T831" s="301"/>
      <c r="U831" s="301"/>
      <c r="V831" s="301"/>
      <c r="W831" s="301" t="s">
        <v>6415</v>
      </c>
      <c r="X831" s="371"/>
      <c r="Y831" s="371"/>
      <c r="Z831" s="377"/>
      <c r="AA831" s="373" t="s">
        <v>3682</v>
      </c>
      <c r="AB831" s="374">
        <v>44372.0</v>
      </c>
      <c r="AC831" s="373" t="s">
        <v>3682</v>
      </c>
      <c r="AD831" s="374">
        <v>44454.0</v>
      </c>
      <c r="AE831" s="92"/>
      <c r="AF831" s="375"/>
      <c r="AG831" s="92"/>
      <c r="AH831" s="375"/>
      <c r="AI831" s="375"/>
      <c r="AJ831" s="375"/>
      <c r="AK831" s="373" t="s">
        <v>3719</v>
      </c>
      <c r="AL831" s="373" t="s">
        <v>2542</v>
      </c>
      <c r="AM831" s="375"/>
      <c r="AN831" s="375"/>
      <c r="AO831" s="375"/>
      <c r="AP831" s="376" t="s">
        <v>3686</v>
      </c>
      <c r="AQ831" s="375"/>
    </row>
    <row r="832">
      <c r="A832" s="257" t="s">
        <v>2258</v>
      </c>
      <c r="B832" s="257" t="s">
        <v>2259</v>
      </c>
      <c r="C832" s="257" t="str">
        <f>VLOOKUP(A832,import!A:J,3,0)</f>
        <v>DOĞRU</v>
      </c>
      <c r="D832" s="257" t="s">
        <v>3699</v>
      </c>
      <c r="E832" s="257">
        <f>VLOOKUP(A832,import!A:J,5,0)</f>
        <v>686</v>
      </c>
      <c r="F832" s="257">
        <f>VLOOKUP(A832,import!A:J,6,0)</f>
        <v>14</v>
      </c>
      <c r="G832" s="257">
        <f>VLOOKUP(A832,import!A:J,7,0)</f>
        <v>13</v>
      </c>
      <c r="H832" s="257">
        <f>VLOOKUP(A832,import!A:J,8,0)</f>
        <v>5</v>
      </c>
      <c r="I832" s="257">
        <f>VLOOKUP(A832,import!A:J,9,0)</f>
        <v>18</v>
      </c>
      <c r="J832" s="369">
        <f>VLOOKUP(A832,import!A:J,10,0)</f>
        <v>0.72</v>
      </c>
      <c r="K832" s="257" t="s">
        <v>6413</v>
      </c>
      <c r="L832" s="257">
        <v>3.224585569E9</v>
      </c>
      <c r="M832" s="257" t="s">
        <v>286</v>
      </c>
      <c r="N832" s="257" t="s">
        <v>3806</v>
      </c>
      <c r="O832" s="257" t="s">
        <v>2261</v>
      </c>
      <c r="P832" s="370" t="str">
        <f>VLOOKUP(A832,import!A:P,16,0)</f>
        <v>Geleneksel</v>
      </c>
      <c r="Q832" s="370"/>
      <c r="R832" s="370" t="b">
        <v>1</v>
      </c>
      <c r="S832" s="370" t="b">
        <v>0</v>
      </c>
      <c r="T832" s="301" t="s">
        <v>3679</v>
      </c>
      <c r="U832" s="301" t="s">
        <v>2542</v>
      </c>
      <c r="V832" s="301" t="s">
        <v>78</v>
      </c>
      <c r="W832" s="301" t="s">
        <v>6416</v>
      </c>
      <c r="X832" s="371">
        <v>44441.0</v>
      </c>
      <c r="Y832" s="371">
        <v>44442.0</v>
      </c>
      <c r="Z832" s="372"/>
      <c r="AA832" s="373" t="s">
        <v>3682</v>
      </c>
      <c r="AB832" s="374">
        <v>44386.0</v>
      </c>
      <c r="AC832" s="373" t="s">
        <v>3682</v>
      </c>
      <c r="AD832" s="374">
        <v>44441.0</v>
      </c>
      <c r="AE832" s="92"/>
      <c r="AF832" s="375"/>
      <c r="AG832" s="92"/>
      <c r="AH832" s="375"/>
      <c r="AI832" s="375"/>
      <c r="AJ832" s="375"/>
      <c r="AK832" s="375"/>
      <c r="AL832" s="373" t="s">
        <v>2542</v>
      </c>
      <c r="AM832" s="375"/>
      <c r="AN832" s="375"/>
      <c r="AO832" s="375"/>
      <c r="AP832" s="376" t="s">
        <v>3686</v>
      </c>
      <c r="AQ832" s="375"/>
    </row>
    <row r="833">
      <c r="A833" s="257" t="s">
        <v>6417</v>
      </c>
      <c r="B833" s="257" t="s">
        <v>6418</v>
      </c>
      <c r="C833" s="257" t="str">
        <f>VLOOKUP(A833,import!A:J,3,0)</f>
        <v>DOĞRU</v>
      </c>
      <c r="D833" s="257" t="s">
        <v>3699</v>
      </c>
      <c r="E833" s="257">
        <f>VLOOKUP(A833,import!A:J,5,0)</f>
        <v>1656</v>
      </c>
      <c r="F833" s="257">
        <f>VLOOKUP(A833,import!A:J,6,0)</f>
        <v>39</v>
      </c>
      <c r="G833" s="257">
        <f>VLOOKUP(A833,import!A:J,7,0)</f>
        <v>4</v>
      </c>
      <c r="H833" s="257">
        <f>VLOOKUP(A833,import!A:J,8,0)</f>
        <v>5</v>
      </c>
      <c r="I833" s="257">
        <f>VLOOKUP(A833,import!A:J,9,0)</f>
        <v>9</v>
      </c>
      <c r="J833" s="369">
        <f>VLOOKUP(A833,import!A:J,10,0)</f>
        <v>0.44</v>
      </c>
      <c r="K833" s="257" t="s">
        <v>6413</v>
      </c>
      <c r="L833" s="257">
        <v>3.222310892E9</v>
      </c>
      <c r="M833" s="257" t="s">
        <v>14</v>
      </c>
      <c r="N833" s="257" t="s">
        <v>3797</v>
      </c>
      <c r="O833" s="257" t="s">
        <v>6419</v>
      </c>
      <c r="P833" s="370" t="str">
        <f>VLOOKUP(A833,import!A:P,16,0)</f>
        <v>Geleneksel</v>
      </c>
      <c r="Q833" s="370"/>
      <c r="R833" s="370" t="b">
        <v>1</v>
      </c>
      <c r="S833" s="370" t="b">
        <v>1</v>
      </c>
      <c r="T833" s="379"/>
      <c r="U833" s="379"/>
      <c r="V833" s="379"/>
      <c r="W833" s="301" t="s">
        <v>6420</v>
      </c>
      <c r="X833" s="381"/>
      <c r="Y833" s="381"/>
      <c r="Z833" s="372"/>
      <c r="AA833" s="375"/>
      <c r="AB833" s="375"/>
      <c r="AC833" s="375"/>
      <c r="AD833" s="375"/>
      <c r="AE833" s="92"/>
      <c r="AF833" s="375"/>
      <c r="AG833" s="92"/>
      <c r="AH833" s="375"/>
      <c r="AI833" s="375"/>
      <c r="AJ833" s="375"/>
      <c r="AK833" s="375"/>
      <c r="AL833" s="375"/>
      <c r="AM833" s="375"/>
      <c r="AN833" s="375"/>
      <c r="AO833" s="375"/>
      <c r="AP833" s="376" t="s">
        <v>3683</v>
      </c>
      <c r="AQ833" s="375"/>
    </row>
    <row r="834">
      <c r="A834" s="257" t="s">
        <v>6421</v>
      </c>
      <c r="B834" s="257" t="s">
        <v>6422</v>
      </c>
      <c r="C834" s="257" t="str">
        <f>VLOOKUP(A834,import!A:J,3,0)</f>
        <v>YANLIŞ</v>
      </c>
      <c r="D834" s="257" t="s">
        <v>3699</v>
      </c>
      <c r="E834" s="257" t="str">
        <f>VLOOKUP(A834,import!A:J,5,0)</f>
        <v/>
      </c>
      <c r="F834" s="257" t="str">
        <f>VLOOKUP(A834,import!A:J,6,0)</f>
        <v/>
      </c>
      <c r="G834" s="257">
        <f>VLOOKUP(A834,import!A:J,7,0)</f>
        <v>0</v>
      </c>
      <c r="H834" s="257">
        <f>VLOOKUP(A834,import!A:J,8,0)</f>
        <v>17</v>
      </c>
      <c r="I834" s="257">
        <f>VLOOKUP(A834,import!A:J,9,0)</f>
        <v>17</v>
      </c>
      <c r="J834" s="369">
        <f>VLOOKUP(A834,import!A:J,10,0)</f>
        <v>0</v>
      </c>
      <c r="K834" s="257" t="s">
        <v>6423</v>
      </c>
      <c r="L834" s="257">
        <v>3.222312212E9</v>
      </c>
      <c r="M834" s="257" t="s">
        <v>14</v>
      </c>
      <c r="N834" s="257" t="s">
        <v>3718</v>
      </c>
      <c r="O834" s="257" t="s">
        <v>6424</v>
      </c>
      <c r="P834" s="370" t="str">
        <f>VLOOKUP(A834,import!A:P,16,0)</f>
        <v>Geleneksel</v>
      </c>
      <c r="Q834" s="370"/>
      <c r="R834" s="370" t="b">
        <v>0</v>
      </c>
      <c r="S834" s="370" t="b">
        <v>0</v>
      </c>
      <c r="T834" s="301" t="s">
        <v>3696</v>
      </c>
      <c r="U834" s="301"/>
      <c r="V834" s="301"/>
      <c r="W834" s="301" t="s">
        <v>6425</v>
      </c>
      <c r="X834" s="371"/>
      <c r="Y834" s="371"/>
      <c r="Z834" s="372"/>
      <c r="AA834" s="373" t="s">
        <v>3682</v>
      </c>
      <c r="AB834" s="374">
        <v>44634.0</v>
      </c>
      <c r="AC834" s="373" t="s">
        <v>3696</v>
      </c>
      <c r="AD834" s="374">
        <v>44635.0</v>
      </c>
      <c r="AE834" s="373"/>
      <c r="AF834" s="374"/>
      <c r="AG834" s="373"/>
      <c r="AH834" s="374"/>
      <c r="AI834" s="373"/>
      <c r="AJ834" s="374"/>
      <c r="AK834" s="373" t="s">
        <v>2542</v>
      </c>
      <c r="AL834" s="373" t="s">
        <v>2192</v>
      </c>
      <c r="AM834" s="373"/>
      <c r="AN834" s="373"/>
      <c r="AO834" s="373"/>
      <c r="AP834" s="376"/>
      <c r="AQ834" s="373"/>
    </row>
    <row r="835">
      <c r="A835" s="257" t="s">
        <v>6426</v>
      </c>
      <c r="B835" s="257" t="s">
        <v>6427</v>
      </c>
      <c r="C835" s="257" t="str">
        <f>VLOOKUP(A835,import!A:J,3,0)</f>
        <v>DOĞRU</v>
      </c>
      <c r="D835" s="257" t="s">
        <v>3699</v>
      </c>
      <c r="E835" s="257">
        <f>VLOOKUP(A835,import!A:J,5,0)</f>
        <v>17</v>
      </c>
      <c r="F835" s="257">
        <f>VLOOKUP(A835,import!A:J,6,0)</f>
        <v>6</v>
      </c>
      <c r="G835" s="257">
        <f>VLOOKUP(A835,import!A:J,7,0)</f>
        <v>0</v>
      </c>
      <c r="H835" s="257">
        <f>VLOOKUP(A835,import!A:J,8,0)</f>
        <v>10</v>
      </c>
      <c r="I835" s="257">
        <f>VLOOKUP(A835,import!A:J,9,0)</f>
        <v>10</v>
      </c>
      <c r="J835" s="369">
        <f>VLOOKUP(A835,import!A:J,10,0)</f>
        <v>0</v>
      </c>
      <c r="K835" s="257" t="s">
        <v>6423</v>
      </c>
      <c r="L835" s="257">
        <v>3.225020127E9</v>
      </c>
      <c r="M835" s="257" t="s">
        <v>286</v>
      </c>
      <c r="N835" s="257" t="s">
        <v>3746</v>
      </c>
      <c r="O835" s="257" t="s">
        <v>6428</v>
      </c>
      <c r="P835" s="370" t="str">
        <f>VLOOKUP(A835,import!A:P,16,0)</f>
        <v>Geleneksel</v>
      </c>
      <c r="Q835" s="370"/>
      <c r="R835" s="370" t="b">
        <v>0</v>
      </c>
      <c r="S835" s="370" t="b">
        <v>0</v>
      </c>
      <c r="T835" s="301" t="s">
        <v>3696</v>
      </c>
      <c r="U835" s="301"/>
      <c r="V835" s="380"/>
      <c r="W835" s="299" t="s">
        <v>6429</v>
      </c>
      <c r="X835" s="371"/>
      <c r="Y835" s="371"/>
      <c r="Z835" s="372"/>
      <c r="AA835" s="373"/>
      <c r="AB835" s="374"/>
      <c r="AC835" s="373"/>
      <c r="AD835" s="374"/>
      <c r="AE835" s="373"/>
      <c r="AF835" s="374"/>
      <c r="AG835" s="373"/>
      <c r="AH835" s="374"/>
      <c r="AI835" s="373"/>
      <c r="AJ835" s="374"/>
      <c r="AK835" s="373"/>
      <c r="AL835" s="373"/>
      <c r="AM835" s="373"/>
      <c r="AN835" s="373"/>
      <c r="AO835" s="373"/>
      <c r="AP835" s="376"/>
      <c r="AQ835" s="373"/>
    </row>
    <row r="836">
      <c r="A836" s="257" t="s">
        <v>6430</v>
      </c>
      <c r="B836" s="257" t="s">
        <v>6431</v>
      </c>
      <c r="C836" s="257" t="str">
        <f>VLOOKUP(A836,import!A:J,3,0)</f>
        <v>DOĞRU</v>
      </c>
      <c r="D836" s="257" t="s">
        <v>3699</v>
      </c>
      <c r="E836" s="257" t="str">
        <f>VLOOKUP(A836,import!A:J,5,0)</f>
        <v/>
      </c>
      <c r="F836" s="257" t="str">
        <f>VLOOKUP(A836,import!A:J,6,0)</f>
        <v/>
      </c>
      <c r="G836" s="257">
        <f>VLOOKUP(A836,import!A:J,7,0)</f>
        <v>0</v>
      </c>
      <c r="H836" s="257">
        <f>VLOOKUP(A836,import!A:J,8,0)</f>
        <v>18</v>
      </c>
      <c r="I836" s="257">
        <f>VLOOKUP(A836,import!A:J,9,0)</f>
        <v>18</v>
      </c>
      <c r="J836" s="369">
        <f>VLOOKUP(A836,import!A:J,10,0)</f>
        <v>0</v>
      </c>
      <c r="K836" s="257" t="s">
        <v>6423</v>
      </c>
      <c r="L836" s="257">
        <v>3.224570102E9</v>
      </c>
      <c r="M836" s="257" t="s">
        <v>286</v>
      </c>
      <c r="N836" s="257" t="s">
        <v>4263</v>
      </c>
      <c r="O836" s="257" t="s">
        <v>6432</v>
      </c>
      <c r="P836" s="370" t="str">
        <f>VLOOKUP(A836,import!A:P,16,0)</f>
        <v>Geleneksel</v>
      </c>
      <c r="Q836" s="370"/>
      <c r="R836" s="370" t="b">
        <v>0</v>
      </c>
      <c r="S836" s="370" t="b">
        <v>0</v>
      </c>
      <c r="T836" s="301" t="s">
        <v>3696</v>
      </c>
      <c r="U836" s="301"/>
      <c r="V836" s="301"/>
      <c r="W836" s="299" t="s">
        <v>6429</v>
      </c>
      <c r="X836" s="371"/>
      <c r="Y836" s="371"/>
      <c r="Z836" s="372"/>
      <c r="AA836" s="373"/>
      <c r="AB836" s="374"/>
      <c r="AC836" s="373"/>
      <c r="AD836" s="374"/>
      <c r="AE836" s="373"/>
      <c r="AF836" s="374"/>
      <c r="AG836" s="373"/>
      <c r="AH836" s="374"/>
      <c r="AI836" s="373"/>
      <c r="AJ836" s="374"/>
      <c r="AK836" s="373"/>
      <c r="AL836" s="373"/>
      <c r="AM836" s="373"/>
      <c r="AN836" s="373"/>
      <c r="AO836" s="373"/>
      <c r="AP836" s="376"/>
      <c r="AQ836" s="373"/>
    </row>
    <row r="837">
      <c r="A837" s="257" t="s">
        <v>982</v>
      </c>
      <c r="B837" s="257" t="s">
        <v>983</v>
      </c>
      <c r="C837" s="257" t="str">
        <f>VLOOKUP(A837,import!A:J,3,0)</f>
        <v>DOĞRU</v>
      </c>
      <c r="D837" s="257" t="s">
        <v>3912</v>
      </c>
      <c r="E837" s="257">
        <f>VLOOKUP(A837,import!A:J,5,0)</f>
        <v>1190</v>
      </c>
      <c r="F837" s="257">
        <f>VLOOKUP(A837,import!A:J,6,0)</f>
        <v>15</v>
      </c>
      <c r="G837" s="257">
        <f>VLOOKUP(A837,import!A:J,7,0)</f>
        <v>6</v>
      </c>
      <c r="H837" s="257">
        <f>VLOOKUP(A837,import!A:J,8,0)</f>
        <v>4</v>
      </c>
      <c r="I837" s="257">
        <f>VLOOKUP(A837,import!A:J,9,0)</f>
        <v>10</v>
      </c>
      <c r="J837" s="369">
        <f>VLOOKUP(A837,import!A:J,10,0)</f>
        <v>0.6</v>
      </c>
      <c r="K837" s="257" t="s">
        <v>6433</v>
      </c>
      <c r="L837" s="257">
        <v>3.222484878E9</v>
      </c>
      <c r="M837" s="257" t="s">
        <v>14</v>
      </c>
      <c r="N837" s="257" t="s">
        <v>3935</v>
      </c>
      <c r="O837" s="257" t="s">
        <v>985</v>
      </c>
      <c r="P837" s="370" t="str">
        <f>VLOOKUP(A837,import!A:P,16,0)</f>
        <v>Geleneksel</v>
      </c>
      <c r="Q837" s="370"/>
      <c r="R837" s="370" t="b">
        <v>1</v>
      </c>
      <c r="S837" s="370" t="b">
        <v>0</v>
      </c>
      <c r="T837" s="301" t="s">
        <v>3679</v>
      </c>
      <c r="U837" s="301" t="s">
        <v>4088</v>
      </c>
      <c r="V837" s="301" t="s">
        <v>78</v>
      </c>
      <c r="W837" s="301"/>
      <c r="X837" s="371">
        <v>44407.0</v>
      </c>
      <c r="Y837" s="371">
        <v>44381.0</v>
      </c>
      <c r="Z837" s="372"/>
      <c r="AA837" s="373" t="s">
        <v>3682</v>
      </c>
      <c r="AB837" s="374">
        <v>44354.0</v>
      </c>
      <c r="AC837" s="373" t="s">
        <v>3682</v>
      </c>
      <c r="AD837" s="374">
        <v>44356.0</v>
      </c>
      <c r="AE837" s="373" t="s">
        <v>3682</v>
      </c>
      <c r="AF837" s="374">
        <v>44407.0</v>
      </c>
      <c r="AG837" s="92"/>
      <c r="AH837" s="375"/>
      <c r="AI837" s="375"/>
      <c r="AJ837" s="375"/>
      <c r="AK837" s="373" t="s">
        <v>3789</v>
      </c>
      <c r="AL837" s="373" t="s">
        <v>1014</v>
      </c>
      <c r="AM837" s="373" t="s">
        <v>4088</v>
      </c>
      <c r="AN837" s="375"/>
      <c r="AO837" s="375"/>
      <c r="AP837" s="376" t="s">
        <v>3683</v>
      </c>
      <c r="AQ837" s="375"/>
    </row>
    <row r="838">
      <c r="A838" s="257" t="s">
        <v>3613</v>
      </c>
      <c r="B838" s="257" t="s">
        <v>3614</v>
      </c>
      <c r="C838" s="257" t="str">
        <f>VLOOKUP(A838,import!A:J,3,0)</f>
        <v>DOĞRU</v>
      </c>
      <c r="D838" s="257" t="s">
        <v>3713</v>
      </c>
      <c r="E838" s="257">
        <f>VLOOKUP(A838,import!A:J,5,0)</f>
        <v>1679</v>
      </c>
      <c r="F838" s="257">
        <f>VLOOKUP(A838,import!A:J,6,0)</f>
        <v>167</v>
      </c>
      <c r="G838" s="257">
        <f>VLOOKUP(A838,import!A:J,7,0)</f>
        <v>0</v>
      </c>
      <c r="H838" s="257">
        <f>VLOOKUP(A838,import!A:J,8,0)</f>
        <v>16</v>
      </c>
      <c r="I838" s="257">
        <f>VLOOKUP(A838,import!A:J,9,0)</f>
        <v>16</v>
      </c>
      <c r="J838" s="369">
        <f>VLOOKUP(A838,import!A:J,10,0)</f>
        <v>0</v>
      </c>
      <c r="K838" s="257" t="s">
        <v>6434</v>
      </c>
      <c r="L838" s="257">
        <v>5.304905442E9</v>
      </c>
      <c r="M838" s="257" t="s">
        <v>286</v>
      </c>
      <c r="N838" s="257" t="s">
        <v>3855</v>
      </c>
      <c r="O838" s="257" t="s">
        <v>3616</v>
      </c>
      <c r="P838" s="370" t="str">
        <f>VLOOKUP(A838,import!A:P,16,0)</f>
        <v>Geleneksel</v>
      </c>
      <c r="Q838" s="370"/>
      <c r="R838" s="370" t="b">
        <v>1</v>
      </c>
      <c r="S838" s="370" t="b">
        <v>0</v>
      </c>
      <c r="T838" s="301" t="s">
        <v>3679</v>
      </c>
      <c r="U838" s="301" t="s">
        <v>2542</v>
      </c>
      <c r="V838" s="394" t="s">
        <v>3331</v>
      </c>
      <c r="W838" s="301"/>
      <c r="X838" s="371">
        <v>44641.0</v>
      </c>
      <c r="Y838" s="371">
        <v>44642.0</v>
      </c>
      <c r="Z838" s="372"/>
      <c r="AA838" s="373" t="s">
        <v>3682</v>
      </c>
      <c r="AB838" s="371">
        <v>44638.0</v>
      </c>
      <c r="AC838" s="373" t="s">
        <v>3682</v>
      </c>
      <c r="AD838" s="374">
        <v>44641.0</v>
      </c>
      <c r="AE838" s="373"/>
      <c r="AF838" s="374"/>
      <c r="AG838" s="373"/>
      <c r="AH838" s="374"/>
      <c r="AI838" s="375"/>
      <c r="AJ838" s="375"/>
      <c r="AK838" s="373" t="s">
        <v>2542</v>
      </c>
      <c r="AL838" s="373" t="s">
        <v>2542</v>
      </c>
      <c r="AM838" s="375"/>
      <c r="AN838" s="373"/>
      <c r="AO838" s="375"/>
      <c r="AP838" s="376"/>
      <c r="AQ838" s="375"/>
    </row>
    <row r="839">
      <c r="A839" s="257" t="s">
        <v>6435</v>
      </c>
      <c r="B839" s="257" t="s">
        <v>6436</v>
      </c>
      <c r="C839" s="257" t="str">
        <f>VLOOKUP(A839,import!A:J,3,0)</f>
        <v>DOĞRU</v>
      </c>
      <c r="D839" s="257" t="s">
        <v>3912</v>
      </c>
      <c r="E839" s="406">
        <f>VLOOKUP(A839,import!A:J,5,0)</f>
        <v>413</v>
      </c>
      <c r="F839" s="257">
        <f>VLOOKUP(A839,import!A:J,6,0)</f>
        <v>21</v>
      </c>
      <c r="G839" s="257">
        <f>VLOOKUP(A839,import!A:J,7,0)</f>
        <v>0</v>
      </c>
      <c r="H839" s="257">
        <f>VLOOKUP(A839,import!A:J,8,0)</f>
        <v>18</v>
      </c>
      <c r="I839" s="257">
        <f>VLOOKUP(A839,import!A:J,9,0)</f>
        <v>18</v>
      </c>
      <c r="J839" s="369">
        <f>VLOOKUP(A839,import!A:J,10,0)</f>
        <v>0</v>
      </c>
      <c r="K839" s="257" t="s">
        <v>6437</v>
      </c>
      <c r="L839" s="257">
        <v>5.38297934E9</v>
      </c>
      <c r="M839" s="257" t="s">
        <v>286</v>
      </c>
      <c r="N839" s="257" t="s">
        <v>6438</v>
      </c>
      <c r="O839" s="257" t="s">
        <v>6439</v>
      </c>
      <c r="P839" s="370" t="str">
        <f>VLOOKUP(A839,import!A:P,16,0)</f>
        <v>Geleneksel</v>
      </c>
      <c r="Q839" s="370"/>
      <c r="R839" s="370" t="b">
        <v>1</v>
      </c>
      <c r="S839" s="370" t="b">
        <v>0</v>
      </c>
      <c r="T839" s="301" t="s">
        <v>3770</v>
      </c>
      <c r="U839" s="379"/>
      <c r="V839" s="379"/>
      <c r="W839" s="301" t="s">
        <v>6440</v>
      </c>
      <c r="X839" s="381"/>
      <c r="Y839" s="381"/>
      <c r="Z839" s="372"/>
      <c r="AA839" s="373" t="s">
        <v>3681</v>
      </c>
      <c r="AB839" s="374">
        <v>44376.0</v>
      </c>
      <c r="AC839" s="373" t="s">
        <v>3682</v>
      </c>
      <c r="AD839" s="374">
        <v>44421.0</v>
      </c>
      <c r="AE839" s="373" t="s">
        <v>3682</v>
      </c>
      <c r="AF839" s="374">
        <v>44448.0</v>
      </c>
      <c r="AG839" s="373" t="s">
        <v>3682</v>
      </c>
      <c r="AH839" s="374">
        <v>44454.0</v>
      </c>
      <c r="AI839" s="375"/>
      <c r="AJ839" s="375"/>
      <c r="AK839" s="373" t="s">
        <v>1014</v>
      </c>
      <c r="AL839" s="373" t="s">
        <v>3723</v>
      </c>
      <c r="AM839" s="373" t="s">
        <v>2542</v>
      </c>
      <c r="AN839" s="373" t="s">
        <v>2542</v>
      </c>
      <c r="AO839" s="375"/>
      <c r="AP839" s="376" t="s">
        <v>3686</v>
      </c>
      <c r="AQ839" s="375"/>
    </row>
    <row r="840">
      <c r="A840" s="257" t="s">
        <v>3430</v>
      </c>
      <c r="B840" s="257" t="s">
        <v>3431</v>
      </c>
      <c r="C840" s="257" t="str">
        <f>VLOOKUP(A840,import!A:J,3,0)</f>
        <v>DOĞRU</v>
      </c>
      <c r="D840" s="257" t="s">
        <v>3699</v>
      </c>
      <c r="E840" s="257">
        <f>VLOOKUP(A840,import!A:J,5,0)</f>
        <v>1</v>
      </c>
      <c r="F840" s="257" t="str">
        <f>VLOOKUP(A840,import!A:J,6,0)</f>
        <v/>
      </c>
      <c r="G840" s="257">
        <f>VLOOKUP(A840,import!A:J,7,0)</f>
        <v>1</v>
      </c>
      <c r="H840" s="257">
        <f>VLOOKUP(A840,import!A:J,8,0)</f>
        <v>3</v>
      </c>
      <c r="I840" s="257">
        <f>VLOOKUP(A840,import!A:J,9,0)</f>
        <v>4</v>
      </c>
      <c r="J840" s="369">
        <f>VLOOKUP(A840,import!A:J,10,0)</f>
        <v>0.25</v>
      </c>
      <c r="K840" s="257" t="s">
        <v>6441</v>
      </c>
      <c r="L840" s="257">
        <v>8.502207778E9</v>
      </c>
      <c r="M840" s="257" t="s">
        <v>286</v>
      </c>
      <c r="N840" s="257" t="s">
        <v>3688</v>
      </c>
      <c r="O840" s="257" t="s">
        <v>3433</v>
      </c>
      <c r="P840" s="370" t="str">
        <f>VLOOKUP(A840,import!A:P,16,0)</f>
        <v>Geleneksel</v>
      </c>
      <c r="Q840" s="370"/>
      <c r="R840" s="370" t="b">
        <v>1</v>
      </c>
      <c r="S840" s="370" t="b">
        <v>0</v>
      </c>
      <c r="T840" s="301" t="s">
        <v>3679</v>
      </c>
      <c r="U840" s="301" t="s">
        <v>2418</v>
      </c>
      <c r="V840" s="420" t="s">
        <v>3331</v>
      </c>
      <c r="W840" s="301" t="s">
        <v>6442</v>
      </c>
      <c r="X840" s="371"/>
      <c r="Y840" s="371">
        <v>44627.0</v>
      </c>
      <c r="Z840" s="372"/>
      <c r="AA840" s="373" t="s">
        <v>3681</v>
      </c>
      <c r="AB840" s="374">
        <v>44620.0</v>
      </c>
      <c r="AC840" s="373" t="s">
        <v>3682</v>
      </c>
      <c r="AD840" s="374">
        <v>44627.0</v>
      </c>
      <c r="AE840" s="373"/>
      <c r="AF840" s="374"/>
      <c r="AG840" s="373"/>
      <c r="AH840" s="374"/>
      <c r="AI840" s="373"/>
      <c r="AJ840" s="374"/>
      <c r="AK840" s="373" t="s">
        <v>2576</v>
      </c>
      <c r="AL840" s="373" t="s">
        <v>2418</v>
      </c>
      <c r="AM840" s="373"/>
      <c r="AN840" s="373"/>
      <c r="AO840" s="373"/>
      <c r="AP840" s="376"/>
      <c r="AQ840" s="373"/>
    </row>
    <row r="841">
      <c r="A841" s="257" t="s">
        <v>2680</v>
      </c>
      <c r="B841" s="257" t="s">
        <v>2681</v>
      </c>
      <c r="C841" s="257" t="str">
        <f>VLOOKUP(A841,import!A:J,3,0)</f>
        <v>DOĞRU</v>
      </c>
      <c r="D841" s="257" t="s">
        <v>3749</v>
      </c>
      <c r="E841" s="406">
        <f>VLOOKUP(A841,import!A:J,5,0)</f>
        <v>940</v>
      </c>
      <c r="F841" s="257">
        <f>VLOOKUP(A841,import!A:J,6,0)</f>
        <v>31</v>
      </c>
      <c r="G841" s="257">
        <f>VLOOKUP(A841,import!A:J,7,0)</f>
        <v>19</v>
      </c>
      <c r="H841" s="257">
        <f>VLOOKUP(A841,import!A:J,8,0)</f>
        <v>7</v>
      </c>
      <c r="I841" s="257">
        <f>VLOOKUP(A841,import!A:J,9,0)</f>
        <v>26</v>
      </c>
      <c r="J841" s="369">
        <f>VLOOKUP(A841,import!A:J,10,0)</f>
        <v>0.73</v>
      </c>
      <c r="K841" s="257" t="s">
        <v>6443</v>
      </c>
      <c r="L841" s="257">
        <v>5.314046193E9</v>
      </c>
      <c r="M841" s="257" t="s">
        <v>14</v>
      </c>
      <c r="N841" s="257" t="s">
        <v>3733</v>
      </c>
      <c r="O841" s="257" t="s">
        <v>2683</v>
      </c>
      <c r="P841" s="370" t="str">
        <f>VLOOKUP(A841,import!A:P,16,0)</f>
        <v>Geleneksel</v>
      </c>
      <c r="Q841" s="370"/>
      <c r="R841" s="370" t="b">
        <v>1</v>
      </c>
      <c r="S841" s="370" t="b">
        <v>0</v>
      </c>
      <c r="T841" s="301" t="s">
        <v>3679</v>
      </c>
      <c r="U841" s="301" t="s">
        <v>2192</v>
      </c>
      <c r="V841" s="301" t="s">
        <v>78</v>
      </c>
      <c r="W841" s="301"/>
      <c r="X841" s="371">
        <v>44467.0</v>
      </c>
      <c r="Y841" s="371">
        <v>44468.0</v>
      </c>
      <c r="Z841" s="372"/>
      <c r="AA841" s="373" t="s">
        <v>3682</v>
      </c>
      <c r="AB841" s="374">
        <v>44466.0</v>
      </c>
      <c r="AC841" s="373" t="s">
        <v>3682</v>
      </c>
      <c r="AD841" s="374">
        <v>44467.0</v>
      </c>
      <c r="AE841" s="373"/>
      <c r="AF841" s="374"/>
      <c r="AG841" s="92"/>
      <c r="AH841" s="375"/>
      <c r="AI841" s="375"/>
      <c r="AJ841" s="375"/>
      <c r="AK841" s="373" t="s">
        <v>2542</v>
      </c>
      <c r="AL841" s="373" t="s">
        <v>2192</v>
      </c>
      <c r="AM841" s="375"/>
      <c r="AN841" s="375"/>
      <c r="AO841" s="375"/>
      <c r="AP841" s="376" t="s">
        <v>3683</v>
      </c>
      <c r="AQ841" s="375"/>
    </row>
    <row r="842">
      <c r="A842" s="376" t="s">
        <v>6444</v>
      </c>
      <c r="B842" s="376" t="s">
        <v>6445</v>
      </c>
      <c r="C842" s="257" t="str">
        <f>VLOOKUP(A842,import!A:J,3,0)</f>
        <v>DOĞRU</v>
      </c>
      <c r="D842" s="376" t="s">
        <v>3713</v>
      </c>
      <c r="E842" s="257">
        <f>VLOOKUP(A842,import!A:J,5,0)</f>
        <v>4</v>
      </c>
      <c r="F842" s="257">
        <f>VLOOKUP(A842,import!A:J,6,0)</f>
        <v>4</v>
      </c>
      <c r="G842" s="257">
        <f>VLOOKUP(A842,import!A:J,7,0)</f>
        <v>0</v>
      </c>
      <c r="H842" s="257">
        <f>VLOOKUP(A842,import!A:J,8,0)</f>
        <v>47</v>
      </c>
      <c r="I842" s="257">
        <f>VLOOKUP(A842,import!A:J,9,0)</f>
        <v>47</v>
      </c>
      <c r="J842" s="369">
        <f>VLOOKUP(A842,import!A:J,10,0)</f>
        <v>0</v>
      </c>
      <c r="K842" s="376" t="s">
        <v>6446</v>
      </c>
      <c r="L842" s="376">
        <v>5.322168852E9</v>
      </c>
      <c r="M842" s="376" t="s">
        <v>3707</v>
      </c>
      <c r="N842" s="376" t="s">
        <v>6447</v>
      </c>
      <c r="O842" s="376" t="s">
        <v>6448</v>
      </c>
      <c r="P842" s="370" t="str">
        <f>VLOOKUP(A842,import!A:P,16,0)</f>
        <v>Geleneksel</v>
      </c>
      <c r="Q842" s="370"/>
      <c r="R842" s="370" t="b">
        <v>0</v>
      </c>
      <c r="S842" s="370" t="b">
        <v>0</v>
      </c>
      <c r="T842" s="301"/>
      <c r="U842" s="301"/>
      <c r="V842" s="301"/>
      <c r="W842" s="301"/>
      <c r="X842" s="371"/>
      <c r="Y842" s="371"/>
      <c r="Z842" s="372"/>
      <c r="AA842" s="373"/>
      <c r="AB842" s="374"/>
      <c r="AC842" s="373"/>
      <c r="AD842" s="374"/>
      <c r="AE842" s="373"/>
      <c r="AF842" s="374"/>
      <c r="AG842" s="373"/>
      <c r="AH842" s="374"/>
      <c r="AI842" s="373"/>
      <c r="AJ842" s="374"/>
      <c r="AK842" s="373"/>
      <c r="AL842" s="373"/>
      <c r="AM842" s="373"/>
      <c r="AN842" s="373"/>
      <c r="AO842" s="373"/>
      <c r="AP842" s="376"/>
      <c r="AQ842" s="373"/>
    </row>
    <row r="843">
      <c r="A843" s="257" t="s">
        <v>1703</v>
      </c>
      <c r="B843" s="257" t="s">
        <v>1704</v>
      </c>
      <c r="C843" s="257" t="str">
        <f>VLOOKUP(A843,import!A:J,3,0)</f>
        <v>DOĞRU</v>
      </c>
      <c r="D843" s="257" t="s">
        <v>3676</v>
      </c>
      <c r="E843" s="257">
        <f>VLOOKUP(A843,import!A:J,5,0)</f>
        <v>3018</v>
      </c>
      <c r="F843" s="257">
        <f>VLOOKUP(A843,import!A:J,6,0)</f>
        <v>29</v>
      </c>
      <c r="G843" s="257">
        <f>VLOOKUP(A843,import!A:J,7,0)</f>
        <v>26</v>
      </c>
      <c r="H843" s="257">
        <f>VLOOKUP(A843,import!A:J,8,0)</f>
        <v>4</v>
      </c>
      <c r="I843" s="257">
        <f>VLOOKUP(A843,import!A:J,9,0)</f>
        <v>30</v>
      </c>
      <c r="J843" s="369">
        <f>VLOOKUP(A843,import!A:J,10,0)</f>
        <v>0.87</v>
      </c>
      <c r="K843" s="257" t="s">
        <v>6449</v>
      </c>
      <c r="L843" s="257">
        <v>3.223418282E9</v>
      </c>
      <c r="M843" s="257" t="s">
        <v>3692</v>
      </c>
      <c r="N843" s="257" t="s">
        <v>5147</v>
      </c>
      <c r="O843" s="257" t="s">
        <v>1707</v>
      </c>
      <c r="P843" s="370" t="str">
        <f>VLOOKUP(A843,import!A:P,16,0)</f>
        <v>Geleneksel</v>
      </c>
      <c r="Q843" s="370"/>
      <c r="R843" s="370" t="b">
        <v>1</v>
      </c>
      <c r="S843" s="370" t="b">
        <v>0</v>
      </c>
      <c r="T843" s="301" t="s">
        <v>3679</v>
      </c>
      <c r="U843" s="301" t="s">
        <v>2282</v>
      </c>
      <c r="V843" s="301" t="s">
        <v>78</v>
      </c>
      <c r="W843" s="301" t="s">
        <v>6450</v>
      </c>
      <c r="X843" s="371">
        <v>44496.0</v>
      </c>
      <c r="Y843" s="371">
        <v>44497.0</v>
      </c>
      <c r="Z843" s="372"/>
      <c r="AA843" s="373" t="s">
        <v>3682</v>
      </c>
      <c r="AB843" s="374">
        <v>44407.0</v>
      </c>
      <c r="AC843" s="373" t="s">
        <v>3682</v>
      </c>
      <c r="AD843" s="374">
        <v>44428.0</v>
      </c>
      <c r="AE843" s="373" t="s">
        <v>3682</v>
      </c>
      <c r="AF843" s="374">
        <v>44496.0</v>
      </c>
      <c r="AG843" s="92"/>
      <c r="AH843" s="375"/>
      <c r="AI843" s="375"/>
      <c r="AJ843" s="375"/>
      <c r="AK843" s="375"/>
      <c r="AL843" s="373" t="s">
        <v>1953</v>
      </c>
      <c r="AM843" s="373" t="s">
        <v>2282</v>
      </c>
      <c r="AN843" s="375"/>
      <c r="AO843" s="375"/>
      <c r="AP843" s="376" t="s">
        <v>3686</v>
      </c>
      <c r="AQ843" s="375"/>
    </row>
    <row r="844">
      <c r="A844" s="257" t="s">
        <v>2243</v>
      </c>
      <c r="B844" s="257" t="s">
        <v>2244</v>
      </c>
      <c r="C844" s="257" t="str">
        <f>VLOOKUP(A844,import!A:J,3,0)</f>
        <v>DOĞRU</v>
      </c>
      <c r="D844" s="257" t="s">
        <v>3676</v>
      </c>
      <c r="E844" s="406">
        <f>VLOOKUP(A844,import!A:J,5,0)</f>
        <v>371</v>
      </c>
      <c r="F844" s="257">
        <f>VLOOKUP(A844,import!A:J,6,0)</f>
        <v>1</v>
      </c>
      <c r="G844" s="257">
        <f>VLOOKUP(A844,import!A:J,7,0)</f>
        <v>9</v>
      </c>
      <c r="H844" s="257">
        <f>VLOOKUP(A844,import!A:J,8,0)</f>
        <v>13</v>
      </c>
      <c r="I844" s="257">
        <f>VLOOKUP(A844,import!A:J,9,0)</f>
        <v>22</v>
      </c>
      <c r="J844" s="369">
        <f>VLOOKUP(A844,import!A:J,10,0)</f>
        <v>0.41</v>
      </c>
      <c r="K844" s="257" t="s">
        <v>6451</v>
      </c>
      <c r="L844" s="257">
        <v>5.334032126E9</v>
      </c>
      <c r="M844" s="257" t="s">
        <v>14</v>
      </c>
      <c r="N844" s="257" t="s">
        <v>3797</v>
      </c>
      <c r="O844" s="257" t="s">
        <v>311</v>
      </c>
      <c r="P844" s="370" t="str">
        <f>VLOOKUP(A844,import!A:P,16,0)</f>
        <v>Geleneksel</v>
      </c>
      <c r="Q844" s="370"/>
      <c r="R844" s="370" t="b">
        <v>1</v>
      </c>
      <c r="S844" s="370" t="b">
        <v>0</v>
      </c>
      <c r="T844" s="301" t="s">
        <v>3679</v>
      </c>
      <c r="U844" s="301" t="s">
        <v>2542</v>
      </c>
      <c r="V844" s="301" t="s">
        <v>78</v>
      </c>
      <c r="W844" s="301"/>
      <c r="X844" s="371">
        <v>44441.0</v>
      </c>
      <c r="Y844" s="371">
        <v>44442.0</v>
      </c>
      <c r="Z844" s="372"/>
      <c r="AA844" s="373" t="s">
        <v>3682</v>
      </c>
      <c r="AB844" s="374">
        <v>44441.0</v>
      </c>
      <c r="AC844" s="373"/>
      <c r="AD844" s="374"/>
      <c r="AE844" s="373"/>
      <c r="AF844" s="374"/>
      <c r="AG844" s="92"/>
      <c r="AH844" s="375"/>
      <c r="AI844" s="375"/>
      <c r="AJ844" s="375"/>
      <c r="AK844" s="373" t="s">
        <v>2542</v>
      </c>
      <c r="AL844" s="375"/>
      <c r="AM844" s="375"/>
      <c r="AN844" s="375"/>
      <c r="AO844" s="375"/>
      <c r="AP844" s="376" t="s">
        <v>3683</v>
      </c>
      <c r="AQ844" s="375"/>
    </row>
    <row r="845">
      <c r="A845" s="257" t="s">
        <v>6452</v>
      </c>
      <c r="B845" s="257" t="s">
        <v>6453</v>
      </c>
      <c r="C845" s="257" t="str">
        <f>VLOOKUP(A845,import!A:J,3,0)</f>
        <v>DOĞRU</v>
      </c>
      <c r="D845" s="257" t="s">
        <v>3676</v>
      </c>
      <c r="E845" s="257">
        <f>VLOOKUP(A845,import!A:J,5,0)</f>
        <v>14</v>
      </c>
      <c r="F845" s="257" t="str">
        <f>VLOOKUP(A845,import!A:J,6,0)</f>
        <v/>
      </c>
      <c r="G845" s="257">
        <f>VLOOKUP(A845,import!A:J,7,0)</f>
        <v>0</v>
      </c>
      <c r="H845" s="257">
        <f>VLOOKUP(A845,import!A:J,8,0)</f>
        <v>6</v>
      </c>
      <c r="I845" s="257">
        <f>VLOOKUP(A845,import!A:J,9,0)</f>
        <v>6</v>
      </c>
      <c r="J845" s="369">
        <f>VLOOKUP(A845,import!A:J,10,0)</f>
        <v>0</v>
      </c>
      <c r="K845" s="257" t="s">
        <v>6454</v>
      </c>
      <c r="L845" s="257">
        <v>5.051293923E9</v>
      </c>
      <c r="M845" s="257" t="s">
        <v>286</v>
      </c>
      <c r="N845" s="257" t="s">
        <v>3751</v>
      </c>
      <c r="O845" s="257" t="s">
        <v>6455</v>
      </c>
      <c r="P845" s="370" t="str">
        <f>VLOOKUP(A845,import!A:P,16,0)</f>
        <v>Geleneksel</v>
      </c>
      <c r="Q845" s="370"/>
      <c r="R845" s="370" t="b">
        <v>0</v>
      </c>
      <c r="S845" s="370" t="b">
        <v>0</v>
      </c>
      <c r="T845" s="301"/>
      <c r="U845" s="301"/>
      <c r="V845" s="301"/>
      <c r="W845" s="301" t="s">
        <v>6456</v>
      </c>
      <c r="X845" s="371"/>
      <c r="Y845" s="371"/>
      <c r="Z845" s="372"/>
      <c r="AA845" s="373" t="s">
        <v>3682</v>
      </c>
      <c r="AB845" s="374">
        <v>44641.0</v>
      </c>
      <c r="AC845" s="373"/>
      <c r="AD845" s="374"/>
      <c r="AE845" s="373"/>
      <c r="AF845" s="374"/>
      <c r="AG845" s="373"/>
      <c r="AH845" s="374"/>
      <c r="AI845" s="373"/>
      <c r="AJ845" s="374"/>
      <c r="AK845" s="373" t="s">
        <v>2542</v>
      </c>
      <c r="AL845" s="373"/>
      <c r="AM845" s="373"/>
      <c r="AN845" s="373"/>
      <c r="AO845" s="373"/>
      <c r="AP845" s="376"/>
      <c r="AQ845" s="373"/>
    </row>
    <row r="846">
      <c r="A846" s="376" t="s">
        <v>6457</v>
      </c>
      <c r="B846" s="376" t="s">
        <v>6458</v>
      </c>
      <c r="C846" s="257" t="str">
        <f>VLOOKUP(A846,import!A:J,3,0)</f>
        <v>DOĞRU</v>
      </c>
      <c r="D846" s="376" t="s">
        <v>3699</v>
      </c>
      <c r="E846" s="257">
        <f>VLOOKUP(A846,import!A:J,5,0)</f>
        <v>8</v>
      </c>
      <c r="F846" s="257">
        <f>VLOOKUP(A846,import!A:J,6,0)</f>
        <v>8</v>
      </c>
      <c r="G846" s="257">
        <f>VLOOKUP(A846,import!A:J,7,0)</f>
        <v>0</v>
      </c>
      <c r="H846" s="257">
        <f>VLOOKUP(A846,import!A:J,8,0)</f>
        <v>19</v>
      </c>
      <c r="I846" s="257">
        <f>VLOOKUP(A846,import!A:J,9,0)</f>
        <v>19</v>
      </c>
      <c r="J846" s="369">
        <f>VLOOKUP(A846,import!A:J,10,0)</f>
        <v>0</v>
      </c>
      <c r="K846" s="376" t="s">
        <v>6459</v>
      </c>
      <c r="L846" s="376">
        <v>5.385984275E9</v>
      </c>
      <c r="M846" s="376" t="s">
        <v>286</v>
      </c>
      <c r="N846" s="376" t="s">
        <v>4420</v>
      </c>
      <c r="O846" s="376" t="s">
        <v>6460</v>
      </c>
      <c r="P846" s="370" t="str">
        <f>VLOOKUP(A846,import!A:P,16,0)</f>
        <v>Geleneksel</v>
      </c>
      <c r="Q846" s="370"/>
      <c r="R846" s="370" t="b">
        <v>0</v>
      </c>
      <c r="S846" s="370" t="b">
        <v>0</v>
      </c>
      <c r="T846" s="301"/>
      <c r="U846" s="301"/>
      <c r="V846" s="301"/>
      <c r="W846" s="301"/>
      <c r="X846" s="371"/>
      <c r="Y846" s="371"/>
      <c r="Z846" s="372"/>
      <c r="AA846" s="373"/>
      <c r="AB846" s="374"/>
      <c r="AC846" s="373"/>
      <c r="AD846" s="374"/>
      <c r="AE846" s="373"/>
      <c r="AF846" s="374"/>
      <c r="AG846" s="373"/>
      <c r="AH846" s="374"/>
      <c r="AI846" s="373"/>
      <c r="AJ846" s="374"/>
      <c r="AK846" s="373"/>
      <c r="AL846" s="373"/>
      <c r="AM846" s="373"/>
      <c r="AN846" s="373"/>
      <c r="AO846" s="373"/>
      <c r="AP846" s="376"/>
      <c r="AQ846" s="373"/>
    </row>
    <row r="847">
      <c r="A847" s="257" t="s">
        <v>917</v>
      </c>
      <c r="B847" s="257" t="s">
        <v>918</v>
      </c>
      <c r="C847" s="257" t="str">
        <f>VLOOKUP(A847,import!A:J,3,0)</f>
        <v>DOĞRU</v>
      </c>
      <c r="D847" s="257" t="s">
        <v>3842</v>
      </c>
      <c r="E847" s="257">
        <f>VLOOKUP(A847,import!A:J,5,0)</f>
        <v>390</v>
      </c>
      <c r="F847" s="257">
        <f>VLOOKUP(A847,import!A:J,6,0)</f>
        <v>55</v>
      </c>
      <c r="G847" s="257">
        <f>VLOOKUP(A847,import!A:J,7,0)</f>
        <v>0</v>
      </c>
      <c r="H847" s="257">
        <f>VLOOKUP(A847,import!A:J,8,0)</f>
        <v>38</v>
      </c>
      <c r="I847" s="257">
        <f>VLOOKUP(A847,import!A:J,9,0)</f>
        <v>38</v>
      </c>
      <c r="J847" s="369">
        <f>VLOOKUP(A847,import!A:J,10,0)</f>
        <v>0</v>
      </c>
      <c r="K847" s="257" t="s">
        <v>6461</v>
      </c>
      <c r="L847" s="257">
        <v>5.461200101E9</v>
      </c>
      <c r="M847" s="257" t="s">
        <v>286</v>
      </c>
      <c r="N847" s="257" t="s">
        <v>3737</v>
      </c>
      <c r="O847" s="257" t="s">
        <v>920</v>
      </c>
      <c r="P847" s="370" t="str">
        <f>VLOOKUP(A847,import!A:P,16,0)</f>
        <v>Geleneksel</v>
      </c>
      <c r="Q847" s="370"/>
      <c r="R847" s="370" t="b">
        <v>1</v>
      </c>
      <c r="S847" s="370" t="b">
        <v>0</v>
      </c>
      <c r="T847" s="301" t="s">
        <v>3770</v>
      </c>
      <c r="U847" s="301" t="s">
        <v>2542</v>
      </c>
      <c r="V847" s="301" t="s">
        <v>78</v>
      </c>
      <c r="W847" s="301" t="s">
        <v>6462</v>
      </c>
      <c r="X847" s="371">
        <v>44447.0</v>
      </c>
      <c r="Y847" s="371">
        <v>44449.0</v>
      </c>
      <c r="Z847" s="372"/>
      <c r="AA847" s="373" t="s">
        <v>3682</v>
      </c>
      <c r="AB847" s="374">
        <v>44349.0</v>
      </c>
      <c r="AC847" s="373" t="s">
        <v>3448</v>
      </c>
      <c r="AD847" s="374">
        <v>44384.0</v>
      </c>
      <c r="AE847" s="373" t="s">
        <v>3448</v>
      </c>
      <c r="AF847" s="374">
        <v>44390.0</v>
      </c>
      <c r="AG847" s="373" t="s">
        <v>3448</v>
      </c>
      <c r="AH847" s="374">
        <v>44407.0</v>
      </c>
      <c r="AI847" s="373" t="s">
        <v>3682</v>
      </c>
      <c r="AJ847" s="374">
        <v>44494.0</v>
      </c>
      <c r="AK847" s="373" t="s">
        <v>3789</v>
      </c>
      <c r="AL847" s="373" t="s">
        <v>3719</v>
      </c>
      <c r="AM847" s="373" t="s">
        <v>3719</v>
      </c>
      <c r="AN847" s="373" t="s">
        <v>3729</v>
      </c>
      <c r="AO847" s="373" t="s">
        <v>2706</v>
      </c>
      <c r="AP847" s="376" t="s">
        <v>3683</v>
      </c>
      <c r="AQ847" s="373"/>
    </row>
    <row r="848">
      <c r="A848" s="257" t="s">
        <v>3609</v>
      </c>
      <c r="B848" s="257" t="s">
        <v>3610</v>
      </c>
      <c r="C848" s="257" t="str">
        <f>VLOOKUP(A848,import!A:J,3,0)</f>
        <v>DOĞRU</v>
      </c>
      <c r="D848" s="257" t="s">
        <v>4468</v>
      </c>
      <c r="E848" s="257">
        <f>VLOOKUP(A848,import!A:J,5,0)</f>
        <v>1</v>
      </c>
      <c r="F848" s="257" t="str">
        <f>VLOOKUP(A848,import!A:J,6,0)</f>
        <v/>
      </c>
      <c r="G848" s="257">
        <f>VLOOKUP(A848,import!A:J,7,0)</f>
        <v>0</v>
      </c>
      <c r="H848" s="257">
        <f>VLOOKUP(A848,import!A:J,8,0)</f>
        <v>16</v>
      </c>
      <c r="I848" s="257">
        <f>VLOOKUP(A848,import!A:J,9,0)</f>
        <v>16</v>
      </c>
      <c r="J848" s="369">
        <f>VLOOKUP(A848,import!A:J,10,0)</f>
        <v>0</v>
      </c>
      <c r="K848" s="257" t="s">
        <v>6463</v>
      </c>
      <c r="L848" s="257">
        <v>5.323672117E9</v>
      </c>
      <c r="M848" s="257" t="s">
        <v>286</v>
      </c>
      <c r="N848" s="257" t="s">
        <v>3737</v>
      </c>
      <c r="O848" s="257" t="s">
        <v>3612</v>
      </c>
      <c r="P848" s="370" t="str">
        <f>VLOOKUP(A848,import!A:P,16,0)</f>
        <v>Geleneksel</v>
      </c>
      <c r="Q848" s="370"/>
      <c r="R848" s="370" t="b">
        <v>1</v>
      </c>
      <c r="S848" s="370" t="b">
        <v>0</v>
      </c>
      <c r="T848" s="301" t="s">
        <v>3679</v>
      </c>
      <c r="U848" s="301" t="s">
        <v>2542</v>
      </c>
      <c r="V848" s="400" t="s">
        <v>3331</v>
      </c>
      <c r="W848" s="301" t="s">
        <v>6464</v>
      </c>
      <c r="X848" s="371">
        <v>44638.0</v>
      </c>
      <c r="Y848" s="371">
        <v>44641.0</v>
      </c>
      <c r="Z848" s="372"/>
      <c r="AA848" s="373" t="s">
        <v>3682</v>
      </c>
      <c r="AB848" s="371">
        <v>44638.0</v>
      </c>
      <c r="AC848" s="373"/>
      <c r="AD848" s="374"/>
      <c r="AE848" s="373"/>
      <c r="AF848" s="374"/>
      <c r="AG848" s="373"/>
      <c r="AH848" s="374"/>
      <c r="AI848" s="373"/>
      <c r="AJ848" s="374"/>
      <c r="AK848" s="373" t="s">
        <v>2542</v>
      </c>
      <c r="AL848" s="373"/>
      <c r="AM848" s="373"/>
      <c r="AN848" s="373"/>
      <c r="AO848" s="373"/>
      <c r="AP848" s="376"/>
      <c r="AQ848" s="373"/>
    </row>
    <row r="849">
      <c r="A849" s="257" t="s">
        <v>2989</v>
      </c>
      <c r="B849" s="257" t="s">
        <v>2990</v>
      </c>
      <c r="C849" s="257" t="str">
        <f>VLOOKUP(A849,import!A:J,3,0)</f>
        <v>DOĞRU</v>
      </c>
      <c r="D849" s="257" t="s">
        <v>4249</v>
      </c>
      <c r="E849" s="257">
        <f>VLOOKUP(A849,import!A:J,5,0)</f>
        <v>744</v>
      </c>
      <c r="F849" s="257">
        <f>VLOOKUP(A849,import!A:J,6,0)</f>
        <v>21</v>
      </c>
      <c r="G849" s="257">
        <f>VLOOKUP(A849,import!A:J,7,0)</f>
        <v>10</v>
      </c>
      <c r="H849" s="257">
        <f>VLOOKUP(A849,import!A:J,8,0)</f>
        <v>2</v>
      </c>
      <c r="I849" s="257">
        <f>VLOOKUP(A849,import!A:J,9,0)</f>
        <v>12</v>
      </c>
      <c r="J849" s="369">
        <f>VLOOKUP(A849,import!A:J,10,0)</f>
        <v>0.83</v>
      </c>
      <c r="K849" s="257" t="s">
        <v>6465</v>
      </c>
      <c r="L849" s="257">
        <v>5.079587878E9</v>
      </c>
      <c r="M849" s="257" t="s">
        <v>286</v>
      </c>
      <c r="N849" s="257" t="s">
        <v>3746</v>
      </c>
      <c r="O849" s="257" t="s">
        <v>2992</v>
      </c>
      <c r="P849" s="370" t="s">
        <v>3941</v>
      </c>
      <c r="Q849" s="370"/>
      <c r="R849" s="370" t="b">
        <v>1</v>
      </c>
      <c r="S849" s="370" t="b">
        <v>0</v>
      </c>
      <c r="T849" s="301" t="s">
        <v>3679</v>
      </c>
      <c r="U849" s="301" t="s">
        <v>2542</v>
      </c>
      <c r="V849" s="301" t="s">
        <v>78</v>
      </c>
      <c r="W849" s="301" t="s">
        <v>6466</v>
      </c>
      <c r="X849" s="371">
        <v>44502.0</v>
      </c>
      <c r="Y849" s="371">
        <v>44503.0</v>
      </c>
      <c r="Z849" s="372"/>
      <c r="AA849" s="373" t="s">
        <v>3695</v>
      </c>
      <c r="AB849" s="374">
        <v>44502.0</v>
      </c>
      <c r="AC849" s="373" t="s">
        <v>3682</v>
      </c>
      <c r="AD849" s="374">
        <v>44502.0</v>
      </c>
      <c r="AE849" s="373"/>
      <c r="AF849" s="374"/>
      <c r="AG849" s="373"/>
      <c r="AH849" s="374"/>
      <c r="AI849" s="375"/>
      <c r="AJ849" s="375"/>
      <c r="AK849" s="373" t="s">
        <v>2542</v>
      </c>
      <c r="AL849" s="373" t="s">
        <v>2542</v>
      </c>
      <c r="AM849" s="375"/>
      <c r="AN849" s="373"/>
      <c r="AO849" s="375"/>
      <c r="AP849" s="376" t="s">
        <v>3686</v>
      </c>
      <c r="AQ849" s="375"/>
    </row>
    <row r="850">
      <c r="A850" s="257" t="s">
        <v>6467</v>
      </c>
      <c r="B850" s="257" t="s">
        <v>6468</v>
      </c>
      <c r="C850" s="257" t="str">
        <f>VLOOKUP(A850,import!A:J,3,0)</f>
        <v>YANLIŞ</v>
      </c>
      <c r="D850" s="257" t="s">
        <v>3883</v>
      </c>
      <c r="E850" s="257">
        <f>VLOOKUP(A850,import!A:J,5,0)</f>
        <v>173</v>
      </c>
      <c r="F850" s="257" t="str">
        <f>VLOOKUP(A850,import!A:J,6,0)</f>
        <v/>
      </c>
      <c r="G850" s="257">
        <f>VLOOKUP(A850,import!A:J,7,0)</f>
        <v>41</v>
      </c>
      <c r="H850" s="257">
        <f>VLOOKUP(A850,import!A:J,8,0)</f>
        <v>94</v>
      </c>
      <c r="I850" s="257">
        <f>VLOOKUP(A850,import!A:J,9,0)</f>
        <v>135</v>
      </c>
      <c r="J850" s="369">
        <f>VLOOKUP(A850,import!A:J,10,0)</f>
        <v>0.3</v>
      </c>
      <c r="K850" s="257" t="s">
        <v>6469</v>
      </c>
      <c r="L850" s="257">
        <v>5.317340264E9</v>
      </c>
      <c r="M850" s="257" t="s">
        <v>3707</v>
      </c>
      <c r="N850" s="257" t="s">
        <v>5130</v>
      </c>
      <c r="O850" s="257" t="s">
        <v>6470</v>
      </c>
      <c r="P850" s="370" t="str">
        <f>VLOOKUP(A850,import!A:P,16,0)</f>
        <v>Geleneksel</v>
      </c>
      <c r="Q850" s="370"/>
      <c r="R850" s="370" t="b">
        <v>1</v>
      </c>
      <c r="S850" s="370" t="b">
        <v>1</v>
      </c>
      <c r="T850" s="300" t="s">
        <v>3817</v>
      </c>
      <c r="U850" s="379"/>
      <c r="V850" s="379"/>
      <c r="W850" s="301"/>
      <c r="X850" s="381"/>
      <c r="Y850" s="381"/>
      <c r="Z850" s="372"/>
      <c r="AA850" s="373" t="s">
        <v>3681</v>
      </c>
      <c r="AB850" s="374">
        <v>44391.0</v>
      </c>
      <c r="AC850" s="373" t="s">
        <v>3682</v>
      </c>
      <c r="AD850" s="374">
        <v>44392.0</v>
      </c>
      <c r="AE850" s="92"/>
      <c r="AF850" s="375"/>
      <c r="AG850" s="92"/>
      <c r="AH850" s="375"/>
      <c r="AI850" s="375"/>
      <c r="AJ850" s="375"/>
      <c r="AK850" s="373" t="s">
        <v>3752</v>
      </c>
      <c r="AL850" s="373" t="s">
        <v>3719</v>
      </c>
      <c r="AM850" s="375"/>
      <c r="AN850" s="375"/>
      <c r="AO850" s="375"/>
      <c r="AP850" s="376" t="s">
        <v>3686</v>
      </c>
      <c r="AQ850" s="375"/>
    </row>
    <row r="851">
      <c r="A851" s="257" t="s">
        <v>6471</v>
      </c>
      <c r="B851" s="257" t="s">
        <v>6472</v>
      </c>
      <c r="C851" s="257" t="str">
        <f>VLOOKUP(A851,import!A:J,3,0)</f>
        <v>DOĞRU</v>
      </c>
      <c r="D851" s="257" t="s">
        <v>4000</v>
      </c>
      <c r="E851" s="257">
        <f>VLOOKUP(A851,import!A:J,5,0)</f>
        <v>4754</v>
      </c>
      <c r="F851" s="257">
        <f>VLOOKUP(A851,import!A:J,6,0)</f>
        <v>214</v>
      </c>
      <c r="G851" s="257">
        <f>VLOOKUP(A851,import!A:J,7,0)</f>
        <v>1</v>
      </c>
      <c r="H851" s="257">
        <f>VLOOKUP(A851,import!A:J,8,0)</f>
        <v>25</v>
      </c>
      <c r="I851" s="257">
        <f>VLOOKUP(A851,import!A:J,9,0)</f>
        <v>26</v>
      </c>
      <c r="J851" s="369">
        <f>VLOOKUP(A851,import!A:J,10,0)</f>
        <v>0.04</v>
      </c>
      <c r="K851" s="257" t="s">
        <v>6473</v>
      </c>
      <c r="L851" s="257">
        <v>5.421650505E9</v>
      </c>
      <c r="M851" s="257" t="s">
        <v>286</v>
      </c>
      <c r="N851" s="257" t="s">
        <v>3688</v>
      </c>
      <c r="O851" s="257" t="s">
        <v>6474</v>
      </c>
      <c r="P851" s="370" t="str">
        <f>VLOOKUP(A851,import!A:P,16,0)</f>
        <v>Geleneksel</v>
      </c>
      <c r="Q851" s="370"/>
      <c r="R851" s="370" t="b">
        <v>1</v>
      </c>
      <c r="S851" s="370" t="b">
        <v>0</v>
      </c>
      <c r="T851" s="301" t="s">
        <v>3770</v>
      </c>
      <c r="U851" s="379"/>
      <c r="V851" s="379"/>
      <c r="W851" s="301" t="s">
        <v>6475</v>
      </c>
      <c r="X851" s="381"/>
      <c r="Y851" s="381"/>
      <c r="Z851" s="372"/>
      <c r="AA851" s="373" t="s">
        <v>3696</v>
      </c>
      <c r="AB851" s="374">
        <v>44392.0</v>
      </c>
      <c r="AC851" s="373" t="s">
        <v>3682</v>
      </c>
      <c r="AD851" s="374">
        <v>44421.0</v>
      </c>
      <c r="AE851" s="373" t="s">
        <v>3682</v>
      </c>
      <c r="AF851" s="374">
        <v>44427.0</v>
      </c>
      <c r="AG851" s="373" t="s">
        <v>3682</v>
      </c>
      <c r="AH851" s="374">
        <v>44454.0</v>
      </c>
      <c r="AI851" s="375"/>
      <c r="AJ851" s="375"/>
      <c r="AK851" s="373" t="s">
        <v>4089</v>
      </c>
      <c r="AL851" s="373" t="s">
        <v>3723</v>
      </c>
      <c r="AM851" s="373" t="s">
        <v>1947</v>
      </c>
      <c r="AN851" s="375"/>
      <c r="AO851" s="373" t="s">
        <v>2542</v>
      </c>
      <c r="AP851" s="376" t="s">
        <v>3686</v>
      </c>
      <c r="AQ851" s="373"/>
    </row>
    <row r="852">
      <c r="A852" s="257" t="s">
        <v>522</v>
      </c>
      <c r="B852" s="257" t="s">
        <v>523</v>
      </c>
      <c r="C852" s="257" t="str">
        <f>VLOOKUP(A852,import!A:J,3,0)</f>
        <v>YANLIŞ</v>
      </c>
      <c r="D852" s="257" t="s">
        <v>3878</v>
      </c>
      <c r="E852" s="257">
        <f>VLOOKUP(A852,import!A:J,5,0)</f>
        <v>425</v>
      </c>
      <c r="F852" s="257" t="str">
        <f>VLOOKUP(A852,import!A:J,6,0)</f>
        <v/>
      </c>
      <c r="G852" s="257">
        <f>VLOOKUP(A852,import!A:J,7,0)</f>
        <v>0</v>
      </c>
      <c r="H852" s="257">
        <f>VLOOKUP(A852,import!A:J,8,0)</f>
        <v>38</v>
      </c>
      <c r="I852" s="257">
        <f>VLOOKUP(A852,import!A:J,9,0)</f>
        <v>38</v>
      </c>
      <c r="J852" s="369">
        <f>VLOOKUP(A852,import!A:J,10,0)</f>
        <v>0</v>
      </c>
      <c r="K852" s="257" t="s">
        <v>6476</v>
      </c>
      <c r="L852" s="257">
        <v>5.418034133E9</v>
      </c>
      <c r="M852" s="257" t="s">
        <v>286</v>
      </c>
      <c r="N852" s="257" t="s">
        <v>3688</v>
      </c>
      <c r="O852" s="257" t="s">
        <v>525</v>
      </c>
      <c r="P852" s="370" t="str">
        <f>VLOOKUP(A852,import!A:P,16,0)</f>
        <v>Geleneksel</v>
      </c>
      <c r="Q852" s="370"/>
      <c r="R852" s="370" t="b">
        <v>1</v>
      </c>
      <c r="S852" s="370" t="b">
        <v>0</v>
      </c>
      <c r="T852" s="301" t="s">
        <v>3770</v>
      </c>
      <c r="U852" s="301" t="s">
        <v>79</v>
      </c>
      <c r="V852" s="301" t="s">
        <v>342</v>
      </c>
      <c r="W852" s="301" t="s">
        <v>6477</v>
      </c>
      <c r="X852" s="371">
        <v>44310.0</v>
      </c>
      <c r="Y852" s="371">
        <v>44313.0</v>
      </c>
      <c r="Z852" s="377"/>
      <c r="AA852" s="373" t="s">
        <v>3448</v>
      </c>
      <c r="AB852" s="374">
        <v>44407.0</v>
      </c>
      <c r="AC852" s="373" t="s">
        <v>3448</v>
      </c>
      <c r="AD852" s="374">
        <v>44427.0</v>
      </c>
      <c r="AE852" s="373" t="s">
        <v>3448</v>
      </c>
      <c r="AF852" s="374">
        <v>44428.0</v>
      </c>
      <c r="AG852" s="373" t="s">
        <v>3682</v>
      </c>
      <c r="AH852" s="374">
        <v>44428.0</v>
      </c>
      <c r="AI852" s="373" t="s">
        <v>3682</v>
      </c>
      <c r="AJ852" s="374">
        <v>44510.0</v>
      </c>
      <c r="AK852" s="375"/>
      <c r="AL852" s="373" t="s">
        <v>1947</v>
      </c>
      <c r="AM852" s="373" t="s">
        <v>1953</v>
      </c>
      <c r="AN852" s="373" t="s">
        <v>3729</v>
      </c>
      <c r="AO852" s="373" t="s">
        <v>3073</v>
      </c>
      <c r="AP852" s="376" t="s">
        <v>3686</v>
      </c>
      <c r="AQ852" s="373"/>
    </row>
    <row r="853">
      <c r="A853" s="257" t="s">
        <v>456</v>
      </c>
      <c r="B853" s="257" t="s">
        <v>457</v>
      </c>
      <c r="C853" s="257" t="str">
        <f>VLOOKUP(A853,import!A:J,3,0)</f>
        <v>DOĞRU</v>
      </c>
      <c r="D853" s="257" t="s">
        <v>3759</v>
      </c>
      <c r="E853" s="257">
        <f>VLOOKUP(A853,import!A:J,5,0)</f>
        <v>858</v>
      </c>
      <c r="F853" s="257">
        <f>VLOOKUP(A853,import!A:J,6,0)</f>
        <v>31</v>
      </c>
      <c r="G853" s="257">
        <f>VLOOKUP(A853,import!A:J,7,0)</f>
        <v>2</v>
      </c>
      <c r="H853" s="257">
        <f>VLOOKUP(A853,import!A:J,8,0)</f>
        <v>3</v>
      </c>
      <c r="I853" s="257">
        <f>VLOOKUP(A853,import!A:J,9,0)</f>
        <v>5</v>
      </c>
      <c r="J853" s="369">
        <f>VLOOKUP(A853,import!A:J,10,0)</f>
        <v>0.4</v>
      </c>
      <c r="K853" s="257" t="s">
        <v>6478</v>
      </c>
      <c r="L853" s="257">
        <v>5.436342653E9</v>
      </c>
      <c r="M853" s="257" t="s">
        <v>286</v>
      </c>
      <c r="N853" s="257" t="s">
        <v>3782</v>
      </c>
      <c r="O853" s="257" t="s">
        <v>460</v>
      </c>
      <c r="P853" s="370" t="str">
        <f>VLOOKUP(A853,import!A:P,16,0)</f>
        <v>Geleneksel</v>
      </c>
      <c r="Q853" s="370"/>
      <c r="R853" s="370" t="b">
        <v>1</v>
      </c>
      <c r="S853" s="370" t="b">
        <v>0</v>
      </c>
      <c r="T853" s="301" t="s">
        <v>3679</v>
      </c>
      <c r="U853" s="301" t="s">
        <v>79</v>
      </c>
      <c r="V853" s="301" t="s">
        <v>4704</v>
      </c>
      <c r="W853" s="379"/>
      <c r="X853" s="371">
        <v>44312.0</v>
      </c>
      <c r="Y853" s="371">
        <v>44312.0</v>
      </c>
      <c r="Z853" s="377"/>
      <c r="AA853" s="375"/>
      <c r="AB853" s="375"/>
      <c r="AC853" s="375"/>
      <c r="AD853" s="375"/>
      <c r="AE853" s="92"/>
      <c r="AF853" s="375"/>
      <c r="AG853" s="92"/>
      <c r="AH853" s="375"/>
      <c r="AI853" s="375"/>
      <c r="AJ853" s="375"/>
      <c r="AK853" s="375"/>
      <c r="AL853" s="375"/>
      <c r="AM853" s="375"/>
      <c r="AN853" s="375"/>
      <c r="AO853" s="375"/>
      <c r="AP853" s="376" t="s">
        <v>3686</v>
      </c>
      <c r="AQ853" s="375"/>
    </row>
    <row r="854">
      <c r="A854" s="257" t="s">
        <v>2622</v>
      </c>
      <c r="B854" s="257" t="s">
        <v>2623</v>
      </c>
      <c r="C854" s="257" t="str">
        <f>VLOOKUP(A854,import!A:J,3,0)</f>
        <v>DOĞRU</v>
      </c>
      <c r="D854" s="257" t="s">
        <v>3713</v>
      </c>
      <c r="E854" s="257">
        <f>VLOOKUP(A854,import!A:J,5,0)</f>
        <v>1873</v>
      </c>
      <c r="F854" s="257">
        <f>VLOOKUP(A854,import!A:J,6,0)</f>
        <v>27</v>
      </c>
      <c r="G854" s="257">
        <f>VLOOKUP(A854,import!A:J,7,0)</f>
        <v>0</v>
      </c>
      <c r="H854" s="257">
        <f>VLOOKUP(A854,import!A:J,8,0)</f>
        <v>9</v>
      </c>
      <c r="I854" s="257">
        <f>VLOOKUP(A854,import!A:J,9,0)</f>
        <v>9</v>
      </c>
      <c r="J854" s="369">
        <f>VLOOKUP(A854,import!A:J,10,0)</f>
        <v>0</v>
      </c>
      <c r="K854" s="257" t="s">
        <v>6479</v>
      </c>
      <c r="L854" s="257">
        <v>5.538820123E9</v>
      </c>
      <c r="M854" s="257" t="s">
        <v>3707</v>
      </c>
      <c r="N854" s="257" t="s">
        <v>3761</v>
      </c>
      <c r="O854" s="257" t="s">
        <v>2626</v>
      </c>
      <c r="P854" s="370" t="str">
        <f>VLOOKUP(A854,import!A:P,16,0)</f>
        <v>Geleneksel</v>
      </c>
      <c r="Q854" s="370"/>
      <c r="R854" s="370" t="b">
        <v>1</v>
      </c>
      <c r="S854" s="370" t="b">
        <v>0</v>
      </c>
      <c r="T854" s="421" t="s">
        <v>3696</v>
      </c>
      <c r="U854" s="301" t="s">
        <v>2542</v>
      </c>
      <c r="V854" s="301" t="s">
        <v>78</v>
      </c>
      <c r="W854" s="301" t="s">
        <v>6480</v>
      </c>
      <c r="X854" s="371">
        <v>44463.0</v>
      </c>
      <c r="Y854" s="371">
        <v>44466.0</v>
      </c>
      <c r="Z854" s="372"/>
      <c r="AA854" s="373" t="s">
        <v>3681</v>
      </c>
      <c r="AB854" s="374">
        <v>44391.0</v>
      </c>
      <c r="AC854" s="373" t="s">
        <v>3682</v>
      </c>
      <c r="AD854" s="374">
        <v>44463.0</v>
      </c>
      <c r="AE854" s="373" t="s">
        <v>3681</v>
      </c>
      <c r="AF854" s="374">
        <v>44496.0</v>
      </c>
      <c r="AG854" s="92"/>
      <c r="AH854" s="375"/>
      <c r="AI854" s="375"/>
      <c r="AJ854" s="375"/>
      <c r="AK854" s="373" t="s">
        <v>3752</v>
      </c>
      <c r="AL854" s="373" t="s">
        <v>2542</v>
      </c>
      <c r="AM854" s="373" t="s">
        <v>2282</v>
      </c>
      <c r="AN854" s="375"/>
      <c r="AO854" s="375"/>
      <c r="AP854" s="376" t="s">
        <v>3686</v>
      </c>
      <c r="AQ854" s="375"/>
    </row>
    <row r="855">
      <c r="A855" s="257" t="s">
        <v>6481</v>
      </c>
      <c r="B855" s="257" t="s">
        <v>6482</v>
      </c>
      <c r="C855" s="257" t="str">
        <f>VLOOKUP(A855,import!A:J,3,0)</f>
        <v>DOĞRU</v>
      </c>
      <c r="D855" s="257" t="s">
        <v>4000</v>
      </c>
      <c r="E855" s="406">
        <f>VLOOKUP(A855,import!A:J,5,0)</f>
        <v>921</v>
      </c>
      <c r="F855" s="257">
        <f>VLOOKUP(A855,import!A:J,6,0)</f>
        <v>37</v>
      </c>
      <c r="G855" s="257">
        <f>VLOOKUP(A855,import!A:J,7,0)</f>
        <v>0</v>
      </c>
      <c r="H855" s="257">
        <f>VLOOKUP(A855,import!A:J,8,0)</f>
        <v>27</v>
      </c>
      <c r="I855" s="257">
        <f>VLOOKUP(A855,import!A:J,9,0)</f>
        <v>27</v>
      </c>
      <c r="J855" s="369">
        <f>VLOOKUP(A855,import!A:J,10,0)</f>
        <v>0</v>
      </c>
      <c r="K855" s="257" t="s">
        <v>6483</v>
      </c>
      <c r="L855" s="257">
        <v>5.418778964E9</v>
      </c>
      <c r="M855" s="257" t="s">
        <v>3701</v>
      </c>
      <c r="N855" s="257" t="s">
        <v>3702</v>
      </c>
      <c r="O855" s="257" t="s">
        <v>6484</v>
      </c>
      <c r="P855" s="370" t="str">
        <f>VLOOKUP(A855,import!A:P,16,0)</f>
        <v>Geleneksel</v>
      </c>
      <c r="Q855" s="370"/>
      <c r="R855" s="370" t="b">
        <v>0</v>
      </c>
      <c r="S855" s="370" t="b">
        <v>0</v>
      </c>
      <c r="T855" s="301" t="s">
        <v>3862</v>
      </c>
      <c r="U855" s="379"/>
      <c r="V855" s="379"/>
      <c r="W855" s="301"/>
      <c r="X855" s="381"/>
      <c r="Y855" s="381"/>
      <c r="Z855" s="372"/>
      <c r="AA855" s="373"/>
      <c r="AB855" s="374"/>
      <c r="AC855" s="373"/>
      <c r="AD855" s="374"/>
      <c r="AE855" s="373"/>
      <c r="AF855" s="374"/>
      <c r="AG855" s="373"/>
      <c r="AH855" s="374"/>
      <c r="AI855" s="375"/>
      <c r="AJ855" s="375"/>
      <c r="AK855" s="373"/>
      <c r="AL855" s="375"/>
      <c r="AM855" s="375"/>
      <c r="AN855" s="373"/>
      <c r="AO855" s="375"/>
      <c r="AP855" s="376" t="s">
        <v>3686</v>
      </c>
      <c r="AQ855" s="375"/>
    </row>
    <row r="856">
      <c r="A856" s="257" t="s">
        <v>6485</v>
      </c>
      <c r="B856" s="257" t="s">
        <v>6486</v>
      </c>
      <c r="C856" s="257" t="str">
        <f>VLOOKUP(A856,import!A:J,3,0)</f>
        <v>DOĞRU</v>
      </c>
      <c r="D856" s="257" t="s">
        <v>4000</v>
      </c>
      <c r="E856" s="257">
        <f>VLOOKUP(A856,import!A:J,5,0)</f>
        <v>2850</v>
      </c>
      <c r="F856" s="257">
        <f>VLOOKUP(A856,import!A:J,6,0)</f>
        <v>105</v>
      </c>
      <c r="G856" s="257">
        <f>VLOOKUP(A856,import!A:J,7,0)</f>
        <v>0</v>
      </c>
      <c r="H856" s="257">
        <f>VLOOKUP(A856,import!A:J,8,0)</f>
        <v>40</v>
      </c>
      <c r="I856" s="257">
        <f>VLOOKUP(A856,import!A:J,9,0)</f>
        <v>40</v>
      </c>
      <c r="J856" s="369">
        <f>VLOOKUP(A856,import!A:J,10,0)</f>
        <v>0</v>
      </c>
      <c r="K856" s="257" t="s">
        <v>6487</v>
      </c>
      <c r="L856" s="257">
        <v>8.507500999E9</v>
      </c>
      <c r="M856" s="257" t="s">
        <v>14</v>
      </c>
      <c r="N856" s="257" t="s">
        <v>3733</v>
      </c>
      <c r="O856" s="257" t="s">
        <v>6488</v>
      </c>
      <c r="P856" s="370" t="str">
        <f>VLOOKUP(A856,import!A:P,16,0)</f>
        <v>Geleneksel</v>
      </c>
      <c r="Q856" s="370"/>
      <c r="R856" s="370" t="b">
        <v>1</v>
      </c>
      <c r="S856" s="370" t="b">
        <v>0</v>
      </c>
      <c r="T856" s="301"/>
      <c r="U856" s="379"/>
      <c r="V856" s="379"/>
      <c r="W856" s="301" t="s">
        <v>6489</v>
      </c>
      <c r="X856" s="381"/>
      <c r="Y856" s="381"/>
      <c r="Z856" s="372"/>
      <c r="AA856" s="375"/>
      <c r="AB856" s="375"/>
      <c r="AC856" s="375"/>
      <c r="AD856" s="375"/>
      <c r="AE856" s="92"/>
      <c r="AF856" s="375"/>
      <c r="AG856" s="92"/>
      <c r="AH856" s="375"/>
      <c r="AI856" s="375"/>
      <c r="AJ856" s="375"/>
      <c r="AK856" s="375"/>
      <c r="AL856" s="375"/>
      <c r="AM856" s="375"/>
      <c r="AN856" s="375"/>
      <c r="AO856" s="375"/>
      <c r="AP856" s="376" t="s">
        <v>3683</v>
      </c>
      <c r="AQ856" s="375"/>
    </row>
    <row r="857">
      <c r="A857" s="257" t="s">
        <v>6490</v>
      </c>
      <c r="B857" s="257" t="s">
        <v>6491</v>
      </c>
      <c r="C857" s="257" t="str">
        <f>VLOOKUP(A857,import!A:J,3,0)</f>
        <v>DOĞRU</v>
      </c>
      <c r="D857" s="257" t="s">
        <v>4000</v>
      </c>
      <c r="E857" s="257">
        <f>VLOOKUP(A857,import!A:J,5,0)</f>
        <v>2796</v>
      </c>
      <c r="F857" s="257">
        <f>VLOOKUP(A857,import!A:J,6,0)</f>
        <v>98</v>
      </c>
      <c r="G857" s="257">
        <f>VLOOKUP(A857,import!A:J,7,0)</f>
        <v>1</v>
      </c>
      <c r="H857" s="257">
        <f>VLOOKUP(A857,import!A:J,8,0)</f>
        <v>32</v>
      </c>
      <c r="I857" s="257">
        <f>VLOOKUP(A857,import!A:J,9,0)</f>
        <v>33</v>
      </c>
      <c r="J857" s="369">
        <f>VLOOKUP(A857,import!A:J,10,0)</f>
        <v>0.03</v>
      </c>
      <c r="K857" s="257" t="s">
        <v>6492</v>
      </c>
      <c r="L857" s="257">
        <v>5.417750999E9</v>
      </c>
      <c r="M857" s="257" t="s">
        <v>286</v>
      </c>
      <c r="N857" s="257" t="s">
        <v>3737</v>
      </c>
      <c r="O857" s="257" t="s">
        <v>2473</v>
      </c>
      <c r="P857" s="370" t="str">
        <f>VLOOKUP(A857,import!A:P,16,0)</f>
        <v>Geleneksel</v>
      </c>
      <c r="Q857" s="370"/>
      <c r="R857" s="370" t="b">
        <v>1</v>
      </c>
      <c r="S857" s="370" t="b">
        <v>0</v>
      </c>
      <c r="T857" s="301"/>
      <c r="U857" s="379"/>
      <c r="V857" s="379"/>
      <c r="W857" s="301" t="s">
        <v>6493</v>
      </c>
      <c r="X857" s="381"/>
      <c r="Y857" s="381"/>
      <c r="Z857" s="372"/>
      <c r="AA857" s="373" t="s">
        <v>3448</v>
      </c>
      <c r="AB857" s="374">
        <v>44384.0</v>
      </c>
      <c r="AC857" s="373" t="s">
        <v>3682</v>
      </c>
      <c r="AD857" s="374">
        <v>44392.0</v>
      </c>
      <c r="AE857" s="373" t="s">
        <v>3448</v>
      </c>
      <c r="AF857" s="374">
        <v>44440.0</v>
      </c>
      <c r="AG857" s="373" t="s">
        <v>3682</v>
      </c>
      <c r="AH857" s="374">
        <v>44454.0</v>
      </c>
      <c r="AI857" s="373" t="s">
        <v>3448</v>
      </c>
      <c r="AJ857" s="374">
        <v>44488.0</v>
      </c>
      <c r="AK857" s="373" t="s">
        <v>3719</v>
      </c>
      <c r="AL857" s="373" t="s">
        <v>79</v>
      </c>
      <c r="AM857" s="373" t="s">
        <v>2542</v>
      </c>
      <c r="AN857" s="373" t="s">
        <v>2542</v>
      </c>
      <c r="AO857" s="373" t="s">
        <v>2542</v>
      </c>
      <c r="AP857" s="376" t="s">
        <v>3683</v>
      </c>
      <c r="AQ857" s="373"/>
    </row>
    <row r="858">
      <c r="A858" s="257" t="s">
        <v>6494</v>
      </c>
      <c r="B858" s="257" t="s">
        <v>6495</v>
      </c>
      <c r="C858" s="257" t="str">
        <f>VLOOKUP(A858,import!A:J,3,0)</f>
        <v>DOĞRU</v>
      </c>
      <c r="D858" s="257" t="s">
        <v>4000</v>
      </c>
      <c r="E858" s="257">
        <f>VLOOKUP(A858,import!A:J,5,0)</f>
        <v>4088</v>
      </c>
      <c r="F858" s="257">
        <f>VLOOKUP(A858,import!A:J,6,0)</f>
        <v>33</v>
      </c>
      <c r="G858" s="257">
        <f>VLOOKUP(A858,import!A:J,7,0)</f>
        <v>0</v>
      </c>
      <c r="H858" s="257">
        <f>VLOOKUP(A858,import!A:J,8,0)</f>
        <v>42</v>
      </c>
      <c r="I858" s="257">
        <f>VLOOKUP(A858,import!A:J,9,0)</f>
        <v>42</v>
      </c>
      <c r="J858" s="369">
        <f>VLOOKUP(A858,import!A:J,10,0)</f>
        <v>0</v>
      </c>
      <c r="K858" s="257" t="s">
        <v>6496</v>
      </c>
      <c r="L858" s="257">
        <v>8.507500999E9</v>
      </c>
      <c r="M858" s="257" t="s">
        <v>286</v>
      </c>
      <c r="N858" s="257" t="s">
        <v>3855</v>
      </c>
      <c r="O858" s="257" t="s">
        <v>6497</v>
      </c>
      <c r="P858" s="370" t="str">
        <f>VLOOKUP(A858,import!A:P,16,0)</f>
        <v>Geleneksel</v>
      </c>
      <c r="Q858" s="370"/>
      <c r="R858" s="370" t="b">
        <v>1</v>
      </c>
      <c r="S858" s="370" t="b">
        <v>0</v>
      </c>
      <c r="T858" s="301"/>
      <c r="U858" s="301"/>
      <c r="V858" s="301"/>
      <c r="W858" s="301" t="s">
        <v>6489</v>
      </c>
      <c r="X858" s="371"/>
      <c r="Y858" s="371"/>
      <c r="Z858" s="377"/>
      <c r="AA858" s="375"/>
      <c r="AB858" s="375"/>
      <c r="AC858" s="375"/>
      <c r="AD858" s="375"/>
      <c r="AE858" s="92"/>
      <c r="AF858" s="375"/>
      <c r="AG858" s="92"/>
      <c r="AH858" s="375"/>
      <c r="AI858" s="375"/>
      <c r="AJ858" s="375"/>
      <c r="AK858" s="375"/>
      <c r="AL858" s="375"/>
      <c r="AM858" s="375"/>
      <c r="AN858" s="375"/>
      <c r="AO858" s="375"/>
      <c r="AP858" s="376" t="s">
        <v>3686</v>
      </c>
      <c r="AQ858" s="375"/>
    </row>
    <row r="859">
      <c r="A859" s="257" t="s">
        <v>6498</v>
      </c>
      <c r="B859" s="257" t="s">
        <v>6499</v>
      </c>
      <c r="C859" s="257" t="str">
        <f>VLOOKUP(A859,import!A:J,3,0)</f>
        <v>DOĞRU</v>
      </c>
      <c r="D859" s="257" t="s">
        <v>4000</v>
      </c>
      <c r="E859" s="257">
        <f>VLOOKUP(A859,import!A:J,5,0)</f>
        <v>3712</v>
      </c>
      <c r="F859" s="257">
        <f>VLOOKUP(A859,import!A:J,6,0)</f>
        <v>214</v>
      </c>
      <c r="G859" s="257">
        <f>VLOOKUP(A859,import!A:J,7,0)</f>
        <v>0</v>
      </c>
      <c r="H859" s="257">
        <f>VLOOKUP(A859,import!A:J,8,0)</f>
        <v>35</v>
      </c>
      <c r="I859" s="257">
        <f>VLOOKUP(A859,import!A:J,9,0)</f>
        <v>35</v>
      </c>
      <c r="J859" s="369">
        <f>VLOOKUP(A859,import!A:J,10,0)</f>
        <v>0</v>
      </c>
      <c r="K859" s="257" t="s">
        <v>6500</v>
      </c>
      <c r="L859" s="257">
        <v>8.507500999E9</v>
      </c>
      <c r="M859" s="257" t="s">
        <v>14</v>
      </c>
      <c r="N859" s="257" t="s">
        <v>3797</v>
      </c>
      <c r="O859" s="257" t="s">
        <v>6501</v>
      </c>
      <c r="P859" s="370" t="str">
        <f>VLOOKUP(A859,import!A:P,16,0)</f>
        <v>Geleneksel</v>
      </c>
      <c r="Q859" s="370"/>
      <c r="R859" s="370" t="b">
        <v>1</v>
      </c>
      <c r="S859" s="370" t="b">
        <v>0</v>
      </c>
      <c r="T859" s="389"/>
      <c r="U859" s="389"/>
      <c r="V859" s="389"/>
      <c r="W859" s="301" t="s">
        <v>6489</v>
      </c>
      <c r="X859" s="390"/>
      <c r="Y859" s="390"/>
      <c r="Z859" s="391"/>
      <c r="AA859" s="375"/>
      <c r="AB859" s="375"/>
      <c r="AC859" s="375"/>
      <c r="AD859" s="375"/>
      <c r="AE859" s="92"/>
      <c r="AF859" s="375"/>
      <c r="AG859" s="92"/>
      <c r="AH859" s="375"/>
      <c r="AI859" s="375"/>
      <c r="AJ859" s="375"/>
      <c r="AK859" s="375"/>
      <c r="AL859" s="375"/>
      <c r="AM859" s="375"/>
      <c r="AN859" s="375"/>
      <c r="AO859" s="375"/>
      <c r="AP859" s="376" t="s">
        <v>3683</v>
      </c>
      <c r="AQ859" s="375"/>
    </row>
    <row r="860">
      <c r="A860" s="257" t="s">
        <v>6502</v>
      </c>
      <c r="B860" s="257" t="s">
        <v>6503</v>
      </c>
      <c r="C860" s="257" t="str">
        <f>VLOOKUP(A860,import!A:J,3,0)</f>
        <v>YANLIŞ</v>
      </c>
      <c r="D860" s="257" t="s">
        <v>3690</v>
      </c>
      <c r="E860" s="257">
        <f>VLOOKUP(A860,import!A:J,5,0)</f>
        <v>82</v>
      </c>
      <c r="F860" s="257" t="str">
        <f>VLOOKUP(A860,import!A:J,6,0)</f>
        <v/>
      </c>
      <c r="G860" s="257">
        <f>VLOOKUP(A860,import!A:J,7,0)</f>
        <v>0</v>
      </c>
      <c r="H860" s="257">
        <f>VLOOKUP(A860,import!A:J,8,0)</f>
        <v>13</v>
      </c>
      <c r="I860" s="257">
        <f>VLOOKUP(A860,import!A:J,9,0)</f>
        <v>13</v>
      </c>
      <c r="J860" s="369">
        <f>VLOOKUP(A860,import!A:J,10,0)</f>
        <v>0</v>
      </c>
      <c r="K860" s="257" t="s">
        <v>6504</v>
      </c>
      <c r="L860" s="257">
        <v>5.451260201E9</v>
      </c>
      <c r="M860" s="257" t="s">
        <v>14</v>
      </c>
      <c r="N860" s="257" t="s">
        <v>3797</v>
      </c>
      <c r="O860" s="257" t="s">
        <v>6505</v>
      </c>
      <c r="P860" s="370" t="s">
        <v>3941</v>
      </c>
      <c r="Q860" s="370"/>
      <c r="R860" s="370" t="b">
        <v>1</v>
      </c>
      <c r="S860" s="370" t="b">
        <v>1</v>
      </c>
      <c r="T860" s="301"/>
      <c r="U860" s="379"/>
      <c r="V860" s="379"/>
      <c r="W860" s="301" t="s">
        <v>6506</v>
      </c>
      <c r="X860" s="381"/>
      <c r="Y860" s="381"/>
      <c r="Z860" s="372"/>
      <c r="AA860" s="373" t="s">
        <v>3682</v>
      </c>
      <c r="AB860" s="374">
        <v>44501.0</v>
      </c>
      <c r="AC860" s="373"/>
      <c r="AD860" s="374"/>
      <c r="AE860" s="373"/>
      <c r="AF860" s="374"/>
      <c r="AG860" s="373"/>
      <c r="AH860" s="374"/>
      <c r="AI860" s="375"/>
      <c r="AJ860" s="375"/>
      <c r="AK860" s="373" t="s">
        <v>2542</v>
      </c>
      <c r="AL860" s="375"/>
      <c r="AM860" s="375"/>
      <c r="AN860" s="373"/>
      <c r="AO860" s="375"/>
      <c r="AP860" s="376" t="s">
        <v>3683</v>
      </c>
      <c r="AQ860" s="375"/>
    </row>
    <row r="861">
      <c r="A861" s="257" t="s">
        <v>6507</v>
      </c>
      <c r="B861" s="257" t="s">
        <v>6508</v>
      </c>
      <c r="C861" s="257" t="str">
        <f>VLOOKUP(A861,import!A:J,3,0)</f>
        <v>DOĞRU</v>
      </c>
      <c r="D861" s="257" t="s">
        <v>4907</v>
      </c>
      <c r="E861" s="257">
        <f>VLOOKUP(A861,import!A:J,5,0)</f>
        <v>102</v>
      </c>
      <c r="F861" s="257">
        <f>VLOOKUP(A861,import!A:J,6,0)</f>
        <v>2</v>
      </c>
      <c r="G861" s="257">
        <f>VLOOKUP(A861,import!A:J,7,0)</f>
        <v>22</v>
      </c>
      <c r="H861" s="257">
        <f>VLOOKUP(A861,import!A:J,8,0)</f>
        <v>2</v>
      </c>
      <c r="I861" s="257">
        <f>VLOOKUP(A861,import!A:J,9,0)</f>
        <v>24</v>
      </c>
      <c r="J861" s="369">
        <f>VLOOKUP(A861,import!A:J,10,0)</f>
        <v>0.92</v>
      </c>
      <c r="K861" s="257" t="s">
        <v>6509</v>
      </c>
      <c r="L861" s="257">
        <v>5.306556215E9</v>
      </c>
      <c r="M861" s="257" t="s">
        <v>286</v>
      </c>
      <c r="N861" s="257" t="s">
        <v>3688</v>
      </c>
      <c r="O861" s="257" t="s">
        <v>6510</v>
      </c>
      <c r="P861" s="370" t="str">
        <f>VLOOKUP(A861,import!A:P,16,0)</f>
        <v>Geleneksel</v>
      </c>
      <c r="Q861" s="370"/>
      <c r="R861" s="370" t="b">
        <v>1</v>
      </c>
      <c r="S861" s="370" t="b">
        <v>1</v>
      </c>
      <c r="T861" s="301"/>
      <c r="U861" s="301"/>
      <c r="V861" s="301"/>
      <c r="W861" s="301" t="s">
        <v>5120</v>
      </c>
      <c r="X861" s="371"/>
      <c r="Y861" s="371"/>
      <c r="Z861" s="377"/>
      <c r="AA861" s="375"/>
      <c r="AB861" s="375"/>
      <c r="AC861" s="375"/>
      <c r="AD861" s="375"/>
      <c r="AE861" s="92"/>
      <c r="AF861" s="375"/>
      <c r="AG861" s="92"/>
      <c r="AH861" s="375"/>
      <c r="AI861" s="375"/>
      <c r="AJ861" s="375"/>
      <c r="AK861" s="375"/>
      <c r="AL861" s="375"/>
      <c r="AM861" s="375"/>
      <c r="AN861" s="375"/>
      <c r="AO861" s="375"/>
      <c r="AP861" s="376" t="s">
        <v>3686</v>
      </c>
      <c r="AQ861" s="375"/>
    </row>
    <row r="862">
      <c r="A862" s="257" t="s">
        <v>6511</v>
      </c>
      <c r="B862" s="257" t="s">
        <v>6512</v>
      </c>
      <c r="C862" s="257" t="str">
        <f>VLOOKUP(A862,import!A:J,3,0)</f>
        <v>DOĞRU</v>
      </c>
      <c r="D862" s="257" t="s">
        <v>3690</v>
      </c>
      <c r="E862" s="257">
        <f>VLOOKUP(A862,import!A:J,5,0)</f>
        <v>18</v>
      </c>
      <c r="F862" s="257">
        <f>VLOOKUP(A862,import!A:J,6,0)</f>
        <v>12</v>
      </c>
      <c r="G862" s="257">
        <f>VLOOKUP(A862,import!A:J,7,0)</f>
        <v>0</v>
      </c>
      <c r="H862" s="257">
        <f>VLOOKUP(A862,import!A:J,8,0)</f>
        <v>4</v>
      </c>
      <c r="I862" s="257">
        <f>VLOOKUP(A862,import!A:J,9,0)</f>
        <v>4</v>
      </c>
      <c r="J862" s="369">
        <f>VLOOKUP(A862,import!A:J,10,0)</f>
        <v>0</v>
      </c>
      <c r="K862" s="257" t="s">
        <v>6513</v>
      </c>
      <c r="L862" s="257">
        <v>5.345240082E9</v>
      </c>
      <c r="M862" s="257" t="s">
        <v>14</v>
      </c>
      <c r="N862" s="257" t="s">
        <v>3797</v>
      </c>
      <c r="O862" s="257" t="s">
        <v>6514</v>
      </c>
      <c r="P862" s="370" t="str">
        <f>VLOOKUP(A862,import!A:P,16,0)</f>
        <v>Geleneksel</v>
      </c>
      <c r="Q862" s="370"/>
      <c r="R862" s="370" t="b">
        <v>0</v>
      </c>
      <c r="S862" s="370" t="b">
        <v>0</v>
      </c>
      <c r="T862" s="301"/>
      <c r="U862" s="301"/>
      <c r="V862" s="301"/>
      <c r="W862" s="301"/>
      <c r="X862" s="371"/>
      <c r="Y862" s="371"/>
      <c r="Z862" s="372"/>
      <c r="AA862" s="373"/>
      <c r="AB862" s="374"/>
      <c r="AC862" s="373"/>
      <c r="AD862" s="374"/>
      <c r="AE862" s="373"/>
      <c r="AF862" s="374"/>
      <c r="AG862" s="373"/>
      <c r="AH862" s="374"/>
      <c r="AI862" s="373"/>
      <c r="AJ862" s="374"/>
      <c r="AK862" s="373"/>
      <c r="AL862" s="373"/>
      <c r="AM862" s="373"/>
      <c r="AN862" s="373"/>
      <c r="AO862" s="373"/>
      <c r="AP862" s="376"/>
      <c r="AQ862" s="373"/>
    </row>
    <row r="863">
      <c r="A863" s="257" t="s">
        <v>6515</v>
      </c>
      <c r="B863" s="257" t="s">
        <v>6516</v>
      </c>
      <c r="C863" s="257" t="str">
        <f>VLOOKUP(A863,import!A:J,3,0)</f>
        <v>DOĞRU</v>
      </c>
      <c r="D863" s="257" t="s">
        <v>3912</v>
      </c>
      <c r="E863" s="257">
        <f>VLOOKUP(A863,import!A:J,5,0)</f>
        <v>648</v>
      </c>
      <c r="F863" s="257">
        <f>VLOOKUP(A863,import!A:J,6,0)</f>
        <v>32</v>
      </c>
      <c r="G863" s="257">
        <f>VLOOKUP(A863,import!A:J,7,0)</f>
        <v>0</v>
      </c>
      <c r="H863" s="257">
        <f>VLOOKUP(A863,import!A:J,8,0)</f>
        <v>22</v>
      </c>
      <c r="I863" s="257">
        <f>VLOOKUP(A863,import!A:J,9,0)</f>
        <v>22</v>
      </c>
      <c r="J863" s="369">
        <f>VLOOKUP(A863,import!A:J,10,0)</f>
        <v>0</v>
      </c>
      <c r="K863" s="257" t="s">
        <v>6517</v>
      </c>
      <c r="L863" s="257">
        <v>5.063795252E9</v>
      </c>
      <c r="M863" s="257" t="s">
        <v>14</v>
      </c>
      <c r="N863" s="257" t="s">
        <v>3914</v>
      </c>
      <c r="O863" s="257" t="s">
        <v>6518</v>
      </c>
      <c r="P863" s="370" t="str">
        <f>VLOOKUP(A863,import!A:P,16,0)</f>
        <v>Geleneksel</v>
      </c>
      <c r="Q863" s="370"/>
      <c r="R863" s="370" t="b">
        <v>1</v>
      </c>
      <c r="S863" s="370" t="b">
        <v>0</v>
      </c>
      <c r="T863" s="301" t="s">
        <v>4182</v>
      </c>
      <c r="U863" s="379"/>
      <c r="V863" s="379"/>
      <c r="W863" s="301" t="s">
        <v>6519</v>
      </c>
      <c r="X863" s="381"/>
      <c r="Y863" s="381"/>
      <c r="Z863" s="372"/>
      <c r="AA863" s="373" t="s">
        <v>3448</v>
      </c>
      <c r="AB863" s="374">
        <v>44469.0</v>
      </c>
      <c r="AC863" s="375"/>
      <c r="AD863" s="375"/>
      <c r="AE863" s="92"/>
      <c r="AF863" s="375"/>
      <c r="AG863" s="92"/>
      <c r="AH863" s="375"/>
      <c r="AI863" s="375"/>
      <c r="AJ863" s="375"/>
      <c r="AK863" s="373" t="s">
        <v>2282</v>
      </c>
      <c r="AL863" s="375"/>
      <c r="AM863" s="375"/>
      <c r="AN863" s="375"/>
      <c r="AO863" s="375"/>
      <c r="AP863" s="376" t="s">
        <v>3683</v>
      </c>
      <c r="AQ863" s="375"/>
    </row>
    <row r="864">
      <c r="A864" s="257" t="s">
        <v>807</v>
      </c>
      <c r="B864" s="257" t="s">
        <v>808</v>
      </c>
      <c r="C864" s="257" t="str">
        <f>VLOOKUP(A864,import!A:J,3,0)</f>
        <v>DOĞRU</v>
      </c>
      <c r="D864" s="257" t="s">
        <v>4000</v>
      </c>
      <c r="E864" s="257">
        <f>VLOOKUP(A864,import!A:J,5,0)</f>
        <v>586</v>
      </c>
      <c r="F864" s="257">
        <f>VLOOKUP(A864,import!A:J,6,0)</f>
        <v>16</v>
      </c>
      <c r="G864" s="257">
        <f>VLOOKUP(A864,import!A:J,7,0)</f>
        <v>30</v>
      </c>
      <c r="H864" s="257">
        <f>VLOOKUP(A864,import!A:J,8,0)</f>
        <v>23</v>
      </c>
      <c r="I864" s="257">
        <f>VLOOKUP(A864,import!A:J,9,0)</f>
        <v>53</v>
      </c>
      <c r="J864" s="369">
        <f>VLOOKUP(A864,import!A:J,10,0)</f>
        <v>0.57</v>
      </c>
      <c r="K864" s="257" t="s">
        <v>6520</v>
      </c>
      <c r="L864" s="257">
        <v>5.052582015E9</v>
      </c>
      <c r="M864" s="257" t="s">
        <v>14</v>
      </c>
      <c r="N864" s="257" t="s">
        <v>3935</v>
      </c>
      <c r="O864" s="257" t="s">
        <v>810</v>
      </c>
      <c r="P864" s="370" t="str">
        <f>VLOOKUP(A864,import!A:P,16,0)</f>
        <v>Geleneksel</v>
      </c>
      <c r="Q864" s="370"/>
      <c r="R864" s="370" t="b">
        <v>1</v>
      </c>
      <c r="S864" s="370" t="b">
        <v>0</v>
      </c>
      <c r="T864" s="301" t="s">
        <v>3679</v>
      </c>
      <c r="U864" s="301" t="s">
        <v>3719</v>
      </c>
      <c r="V864" s="301" t="s">
        <v>78</v>
      </c>
      <c r="W864" s="301" t="s">
        <v>6521</v>
      </c>
      <c r="X864" s="371">
        <v>44406.0</v>
      </c>
      <c r="Y864" s="371">
        <v>44410.0</v>
      </c>
      <c r="Z864" s="377"/>
      <c r="AA864" s="373" t="s">
        <v>3682</v>
      </c>
      <c r="AB864" s="374">
        <v>44406.0</v>
      </c>
      <c r="AC864" s="375"/>
      <c r="AD864" s="375"/>
      <c r="AE864" s="92"/>
      <c r="AF864" s="375"/>
      <c r="AG864" s="92"/>
      <c r="AH864" s="375"/>
      <c r="AI864" s="375"/>
      <c r="AJ864" s="375"/>
      <c r="AK864" s="373" t="s">
        <v>3719</v>
      </c>
      <c r="AL864" s="375"/>
      <c r="AM864" s="375"/>
      <c r="AN864" s="375"/>
      <c r="AO864" s="375"/>
      <c r="AP864" s="376" t="s">
        <v>3683</v>
      </c>
      <c r="AQ864" s="375"/>
    </row>
    <row r="865">
      <c r="A865" s="257" t="s">
        <v>1150</v>
      </c>
      <c r="B865" s="257" t="s">
        <v>1151</v>
      </c>
      <c r="C865" s="257" t="str">
        <f>VLOOKUP(A865,import!A:J,3,0)</f>
        <v>DOĞRU</v>
      </c>
      <c r="D865" s="257" t="s">
        <v>3690</v>
      </c>
      <c r="E865" s="257">
        <f>VLOOKUP(A865,import!A:J,5,0)</f>
        <v>4245</v>
      </c>
      <c r="F865" s="257">
        <f>VLOOKUP(A865,import!A:J,6,0)</f>
        <v>85</v>
      </c>
      <c r="G865" s="257">
        <f>VLOOKUP(A865,import!A:J,7,0)</f>
        <v>8</v>
      </c>
      <c r="H865" s="257">
        <f>VLOOKUP(A865,import!A:J,8,0)</f>
        <v>4</v>
      </c>
      <c r="I865" s="257">
        <f>VLOOKUP(A865,import!A:J,9,0)</f>
        <v>12</v>
      </c>
      <c r="J865" s="369">
        <f>VLOOKUP(A865,import!A:J,10,0)</f>
        <v>0.67</v>
      </c>
      <c r="K865" s="257" t="s">
        <v>6522</v>
      </c>
      <c r="L865" s="257">
        <v>5.462212276E9</v>
      </c>
      <c r="M865" s="257" t="s">
        <v>14</v>
      </c>
      <c r="N865" s="257" t="s">
        <v>3767</v>
      </c>
      <c r="O865" s="257" t="s">
        <v>1153</v>
      </c>
      <c r="P865" s="370" t="str">
        <f>VLOOKUP(A865,import!A:P,16,0)</f>
        <v>Geleneksel</v>
      </c>
      <c r="Q865" s="370"/>
      <c r="R865" s="370" t="b">
        <v>1</v>
      </c>
      <c r="S865" s="370" t="b">
        <v>0</v>
      </c>
      <c r="T865" s="301" t="s">
        <v>3679</v>
      </c>
      <c r="U865" s="301" t="s">
        <v>1014</v>
      </c>
      <c r="V865" s="301" t="s">
        <v>78</v>
      </c>
      <c r="W865" s="301" t="s">
        <v>4762</v>
      </c>
      <c r="X865" s="371">
        <v>44371.0</v>
      </c>
      <c r="Y865" s="371">
        <v>44375.0</v>
      </c>
      <c r="Z865" s="372"/>
      <c r="AA865" s="373" t="s">
        <v>3681</v>
      </c>
      <c r="AB865" s="374">
        <v>44348.0</v>
      </c>
      <c r="AC865" s="373" t="s">
        <v>3681</v>
      </c>
      <c r="AD865" s="374">
        <v>44365.0</v>
      </c>
      <c r="AE865" s="373" t="s">
        <v>3682</v>
      </c>
      <c r="AF865" s="374">
        <v>44371.0</v>
      </c>
      <c r="AG865" s="373" t="s">
        <v>3448</v>
      </c>
      <c r="AH865" s="374">
        <v>44408.0</v>
      </c>
      <c r="AI865" s="375"/>
      <c r="AJ865" s="375"/>
      <c r="AK865" s="373" t="s">
        <v>79</v>
      </c>
      <c r="AL865" s="373" t="s">
        <v>79</v>
      </c>
      <c r="AM865" s="373" t="s">
        <v>1014</v>
      </c>
      <c r="AN865" s="373" t="s">
        <v>4088</v>
      </c>
      <c r="AO865" s="375"/>
      <c r="AP865" s="376" t="s">
        <v>3683</v>
      </c>
      <c r="AQ865" s="375"/>
    </row>
    <row r="866">
      <c r="A866" s="257" t="s">
        <v>2814</v>
      </c>
      <c r="B866" s="257" t="s">
        <v>2815</v>
      </c>
      <c r="C866" s="257" t="str">
        <f>VLOOKUP(A866,import!A:J,3,0)</f>
        <v>DOĞRU</v>
      </c>
      <c r="D866" s="257" t="s">
        <v>3759</v>
      </c>
      <c r="E866" s="257">
        <f>VLOOKUP(A866,import!A:J,5,0)</f>
        <v>4526</v>
      </c>
      <c r="F866" s="257">
        <f>VLOOKUP(A866,import!A:J,6,0)</f>
        <v>191</v>
      </c>
      <c r="G866" s="257">
        <f>VLOOKUP(A866,import!A:J,7,0)</f>
        <v>13</v>
      </c>
      <c r="H866" s="257">
        <f>VLOOKUP(A866,import!A:J,8,0)</f>
        <v>16</v>
      </c>
      <c r="I866" s="257">
        <f>VLOOKUP(A866,import!A:J,9,0)</f>
        <v>29</v>
      </c>
      <c r="J866" s="369">
        <f>VLOOKUP(A866,import!A:J,10,0)</f>
        <v>0.45</v>
      </c>
      <c r="K866" s="257" t="s">
        <v>6523</v>
      </c>
      <c r="L866" s="257">
        <v>5.363206913E9</v>
      </c>
      <c r="M866" s="257" t="s">
        <v>14</v>
      </c>
      <c r="N866" s="257" t="s">
        <v>3678</v>
      </c>
      <c r="O866" s="257" t="s">
        <v>2817</v>
      </c>
      <c r="P866" s="370" t="str">
        <f>VLOOKUP(A866,import!A:P,16,0)</f>
        <v>Geleneksel</v>
      </c>
      <c r="Q866" s="370"/>
      <c r="R866" s="370" t="b">
        <v>1</v>
      </c>
      <c r="S866" s="370" t="b">
        <v>0</v>
      </c>
      <c r="T866" s="301" t="s">
        <v>3679</v>
      </c>
      <c r="U866" s="301" t="s">
        <v>2542</v>
      </c>
      <c r="V866" s="301" t="s">
        <v>78</v>
      </c>
      <c r="W866" s="301" t="s">
        <v>4055</v>
      </c>
      <c r="X866" s="371">
        <v>44480.0</v>
      </c>
      <c r="Y866" s="371">
        <v>44481.0</v>
      </c>
      <c r="Z866" s="301"/>
      <c r="AA866" s="373" t="s">
        <v>3448</v>
      </c>
      <c r="AB866" s="374">
        <v>44440.0</v>
      </c>
      <c r="AC866" s="373" t="s">
        <v>3448</v>
      </c>
      <c r="AD866" s="374">
        <v>44454.0</v>
      </c>
      <c r="AE866" s="373" t="s">
        <v>3682</v>
      </c>
      <c r="AF866" s="374">
        <v>44480.0</v>
      </c>
      <c r="AG866" s="92"/>
      <c r="AH866" s="375"/>
      <c r="AI866" s="375"/>
      <c r="AJ866" s="375"/>
      <c r="AK866" s="373" t="s">
        <v>2542</v>
      </c>
      <c r="AL866" s="373" t="s">
        <v>2542</v>
      </c>
      <c r="AM866" s="373" t="s">
        <v>2542</v>
      </c>
      <c r="AN866" s="375"/>
      <c r="AO866" s="375"/>
      <c r="AP866" s="376" t="s">
        <v>3683</v>
      </c>
      <c r="AQ866" s="375"/>
    </row>
    <row r="867">
      <c r="A867" s="257" t="s">
        <v>956</v>
      </c>
      <c r="B867" s="257" t="s">
        <v>957</v>
      </c>
      <c r="C867" s="257" t="str">
        <f>VLOOKUP(A867,import!A:J,3,0)</f>
        <v>YANLIŞ</v>
      </c>
      <c r="D867" s="257" t="s">
        <v>3759</v>
      </c>
      <c r="E867" s="257">
        <f>VLOOKUP(A867,import!A:J,5,0)</f>
        <v>1144</v>
      </c>
      <c r="F867" s="257" t="str">
        <f>VLOOKUP(A867,import!A:J,6,0)</f>
        <v/>
      </c>
      <c r="G867" s="257">
        <f>VLOOKUP(A867,import!A:J,7,0)</f>
        <v>0</v>
      </c>
      <c r="H867" s="257">
        <f>VLOOKUP(A867,import!A:J,8,0)</f>
        <v>7</v>
      </c>
      <c r="I867" s="257">
        <f>VLOOKUP(A867,import!A:J,9,0)</f>
        <v>7</v>
      </c>
      <c r="J867" s="369">
        <f>VLOOKUP(A867,import!A:J,10,0)</f>
        <v>0</v>
      </c>
      <c r="K867" s="257" t="s">
        <v>6524</v>
      </c>
      <c r="L867" s="257">
        <v>3.224589488E9</v>
      </c>
      <c r="M867" s="257" t="s">
        <v>286</v>
      </c>
      <c r="N867" s="257" t="s">
        <v>3737</v>
      </c>
      <c r="O867" s="257" t="s">
        <v>959</v>
      </c>
      <c r="P867" s="370" t="str">
        <f>VLOOKUP(A867,import!A:P,16,0)</f>
        <v>Geleneksel</v>
      </c>
      <c r="Q867" s="370"/>
      <c r="R867" s="370" t="b">
        <v>1</v>
      </c>
      <c r="S867" s="370" t="b">
        <v>0</v>
      </c>
      <c r="T867" s="301" t="s">
        <v>3787</v>
      </c>
      <c r="U867" s="301" t="s">
        <v>3789</v>
      </c>
      <c r="V867" s="380" t="s">
        <v>812</v>
      </c>
      <c r="W867" s="301" t="s">
        <v>6525</v>
      </c>
      <c r="X867" s="371">
        <v>44350.0</v>
      </c>
      <c r="Y867" s="371">
        <v>44354.0</v>
      </c>
      <c r="Z867" s="372"/>
      <c r="AA867" s="373" t="s">
        <v>3682</v>
      </c>
      <c r="AB867" s="374">
        <v>44350.0</v>
      </c>
      <c r="AC867" s="373" t="s">
        <v>3682</v>
      </c>
      <c r="AD867" s="374">
        <v>44450.0</v>
      </c>
      <c r="AE867" s="92"/>
      <c r="AF867" s="375"/>
      <c r="AG867" s="92"/>
      <c r="AH867" s="375"/>
      <c r="AI867" s="375"/>
      <c r="AJ867" s="375"/>
      <c r="AK867" s="373" t="s">
        <v>3789</v>
      </c>
      <c r="AL867" s="373" t="s">
        <v>2418</v>
      </c>
      <c r="AM867" s="375"/>
      <c r="AN867" s="375"/>
      <c r="AO867" s="375"/>
      <c r="AP867" s="376" t="s">
        <v>3683</v>
      </c>
      <c r="AQ867" s="375"/>
    </row>
    <row r="868">
      <c r="A868" s="257" t="s">
        <v>3360</v>
      </c>
      <c r="B868" s="257" t="s">
        <v>957</v>
      </c>
      <c r="C868" s="257" t="str">
        <f>VLOOKUP(A868,import!A:J,3,0)</f>
        <v>DOĞRU</v>
      </c>
      <c r="D868" s="257" t="s">
        <v>3759</v>
      </c>
      <c r="E868" s="257">
        <f>VLOOKUP(A868,import!A:J,5,0)</f>
        <v>289</v>
      </c>
      <c r="F868" s="257">
        <f>VLOOKUP(A868,import!A:J,6,0)</f>
        <v>56</v>
      </c>
      <c r="G868" s="257">
        <f>VLOOKUP(A868,import!A:J,7,0)</f>
        <v>3</v>
      </c>
      <c r="H868" s="257">
        <f>VLOOKUP(A868,import!A:J,8,0)</f>
        <v>4</v>
      </c>
      <c r="I868" s="257">
        <f>VLOOKUP(A868,import!A:J,9,0)</f>
        <v>7</v>
      </c>
      <c r="J868" s="369">
        <f>VLOOKUP(A868,import!A:J,10,0)</f>
        <v>0.43</v>
      </c>
      <c r="K868" s="257" t="s">
        <v>6526</v>
      </c>
      <c r="L868" s="257">
        <v>3.224589488E9</v>
      </c>
      <c r="M868" s="257" t="s">
        <v>286</v>
      </c>
      <c r="N868" s="257" t="s">
        <v>3737</v>
      </c>
      <c r="O868" s="257" t="s">
        <v>959</v>
      </c>
      <c r="P868" s="370" t="str">
        <f>VLOOKUP(A868,import!A:P,16,0)</f>
        <v>Geleneksel</v>
      </c>
      <c r="Q868" s="370"/>
      <c r="R868" s="370" t="b">
        <v>1</v>
      </c>
      <c r="S868" s="370" t="b">
        <v>0</v>
      </c>
      <c r="T868" s="301" t="s">
        <v>3679</v>
      </c>
      <c r="U868" s="301" t="s">
        <v>2576</v>
      </c>
      <c r="V868" s="402" t="s">
        <v>3331</v>
      </c>
      <c r="W868" s="299">
        <v>5.346713201E9</v>
      </c>
      <c r="X868" s="371">
        <v>44620.0</v>
      </c>
      <c r="Y868" s="371">
        <v>44621.0</v>
      </c>
      <c r="Z868" s="372"/>
      <c r="AA868" s="373" t="s">
        <v>3682</v>
      </c>
      <c r="AB868" s="374">
        <v>44620.0</v>
      </c>
      <c r="AC868" s="373"/>
      <c r="AD868" s="374"/>
      <c r="AE868" s="373"/>
      <c r="AF868" s="374"/>
      <c r="AG868" s="373"/>
      <c r="AH868" s="374"/>
      <c r="AI868" s="373"/>
      <c r="AJ868" s="374"/>
      <c r="AK868" s="373" t="s">
        <v>2576</v>
      </c>
      <c r="AL868" s="373"/>
      <c r="AM868" s="373"/>
      <c r="AN868" s="373"/>
      <c r="AO868" s="373"/>
      <c r="AP868" s="376"/>
      <c r="AQ868" s="373"/>
    </row>
    <row r="869">
      <c r="A869" s="257" t="s">
        <v>6527</v>
      </c>
      <c r="B869" s="257" t="s">
        <v>6528</v>
      </c>
      <c r="C869" s="257" t="str">
        <f>VLOOKUP(A869,import!A:J,3,0)</f>
        <v>YANLIŞ</v>
      </c>
      <c r="D869" s="257" t="s">
        <v>4000</v>
      </c>
      <c r="E869" s="257">
        <f>VLOOKUP(A869,import!A:J,5,0)</f>
        <v>108</v>
      </c>
      <c r="F869" s="257" t="str">
        <f>VLOOKUP(A869,import!A:J,6,0)</f>
        <v/>
      </c>
      <c r="G869" s="257">
        <f>VLOOKUP(A869,import!A:J,7,0)</f>
        <v>0</v>
      </c>
      <c r="H869" s="257">
        <f>VLOOKUP(A869,import!A:J,8,0)</f>
        <v>10</v>
      </c>
      <c r="I869" s="257">
        <f>VLOOKUP(A869,import!A:J,9,0)</f>
        <v>10</v>
      </c>
      <c r="J869" s="369">
        <f>VLOOKUP(A869,import!A:J,10,0)</f>
        <v>0</v>
      </c>
      <c r="K869" s="257" t="s">
        <v>6529</v>
      </c>
      <c r="L869" s="257">
        <v>5.307004263E9</v>
      </c>
      <c r="M869" s="257" t="s">
        <v>286</v>
      </c>
      <c r="N869" s="257" t="s">
        <v>3782</v>
      </c>
      <c r="O869" s="257" t="s">
        <v>6530</v>
      </c>
      <c r="P869" s="370" t="str">
        <f>VLOOKUP(A869,import!A:P,16,0)</f>
        <v>Geleneksel</v>
      </c>
      <c r="Q869" s="370"/>
      <c r="R869" s="370" t="b">
        <v>1</v>
      </c>
      <c r="S869" s="370" t="b">
        <v>0</v>
      </c>
      <c r="T869" s="301"/>
      <c r="U869" s="379"/>
      <c r="V869" s="379"/>
      <c r="W869" s="301" t="s">
        <v>6531</v>
      </c>
      <c r="X869" s="381"/>
      <c r="Y869" s="381"/>
      <c r="Z869" s="372"/>
      <c r="AA869" s="373" t="s">
        <v>3448</v>
      </c>
      <c r="AB869" s="374">
        <v>44566.0</v>
      </c>
      <c r="AC869" s="373" t="s">
        <v>3448</v>
      </c>
      <c r="AD869" s="374">
        <v>44641.0</v>
      </c>
      <c r="AE869" s="373"/>
      <c r="AF869" s="374"/>
      <c r="AG869" s="373"/>
      <c r="AH869" s="374"/>
      <c r="AI869" s="375"/>
      <c r="AJ869" s="375"/>
      <c r="AK869" s="373" t="s">
        <v>2192</v>
      </c>
      <c r="AL869" s="373" t="s">
        <v>2542</v>
      </c>
      <c r="AM869" s="375"/>
      <c r="AN869" s="373"/>
      <c r="AO869" s="375"/>
      <c r="AP869" s="376" t="s">
        <v>3686</v>
      </c>
      <c r="AQ869" s="375"/>
    </row>
    <row r="870">
      <c r="A870" s="257" t="s">
        <v>534</v>
      </c>
      <c r="B870" s="257" t="s">
        <v>535</v>
      </c>
      <c r="C870" s="257" t="str">
        <f>VLOOKUP(A870,import!A:J,3,0)</f>
        <v>DOĞRU</v>
      </c>
      <c r="D870" s="257" t="s">
        <v>3801</v>
      </c>
      <c r="E870" s="257">
        <f>VLOOKUP(A870,import!A:J,5,0)</f>
        <v>3138</v>
      </c>
      <c r="F870" s="257">
        <f>VLOOKUP(A870,import!A:J,6,0)</f>
        <v>126</v>
      </c>
      <c r="G870" s="257">
        <f>VLOOKUP(A870,import!A:J,7,0)</f>
        <v>13</v>
      </c>
      <c r="H870" s="257">
        <f>VLOOKUP(A870,import!A:J,8,0)</f>
        <v>4</v>
      </c>
      <c r="I870" s="257">
        <f>VLOOKUP(A870,import!A:J,9,0)</f>
        <v>17</v>
      </c>
      <c r="J870" s="369">
        <f>VLOOKUP(A870,import!A:J,10,0)</f>
        <v>0.76</v>
      </c>
      <c r="K870" s="257" t="s">
        <v>6532</v>
      </c>
      <c r="L870" s="257">
        <v>3.224585453E9</v>
      </c>
      <c r="M870" s="257" t="s">
        <v>286</v>
      </c>
      <c r="N870" s="257" t="s">
        <v>3688</v>
      </c>
      <c r="O870" s="257" t="s">
        <v>537</v>
      </c>
      <c r="P870" s="370" t="str">
        <f>VLOOKUP(A870,import!A:P,16,0)</f>
        <v>Geleneksel</v>
      </c>
      <c r="Q870" s="370"/>
      <c r="R870" s="370" t="b">
        <v>1</v>
      </c>
      <c r="S870" s="370" t="b">
        <v>0</v>
      </c>
      <c r="T870" s="301" t="s">
        <v>3679</v>
      </c>
      <c r="U870" s="301" t="s">
        <v>399</v>
      </c>
      <c r="V870" s="301" t="s">
        <v>78</v>
      </c>
      <c r="W870" s="301">
        <v>5.050387099E9</v>
      </c>
      <c r="X870" s="371">
        <v>44386.0</v>
      </c>
      <c r="Y870" s="371">
        <v>44389.0</v>
      </c>
      <c r="Z870" s="301" t="s">
        <v>3957</v>
      </c>
      <c r="AA870" s="373" t="s">
        <v>3682</v>
      </c>
      <c r="AB870" s="374">
        <v>44386.0</v>
      </c>
      <c r="AC870" s="375"/>
      <c r="AD870" s="375"/>
      <c r="AE870" s="92"/>
      <c r="AF870" s="375"/>
      <c r="AG870" s="92"/>
      <c r="AH870" s="375"/>
      <c r="AI870" s="375"/>
      <c r="AJ870" s="375"/>
      <c r="AK870" s="373" t="s">
        <v>399</v>
      </c>
      <c r="AL870" s="375"/>
      <c r="AM870" s="375"/>
      <c r="AN870" s="375"/>
      <c r="AO870" s="375"/>
      <c r="AP870" s="376" t="s">
        <v>3686</v>
      </c>
      <c r="AQ870" s="375"/>
    </row>
    <row r="871">
      <c r="A871" s="257" t="s">
        <v>2371</v>
      </c>
      <c r="B871" s="257" t="s">
        <v>2372</v>
      </c>
      <c r="C871" s="257" t="str">
        <f>VLOOKUP(A871,import!A:J,3,0)</f>
        <v>DOĞRU</v>
      </c>
      <c r="D871" s="257" t="s">
        <v>3713</v>
      </c>
      <c r="E871" s="257">
        <f>VLOOKUP(A871,import!A:J,5,0)</f>
        <v>2780</v>
      </c>
      <c r="F871" s="257">
        <f>VLOOKUP(A871,import!A:J,6,0)</f>
        <v>73</v>
      </c>
      <c r="G871" s="257">
        <f>VLOOKUP(A871,import!A:J,7,0)</f>
        <v>0</v>
      </c>
      <c r="H871" s="257">
        <f>VLOOKUP(A871,import!A:J,8,0)</f>
        <v>27</v>
      </c>
      <c r="I871" s="257">
        <f>VLOOKUP(A871,import!A:J,9,0)</f>
        <v>27</v>
      </c>
      <c r="J871" s="369">
        <f>VLOOKUP(A871,import!A:J,10,0)</f>
        <v>0</v>
      </c>
      <c r="K871" s="257" t="s">
        <v>6533</v>
      </c>
      <c r="L871" s="257">
        <v>5.444542202E9</v>
      </c>
      <c r="M871" s="257" t="s">
        <v>286</v>
      </c>
      <c r="N871" s="257" t="s">
        <v>3737</v>
      </c>
      <c r="O871" s="257" t="s">
        <v>2375</v>
      </c>
      <c r="P871" s="370" t="str">
        <f>VLOOKUP(A871,import!A:P,16,0)</f>
        <v>Geleneksel</v>
      </c>
      <c r="Q871" s="370"/>
      <c r="R871" s="370" t="b">
        <v>1</v>
      </c>
      <c r="S871" s="370" t="b">
        <v>0</v>
      </c>
      <c r="T871" s="301" t="s">
        <v>3770</v>
      </c>
      <c r="U871" s="301" t="s">
        <v>2542</v>
      </c>
      <c r="V871" s="301" t="s">
        <v>78</v>
      </c>
      <c r="W871" s="301" t="s">
        <v>6534</v>
      </c>
      <c r="X871" s="371">
        <v>44447.0</v>
      </c>
      <c r="Y871" s="371">
        <v>44448.0</v>
      </c>
      <c r="Z871" s="372"/>
      <c r="AA871" s="373" t="s">
        <v>3681</v>
      </c>
      <c r="AB871" s="374">
        <v>44384.0</v>
      </c>
      <c r="AC871" s="373" t="s">
        <v>3448</v>
      </c>
      <c r="AD871" s="374">
        <v>44390.0</v>
      </c>
      <c r="AE871" s="373" t="s">
        <v>3682</v>
      </c>
      <c r="AF871" s="374">
        <v>44447.0</v>
      </c>
      <c r="AG871" s="92"/>
      <c r="AH871" s="375"/>
      <c r="AI871" s="375"/>
      <c r="AJ871" s="375"/>
      <c r="AK871" s="373" t="s">
        <v>3719</v>
      </c>
      <c r="AL871" s="373" t="s">
        <v>3719</v>
      </c>
      <c r="AM871" s="373" t="s">
        <v>2542</v>
      </c>
      <c r="AN871" s="375"/>
      <c r="AO871" s="375"/>
      <c r="AP871" s="376" t="s">
        <v>3683</v>
      </c>
      <c r="AQ871" s="375"/>
    </row>
    <row r="872">
      <c r="A872" s="257" t="s">
        <v>1397</v>
      </c>
      <c r="B872" s="257" t="s">
        <v>1398</v>
      </c>
      <c r="C872" s="257" t="str">
        <f>VLOOKUP(A872,import!A:J,3,0)</f>
        <v>DOĞRU</v>
      </c>
      <c r="D872" s="257" t="s">
        <v>3759</v>
      </c>
      <c r="E872" s="257">
        <f>VLOOKUP(A872,import!A:J,5,0)</f>
        <v>843</v>
      </c>
      <c r="F872" s="257">
        <f>VLOOKUP(A872,import!A:J,6,0)</f>
        <v>36</v>
      </c>
      <c r="G872" s="257">
        <f>VLOOKUP(A872,import!A:J,7,0)</f>
        <v>0</v>
      </c>
      <c r="H872" s="257">
        <f>VLOOKUP(A872,import!A:J,8,0)</f>
        <v>18</v>
      </c>
      <c r="I872" s="257">
        <f>VLOOKUP(A872,import!A:J,9,0)</f>
        <v>18</v>
      </c>
      <c r="J872" s="369">
        <f>VLOOKUP(A872,import!A:J,10,0)</f>
        <v>0</v>
      </c>
      <c r="K872" s="257" t="s">
        <v>6535</v>
      </c>
      <c r="L872" s="257">
        <v>3.224585522E9</v>
      </c>
      <c r="M872" s="257" t="s">
        <v>286</v>
      </c>
      <c r="N872" s="257" t="s">
        <v>4550</v>
      </c>
      <c r="O872" s="257" t="s">
        <v>1400</v>
      </c>
      <c r="P872" s="370" t="str">
        <f>VLOOKUP(A872,import!A:P,16,0)</f>
        <v>Geleneksel</v>
      </c>
      <c r="Q872" s="370"/>
      <c r="R872" s="370" t="b">
        <v>1</v>
      </c>
      <c r="S872" s="370" t="b">
        <v>0</v>
      </c>
      <c r="T872" s="301" t="s">
        <v>3770</v>
      </c>
      <c r="U872" s="301" t="s">
        <v>111</v>
      </c>
      <c r="V872" s="301" t="s">
        <v>78</v>
      </c>
      <c r="W872" s="301" t="s">
        <v>6536</v>
      </c>
      <c r="X872" s="371">
        <v>44386.0</v>
      </c>
      <c r="Y872" s="371">
        <v>44390.0</v>
      </c>
      <c r="Z872" s="372"/>
      <c r="AA872" s="373" t="s">
        <v>3682</v>
      </c>
      <c r="AB872" s="374">
        <v>44386.0</v>
      </c>
      <c r="AC872" s="373" t="s">
        <v>3682</v>
      </c>
      <c r="AD872" s="374">
        <v>44407.0</v>
      </c>
      <c r="AE872" s="373" t="s">
        <v>3448</v>
      </c>
      <c r="AF872" s="374">
        <v>44454.0</v>
      </c>
      <c r="AG872" s="373" t="s">
        <v>3682</v>
      </c>
      <c r="AH872" s="374">
        <v>44510.0</v>
      </c>
      <c r="AI872" s="375"/>
      <c r="AJ872" s="375"/>
      <c r="AK872" s="375"/>
      <c r="AL872" s="375"/>
      <c r="AM872" s="373" t="s">
        <v>2542</v>
      </c>
      <c r="AN872" s="373" t="s">
        <v>3073</v>
      </c>
      <c r="AO872" s="375"/>
      <c r="AP872" s="376" t="s">
        <v>3686</v>
      </c>
      <c r="AQ872" s="375"/>
    </row>
    <row r="873">
      <c r="A873" s="257" t="s">
        <v>1824</v>
      </c>
      <c r="B873" s="257" t="s">
        <v>1825</v>
      </c>
      <c r="C873" s="257" t="str">
        <f>VLOOKUP(A873,import!A:J,3,0)</f>
        <v>DOĞRU</v>
      </c>
      <c r="D873" s="257" t="s">
        <v>3690</v>
      </c>
      <c r="E873" s="257">
        <f>VLOOKUP(A873,import!A:J,5,0)</f>
        <v>2112</v>
      </c>
      <c r="F873" s="257">
        <f>VLOOKUP(A873,import!A:J,6,0)</f>
        <v>51</v>
      </c>
      <c r="G873" s="257">
        <f>VLOOKUP(A873,import!A:J,7,0)</f>
        <v>16</v>
      </c>
      <c r="H873" s="257">
        <f>VLOOKUP(A873,import!A:J,8,0)</f>
        <v>66</v>
      </c>
      <c r="I873" s="257">
        <f>VLOOKUP(A873,import!A:J,9,0)</f>
        <v>82</v>
      </c>
      <c r="J873" s="369">
        <f>VLOOKUP(A873,import!A:J,10,0)</f>
        <v>0.2</v>
      </c>
      <c r="K873" s="257" t="s">
        <v>6537</v>
      </c>
      <c r="L873" s="257">
        <v>5.526640601E9</v>
      </c>
      <c r="M873" s="257" t="s">
        <v>286</v>
      </c>
      <c r="N873" s="257" t="s">
        <v>3855</v>
      </c>
      <c r="O873" s="257" t="s">
        <v>1827</v>
      </c>
      <c r="P873" s="370" t="str">
        <f>VLOOKUP(A873,import!A:P,16,0)</f>
        <v>Geleneksel</v>
      </c>
      <c r="Q873" s="370"/>
      <c r="R873" s="370" t="b">
        <v>1</v>
      </c>
      <c r="S873" s="370" t="b">
        <v>0</v>
      </c>
      <c r="T873" s="301" t="s">
        <v>3679</v>
      </c>
      <c r="U873" s="301" t="s">
        <v>3729</v>
      </c>
      <c r="V873" s="301" t="s">
        <v>78</v>
      </c>
      <c r="W873" s="301" t="s">
        <v>6538</v>
      </c>
      <c r="X873" s="371">
        <v>44414.0</v>
      </c>
      <c r="Y873" s="371">
        <v>44419.0</v>
      </c>
      <c r="Z873" s="372"/>
      <c r="AA873" s="373" t="s">
        <v>3695</v>
      </c>
      <c r="AB873" s="374">
        <v>44389.0</v>
      </c>
      <c r="AC873" s="373" t="s">
        <v>3682</v>
      </c>
      <c r="AD873" s="374">
        <v>44414.0</v>
      </c>
      <c r="AE873" s="373" t="s">
        <v>3695</v>
      </c>
      <c r="AF873" s="374">
        <v>44442.0</v>
      </c>
      <c r="AG873" s="373" t="s">
        <v>3682</v>
      </c>
      <c r="AH873" s="374">
        <v>44503.0</v>
      </c>
      <c r="AI873" s="375"/>
      <c r="AJ873" s="375"/>
      <c r="AK873" s="373" t="s">
        <v>79</v>
      </c>
      <c r="AL873" s="373" t="s">
        <v>3729</v>
      </c>
      <c r="AM873" s="373" t="s">
        <v>399</v>
      </c>
      <c r="AN873" s="373" t="s">
        <v>2418</v>
      </c>
      <c r="AO873" s="375"/>
      <c r="AP873" s="376" t="s">
        <v>3686</v>
      </c>
      <c r="AQ873" s="375"/>
    </row>
    <row r="874">
      <c r="A874" s="257" t="s">
        <v>1232</v>
      </c>
      <c r="B874" s="257" t="s">
        <v>1233</v>
      </c>
      <c r="C874" s="257" t="str">
        <f>VLOOKUP(A874,import!A:J,3,0)</f>
        <v>DOĞRU</v>
      </c>
      <c r="D874" s="257" t="s">
        <v>3690</v>
      </c>
      <c r="E874" s="257">
        <f>VLOOKUP(A874,import!A:J,5,0)</f>
        <v>1555</v>
      </c>
      <c r="F874" s="257">
        <f>VLOOKUP(A874,import!A:J,6,0)</f>
        <v>44</v>
      </c>
      <c r="G874" s="257">
        <f>VLOOKUP(A874,import!A:J,7,0)</f>
        <v>0</v>
      </c>
      <c r="H874" s="257">
        <f>VLOOKUP(A874,import!A:J,8,0)</f>
        <v>25</v>
      </c>
      <c r="I874" s="257">
        <f>VLOOKUP(A874,import!A:J,9,0)</f>
        <v>25</v>
      </c>
      <c r="J874" s="369">
        <f>VLOOKUP(A874,import!A:J,10,0)</f>
        <v>0</v>
      </c>
      <c r="K874" s="257" t="s">
        <v>6539</v>
      </c>
      <c r="L874" s="257">
        <v>5.306785826E9</v>
      </c>
      <c r="M874" s="257" t="s">
        <v>286</v>
      </c>
      <c r="N874" s="257" t="s">
        <v>3737</v>
      </c>
      <c r="O874" s="257" t="s">
        <v>1235</v>
      </c>
      <c r="P874" s="370" t="str">
        <f>VLOOKUP(A874,import!A:P,16,0)</f>
        <v>Geleneksel</v>
      </c>
      <c r="Q874" s="370"/>
      <c r="R874" s="370" t="b">
        <v>1</v>
      </c>
      <c r="S874" s="370" t="b">
        <v>0</v>
      </c>
      <c r="T874" s="301" t="s">
        <v>3448</v>
      </c>
      <c r="U874" s="301" t="s">
        <v>111</v>
      </c>
      <c r="V874" s="380" t="s">
        <v>78</v>
      </c>
      <c r="W874" s="301" t="s">
        <v>6540</v>
      </c>
      <c r="X874" s="371">
        <v>44378.0</v>
      </c>
      <c r="Y874" s="371">
        <v>44382.0</v>
      </c>
      <c r="Z874" s="372"/>
      <c r="AA874" s="373" t="s">
        <v>3682</v>
      </c>
      <c r="AB874" s="374">
        <v>44378.0</v>
      </c>
      <c r="AC874" s="373" t="s">
        <v>3681</v>
      </c>
      <c r="AD874" s="374">
        <v>44407.0</v>
      </c>
      <c r="AE874" s="373" t="s">
        <v>3448</v>
      </c>
      <c r="AF874" s="374">
        <v>44412.0</v>
      </c>
      <c r="AG874" s="373" t="s">
        <v>3696</v>
      </c>
      <c r="AH874" s="374">
        <v>44421.0</v>
      </c>
      <c r="AI874" s="373" t="s">
        <v>3681</v>
      </c>
      <c r="AJ874" s="374">
        <v>44508.0</v>
      </c>
      <c r="AK874" s="373" t="s">
        <v>111</v>
      </c>
      <c r="AL874" s="375"/>
      <c r="AM874" s="373" t="s">
        <v>3729</v>
      </c>
      <c r="AN874" s="373" t="s">
        <v>3723</v>
      </c>
      <c r="AO874" s="373" t="s">
        <v>2192</v>
      </c>
      <c r="AP874" s="376" t="s">
        <v>3683</v>
      </c>
      <c r="AQ874" s="373"/>
    </row>
    <row r="875">
      <c r="A875" s="257" t="s">
        <v>1747</v>
      </c>
      <c r="B875" s="257" t="s">
        <v>1748</v>
      </c>
      <c r="C875" s="257" t="str">
        <f>VLOOKUP(A875,import!A:J,3,0)</f>
        <v>DOĞRU</v>
      </c>
      <c r="D875" s="257" t="s">
        <v>3676</v>
      </c>
      <c r="E875" s="257">
        <f>VLOOKUP(A875,import!A:J,5,0)</f>
        <v>2835</v>
      </c>
      <c r="F875" s="257">
        <f>VLOOKUP(A875,import!A:J,6,0)</f>
        <v>95</v>
      </c>
      <c r="G875" s="257">
        <f>VLOOKUP(A875,import!A:J,7,0)</f>
        <v>9</v>
      </c>
      <c r="H875" s="257">
        <f>VLOOKUP(A875,import!A:J,8,0)</f>
        <v>10</v>
      </c>
      <c r="I875" s="257">
        <f>VLOOKUP(A875,import!A:J,9,0)</f>
        <v>19</v>
      </c>
      <c r="J875" s="369">
        <f>VLOOKUP(A875,import!A:J,10,0)</f>
        <v>0.47</v>
      </c>
      <c r="K875" s="257" t="s">
        <v>6541</v>
      </c>
      <c r="L875" s="257">
        <v>3.229995579E9</v>
      </c>
      <c r="M875" s="257" t="s">
        <v>14</v>
      </c>
      <c r="N875" s="257" t="s">
        <v>3678</v>
      </c>
      <c r="O875" s="257" t="s">
        <v>1750</v>
      </c>
      <c r="P875" s="370" t="str">
        <f>VLOOKUP(A875,import!A:P,16,0)</f>
        <v>Geleneksel</v>
      </c>
      <c r="Q875" s="370"/>
      <c r="R875" s="370" t="b">
        <v>1</v>
      </c>
      <c r="S875" s="370" t="b">
        <v>0</v>
      </c>
      <c r="T875" s="301" t="s">
        <v>3679</v>
      </c>
      <c r="U875" s="301" t="s">
        <v>79</v>
      </c>
      <c r="V875" s="301" t="s">
        <v>78</v>
      </c>
      <c r="W875" s="301" t="s">
        <v>6542</v>
      </c>
      <c r="X875" s="371">
        <v>44436.0</v>
      </c>
      <c r="Y875" s="371">
        <v>44440.0</v>
      </c>
      <c r="Z875" s="372"/>
      <c r="AA875" s="373" t="s">
        <v>3448</v>
      </c>
      <c r="AB875" s="374">
        <v>44404.0</v>
      </c>
      <c r="AC875" s="373" t="s">
        <v>3682</v>
      </c>
      <c r="AD875" s="374">
        <v>44412.0</v>
      </c>
      <c r="AE875" s="373" t="s">
        <v>3682</v>
      </c>
      <c r="AF875" s="374">
        <v>44467.0</v>
      </c>
      <c r="AG875" s="92"/>
      <c r="AH875" s="375"/>
      <c r="AI875" s="375"/>
      <c r="AJ875" s="375"/>
      <c r="AK875" s="373" t="s">
        <v>3752</v>
      </c>
      <c r="AL875" s="373" t="s">
        <v>3723</v>
      </c>
      <c r="AM875" s="373" t="s">
        <v>3729</v>
      </c>
      <c r="AN875" s="375"/>
      <c r="AO875" s="375"/>
      <c r="AP875" s="376" t="s">
        <v>3683</v>
      </c>
      <c r="AQ875" s="375"/>
    </row>
    <row r="876">
      <c r="A876" s="257" t="s">
        <v>1195</v>
      </c>
      <c r="B876" s="257" t="s">
        <v>1196</v>
      </c>
      <c r="C876" s="257" t="str">
        <f>VLOOKUP(A876,import!A:J,3,0)</f>
        <v>DOĞRU</v>
      </c>
      <c r="D876" s="257" t="s">
        <v>3699</v>
      </c>
      <c r="E876" s="257">
        <f>VLOOKUP(A876,import!A:J,5,0)</f>
        <v>4588</v>
      </c>
      <c r="F876" s="257">
        <f>VLOOKUP(A876,import!A:J,6,0)</f>
        <v>183</v>
      </c>
      <c r="G876" s="257">
        <f>VLOOKUP(A876,import!A:J,7,0)</f>
        <v>32</v>
      </c>
      <c r="H876" s="257">
        <f>VLOOKUP(A876,import!A:J,8,0)</f>
        <v>4</v>
      </c>
      <c r="I876" s="257">
        <f>VLOOKUP(A876,import!A:J,9,0)</f>
        <v>36</v>
      </c>
      <c r="J876" s="369">
        <f>VLOOKUP(A876,import!A:J,10,0)</f>
        <v>0.89</v>
      </c>
      <c r="K876" s="257" t="s">
        <v>6543</v>
      </c>
      <c r="L876" s="257">
        <v>3.224532781E9</v>
      </c>
      <c r="M876" s="257" t="s">
        <v>286</v>
      </c>
      <c r="N876" s="257" t="s">
        <v>4451</v>
      </c>
      <c r="O876" s="257" t="s">
        <v>1198</v>
      </c>
      <c r="P876" s="370" t="str">
        <f>VLOOKUP(A876,import!A:P,16,0)</f>
        <v>Geleneksel</v>
      </c>
      <c r="Q876" s="370"/>
      <c r="R876" s="370" t="b">
        <v>1</v>
      </c>
      <c r="S876" s="370" t="b">
        <v>0</v>
      </c>
      <c r="T876" s="301" t="s">
        <v>3679</v>
      </c>
      <c r="U876" s="301" t="s">
        <v>79</v>
      </c>
      <c r="V876" s="301" t="s">
        <v>78</v>
      </c>
      <c r="W876" s="301" t="s">
        <v>6544</v>
      </c>
      <c r="X876" s="371">
        <v>44440.0</v>
      </c>
      <c r="Y876" s="371">
        <v>44445.0</v>
      </c>
      <c r="Z876" s="372"/>
      <c r="AA876" s="373" t="s">
        <v>3682</v>
      </c>
      <c r="AB876" s="374">
        <v>44376.0</v>
      </c>
      <c r="AC876" s="373" t="s">
        <v>3695</v>
      </c>
      <c r="AD876" s="374">
        <v>44421.0</v>
      </c>
      <c r="AE876" s="373" t="s">
        <v>3682</v>
      </c>
      <c r="AF876" s="374">
        <v>44428.0</v>
      </c>
      <c r="AG876" s="373" t="s">
        <v>3682</v>
      </c>
      <c r="AH876" s="374">
        <v>44436.0</v>
      </c>
      <c r="AI876" s="373" t="s">
        <v>3682</v>
      </c>
      <c r="AJ876" s="374">
        <v>44440.0</v>
      </c>
      <c r="AK876" s="373" t="s">
        <v>1014</v>
      </c>
      <c r="AL876" s="373" t="s">
        <v>3729</v>
      </c>
      <c r="AM876" s="373" t="s">
        <v>3729</v>
      </c>
      <c r="AN876" s="373" t="s">
        <v>1953</v>
      </c>
      <c r="AO876" s="373" t="s">
        <v>79</v>
      </c>
      <c r="AP876" s="376" t="s">
        <v>3686</v>
      </c>
      <c r="AQ876" s="373"/>
    </row>
    <row r="877">
      <c r="A877" s="257" t="s">
        <v>6545</v>
      </c>
      <c r="B877" s="257" t="s">
        <v>6546</v>
      </c>
      <c r="C877" s="257" t="str">
        <f>VLOOKUP(A877,import!A:J,3,0)</f>
        <v>DOĞRU</v>
      </c>
      <c r="D877" s="257" t="s">
        <v>3676</v>
      </c>
      <c r="E877" s="257">
        <f>VLOOKUP(A877,import!A:J,5,0)</f>
        <v>1058</v>
      </c>
      <c r="F877" s="257" t="str">
        <f>VLOOKUP(A877,import!A:J,6,0)</f>
        <v/>
      </c>
      <c r="G877" s="257">
        <f>VLOOKUP(A877,import!A:J,7,0)</f>
        <v>0</v>
      </c>
      <c r="H877" s="257">
        <f>VLOOKUP(A877,import!A:J,8,0)</f>
        <v>20</v>
      </c>
      <c r="I877" s="257">
        <f>VLOOKUP(A877,import!A:J,9,0)</f>
        <v>20</v>
      </c>
      <c r="J877" s="369">
        <f>VLOOKUP(A877,import!A:J,10,0)</f>
        <v>0</v>
      </c>
      <c r="K877" s="257" t="s">
        <v>6547</v>
      </c>
      <c r="L877" s="257">
        <v>5.41828417E9</v>
      </c>
      <c r="M877" s="257" t="s">
        <v>3701</v>
      </c>
      <c r="N877" s="257" t="s">
        <v>6548</v>
      </c>
      <c r="O877" s="257" t="s">
        <v>6549</v>
      </c>
      <c r="P877" s="370" t="str">
        <f>VLOOKUP(A877,import!A:P,16,0)</f>
        <v>Geleneksel</v>
      </c>
      <c r="Q877" s="370"/>
      <c r="R877" s="370" t="b">
        <v>1</v>
      </c>
      <c r="S877" s="370" t="b">
        <v>0</v>
      </c>
      <c r="T877" s="301" t="s">
        <v>3710</v>
      </c>
      <c r="U877" s="379"/>
      <c r="V877" s="384"/>
      <c r="W877" s="301" t="s">
        <v>6550</v>
      </c>
      <c r="X877" s="381"/>
      <c r="Y877" s="381"/>
      <c r="Z877" s="372"/>
      <c r="AA877" s="373" t="s">
        <v>3682</v>
      </c>
      <c r="AB877" s="374">
        <v>44428.0</v>
      </c>
      <c r="AC877" s="375"/>
      <c r="AD877" s="375"/>
      <c r="AE877" s="92"/>
      <c r="AF877" s="375"/>
      <c r="AG877" s="92"/>
      <c r="AH877" s="375"/>
      <c r="AI877" s="375"/>
      <c r="AJ877" s="375"/>
      <c r="AK877" s="373" t="s">
        <v>1953</v>
      </c>
      <c r="AL877" s="375"/>
      <c r="AM877" s="375"/>
      <c r="AN877" s="375"/>
      <c r="AO877" s="375"/>
      <c r="AP877" s="376" t="s">
        <v>3686</v>
      </c>
      <c r="AQ877" s="375"/>
    </row>
    <row r="878">
      <c r="A878" s="257" t="s">
        <v>2617</v>
      </c>
      <c r="B878" s="257" t="s">
        <v>2618</v>
      </c>
      <c r="C878" s="257" t="str">
        <f>VLOOKUP(A878,import!A:J,3,0)</f>
        <v>DOĞRU</v>
      </c>
      <c r="D878" s="257" t="s">
        <v>3676</v>
      </c>
      <c r="E878" s="257">
        <f>VLOOKUP(A878,import!A:J,5,0)</f>
        <v>941</v>
      </c>
      <c r="F878" s="257">
        <f>VLOOKUP(A878,import!A:J,6,0)</f>
        <v>33</v>
      </c>
      <c r="G878" s="257">
        <f>VLOOKUP(A878,import!A:J,7,0)</f>
        <v>8</v>
      </c>
      <c r="H878" s="257">
        <f>VLOOKUP(A878,import!A:J,8,0)</f>
        <v>21</v>
      </c>
      <c r="I878" s="257">
        <f>VLOOKUP(A878,import!A:J,9,0)</f>
        <v>29</v>
      </c>
      <c r="J878" s="369">
        <f>VLOOKUP(A878,import!A:J,10,0)</f>
        <v>0.28</v>
      </c>
      <c r="K878" s="257" t="s">
        <v>6551</v>
      </c>
      <c r="L878" s="257">
        <v>3.223442121E9</v>
      </c>
      <c r="M878" s="257" t="s">
        <v>3707</v>
      </c>
      <c r="N878" s="257" t="s">
        <v>5130</v>
      </c>
      <c r="O878" s="257" t="s">
        <v>2621</v>
      </c>
      <c r="P878" s="370" t="str">
        <f>VLOOKUP(A878,import!A:P,16,0)</f>
        <v>Geleneksel</v>
      </c>
      <c r="Q878" s="370"/>
      <c r="R878" s="370" t="b">
        <v>1</v>
      </c>
      <c r="S878" s="370" t="b">
        <v>0</v>
      </c>
      <c r="T878" s="301" t="s">
        <v>3679</v>
      </c>
      <c r="U878" s="301" t="s">
        <v>2542</v>
      </c>
      <c r="V878" s="301" t="s">
        <v>78</v>
      </c>
      <c r="W878" s="301" t="s">
        <v>6552</v>
      </c>
      <c r="X878" s="371">
        <v>44463.0</v>
      </c>
      <c r="Y878" s="371">
        <v>44466.0</v>
      </c>
      <c r="Z878" s="372"/>
      <c r="AA878" s="373" t="s">
        <v>3682</v>
      </c>
      <c r="AB878" s="374">
        <v>44463.0</v>
      </c>
      <c r="AC878" s="373" t="s">
        <v>3682</v>
      </c>
      <c r="AD878" s="374">
        <v>44496.0</v>
      </c>
      <c r="AE878" s="373"/>
      <c r="AF878" s="374"/>
      <c r="AG878" s="92"/>
      <c r="AH878" s="375"/>
      <c r="AI878" s="375"/>
      <c r="AJ878" s="375"/>
      <c r="AK878" s="373" t="s">
        <v>2542</v>
      </c>
      <c r="AL878" s="373" t="s">
        <v>2282</v>
      </c>
      <c r="AM878" s="375"/>
      <c r="AN878" s="375"/>
      <c r="AO878" s="375"/>
      <c r="AP878" s="376" t="s">
        <v>3686</v>
      </c>
      <c r="AQ878" s="375"/>
    </row>
    <row r="879">
      <c r="A879" s="257" t="s">
        <v>548</v>
      </c>
      <c r="B879" s="257" t="s">
        <v>549</v>
      </c>
      <c r="C879" s="257" t="str">
        <f>VLOOKUP(A879,import!A:J,3,0)</f>
        <v>DOĞRU</v>
      </c>
      <c r="D879" s="257" t="s">
        <v>3676</v>
      </c>
      <c r="E879" s="257">
        <f>VLOOKUP(A879,import!A:J,5,0)</f>
        <v>91</v>
      </c>
      <c r="F879" s="257" t="str">
        <f>VLOOKUP(A879,import!A:J,6,0)</f>
        <v/>
      </c>
      <c r="G879" s="257">
        <f>VLOOKUP(A879,import!A:J,7,0)</f>
        <v>10</v>
      </c>
      <c r="H879" s="257">
        <f>VLOOKUP(A879,import!A:J,8,0)</f>
        <v>9</v>
      </c>
      <c r="I879" s="257">
        <f>VLOOKUP(A879,import!A:J,9,0)</f>
        <v>19</v>
      </c>
      <c r="J879" s="369">
        <f>VLOOKUP(A879,import!A:J,10,0)</f>
        <v>0.53</v>
      </c>
      <c r="K879" s="257" t="s">
        <v>6553</v>
      </c>
      <c r="L879" s="257">
        <v>5.347001688E9</v>
      </c>
      <c r="M879" s="257" t="s">
        <v>14</v>
      </c>
      <c r="N879" s="257" t="s">
        <v>3797</v>
      </c>
      <c r="O879" s="257" t="s">
        <v>551</v>
      </c>
      <c r="P879" s="370" t="str">
        <f>VLOOKUP(A879,import!A:P,16,0)</f>
        <v>Geleneksel</v>
      </c>
      <c r="Q879" s="370"/>
      <c r="R879" s="370" t="b">
        <v>1</v>
      </c>
      <c r="S879" s="370" t="b">
        <v>0</v>
      </c>
      <c r="T879" s="301" t="s">
        <v>3679</v>
      </c>
      <c r="U879" s="301" t="s">
        <v>79</v>
      </c>
      <c r="V879" s="301" t="s">
        <v>78</v>
      </c>
      <c r="W879" s="301"/>
      <c r="X879" s="371">
        <v>44312.0</v>
      </c>
      <c r="Y879" s="371">
        <v>44314.0</v>
      </c>
      <c r="Z879" s="377"/>
      <c r="AA879" s="375"/>
      <c r="AB879" s="375"/>
      <c r="AC879" s="375"/>
      <c r="AD879" s="375"/>
      <c r="AE879" s="92"/>
      <c r="AF879" s="375"/>
      <c r="AG879" s="92"/>
      <c r="AH879" s="375"/>
      <c r="AI879" s="375"/>
      <c r="AJ879" s="375"/>
      <c r="AK879" s="375"/>
      <c r="AL879" s="375"/>
      <c r="AM879" s="375"/>
      <c r="AN879" s="375"/>
      <c r="AO879" s="375"/>
      <c r="AP879" s="376" t="s">
        <v>3683</v>
      </c>
      <c r="AQ879" s="375"/>
    </row>
    <row r="880">
      <c r="A880" s="257" t="s">
        <v>2441</v>
      </c>
      <c r="B880" s="257" t="s">
        <v>2442</v>
      </c>
      <c r="C880" s="257" t="str">
        <f>VLOOKUP(A880,import!A:J,3,0)</f>
        <v>DOĞRU</v>
      </c>
      <c r="D880" s="257" t="s">
        <v>3713</v>
      </c>
      <c r="E880" s="257">
        <f>VLOOKUP(A880,import!A:J,5,0)</f>
        <v>5056</v>
      </c>
      <c r="F880" s="257">
        <f>VLOOKUP(A880,import!A:J,6,0)</f>
        <v>40</v>
      </c>
      <c r="G880" s="257">
        <f>VLOOKUP(A880,import!A:J,7,0)</f>
        <v>15</v>
      </c>
      <c r="H880" s="257">
        <f>VLOOKUP(A880,import!A:J,8,0)</f>
        <v>11</v>
      </c>
      <c r="I880" s="257">
        <f>VLOOKUP(A880,import!A:J,9,0)</f>
        <v>26</v>
      </c>
      <c r="J880" s="369">
        <f>VLOOKUP(A880,import!A:J,10,0)</f>
        <v>0.58</v>
      </c>
      <c r="K880" s="257" t="s">
        <v>6554</v>
      </c>
      <c r="L880" s="257">
        <v>3.222260011E9</v>
      </c>
      <c r="M880" s="257" t="s">
        <v>286</v>
      </c>
      <c r="N880" s="257" t="s">
        <v>3961</v>
      </c>
      <c r="O880" s="257" t="s">
        <v>2444</v>
      </c>
      <c r="P880" s="370" t="str">
        <f>VLOOKUP(A880,import!A:P,16,0)</f>
        <v>Geleneksel</v>
      </c>
      <c r="Q880" s="370"/>
      <c r="R880" s="370" t="b">
        <v>1</v>
      </c>
      <c r="S880" s="370" t="b">
        <v>0</v>
      </c>
      <c r="T880" s="389" t="s">
        <v>3679</v>
      </c>
      <c r="U880" s="267" t="s">
        <v>2542</v>
      </c>
      <c r="V880" s="389" t="s">
        <v>78</v>
      </c>
      <c r="W880" s="389" t="s">
        <v>6555</v>
      </c>
      <c r="X880" s="390">
        <v>44452.0</v>
      </c>
      <c r="Y880" s="390">
        <v>44453.0</v>
      </c>
      <c r="Z880" s="391"/>
      <c r="AA880" s="373" t="s">
        <v>3448</v>
      </c>
      <c r="AB880" s="374">
        <v>44440.0</v>
      </c>
      <c r="AC880" s="373" t="s">
        <v>3682</v>
      </c>
      <c r="AD880" s="374">
        <v>44452.0</v>
      </c>
      <c r="AE880" s="92"/>
      <c r="AF880" s="375"/>
      <c r="AG880" s="92"/>
      <c r="AH880" s="375"/>
      <c r="AI880" s="375"/>
      <c r="AJ880" s="375"/>
      <c r="AK880" s="373" t="s">
        <v>2542</v>
      </c>
      <c r="AL880" s="373" t="s">
        <v>2542</v>
      </c>
      <c r="AM880" s="375"/>
      <c r="AN880" s="375"/>
      <c r="AO880" s="375"/>
      <c r="AP880" s="376" t="s">
        <v>3686</v>
      </c>
      <c r="AQ880" s="375"/>
    </row>
    <row r="881">
      <c r="A881" s="266" t="s">
        <v>2348</v>
      </c>
      <c r="B881" s="266" t="s">
        <v>2349</v>
      </c>
      <c r="C881" s="257" t="str">
        <f>VLOOKUP(A881,import!A:J,3,0)</f>
        <v>DOĞRU</v>
      </c>
      <c r="D881" s="266" t="s">
        <v>3842</v>
      </c>
      <c r="E881" s="257">
        <f>VLOOKUP(A881,import!A:J,5,0)</f>
        <v>1957</v>
      </c>
      <c r="F881" s="257">
        <f>VLOOKUP(A881,import!A:J,6,0)</f>
        <v>59</v>
      </c>
      <c r="G881" s="257">
        <f>VLOOKUP(A881,import!A:J,7,0)</f>
        <v>7</v>
      </c>
      <c r="H881" s="257">
        <f>VLOOKUP(A881,import!A:J,8,0)</f>
        <v>2</v>
      </c>
      <c r="I881" s="257">
        <f>VLOOKUP(A881,import!A:J,9,0)</f>
        <v>9</v>
      </c>
      <c r="J881" s="369">
        <f>VLOOKUP(A881,import!A:J,10,0)</f>
        <v>0.78</v>
      </c>
      <c r="K881" s="266" t="s">
        <v>6556</v>
      </c>
      <c r="L881" s="266">
        <v>5.349379214E9</v>
      </c>
      <c r="M881" s="266" t="s">
        <v>14</v>
      </c>
      <c r="N881" s="266" t="s">
        <v>3767</v>
      </c>
      <c r="O881" s="266" t="s">
        <v>2351</v>
      </c>
      <c r="P881" s="370" t="str">
        <f>VLOOKUP(A881,import!A:P,16,0)</f>
        <v>Geleneksel</v>
      </c>
      <c r="Q881" s="370"/>
      <c r="R881" s="370" t="b">
        <v>1</v>
      </c>
      <c r="S881" s="370" t="b">
        <v>0</v>
      </c>
      <c r="T881" s="301" t="s">
        <v>3679</v>
      </c>
      <c r="U881" s="301" t="s">
        <v>2542</v>
      </c>
      <c r="V881" s="301" t="s">
        <v>78</v>
      </c>
      <c r="W881" s="301" t="s">
        <v>6557</v>
      </c>
      <c r="X881" s="371">
        <v>44447.0</v>
      </c>
      <c r="Y881" s="371">
        <v>44448.0</v>
      </c>
      <c r="Z881" s="372"/>
      <c r="AA881" s="373" t="s">
        <v>3682</v>
      </c>
      <c r="AB881" s="374">
        <v>44390.0</v>
      </c>
      <c r="AC881" s="373" t="s">
        <v>3448</v>
      </c>
      <c r="AD881" s="374">
        <v>44421.0</v>
      </c>
      <c r="AE881" s="373" t="s">
        <v>3682</v>
      </c>
      <c r="AF881" s="374">
        <v>44427.0</v>
      </c>
      <c r="AG881" s="373" t="s">
        <v>3682</v>
      </c>
      <c r="AH881" s="374">
        <v>44447.0</v>
      </c>
      <c r="AI881" s="375"/>
      <c r="AJ881" s="375"/>
      <c r="AK881" s="373" t="s">
        <v>111</v>
      </c>
      <c r="AL881" s="373" t="s">
        <v>3723</v>
      </c>
      <c r="AM881" s="373" t="s">
        <v>3723</v>
      </c>
      <c r="AN881" s="373" t="s">
        <v>2542</v>
      </c>
      <c r="AO881" s="375"/>
      <c r="AP881" s="376" t="s">
        <v>3683</v>
      </c>
      <c r="AQ881" s="375"/>
    </row>
    <row r="882">
      <c r="A882" s="257" t="s">
        <v>2454</v>
      </c>
      <c r="B882" s="257" t="s">
        <v>2455</v>
      </c>
      <c r="C882" s="257" t="str">
        <f>VLOOKUP(A882,import!A:J,3,0)</f>
        <v>DOĞRU</v>
      </c>
      <c r="D882" s="257" t="s">
        <v>3713</v>
      </c>
      <c r="E882" s="257">
        <f>VLOOKUP(A882,import!A:J,5,0)</f>
        <v>1993</v>
      </c>
      <c r="F882" s="257">
        <f>VLOOKUP(A882,import!A:J,6,0)</f>
        <v>42</v>
      </c>
      <c r="G882" s="257">
        <f>VLOOKUP(A882,import!A:J,7,0)</f>
        <v>7</v>
      </c>
      <c r="H882" s="257">
        <f>VLOOKUP(A882,import!A:J,8,0)</f>
        <v>16</v>
      </c>
      <c r="I882" s="257">
        <f>VLOOKUP(A882,import!A:J,9,0)</f>
        <v>23</v>
      </c>
      <c r="J882" s="369">
        <f>VLOOKUP(A882,import!A:J,10,0)</f>
        <v>0.3</v>
      </c>
      <c r="K882" s="257" t="s">
        <v>6558</v>
      </c>
      <c r="L882" s="257">
        <v>5.427378893E9</v>
      </c>
      <c r="M882" s="257" t="s">
        <v>14</v>
      </c>
      <c r="N882" s="257" t="s">
        <v>3935</v>
      </c>
      <c r="O882" s="257" t="s">
        <v>2457</v>
      </c>
      <c r="P882" s="370" t="str">
        <f>VLOOKUP(A882,import!A:P,16,0)</f>
        <v>Geleneksel</v>
      </c>
      <c r="Q882" s="370"/>
      <c r="R882" s="370" t="b">
        <v>1</v>
      </c>
      <c r="S882" s="370" t="b">
        <v>0</v>
      </c>
      <c r="T882" s="301" t="s">
        <v>3679</v>
      </c>
      <c r="U882" s="301" t="s">
        <v>2542</v>
      </c>
      <c r="V882" s="301" t="s">
        <v>78</v>
      </c>
      <c r="W882" s="301" t="s">
        <v>6559</v>
      </c>
      <c r="X882" s="371">
        <v>44453.0</v>
      </c>
      <c r="Y882" s="371">
        <v>44454.0</v>
      </c>
      <c r="Z882" s="372"/>
      <c r="AA882" s="373" t="s">
        <v>3681</v>
      </c>
      <c r="AB882" s="374">
        <v>44382.0</v>
      </c>
      <c r="AC882" s="373" t="s">
        <v>3682</v>
      </c>
      <c r="AD882" s="374">
        <v>44440.0</v>
      </c>
      <c r="AE882" s="373" t="s">
        <v>3682</v>
      </c>
      <c r="AF882" s="374">
        <v>44453.0</v>
      </c>
      <c r="AG882" s="92"/>
      <c r="AH882" s="375"/>
      <c r="AI882" s="375"/>
      <c r="AJ882" s="375"/>
      <c r="AK882" s="373" t="s">
        <v>3719</v>
      </c>
      <c r="AL882" s="373" t="s">
        <v>2542</v>
      </c>
      <c r="AM882" s="373" t="s">
        <v>2542</v>
      </c>
      <c r="AN882" s="375"/>
      <c r="AO882" s="375"/>
      <c r="AP882" s="376" t="s">
        <v>3683</v>
      </c>
      <c r="AQ882" s="375"/>
    </row>
    <row r="883">
      <c r="A883" s="257" t="s">
        <v>3559</v>
      </c>
      <c r="B883" s="257" t="s">
        <v>3560</v>
      </c>
      <c r="C883" s="257" t="str">
        <f>VLOOKUP(A883,import!A:J,3,0)</f>
        <v>DOĞRU</v>
      </c>
      <c r="D883" s="257" t="s">
        <v>3699</v>
      </c>
      <c r="E883" s="257">
        <f>VLOOKUP(A883,import!A:J,5,0)</f>
        <v>70</v>
      </c>
      <c r="F883" s="257">
        <f>VLOOKUP(A883,import!A:J,6,0)</f>
        <v>18</v>
      </c>
      <c r="G883" s="257">
        <f>VLOOKUP(A883,import!A:J,7,0)</f>
        <v>0</v>
      </c>
      <c r="H883" s="257">
        <f>VLOOKUP(A883,import!A:J,8,0)</f>
        <v>32</v>
      </c>
      <c r="I883" s="257">
        <f>VLOOKUP(A883,import!A:J,9,0)</f>
        <v>32</v>
      </c>
      <c r="J883" s="369">
        <f>VLOOKUP(A883,import!A:J,10,0)</f>
        <v>0</v>
      </c>
      <c r="K883" s="257" t="s">
        <v>6560</v>
      </c>
      <c r="L883" s="257">
        <v>5.325913763E9</v>
      </c>
      <c r="M883" s="257" t="s">
        <v>286</v>
      </c>
      <c r="N883" s="257" t="s">
        <v>3855</v>
      </c>
      <c r="O883" s="257" t="s">
        <v>3562</v>
      </c>
      <c r="P883" s="370" t="str">
        <f>VLOOKUP(A883,import!A:P,16,0)</f>
        <v>Geleneksel</v>
      </c>
      <c r="Q883" s="370"/>
      <c r="R883" s="370" t="b">
        <v>1</v>
      </c>
      <c r="S883" s="370" t="b">
        <v>0</v>
      </c>
      <c r="T883" s="301" t="s">
        <v>3679</v>
      </c>
      <c r="U883" s="301" t="s">
        <v>2542</v>
      </c>
      <c r="V883" s="400" t="s">
        <v>3331</v>
      </c>
      <c r="W883" s="301"/>
      <c r="X883" s="371">
        <v>44637.0</v>
      </c>
      <c r="Y883" s="371">
        <v>44638.0</v>
      </c>
      <c r="Z883" s="372"/>
      <c r="AA883" s="373" t="s">
        <v>3682</v>
      </c>
      <c r="AB883" s="371">
        <v>44637.0</v>
      </c>
      <c r="AC883" s="373"/>
      <c r="AD883" s="374"/>
      <c r="AE883" s="373"/>
      <c r="AF883" s="374"/>
      <c r="AG883" s="373"/>
      <c r="AH883" s="374"/>
      <c r="AI883" s="373"/>
      <c r="AJ883" s="374"/>
      <c r="AK883" s="373" t="s">
        <v>2542</v>
      </c>
      <c r="AL883" s="373"/>
      <c r="AM883" s="373"/>
      <c r="AN883" s="373"/>
      <c r="AO883" s="373"/>
      <c r="AP883" s="376"/>
      <c r="AQ883" s="373"/>
    </row>
    <row r="884">
      <c r="A884" s="257" t="s">
        <v>3337</v>
      </c>
      <c r="B884" s="257" t="s">
        <v>3338</v>
      </c>
      <c r="C884" s="257" t="str">
        <f>VLOOKUP(A884,import!A:J,3,0)</f>
        <v>DOĞRU</v>
      </c>
      <c r="D884" s="257" t="s">
        <v>3699</v>
      </c>
      <c r="E884" s="257">
        <f>VLOOKUP(A884,import!A:J,5,0)</f>
        <v>1682</v>
      </c>
      <c r="F884" s="257">
        <f>VLOOKUP(A884,import!A:J,6,0)</f>
        <v>193</v>
      </c>
      <c r="G884" s="257">
        <f>VLOOKUP(A884,import!A:J,7,0)</f>
        <v>75</v>
      </c>
      <c r="H884" s="257">
        <f>VLOOKUP(A884,import!A:J,8,0)</f>
        <v>14</v>
      </c>
      <c r="I884" s="257">
        <f>VLOOKUP(A884,import!A:J,9,0)</f>
        <v>89</v>
      </c>
      <c r="J884" s="369">
        <f>VLOOKUP(A884,import!A:J,10,0)</f>
        <v>0.84</v>
      </c>
      <c r="K884" s="257" t="s">
        <v>6561</v>
      </c>
      <c r="L884" s="257">
        <v>3.223248878E9</v>
      </c>
      <c r="M884" s="257" t="s">
        <v>3707</v>
      </c>
      <c r="N884" s="257" t="s">
        <v>4627</v>
      </c>
      <c r="O884" s="257" t="s">
        <v>3341</v>
      </c>
      <c r="P884" s="370" t="str">
        <f>VLOOKUP(A884,import!A:P,16,0)</f>
        <v>Geleneksel</v>
      </c>
      <c r="Q884" s="370"/>
      <c r="R884" s="370" t="b">
        <v>1</v>
      </c>
      <c r="S884" s="370" t="b">
        <v>0</v>
      </c>
      <c r="T884" s="301" t="s">
        <v>3679</v>
      </c>
      <c r="U884" s="301" t="s">
        <v>2576</v>
      </c>
      <c r="V884" s="301" t="s">
        <v>3331</v>
      </c>
      <c r="W884" s="301" t="s">
        <v>6562</v>
      </c>
      <c r="X884" s="371">
        <v>44617.0</v>
      </c>
      <c r="Y884" s="371">
        <v>44620.0</v>
      </c>
      <c r="Z884" s="372"/>
      <c r="AA884" s="373" t="s">
        <v>3696</v>
      </c>
      <c r="AB884" s="374">
        <v>44617.0</v>
      </c>
      <c r="AC884" s="373" t="s">
        <v>3682</v>
      </c>
      <c r="AD884" s="374">
        <v>44617.0</v>
      </c>
      <c r="AE884" s="373"/>
      <c r="AF884" s="374"/>
      <c r="AG884" s="373"/>
      <c r="AH884" s="374"/>
      <c r="AI884" s="375"/>
      <c r="AJ884" s="375"/>
      <c r="AK884" s="373" t="s">
        <v>2576</v>
      </c>
      <c r="AL884" s="373" t="s">
        <v>2576</v>
      </c>
      <c r="AM884" s="375"/>
      <c r="AN884" s="373"/>
      <c r="AO884" s="375"/>
      <c r="AP884" s="376" t="s">
        <v>3686</v>
      </c>
      <c r="AQ884" s="375"/>
    </row>
    <row r="885">
      <c r="A885" s="257" t="s">
        <v>2239</v>
      </c>
      <c r="B885" s="257" t="s">
        <v>2240</v>
      </c>
      <c r="C885" s="257" t="str">
        <f>VLOOKUP(A885,import!A:J,3,0)</f>
        <v>DOĞRU</v>
      </c>
      <c r="D885" s="257" t="s">
        <v>3713</v>
      </c>
      <c r="E885" s="257">
        <f>VLOOKUP(A885,import!A:J,5,0)</f>
        <v>831</v>
      </c>
      <c r="F885" s="257">
        <f>VLOOKUP(A885,import!A:J,6,0)</f>
        <v>35</v>
      </c>
      <c r="G885" s="257">
        <f>VLOOKUP(A885,import!A:J,7,0)</f>
        <v>17</v>
      </c>
      <c r="H885" s="257">
        <f>VLOOKUP(A885,import!A:J,8,0)</f>
        <v>12</v>
      </c>
      <c r="I885" s="257">
        <f>VLOOKUP(A885,import!A:J,9,0)</f>
        <v>29</v>
      </c>
      <c r="J885" s="369">
        <f>VLOOKUP(A885,import!A:J,10,0)</f>
        <v>0.59</v>
      </c>
      <c r="K885" s="257" t="s">
        <v>6563</v>
      </c>
      <c r="L885" s="257">
        <v>5.300710995E9</v>
      </c>
      <c r="M885" s="257" t="s">
        <v>286</v>
      </c>
      <c r="N885" s="257" t="s">
        <v>3782</v>
      </c>
      <c r="O885" s="257" t="s">
        <v>2242</v>
      </c>
      <c r="P885" s="370" t="str">
        <f>VLOOKUP(A885,import!A:P,16,0)</f>
        <v>Geleneksel</v>
      </c>
      <c r="Q885" s="370"/>
      <c r="R885" s="370" t="b">
        <v>1</v>
      </c>
      <c r="S885" s="370" t="b">
        <v>0</v>
      </c>
      <c r="T885" s="301" t="s">
        <v>3679</v>
      </c>
      <c r="U885" s="301" t="s">
        <v>2542</v>
      </c>
      <c r="V885" s="301" t="s">
        <v>78</v>
      </c>
      <c r="W885" s="301" t="s">
        <v>6564</v>
      </c>
      <c r="X885" s="371">
        <v>44440.0</v>
      </c>
      <c r="Y885" s="371">
        <v>44441.0</v>
      </c>
      <c r="Z885" s="372"/>
      <c r="AA885" s="373" t="s">
        <v>3682</v>
      </c>
      <c r="AB885" s="374">
        <v>44440.0</v>
      </c>
      <c r="AC885" s="375"/>
      <c r="AD885" s="375"/>
      <c r="AE885" s="92"/>
      <c r="AF885" s="375"/>
      <c r="AG885" s="92"/>
      <c r="AH885" s="375"/>
      <c r="AI885" s="375"/>
      <c r="AJ885" s="375"/>
      <c r="AK885" s="373" t="s">
        <v>2542</v>
      </c>
      <c r="AL885" s="375"/>
      <c r="AM885" s="375"/>
      <c r="AN885" s="375"/>
      <c r="AO885" s="375"/>
      <c r="AP885" s="376" t="s">
        <v>3686</v>
      </c>
      <c r="AQ885" s="375"/>
    </row>
    <row r="886">
      <c r="A886" s="257" t="s">
        <v>6565</v>
      </c>
      <c r="B886" s="257" t="s">
        <v>6566</v>
      </c>
      <c r="C886" s="257" t="str">
        <f>VLOOKUP(A886,import!A:J,3,0)</f>
        <v>DOĞRU</v>
      </c>
      <c r="D886" s="257" t="s">
        <v>3676</v>
      </c>
      <c r="E886" s="257">
        <f>VLOOKUP(A886,import!A:J,5,0)</f>
        <v>202</v>
      </c>
      <c r="F886" s="257" t="str">
        <f>VLOOKUP(A886,import!A:J,6,0)</f>
        <v/>
      </c>
      <c r="G886" s="257">
        <f>VLOOKUP(A886,import!A:J,7,0)</f>
        <v>0</v>
      </c>
      <c r="H886" s="257">
        <f>VLOOKUP(A886,import!A:J,8,0)</f>
        <v>12</v>
      </c>
      <c r="I886" s="257">
        <f>VLOOKUP(A886,import!A:J,9,0)</f>
        <v>12</v>
      </c>
      <c r="J886" s="369">
        <f>VLOOKUP(A886,import!A:J,10,0)</f>
        <v>0</v>
      </c>
      <c r="K886" s="257" t="s">
        <v>6567</v>
      </c>
      <c r="L886" s="257">
        <v>5.349172645E9</v>
      </c>
      <c r="M886" s="257" t="s">
        <v>3707</v>
      </c>
      <c r="N886" s="257" t="s">
        <v>4376</v>
      </c>
      <c r="O886" s="257" t="s">
        <v>6568</v>
      </c>
      <c r="P886" s="370" t="str">
        <f>VLOOKUP(A886,import!A:P,16,0)</f>
        <v>Geleneksel</v>
      </c>
      <c r="Q886" s="370"/>
      <c r="R886" s="370" t="b">
        <v>0</v>
      </c>
      <c r="S886" s="370" t="b">
        <v>0</v>
      </c>
      <c r="T886" s="301"/>
      <c r="U886" s="379"/>
      <c r="V886" s="379"/>
      <c r="W886" s="301"/>
      <c r="X886" s="381"/>
      <c r="Y886" s="381"/>
      <c r="Z886" s="372"/>
      <c r="AA886" s="373"/>
      <c r="AB886" s="374"/>
      <c r="AC886" s="373"/>
      <c r="AD886" s="374"/>
      <c r="AE886" s="373"/>
      <c r="AF886" s="374"/>
      <c r="AG886" s="373"/>
      <c r="AH886" s="374"/>
      <c r="AI886" s="375"/>
      <c r="AJ886" s="375"/>
      <c r="AK886" s="373"/>
      <c r="AL886" s="375"/>
      <c r="AM886" s="375"/>
      <c r="AN886" s="373"/>
      <c r="AO886" s="375"/>
      <c r="AP886" s="376"/>
      <c r="AQ886" s="375"/>
    </row>
    <row r="887">
      <c r="A887" s="257" t="s">
        <v>6569</v>
      </c>
      <c r="B887" s="257" t="s">
        <v>6570</v>
      </c>
      <c r="C887" s="257" t="str">
        <f>VLOOKUP(A887,import!A:J,3,0)</f>
        <v>DOĞRU</v>
      </c>
      <c r="D887" s="257" t="s">
        <v>3690</v>
      </c>
      <c r="E887" s="257">
        <f>VLOOKUP(A887,import!A:J,5,0)</f>
        <v>4</v>
      </c>
      <c r="F887" s="257">
        <f>VLOOKUP(A887,import!A:J,6,0)</f>
        <v>1</v>
      </c>
      <c r="G887" s="257">
        <f>VLOOKUP(A887,import!A:J,7,0)</f>
        <v>0</v>
      </c>
      <c r="H887" s="257">
        <f>VLOOKUP(A887,import!A:J,8,0)</f>
        <v>12</v>
      </c>
      <c r="I887" s="257">
        <f>VLOOKUP(A887,import!A:J,9,0)</f>
        <v>12</v>
      </c>
      <c r="J887" s="369">
        <f>VLOOKUP(A887,import!A:J,10,0)</f>
        <v>0</v>
      </c>
      <c r="K887" s="257" t="s">
        <v>6571</v>
      </c>
      <c r="L887" s="257">
        <v>5.417898488E9</v>
      </c>
      <c r="M887" s="257" t="s">
        <v>3707</v>
      </c>
      <c r="N887" s="257" t="s">
        <v>4376</v>
      </c>
      <c r="O887" s="257" t="s">
        <v>6572</v>
      </c>
      <c r="P887" s="370" t="str">
        <f>VLOOKUP(A887,import!A:P,16,0)</f>
        <v>Geleneksel</v>
      </c>
      <c r="Q887" s="370"/>
      <c r="R887" s="370" t="b">
        <v>0</v>
      </c>
      <c r="S887" s="370" t="b">
        <v>0</v>
      </c>
      <c r="T887" s="301"/>
      <c r="U887" s="379"/>
      <c r="V887" s="379"/>
      <c r="W887" s="301"/>
      <c r="X887" s="381"/>
      <c r="Y887" s="381"/>
      <c r="Z887" s="372"/>
      <c r="AA887" s="373"/>
      <c r="AB887" s="374"/>
      <c r="AC887" s="373"/>
      <c r="AD887" s="374"/>
      <c r="AE887" s="373"/>
      <c r="AF887" s="374"/>
      <c r="AG887" s="373"/>
      <c r="AH887" s="374"/>
      <c r="AI887" s="375"/>
      <c r="AJ887" s="375"/>
      <c r="AK887" s="373"/>
      <c r="AL887" s="375"/>
      <c r="AM887" s="375"/>
      <c r="AN887" s="373"/>
      <c r="AO887" s="375"/>
      <c r="AP887" s="376"/>
      <c r="AQ887" s="375"/>
    </row>
    <row r="888">
      <c r="A888" s="257" t="s">
        <v>2201</v>
      </c>
      <c r="B888" s="257" t="s">
        <v>2202</v>
      </c>
      <c r="C888" s="257" t="str">
        <f>VLOOKUP(A888,import!A:J,3,0)</f>
        <v>DOĞRU</v>
      </c>
      <c r="D888" s="257" t="s">
        <v>3690</v>
      </c>
      <c r="E888" s="257">
        <f>VLOOKUP(A888,import!A:J,5,0)</f>
        <v>3091</v>
      </c>
      <c r="F888" s="257">
        <f>VLOOKUP(A888,import!A:J,6,0)</f>
        <v>106</v>
      </c>
      <c r="G888" s="257">
        <f>VLOOKUP(A888,import!A:J,7,0)</f>
        <v>7</v>
      </c>
      <c r="H888" s="257">
        <f>VLOOKUP(A888,import!A:J,8,0)</f>
        <v>9</v>
      </c>
      <c r="I888" s="257">
        <f>VLOOKUP(A888,import!A:J,9,0)</f>
        <v>16</v>
      </c>
      <c r="J888" s="369">
        <f>VLOOKUP(A888,import!A:J,10,0)</f>
        <v>0.44</v>
      </c>
      <c r="K888" s="257" t="s">
        <v>6573</v>
      </c>
      <c r="L888" s="257">
        <v>5.302827278E9</v>
      </c>
      <c r="M888" s="257" t="s">
        <v>286</v>
      </c>
      <c r="N888" s="257" t="s">
        <v>4152</v>
      </c>
      <c r="O888" s="257" t="s">
        <v>2205</v>
      </c>
      <c r="P888" s="370" t="str">
        <f>VLOOKUP(A888,import!A:P,16,0)</f>
        <v>Geleneksel</v>
      </c>
      <c r="Q888" s="370"/>
      <c r="R888" s="370" t="b">
        <v>1</v>
      </c>
      <c r="S888" s="370" t="b">
        <v>0</v>
      </c>
      <c r="T888" s="301" t="s">
        <v>3679</v>
      </c>
      <c r="U888" s="301" t="s">
        <v>1953</v>
      </c>
      <c r="V888" s="301" t="s">
        <v>78</v>
      </c>
      <c r="W888" s="301" t="s">
        <v>6574</v>
      </c>
      <c r="X888" s="371">
        <v>44224.0</v>
      </c>
      <c r="Y888" s="371">
        <v>44440.0</v>
      </c>
      <c r="Z888" s="372"/>
      <c r="AA888" s="373" t="s">
        <v>3682</v>
      </c>
      <c r="AB888" s="374">
        <v>44392.0</v>
      </c>
      <c r="AC888" s="373" t="s">
        <v>3682</v>
      </c>
      <c r="AD888" s="374">
        <v>44421.0</v>
      </c>
      <c r="AE888" s="373" t="s">
        <v>3682</v>
      </c>
      <c r="AF888" s="374">
        <v>44436.0</v>
      </c>
      <c r="AG888" s="92"/>
      <c r="AH888" s="375"/>
      <c r="AI888" s="375"/>
      <c r="AJ888" s="375"/>
      <c r="AK888" s="373" t="s">
        <v>4089</v>
      </c>
      <c r="AL888" s="373" t="s">
        <v>3723</v>
      </c>
      <c r="AM888" s="373" t="s">
        <v>1953</v>
      </c>
      <c r="AN888" s="375"/>
      <c r="AO888" s="375"/>
      <c r="AP888" s="376" t="s">
        <v>3686</v>
      </c>
      <c r="AQ888" s="375"/>
    </row>
    <row r="889">
      <c r="A889" s="257" t="s">
        <v>2949</v>
      </c>
      <c r="B889" s="257" t="s">
        <v>2950</v>
      </c>
      <c r="C889" s="257" t="str">
        <f>VLOOKUP(A889,import!A:J,3,0)</f>
        <v>YANLIŞ</v>
      </c>
      <c r="D889" s="257" t="s">
        <v>3690</v>
      </c>
      <c r="E889" s="257" t="str">
        <f>VLOOKUP(A889,import!A:J,5,0)</f>
        <v/>
      </c>
      <c r="F889" s="257" t="str">
        <f>VLOOKUP(A889,import!A:J,6,0)</f>
        <v/>
      </c>
      <c r="G889" s="257">
        <f>VLOOKUP(A889,import!A:J,7,0)</f>
        <v>5</v>
      </c>
      <c r="H889" s="257">
        <f>VLOOKUP(A889,import!A:J,8,0)</f>
        <v>4</v>
      </c>
      <c r="I889" s="257">
        <f>VLOOKUP(A889,import!A:J,9,0)</f>
        <v>9</v>
      </c>
      <c r="J889" s="369">
        <f>VLOOKUP(A889,import!A:J,10,0)</f>
        <v>0.56</v>
      </c>
      <c r="K889" s="257" t="s">
        <v>6575</v>
      </c>
      <c r="L889" s="257">
        <v>5.52617464E9</v>
      </c>
      <c r="M889" s="257" t="s">
        <v>14</v>
      </c>
      <c r="N889" s="257" t="s">
        <v>3718</v>
      </c>
      <c r="O889" s="257" t="s">
        <v>2952</v>
      </c>
      <c r="P889" s="370" t="str">
        <f>VLOOKUP(A889,import!A:P,16,0)</f>
        <v>Geleneksel</v>
      </c>
      <c r="Q889" s="370"/>
      <c r="R889" s="370" t="b">
        <v>1</v>
      </c>
      <c r="S889" s="370" t="b">
        <v>0</v>
      </c>
      <c r="T889" s="301" t="s">
        <v>3787</v>
      </c>
      <c r="U889" s="301" t="s">
        <v>79</v>
      </c>
      <c r="V889" s="301" t="s">
        <v>78</v>
      </c>
      <c r="W889" s="301" t="s">
        <v>6576</v>
      </c>
      <c r="X889" s="371">
        <v>44495.0</v>
      </c>
      <c r="Y889" s="371">
        <v>44496.0</v>
      </c>
      <c r="Z889" s="372"/>
      <c r="AA889" s="373" t="s">
        <v>3448</v>
      </c>
      <c r="AB889" s="374">
        <v>44473.0</v>
      </c>
      <c r="AC889" s="373" t="s">
        <v>3448</v>
      </c>
      <c r="AD889" s="374">
        <v>44480.0</v>
      </c>
      <c r="AE889" s="373" t="s">
        <v>3448</v>
      </c>
      <c r="AF889" s="374">
        <v>44487.0</v>
      </c>
      <c r="AG889" s="373" t="s">
        <v>3682</v>
      </c>
      <c r="AH889" s="374">
        <v>44495.0</v>
      </c>
      <c r="AI889" s="375"/>
      <c r="AJ889" s="375"/>
      <c r="AK889" s="373" t="s">
        <v>2542</v>
      </c>
      <c r="AL889" s="373" t="s">
        <v>2542</v>
      </c>
      <c r="AM889" s="373" t="s">
        <v>2542</v>
      </c>
      <c r="AN889" s="373" t="s">
        <v>79</v>
      </c>
      <c r="AO889" s="375"/>
      <c r="AP889" s="376" t="s">
        <v>3683</v>
      </c>
      <c r="AQ889" s="375"/>
    </row>
    <row r="890">
      <c r="A890" s="257" t="s">
        <v>6577</v>
      </c>
      <c r="B890" s="257" t="s">
        <v>1987</v>
      </c>
      <c r="C890" s="257" t="str">
        <f>VLOOKUP(A890,import!A:J,3,0)</f>
        <v>YANLIŞ</v>
      </c>
      <c r="D890" s="257" t="s">
        <v>3690</v>
      </c>
      <c r="E890" s="257">
        <f>VLOOKUP(A890,import!A:J,5,0)</f>
        <v>201</v>
      </c>
      <c r="F890" s="257" t="str">
        <f>VLOOKUP(A890,import!A:J,6,0)</f>
        <v/>
      </c>
      <c r="G890" s="257">
        <f>VLOOKUP(A890,import!A:J,7,0)</f>
        <v>5</v>
      </c>
      <c r="H890" s="257">
        <f>VLOOKUP(A890,import!A:J,8,0)</f>
        <v>0</v>
      </c>
      <c r="I890" s="257">
        <f>VLOOKUP(A890,import!A:J,9,0)</f>
        <v>5</v>
      </c>
      <c r="J890" s="369">
        <f>VLOOKUP(A890,import!A:J,10,0)</f>
        <v>1</v>
      </c>
      <c r="K890" s="257" t="s">
        <v>6578</v>
      </c>
      <c r="L890" s="257">
        <v>5.411094701E9</v>
      </c>
      <c r="M890" s="257" t="s">
        <v>286</v>
      </c>
      <c r="N890" s="257" t="s">
        <v>5751</v>
      </c>
      <c r="O890" s="257" t="s">
        <v>1990</v>
      </c>
      <c r="P890" s="370" t="str">
        <f>VLOOKUP(A890,import!A:P,16,0)</f>
        <v>Geleneksel</v>
      </c>
      <c r="Q890" s="370"/>
      <c r="R890" s="370" t="b">
        <v>1</v>
      </c>
      <c r="S890" s="370" t="b">
        <v>0</v>
      </c>
      <c r="T890" s="301" t="s">
        <v>3679</v>
      </c>
      <c r="U890" s="301" t="s">
        <v>3729</v>
      </c>
      <c r="V890" s="301" t="s">
        <v>78</v>
      </c>
      <c r="W890" s="301" t="s">
        <v>6525</v>
      </c>
      <c r="X890" s="371">
        <v>44424.0</v>
      </c>
      <c r="Y890" s="371">
        <v>44428.0</v>
      </c>
      <c r="Z890" s="372"/>
      <c r="AA890" s="373" t="s">
        <v>3682</v>
      </c>
      <c r="AB890" s="374">
        <v>44424.0</v>
      </c>
      <c r="AC890" s="373" t="s">
        <v>3682</v>
      </c>
      <c r="AD890" s="374">
        <v>44450.0</v>
      </c>
      <c r="AE890" s="373"/>
      <c r="AF890" s="374"/>
      <c r="AG890" s="92"/>
      <c r="AH890" s="375"/>
      <c r="AI890" s="375"/>
      <c r="AJ890" s="375"/>
      <c r="AK890" s="373" t="s">
        <v>3729</v>
      </c>
      <c r="AL890" s="373" t="s">
        <v>2418</v>
      </c>
      <c r="AM890" s="375"/>
      <c r="AN890" s="375"/>
      <c r="AO890" s="375"/>
      <c r="AP890" s="376" t="s">
        <v>3686</v>
      </c>
      <c r="AQ890" s="375"/>
    </row>
    <row r="891">
      <c r="A891" s="257" t="s">
        <v>278</v>
      </c>
      <c r="B891" s="257" t="s">
        <v>279</v>
      </c>
      <c r="C891" s="257" t="str">
        <f>VLOOKUP(A891,import!A:J,3,0)</f>
        <v>DOĞRU</v>
      </c>
      <c r="D891" s="257" t="s">
        <v>3690</v>
      </c>
      <c r="E891" s="257">
        <f>VLOOKUP(A891,import!A:J,5,0)</f>
        <v>656</v>
      </c>
      <c r="F891" s="257">
        <f>VLOOKUP(A891,import!A:J,6,0)</f>
        <v>50</v>
      </c>
      <c r="G891" s="257">
        <f>VLOOKUP(A891,import!A:J,7,0)</f>
        <v>15</v>
      </c>
      <c r="H891" s="257">
        <f>VLOOKUP(A891,import!A:J,8,0)</f>
        <v>3</v>
      </c>
      <c r="I891" s="257">
        <f>VLOOKUP(A891,import!A:J,9,0)</f>
        <v>18</v>
      </c>
      <c r="J891" s="369">
        <f>VLOOKUP(A891,import!A:J,10,0)</f>
        <v>0.83</v>
      </c>
      <c r="K891" s="257" t="s">
        <v>6579</v>
      </c>
      <c r="L891" s="257">
        <v>3.222338233E9</v>
      </c>
      <c r="M891" s="257" t="s">
        <v>14</v>
      </c>
      <c r="N891" s="257" t="s">
        <v>3733</v>
      </c>
      <c r="O891" s="257" t="s">
        <v>1298</v>
      </c>
      <c r="P891" s="370" t="str">
        <f>VLOOKUP(A891,import!A:P,16,0)</f>
        <v>Geleneksel</v>
      </c>
      <c r="Q891" s="370"/>
      <c r="R891" s="370" t="b">
        <v>1</v>
      </c>
      <c r="S891" s="370" t="b">
        <v>0</v>
      </c>
      <c r="T891" s="301" t="s">
        <v>3679</v>
      </c>
      <c r="U891" s="301" t="s">
        <v>399</v>
      </c>
      <c r="V891" s="380" t="s">
        <v>78</v>
      </c>
      <c r="W891" s="301" t="s">
        <v>6580</v>
      </c>
      <c r="X891" s="371">
        <v>44382.0</v>
      </c>
      <c r="Y891" s="371">
        <v>44384.0</v>
      </c>
      <c r="Z891" s="377"/>
      <c r="AA891" s="373" t="s">
        <v>3682</v>
      </c>
      <c r="AB891" s="374">
        <v>44382.0</v>
      </c>
      <c r="AC891" s="375"/>
      <c r="AD891" s="375"/>
      <c r="AE891" s="92"/>
      <c r="AF891" s="375"/>
      <c r="AG891" s="92"/>
      <c r="AH891" s="375"/>
      <c r="AI891" s="375"/>
      <c r="AJ891" s="375"/>
      <c r="AK891" s="373" t="s">
        <v>399</v>
      </c>
      <c r="AL891" s="375"/>
      <c r="AM891" s="375"/>
      <c r="AN891" s="375"/>
      <c r="AO891" s="375"/>
      <c r="AP891" s="376" t="s">
        <v>3683</v>
      </c>
      <c r="AQ891" s="375"/>
    </row>
    <row r="892">
      <c r="A892" s="257" t="s">
        <v>2538</v>
      </c>
      <c r="B892" s="257" t="s">
        <v>2539</v>
      </c>
      <c r="C892" s="257" t="str">
        <f>VLOOKUP(A892,import!A:J,3,0)</f>
        <v>DOĞRU</v>
      </c>
      <c r="D892" s="257" t="s">
        <v>3690</v>
      </c>
      <c r="E892" s="257">
        <f>VLOOKUP(A892,import!A:J,5,0)</f>
        <v>524</v>
      </c>
      <c r="F892" s="257" t="str">
        <f>VLOOKUP(A892,import!A:J,6,0)</f>
        <v/>
      </c>
      <c r="G892" s="257">
        <f>VLOOKUP(A892,import!A:J,7,0)</f>
        <v>11</v>
      </c>
      <c r="H892" s="257">
        <f>VLOOKUP(A892,import!A:J,8,0)</f>
        <v>3</v>
      </c>
      <c r="I892" s="257">
        <f>VLOOKUP(A892,import!A:J,9,0)</f>
        <v>14</v>
      </c>
      <c r="J892" s="369">
        <f>VLOOKUP(A892,import!A:J,10,0)</f>
        <v>0.79</v>
      </c>
      <c r="K892" s="257" t="s">
        <v>6581</v>
      </c>
      <c r="L892" s="257">
        <v>3.2243101E9</v>
      </c>
      <c r="M892" s="257" t="s">
        <v>286</v>
      </c>
      <c r="N892" s="257" t="s">
        <v>4260</v>
      </c>
      <c r="O892" s="257" t="s">
        <v>2541</v>
      </c>
      <c r="P892" s="370" t="str">
        <f>VLOOKUP(A892,import!A:P,16,0)</f>
        <v>Geleneksel</v>
      </c>
      <c r="Q892" s="370"/>
      <c r="R892" s="370" t="b">
        <v>1</v>
      </c>
      <c r="S892" s="370" t="b">
        <v>0</v>
      </c>
      <c r="T892" s="301" t="s">
        <v>3679</v>
      </c>
      <c r="U892" s="301" t="s">
        <v>2192</v>
      </c>
      <c r="V892" s="301" t="s">
        <v>78</v>
      </c>
      <c r="W892" s="301" t="s">
        <v>6582</v>
      </c>
      <c r="X892" s="371">
        <v>44456.0</v>
      </c>
      <c r="Y892" s="371">
        <v>44459.0</v>
      </c>
      <c r="Z892" s="372"/>
      <c r="AA892" s="373" t="s">
        <v>3448</v>
      </c>
      <c r="AB892" s="374">
        <v>44372.0</v>
      </c>
      <c r="AC892" s="373" t="s">
        <v>3448</v>
      </c>
      <c r="AD892" s="374">
        <v>44392.0</v>
      </c>
      <c r="AE892" s="373" t="s">
        <v>3448</v>
      </c>
      <c r="AF892" s="374">
        <v>44421.0</v>
      </c>
      <c r="AG892" s="373" t="s">
        <v>3448</v>
      </c>
      <c r="AH892" s="374">
        <v>44450.0</v>
      </c>
      <c r="AI892" s="373" t="s">
        <v>3448</v>
      </c>
      <c r="AJ892" s="374">
        <v>44454.0</v>
      </c>
      <c r="AK892" s="373" t="s">
        <v>3719</v>
      </c>
      <c r="AL892" s="373" t="s">
        <v>4089</v>
      </c>
      <c r="AM892" s="373" t="s">
        <v>3723</v>
      </c>
      <c r="AN892" s="373" t="s">
        <v>2418</v>
      </c>
      <c r="AO892" s="373" t="s">
        <v>2542</v>
      </c>
      <c r="AP892" s="376" t="s">
        <v>3686</v>
      </c>
      <c r="AQ892" s="373"/>
    </row>
    <row r="893">
      <c r="A893" s="257" t="s">
        <v>2745</v>
      </c>
      <c r="B893" s="257" t="s">
        <v>2746</v>
      </c>
      <c r="C893" s="257" t="str">
        <f>VLOOKUP(A893,import!A:J,3,0)</f>
        <v>DOĞRU</v>
      </c>
      <c r="D893" s="257" t="s">
        <v>3842</v>
      </c>
      <c r="E893" s="257">
        <f>VLOOKUP(A893,import!A:J,5,0)</f>
        <v>496</v>
      </c>
      <c r="F893" s="257">
        <f>VLOOKUP(A893,import!A:J,6,0)</f>
        <v>33</v>
      </c>
      <c r="G893" s="257">
        <f>VLOOKUP(A893,import!A:J,7,0)</f>
        <v>16</v>
      </c>
      <c r="H893" s="257">
        <f>VLOOKUP(A893,import!A:J,8,0)</f>
        <v>49</v>
      </c>
      <c r="I893" s="257">
        <f>VLOOKUP(A893,import!A:J,9,0)</f>
        <v>65</v>
      </c>
      <c r="J893" s="369">
        <f>VLOOKUP(A893,import!A:J,10,0)</f>
        <v>0.25</v>
      </c>
      <c r="K893" s="257" t="s">
        <v>6583</v>
      </c>
      <c r="L893" s="257">
        <v>5.073777444E9</v>
      </c>
      <c r="M893" s="257" t="s">
        <v>286</v>
      </c>
      <c r="N893" s="257" t="s">
        <v>3688</v>
      </c>
      <c r="O893" s="257" t="s">
        <v>2748</v>
      </c>
      <c r="P893" s="370" t="str">
        <f>VLOOKUP(A893,import!A:P,16,0)</f>
        <v>Geleneksel</v>
      </c>
      <c r="Q893" s="370"/>
      <c r="R893" s="370" t="b">
        <v>1</v>
      </c>
      <c r="S893" s="370" t="b">
        <v>0</v>
      </c>
      <c r="T893" s="301" t="s">
        <v>3679</v>
      </c>
      <c r="U893" s="301" t="s">
        <v>2542</v>
      </c>
      <c r="V893" s="301" t="s">
        <v>78</v>
      </c>
      <c r="W893" s="301" t="s">
        <v>3810</v>
      </c>
      <c r="X893" s="371">
        <v>44473.0</v>
      </c>
      <c r="Y893" s="371">
        <v>44474.0</v>
      </c>
      <c r="Z893" s="372"/>
      <c r="AA893" s="373" t="s">
        <v>3682</v>
      </c>
      <c r="AB893" s="374">
        <v>44473.0</v>
      </c>
      <c r="AC893" s="373" t="s">
        <v>3448</v>
      </c>
      <c r="AD893" s="374">
        <v>44503.0</v>
      </c>
      <c r="AE893" s="373"/>
      <c r="AF893" s="374"/>
      <c r="AG893" s="373"/>
      <c r="AH893" s="374"/>
      <c r="AI893" s="375"/>
      <c r="AJ893" s="375"/>
      <c r="AK893" s="373" t="s">
        <v>2542</v>
      </c>
      <c r="AL893" s="373" t="s">
        <v>2418</v>
      </c>
      <c r="AM893" s="375"/>
      <c r="AN893" s="373"/>
      <c r="AO893" s="375"/>
      <c r="AP893" s="376" t="s">
        <v>3686</v>
      </c>
      <c r="AQ893" s="375"/>
    </row>
    <row r="894">
      <c r="A894" s="257" t="s">
        <v>166</v>
      </c>
      <c r="B894" s="257" t="s">
        <v>167</v>
      </c>
      <c r="C894" s="257" t="str">
        <f>VLOOKUP(A894,import!A:J,3,0)</f>
        <v>DOĞRU</v>
      </c>
      <c r="D894" s="257" t="s">
        <v>3699</v>
      </c>
      <c r="E894" s="257">
        <f>VLOOKUP(A894,import!A:J,5,0)</f>
        <v>303</v>
      </c>
      <c r="F894" s="257">
        <f>VLOOKUP(A894,import!A:J,6,0)</f>
        <v>9</v>
      </c>
      <c r="G894" s="257">
        <f>VLOOKUP(A894,import!A:J,7,0)</f>
        <v>22</v>
      </c>
      <c r="H894" s="257">
        <f>VLOOKUP(A894,import!A:J,8,0)</f>
        <v>12</v>
      </c>
      <c r="I894" s="257">
        <f>VLOOKUP(A894,import!A:J,9,0)</f>
        <v>34</v>
      </c>
      <c r="J894" s="369">
        <f>VLOOKUP(A894,import!A:J,10,0)</f>
        <v>0.65</v>
      </c>
      <c r="K894" s="257" t="s">
        <v>6584</v>
      </c>
      <c r="L894" s="257">
        <v>3.222326688E9</v>
      </c>
      <c r="M894" s="257" t="s">
        <v>14</v>
      </c>
      <c r="N894" s="257" t="s">
        <v>3797</v>
      </c>
      <c r="O894" s="257" t="s">
        <v>170</v>
      </c>
      <c r="P894" s="370" t="str">
        <f>VLOOKUP(A894,import!A:P,16,0)</f>
        <v>Geleneksel</v>
      </c>
      <c r="Q894" s="370"/>
      <c r="R894" s="370" t="b">
        <v>1</v>
      </c>
      <c r="S894" s="370" t="b">
        <v>0</v>
      </c>
      <c r="T894" s="389" t="s">
        <v>3679</v>
      </c>
      <c r="U894" s="389" t="s">
        <v>1947</v>
      </c>
      <c r="V894" s="389" t="s">
        <v>78</v>
      </c>
      <c r="W894" s="389" t="s">
        <v>838</v>
      </c>
      <c r="X894" s="390">
        <v>44415.0</v>
      </c>
      <c r="Y894" s="390">
        <v>44421.0</v>
      </c>
      <c r="Z894" s="391"/>
      <c r="AA894" s="375"/>
      <c r="AB894" s="375"/>
      <c r="AC894" s="373" t="s">
        <v>3682</v>
      </c>
      <c r="AD894" s="374">
        <v>44415.0</v>
      </c>
      <c r="AE894" s="92"/>
      <c r="AF894" s="375"/>
      <c r="AG894" s="92"/>
      <c r="AH894" s="375"/>
      <c r="AI894" s="375"/>
      <c r="AJ894" s="375"/>
      <c r="AK894" s="375"/>
      <c r="AL894" s="373" t="s">
        <v>1947</v>
      </c>
      <c r="AM894" s="375"/>
      <c r="AN894" s="375"/>
      <c r="AO894" s="375"/>
      <c r="AP894" s="376" t="s">
        <v>3683</v>
      </c>
      <c r="AQ894" s="375"/>
    </row>
    <row r="895">
      <c r="A895" s="257" t="s">
        <v>2956</v>
      </c>
      <c r="B895" s="257" t="s">
        <v>2957</v>
      </c>
      <c r="C895" s="257" t="str">
        <f>VLOOKUP(A895,import!A:J,3,0)</f>
        <v>DOĞRU</v>
      </c>
      <c r="D895" s="257" t="s">
        <v>3699</v>
      </c>
      <c r="E895" s="257">
        <f>VLOOKUP(A895,import!A:J,5,0)</f>
        <v>1315</v>
      </c>
      <c r="F895" s="257">
        <f>VLOOKUP(A895,import!A:J,6,0)</f>
        <v>69</v>
      </c>
      <c r="G895" s="257">
        <f>VLOOKUP(A895,import!A:J,7,0)</f>
        <v>19</v>
      </c>
      <c r="H895" s="257">
        <f>VLOOKUP(A895,import!A:J,8,0)</f>
        <v>31</v>
      </c>
      <c r="I895" s="257">
        <f>VLOOKUP(A895,import!A:J,9,0)</f>
        <v>50</v>
      </c>
      <c r="J895" s="369">
        <f>VLOOKUP(A895,import!A:J,10,0)</f>
        <v>0.38</v>
      </c>
      <c r="K895" s="257" t="s">
        <v>6585</v>
      </c>
      <c r="L895" s="257">
        <v>3.222326688E9</v>
      </c>
      <c r="M895" s="257" t="s">
        <v>3707</v>
      </c>
      <c r="N895" s="257" t="s">
        <v>3692</v>
      </c>
      <c r="O895" s="257" t="s">
        <v>2959</v>
      </c>
      <c r="P895" s="370" t="str">
        <f>VLOOKUP(A895,import!A:P,16,0)</f>
        <v>Geleneksel</v>
      </c>
      <c r="Q895" s="370"/>
      <c r="R895" s="370" t="b">
        <v>1</v>
      </c>
      <c r="S895" s="370" t="b">
        <v>0</v>
      </c>
      <c r="T895" s="301" t="s">
        <v>3679</v>
      </c>
      <c r="U895" s="301" t="s">
        <v>2282</v>
      </c>
      <c r="V895" s="301" t="s">
        <v>78</v>
      </c>
      <c r="W895" s="301">
        <v>5.538696506E9</v>
      </c>
      <c r="X895" s="371">
        <v>44496.0</v>
      </c>
      <c r="Y895" s="371">
        <v>44497.0</v>
      </c>
      <c r="Z895" s="372"/>
      <c r="AA895" s="373" t="s">
        <v>3682</v>
      </c>
      <c r="AB895" s="374">
        <v>44496.0</v>
      </c>
      <c r="AC895" s="375"/>
      <c r="AD895" s="375"/>
      <c r="AE895" s="92"/>
      <c r="AF895" s="375"/>
      <c r="AG895" s="92"/>
      <c r="AH895" s="375"/>
      <c r="AI895" s="375"/>
      <c r="AJ895" s="375"/>
      <c r="AK895" s="373" t="s">
        <v>2282</v>
      </c>
      <c r="AL895" s="375"/>
      <c r="AM895" s="375"/>
      <c r="AN895" s="375"/>
      <c r="AO895" s="375"/>
      <c r="AP895" s="376" t="s">
        <v>3686</v>
      </c>
      <c r="AQ895" s="375"/>
    </row>
    <row r="896">
      <c r="A896" s="257" t="s">
        <v>575</v>
      </c>
      <c r="B896" s="257" t="s">
        <v>576</v>
      </c>
      <c r="C896" s="257" t="str">
        <f>VLOOKUP(A896,import!A:J,3,0)</f>
        <v>DOĞRU</v>
      </c>
      <c r="D896" s="257" t="s">
        <v>3699</v>
      </c>
      <c r="E896" s="257">
        <f>VLOOKUP(A896,import!A:J,5,0)</f>
        <v>1209</v>
      </c>
      <c r="F896" s="257">
        <f>VLOOKUP(A896,import!A:J,6,0)</f>
        <v>24</v>
      </c>
      <c r="G896" s="257">
        <f>VLOOKUP(A896,import!A:J,7,0)</f>
        <v>11</v>
      </c>
      <c r="H896" s="257">
        <f>VLOOKUP(A896,import!A:J,8,0)</f>
        <v>35</v>
      </c>
      <c r="I896" s="257">
        <f>VLOOKUP(A896,import!A:J,9,0)</f>
        <v>46</v>
      </c>
      <c r="J896" s="369">
        <f>VLOOKUP(A896,import!A:J,10,0)</f>
        <v>0.24</v>
      </c>
      <c r="K896" s="257" t="s">
        <v>6586</v>
      </c>
      <c r="L896" s="257">
        <v>3.222394877E9</v>
      </c>
      <c r="M896" s="257" t="s">
        <v>14</v>
      </c>
      <c r="N896" s="257" t="s">
        <v>3718</v>
      </c>
      <c r="O896" s="257" t="s">
        <v>2171</v>
      </c>
      <c r="P896" s="370" t="str">
        <f>VLOOKUP(A896,import!A:P,16,0)</f>
        <v>Geleneksel</v>
      </c>
      <c r="Q896" s="370"/>
      <c r="R896" s="370" t="b">
        <v>1</v>
      </c>
      <c r="S896" s="370" t="b">
        <v>0</v>
      </c>
      <c r="T896" s="301" t="s">
        <v>3679</v>
      </c>
      <c r="U896" s="301" t="s">
        <v>79</v>
      </c>
      <c r="V896" s="301" t="s">
        <v>78</v>
      </c>
      <c r="W896" s="301" t="s">
        <v>6587</v>
      </c>
      <c r="X896" s="371">
        <v>44315.0</v>
      </c>
      <c r="Y896" s="371">
        <v>44315.0</v>
      </c>
      <c r="Z896" s="377"/>
      <c r="AA896" s="373" t="s">
        <v>3682</v>
      </c>
      <c r="AB896" s="374">
        <v>44435.0</v>
      </c>
      <c r="AC896" s="375"/>
      <c r="AD896" s="375"/>
      <c r="AE896" s="92"/>
      <c r="AF896" s="375"/>
      <c r="AG896" s="92"/>
      <c r="AH896" s="375"/>
      <c r="AI896" s="375"/>
      <c r="AJ896" s="375"/>
      <c r="AK896" s="373" t="s">
        <v>3723</v>
      </c>
      <c r="AL896" s="375"/>
      <c r="AM896" s="375"/>
      <c r="AN896" s="375"/>
      <c r="AO896" s="375"/>
      <c r="AP896" s="376" t="s">
        <v>3683</v>
      </c>
      <c r="AQ896" s="375"/>
    </row>
    <row r="897">
      <c r="A897" s="266" t="s">
        <v>6588</v>
      </c>
      <c r="B897" s="266" t="s">
        <v>6589</v>
      </c>
      <c r="C897" s="257" t="str">
        <f>VLOOKUP(A897,import!A:J,3,0)</f>
        <v>DOĞRU</v>
      </c>
      <c r="D897" s="266" t="s">
        <v>3676</v>
      </c>
      <c r="E897" s="257">
        <f>VLOOKUP(A897,import!A:J,5,0)</f>
        <v>185</v>
      </c>
      <c r="F897" s="257" t="str">
        <f>VLOOKUP(A897,import!A:J,6,0)</f>
        <v/>
      </c>
      <c r="G897" s="257">
        <f>VLOOKUP(A897,import!A:J,7,0)</f>
        <v>0</v>
      </c>
      <c r="H897" s="257">
        <f>VLOOKUP(A897,import!A:J,8,0)</f>
        <v>21</v>
      </c>
      <c r="I897" s="257">
        <f>VLOOKUP(A897,import!A:J,9,0)</f>
        <v>21</v>
      </c>
      <c r="J897" s="369">
        <f>VLOOKUP(A897,import!A:J,10,0)</f>
        <v>0</v>
      </c>
      <c r="K897" s="266" t="s">
        <v>6590</v>
      </c>
      <c r="L897" s="266">
        <v>3.222612818E9</v>
      </c>
      <c r="M897" s="266" t="s">
        <v>286</v>
      </c>
      <c r="N897" s="266" t="s">
        <v>3746</v>
      </c>
      <c r="O897" s="266" t="s">
        <v>6591</v>
      </c>
      <c r="P897" s="370" t="str">
        <f>VLOOKUP(A897,import!A:P,16,0)</f>
        <v>Geleneksel</v>
      </c>
      <c r="Q897" s="370"/>
      <c r="R897" s="370" t="b">
        <v>1</v>
      </c>
      <c r="S897" s="370" t="b">
        <v>0</v>
      </c>
      <c r="T897" s="301" t="s">
        <v>3770</v>
      </c>
      <c r="U897" s="379"/>
      <c r="V897" s="379"/>
      <c r="W897" s="301" t="s">
        <v>6592</v>
      </c>
      <c r="X897" s="381"/>
      <c r="Y897" s="381"/>
      <c r="Z897" s="372"/>
      <c r="AA897" s="373" t="s">
        <v>3682</v>
      </c>
      <c r="AB897" s="374">
        <v>44454.0</v>
      </c>
      <c r="AC897" s="375"/>
      <c r="AD897" s="375"/>
      <c r="AE897" s="92"/>
      <c r="AF897" s="375"/>
      <c r="AG897" s="92"/>
      <c r="AH897" s="375"/>
      <c r="AI897" s="375"/>
      <c r="AJ897" s="375"/>
      <c r="AK897" s="373" t="s">
        <v>2542</v>
      </c>
      <c r="AL897" s="375"/>
      <c r="AM897" s="375"/>
      <c r="AN897" s="375"/>
      <c r="AO897" s="375"/>
      <c r="AP897" s="376" t="s">
        <v>3686</v>
      </c>
      <c r="AQ897" s="375"/>
    </row>
    <row r="898">
      <c r="A898" s="376" t="s">
        <v>6593</v>
      </c>
      <c r="B898" s="376" t="s">
        <v>6594</v>
      </c>
      <c r="C898" s="257" t="str">
        <f>VLOOKUP(A898,import!A:J,3,0)</f>
        <v>DOĞRU</v>
      </c>
      <c r="D898" s="376" t="s">
        <v>3713</v>
      </c>
      <c r="E898" s="257">
        <f>VLOOKUP(A898,import!A:J,5,0)</f>
        <v>114</v>
      </c>
      <c r="F898" s="257">
        <f>VLOOKUP(A898,import!A:J,6,0)</f>
        <v>106</v>
      </c>
      <c r="G898" s="257">
        <f>VLOOKUP(A898,import!A:J,7,0)</f>
        <v>0</v>
      </c>
      <c r="H898" s="257">
        <f>VLOOKUP(A898,import!A:J,8,0)</f>
        <v>37</v>
      </c>
      <c r="I898" s="257">
        <f>VLOOKUP(A898,import!A:J,9,0)</f>
        <v>37</v>
      </c>
      <c r="J898" s="369">
        <f>VLOOKUP(A898,import!A:J,10,0)</f>
        <v>0</v>
      </c>
      <c r="K898" s="376" t="s">
        <v>6595</v>
      </c>
      <c r="L898" s="376">
        <v>5.459218944E9</v>
      </c>
      <c r="M898" s="376" t="s">
        <v>3707</v>
      </c>
      <c r="N898" s="376" t="s">
        <v>5130</v>
      </c>
      <c r="O898" s="376" t="s">
        <v>6596</v>
      </c>
      <c r="P898" s="370" t="str">
        <f>VLOOKUP(A898,import!A:P,16,0)</f>
        <v>Geleneksel</v>
      </c>
      <c r="Q898" s="370"/>
      <c r="R898" s="370" t="b">
        <v>0</v>
      </c>
      <c r="S898" s="370" t="b">
        <v>0</v>
      </c>
      <c r="T898" s="301"/>
      <c r="U898" s="301"/>
      <c r="V898" s="380"/>
      <c r="W898" s="301"/>
      <c r="X898" s="371"/>
      <c r="Y898" s="371"/>
      <c r="Z898" s="372"/>
      <c r="AA898" s="373"/>
      <c r="AB898" s="374"/>
      <c r="AC898" s="373"/>
      <c r="AD898" s="374"/>
      <c r="AE898" s="373"/>
      <c r="AF898" s="374"/>
      <c r="AG898" s="373"/>
      <c r="AH898" s="374"/>
      <c r="AI898" s="373"/>
      <c r="AJ898" s="374"/>
      <c r="AK898" s="373"/>
      <c r="AL898" s="373"/>
      <c r="AM898" s="373"/>
      <c r="AN898" s="373"/>
      <c r="AO898" s="373"/>
      <c r="AP898" s="376"/>
      <c r="AQ898" s="373"/>
    </row>
    <row r="899">
      <c r="A899" s="257" t="s">
        <v>496</v>
      </c>
      <c r="B899" s="257" t="s">
        <v>497</v>
      </c>
      <c r="C899" s="257" t="str">
        <f>VLOOKUP(A899,import!A:J,3,0)</f>
        <v>DOĞRU</v>
      </c>
      <c r="D899" s="257" t="s">
        <v>3713</v>
      </c>
      <c r="E899" s="257">
        <f>VLOOKUP(A899,import!A:J,5,0)</f>
        <v>2362</v>
      </c>
      <c r="F899" s="257">
        <f>VLOOKUP(A899,import!A:J,6,0)</f>
        <v>35</v>
      </c>
      <c r="G899" s="257">
        <f>VLOOKUP(A899,import!A:J,7,0)</f>
        <v>6</v>
      </c>
      <c r="H899" s="257">
        <f>VLOOKUP(A899,import!A:J,8,0)</f>
        <v>18</v>
      </c>
      <c r="I899" s="257">
        <f>VLOOKUP(A899,import!A:J,9,0)</f>
        <v>24</v>
      </c>
      <c r="J899" s="369">
        <f>VLOOKUP(A899,import!A:J,10,0)</f>
        <v>0.25</v>
      </c>
      <c r="K899" s="257" t="s">
        <v>6597</v>
      </c>
      <c r="L899" s="257">
        <v>5.427666236E9</v>
      </c>
      <c r="M899" s="257" t="s">
        <v>14</v>
      </c>
      <c r="N899" s="257" t="s">
        <v>3767</v>
      </c>
      <c r="O899" s="257" t="s">
        <v>500</v>
      </c>
      <c r="P899" s="370" t="str">
        <f>VLOOKUP(A899,import!A:P,16,0)</f>
        <v>Geleneksel</v>
      </c>
      <c r="Q899" s="370"/>
      <c r="R899" s="370" t="b">
        <v>1</v>
      </c>
      <c r="S899" s="370" t="b">
        <v>0</v>
      </c>
      <c r="T899" s="301" t="s">
        <v>3679</v>
      </c>
      <c r="U899" s="301" t="s">
        <v>2542</v>
      </c>
      <c r="V899" s="301" t="s">
        <v>78</v>
      </c>
      <c r="W899" s="301" t="s">
        <v>6598</v>
      </c>
      <c r="X899" s="371">
        <v>44501.0</v>
      </c>
      <c r="Y899" s="371">
        <v>44502.0</v>
      </c>
      <c r="Z899" s="377"/>
      <c r="AA899" s="373" t="s">
        <v>3682</v>
      </c>
      <c r="AB899" s="374">
        <v>44356.0</v>
      </c>
      <c r="AC899" s="373" t="s">
        <v>3682</v>
      </c>
      <c r="AD899" s="374">
        <v>44406.0</v>
      </c>
      <c r="AE899" s="373" t="s">
        <v>3448</v>
      </c>
      <c r="AF899" s="374">
        <v>44454.0</v>
      </c>
      <c r="AG899" s="373" t="s">
        <v>3682</v>
      </c>
      <c r="AH899" s="374">
        <v>44501.0</v>
      </c>
      <c r="AI899" s="375"/>
      <c r="AJ899" s="375"/>
      <c r="AK899" s="373" t="s">
        <v>2706</v>
      </c>
      <c r="AL899" s="373" t="s">
        <v>3719</v>
      </c>
      <c r="AM899" s="373" t="s">
        <v>2542</v>
      </c>
      <c r="AN899" s="373" t="s">
        <v>2542</v>
      </c>
      <c r="AO899" s="375"/>
      <c r="AP899" s="376" t="s">
        <v>3683</v>
      </c>
      <c r="AQ899" s="375"/>
    </row>
    <row r="900">
      <c r="A900" s="257" t="s">
        <v>1299</v>
      </c>
      <c r="B900" s="257" t="s">
        <v>1300</v>
      </c>
      <c r="C900" s="257" t="str">
        <f>VLOOKUP(A900,import!A:J,3,0)</f>
        <v>DOĞRU</v>
      </c>
      <c r="D900" s="257" t="s">
        <v>3690</v>
      </c>
      <c r="E900" s="257">
        <f>VLOOKUP(A900,import!A:J,5,0)</f>
        <v>586</v>
      </c>
      <c r="F900" s="257">
        <f>VLOOKUP(A900,import!A:J,6,0)</f>
        <v>40</v>
      </c>
      <c r="G900" s="257">
        <f>VLOOKUP(A900,import!A:J,7,0)</f>
        <v>5</v>
      </c>
      <c r="H900" s="257">
        <f>VLOOKUP(A900,import!A:J,8,0)</f>
        <v>3</v>
      </c>
      <c r="I900" s="257">
        <f>VLOOKUP(A900,import!A:J,9,0)</f>
        <v>8</v>
      </c>
      <c r="J900" s="369">
        <f>VLOOKUP(A900,import!A:J,10,0)</f>
        <v>0.63</v>
      </c>
      <c r="K900" s="257" t="s">
        <v>6599</v>
      </c>
      <c r="L900" s="257">
        <v>5.374275771E9</v>
      </c>
      <c r="M900" s="257" t="s">
        <v>14</v>
      </c>
      <c r="N900" s="257" t="s">
        <v>3914</v>
      </c>
      <c r="O900" s="257" t="s">
        <v>1303</v>
      </c>
      <c r="P900" s="370" t="str">
        <f>VLOOKUP(A900,import!A:P,16,0)</f>
        <v>Geleneksel</v>
      </c>
      <c r="Q900" s="370"/>
      <c r="R900" s="370" t="b">
        <v>1</v>
      </c>
      <c r="S900" s="370" t="b">
        <v>0</v>
      </c>
      <c r="T900" s="301" t="s">
        <v>3679</v>
      </c>
      <c r="U900" s="301" t="s">
        <v>2706</v>
      </c>
      <c r="V900" s="301" t="s">
        <v>78</v>
      </c>
      <c r="W900" s="301" t="s">
        <v>6600</v>
      </c>
      <c r="X900" s="371">
        <v>44382.0</v>
      </c>
      <c r="Y900" s="371">
        <v>44322.0</v>
      </c>
      <c r="Z900" s="301" t="s">
        <v>3957</v>
      </c>
      <c r="AA900" s="373" t="s">
        <v>3681</v>
      </c>
      <c r="AB900" s="374">
        <v>44348.0</v>
      </c>
      <c r="AC900" s="373" t="s">
        <v>3681</v>
      </c>
      <c r="AD900" s="374">
        <v>44363.0</v>
      </c>
      <c r="AE900" s="373" t="s">
        <v>3682</v>
      </c>
      <c r="AF900" s="374">
        <v>44382.0</v>
      </c>
      <c r="AG900" s="92"/>
      <c r="AH900" s="375"/>
      <c r="AI900" s="375"/>
      <c r="AJ900" s="375"/>
      <c r="AK900" s="373" t="s">
        <v>79</v>
      </c>
      <c r="AL900" s="373" t="s">
        <v>79</v>
      </c>
      <c r="AM900" s="373" t="s">
        <v>2706</v>
      </c>
      <c r="AN900" s="375"/>
      <c r="AO900" s="375"/>
      <c r="AP900" s="376" t="s">
        <v>3683</v>
      </c>
      <c r="AQ900" s="375"/>
    </row>
    <row r="901">
      <c r="A901" s="257" t="s">
        <v>6601</v>
      </c>
      <c r="B901" s="257" t="s">
        <v>6602</v>
      </c>
      <c r="C901" s="257" t="str">
        <f>VLOOKUP(A901,import!A:J,3,0)</f>
        <v>DOĞRU</v>
      </c>
      <c r="D901" s="257" t="s">
        <v>3676</v>
      </c>
      <c r="E901" s="257">
        <f>VLOOKUP(A901,import!A:J,5,0)</f>
        <v>102</v>
      </c>
      <c r="F901" s="257" t="str">
        <f>VLOOKUP(A901,import!A:J,6,0)</f>
        <v/>
      </c>
      <c r="G901" s="257">
        <f>VLOOKUP(A901,import!A:J,7,0)</f>
        <v>0</v>
      </c>
      <c r="H901" s="257">
        <f>VLOOKUP(A901,import!A:J,8,0)</f>
        <v>6</v>
      </c>
      <c r="I901" s="257">
        <f>VLOOKUP(A901,import!A:J,9,0)</f>
        <v>6</v>
      </c>
      <c r="J901" s="369">
        <f>VLOOKUP(A901,import!A:J,10,0)</f>
        <v>0</v>
      </c>
      <c r="K901" s="257" t="s">
        <v>6603</v>
      </c>
      <c r="L901" s="257">
        <v>3.223440505E9</v>
      </c>
      <c r="M901" s="257" t="s">
        <v>3707</v>
      </c>
      <c r="N901" s="257" t="s">
        <v>3715</v>
      </c>
      <c r="O901" s="257" t="s">
        <v>6604</v>
      </c>
      <c r="P901" s="370" t="str">
        <f>VLOOKUP(A901,import!A:P,16,0)</f>
        <v>Geleneksel</v>
      </c>
      <c r="Q901" s="370"/>
      <c r="R901" s="370" t="b">
        <v>0</v>
      </c>
      <c r="S901" s="370" t="b">
        <v>0</v>
      </c>
      <c r="T901" s="301"/>
      <c r="U901" s="379"/>
      <c r="V901" s="379"/>
      <c r="W901" s="301"/>
      <c r="X901" s="381"/>
      <c r="Y901" s="381"/>
      <c r="Z901" s="372"/>
      <c r="AA901" s="373"/>
      <c r="AB901" s="374"/>
      <c r="AC901" s="373"/>
      <c r="AD901" s="374"/>
      <c r="AE901" s="373"/>
      <c r="AF901" s="374"/>
      <c r="AG901" s="373"/>
      <c r="AH901" s="374"/>
      <c r="AI901" s="375"/>
      <c r="AJ901" s="375"/>
      <c r="AK901" s="373"/>
      <c r="AL901" s="375"/>
      <c r="AM901" s="375"/>
      <c r="AN901" s="373"/>
      <c r="AO901" s="375"/>
      <c r="AP901" s="376"/>
      <c r="AQ901" s="375"/>
    </row>
    <row r="902">
      <c r="A902" s="257" t="s">
        <v>6605</v>
      </c>
      <c r="B902" s="257" t="s">
        <v>6606</v>
      </c>
      <c r="C902" s="257" t="str">
        <f>VLOOKUP(A902,import!A:J,3,0)</f>
        <v>DOĞRU</v>
      </c>
      <c r="D902" s="257" t="s">
        <v>4572</v>
      </c>
      <c r="E902" s="257">
        <f>VLOOKUP(A902,import!A:J,5,0)</f>
        <v>201</v>
      </c>
      <c r="F902" s="257">
        <f>VLOOKUP(A902,import!A:J,6,0)</f>
        <v>86</v>
      </c>
      <c r="G902" s="257">
        <f>VLOOKUP(A902,import!A:J,7,0)</f>
        <v>0</v>
      </c>
      <c r="H902" s="257">
        <f>VLOOKUP(A902,import!A:J,8,0)</f>
        <v>18</v>
      </c>
      <c r="I902" s="257">
        <f>VLOOKUP(A902,import!A:J,9,0)</f>
        <v>18</v>
      </c>
      <c r="J902" s="369">
        <f>VLOOKUP(A902,import!A:J,10,0)</f>
        <v>0</v>
      </c>
      <c r="K902" s="257" t="s">
        <v>6607</v>
      </c>
      <c r="L902" s="257">
        <v>5.511115837E9</v>
      </c>
      <c r="M902" s="257" t="s">
        <v>14</v>
      </c>
      <c r="N902" s="257" t="s">
        <v>3678</v>
      </c>
      <c r="O902" s="257" t="s">
        <v>6608</v>
      </c>
      <c r="P902" s="370" t="str">
        <f>VLOOKUP(A902,import!A:P,16,0)</f>
        <v>Geleneksel</v>
      </c>
      <c r="Q902" s="370"/>
      <c r="R902" s="370" t="b">
        <v>0</v>
      </c>
      <c r="S902" s="370" t="b">
        <v>0</v>
      </c>
      <c r="T902" s="301"/>
      <c r="U902" s="301"/>
      <c r="V902" s="301"/>
      <c r="W902" s="301"/>
      <c r="X902" s="371"/>
      <c r="Y902" s="371"/>
      <c r="Z902" s="372"/>
      <c r="AA902" s="373"/>
      <c r="AB902" s="374"/>
      <c r="AC902" s="373"/>
      <c r="AD902" s="374"/>
      <c r="AE902" s="373"/>
      <c r="AF902" s="374"/>
      <c r="AG902" s="373"/>
      <c r="AH902" s="374"/>
      <c r="AI902" s="373"/>
      <c r="AJ902" s="374"/>
      <c r="AK902" s="373"/>
      <c r="AL902" s="373"/>
      <c r="AM902" s="373"/>
      <c r="AN902" s="373"/>
      <c r="AO902" s="373"/>
      <c r="AP902" s="376"/>
      <c r="AQ902" s="373"/>
    </row>
    <row r="903">
      <c r="A903" s="257" t="s">
        <v>2960</v>
      </c>
      <c r="B903" s="257" t="s">
        <v>2961</v>
      </c>
      <c r="C903" s="257" t="str">
        <f>VLOOKUP(A903,import!A:J,3,0)</f>
        <v>DOĞRU</v>
      </c>
      <c r="D903" s="257" t="s">
        <v>3690</v>
      </c>
      <c r="E903" s="257">
        <f>VLOOKUP(A903,import!A:J,5,0)</f>
        <v>1864</v>
      </c>
      <c r="F903" s="257">
        <f>VLOOKUP(A903,import!A:J,6,0)</f>
        <v>70</v>
      </c>
      <c r="G903" s="257">
        <f>VLOOKUP(A903,import!A:J,7,0)</f>
        <v>0</v>
      </c>
      <c r="H903" s="257">
        <f>VLOOKUP(A903,import!A:J,8,0)</f>
        <v>9</v>
      </c>
      <c r="I903" s="257">
        <f>VLOOKUP(A903,import!A:J,9,0)</f>
        <v>9</v>
      </c>
      <c r="J903" s="369">
        <f>VLOOKUP(A903,import!A:J,10,0)</f>
        <v>0</v>
      </c>
      <c r="K903" s="257" t="s">
        <v>6609</v>
      </c>
      <c r="L903" s="257">
        <v>5.42117544E9</v>
      </c>
      <c r="M903" s="257" t="s">
        <v>3692</v>
      </c>
      <c r="N903" s="257" t="s">
        <v>3869</v>
      </c>
      <c r="O903" s="257" t="s">
        <v>2963</v>
      </c>
      <c r="P903" s="370" t="str">
        <f>VLOOKUP(A903,import!A:P,16,0)</f>
        <v>Geleneksel</v>
      </c>
      <c r="Q903" s="370"/>
      <c r="R903" s="370" t="b">
        <v>1</v>
      </c>
      <c r="S903" s="370" t="b">
        <v>0</v>
      </c>
      <c r="T903" s="301" t="s">
        <v>3787</v>
      </c>
      <c r="U903" s="301" t="s">
        <v>2282</v>
      </c>
      <c r="V903" s="301" t="s">
        <v>78</v>
      </c>
      <c r="W903" s="418" t="s">
        <v>6610</v>
      </c>
      <c r="X903" s="371">
        <v>44509.0</v>
      </c>
      <c r="Y903" s="371">
        <v>44510.0</v>
      </c>
      <c r="Z903" s="372"/>
      <c r="AA903" s="373" t="s">
        <v>3448</v>
      </c>
      <c r="AB903" s="374">
        <v>44433.0</v>
      </c>
      <c r="AC903" s="373" t="s">
        <v>3448</v>
      </c>
      <c r="AD903" s="374">
        <v>44459.0</v>
      </c>
      <c r="AE903" s="373" t="s">
        <v>3448</v>
      </c>
      <c r="AF903" s="374">
        <v>44475.0</v>
      </c>
      <c r="AG903" s="373" t="s">
        <v>3682</v>
      </c>
      <c r="AH903" s="374">
        <v>44496.0</v>
      </c>
      <c r="AI903" s="373" t="s">
        <v>3448</v>
      </c>
      <c r="AJ903" s="374">
        <v>44509.0</v>
      </c>
      <c r="AK903" s="373" t="s">
        <v>3723</v>
      </c>
      <c r="AL903" s="373" t="s">
        <v>2542</v>
      </c>
      <c r="AM903" s="373" t="s">
        <v>399</v>
      </c>
      <c r="AN903" s="373" t="s">
        <v>2282</v>
      </c>
      <c r="AO903" s="373" t="s">
        <v>2192</v>
      </c>
      <c r="AP903" s="376" t="s">
        <v>3686</v>
      </c>
      <c r="AQ903" s="373"/>
    </row>
    <row r="904">
      <c r="A904" s="257" t="s">
        <v>2479</v>
      </c>
      <c r="B904" s="257" t="s">
        <v>2480</v>
      </c>
      <c r="C904" s="257" t="str">
        <f>VLOOKUP(A904,import!A:J,3,0)</f>
        <v>DOĞRU</v>
      </c>
      <c r="D904" s="257" t="s">
        <v>3690</v>
      </c>
      <c r="E904" s="257">
        <f>VLOOKUP(A904,import!A:J,5,0)</f>
        <v>800</v>
      </c>
      <c r="F904" s="257">
        <f>VLOOKUP(A904,import!A:J,6,0)</f>
        <v>15</v>
      </c>
      <c r="G904" s="257">
        <f>VLOOKUP(A904,import!A:J,7,0)</f>
        <v>2</v>
      </c>
      <c r="H904" s="257">
        <f>VLOOKUP(A904,import!A:J,8,0)</f>
        <v>1</v>
      </c>
      <c r="I904" s="257">
        <f>VLOOKUP(A904,import!A:J,9,0)</f>
        <v>3</v>
      </c>
      <c r="J904" s="369">
        <f>VLOOKUP(A904,import!A:J,10,0)</f>
        <v>0.67</v>
      </c>
      <c r="K904" s="257" t="s">
        <v>6611</v>
      </c>
      <c r="L904" s="257">
        <v>5.445462025E9</v>
      </c>
      <c r="M904" s="257" t="s">
        <v>14</v>
      </c>
      <c r="N904" s="257" t="s">
        <v>3678</v>
      </c>
      <c r="O904" s="257" t="s">
        <v>6612</v>
      </c>
      <c r="P904" s="370" t="str">
        <f>VLOOKUP(A904,import!A:P,16,0)</f>
        <v>Geleneksel</v>
      </c>
      <c r="Q904" s="370"/>
      <c r="R904" s="370" t="b">
        <v>1</v>
      </c>
      <c r="S904" s="370" t="b">
        <v>0</v>
      </c>
      <c r="T904" s="301" t="s">
        <v>3679</v>
      </c>
      <c r="U904" s="301" t="s">
        <v>2542</v>
      </c>
      <c r="V904" s="301" t="s">
        <v>78</v>
      </c>
      <c r="W904" s="301" t="s">
        <v>6613</v>
      </c>
      <c r="X904" s="371">
        <v>44454.0</v>
      </c>
      <c r="Y904" s="371">
        <v>44455.0</v>
      </c>
      <c r="Z904" s="372"/>
      <c r="AA904" s="373" t="s">
        <v>3682</v>
      </c>
      <c r="AB904" s="374">
        <v>44407.0</v>
      </c>
      <c r="AC904" s="373" t="s">
        <v>3682</v>
      </c>
      <c r="AD904" s="374">
        <v>44454.0</v>
      </c>
      <c r="AE904" s="92"/>
      <c r="AF904" s="375"/>
      <c r="AG904" s="92"/>
      <c r="AH904" s="375"/>
      <c r="AI904" s="375"/>
      <c r="AJ904" s="375"/>
      <c r="AK904" s="375"/>
      <c r="AL904" s="373" t="s">
        <v>2542</v>
      </c>
      <c r="AM904" s="375"/>
      <c r="AN904" s="375"/>
      <c r="AO904" s="375"/>
      <c r="AP904" s="376" t="s">
        <v>3683</v>
      </c>
      <c r="AQ904" s="375"/>
    </row>
    <row r="905">
      <c r="A905" s="257" t="s">
        <v>6614</v>
      </c>
      <c r="B905" s="257" t="s">
        <v>6615</v>
      </c>
      <c r="C905" s="257" t="str">
        <f>VLOOKUP(A905,import!A:J,3,0)</f>
        <v>DOĞRU</v>
      </c>
      <c r="D905" s="257" t="s">
        <v>3690</v>
      </c>
      <c r="E905" s="257">
        <f>VLOOKUP(A905,import!A:J,5,0)</f>
        <v>1088</v>
      </c>
      <c r="F905" s="257">
        <f>VLOOKUP(A905,import!A:J,6,0)</f>
        <v>52</v>
      </c>
      <c r="G905" s="257">
        <f>VLOOKUP(A905,import!A:J,7,0)</f>
        <v>0</v>
      </c>
      <c r="H905" s="257">
        <f>VLOOKUP(A905,import!A:J,8,0)</f>
        <v>13</v>
      </c>
      <c r="I905" s="257">
        <f>VLOOKUP(A905,import!A:J,9,0)</f>
        <v>13</v>
      </c>
      <c r="J905" s="369">
        <f>VLOOKUP(A905,import!A:J,10,0)</f>
        <v>0</v>
      </c>
      <c r="K905" s="257" t="s">
        <v>6616</v>
      </c>
      <c r="L905" s="257">
        <v>5.32287834E9</v>
      </c>
      <c r="M905" s="257" t="s">
        <v>3707</v>
      </c>
      <c r="N905" s="257" t="s">
        <v>5245</v>
      </c>
      <c r="O905" s="257" t="s">
        <v>5246</v>
      </c>
      <c r="P905" s="370" t="str">
        <f>VLOOKUP(A905,import!A:P,16,0)</f>
        <v>Geleneksel</v>
      </c>
      <c r="Q905" s="370"/>
      <c r="R905" s="370" t="b">
        <v>1</v>
      </c>
      <c r="S905" s="370" t="b">
        <v>1</v>
      </c>
      <c r="T905" s="379"/>
      <c r="U905" s="379"/>
      <c r="V905" s="379"/>
      <c r="W905" s="301" t="s">
        <v>6617</v>
      </c>
      <c r="X905" s="381"/>
      <c r="Y905" s="381"/>
      <c r="Z905" s="372"/>
      <c r="AA905" s="373" t="s">
        <v>3682</v>
      </c>
      <c r="AB905" s="374">
        <v>44392.0</v>
      </c>
      <c r="AC905" s="373" t="s">
        <v>3448</v>
      </c>
      <c r="AD905" s="374">
        <v>44463.0</v>
      </c>
      <c r="AE905" s="373" t="s">
        <v>3682</v>
      </c>
      <c r="AF905" s="374">
        <v>44491.0</v>
      </c>
      <c r="AG905" s="92"/>
      <c r="AH905" s="375"/>
      <c r="AI905" s="375"/>
      <c r="AJ905" s="375"/>
      <c r="AK905" s="373" t="s">
        <v>3719</v>
      </c>
      <c r="AL905" s="373" t="s">
        <v>2542</v>
      </c>
      <c r="AM905" s="373" t="s">
        <v>2542</v>
      </c>
      <c r="AN905" s="375"/>
      <c r="AO905" s="375"/>
      <c r="AP905" s="376" t="s">
        <v>3686</v>
      </c>
      <c r="AQ905" s="375"/>
    </row>
    <row r="906">
      <c r="A906" s="257" t="s">
        <v>6618</v>
      </c>
      <c r="B906" s="257" t="s">
        <v>6619</v>
      </c>
      <c r="C906" s="257" t="str">
        <f>VLOOKUP(A906,import!A:J,3,0)</f>
        <v>YANLIŞ</v>
      </c>
      <c r="D906" s="257" t="s">
        <v>3801</v>
      </c>
      <c r="E906" s="257">
        <f>VLOOKUP(A906,import!A:J,5,0)</f>
        <v>756</v>
      </c>
      <c r="F906" s="257" t="str">
        <f>VLOOKUP(A906,import!A:J,6,0)</f>
        <v/>
      </c>
      <c r="G906" s="257">
        <f>VLOOKUP(A906,import!A:J,7,0)</f>
        <v>5</v>
      </c>
      <c r="H906" s="257">
        <f>VLOOKUP(A906,import!A:J,8,0)</f>
        <v>12</v>
      </c>
      <c r="I906" s="257">
        <f>VLOOKUP(A906,import!A:J,9,0)</f>
        <v>17</v>
      </c>
      <c r="J906" s="369">
        <f>VLOOKUP(A906,import!A:J,10,0)</f>
        <v>0.29</v>
      </c>
      <c r="K906" s="257" t="s">
        <v>6620</v>
      </c>
      <c r="L906" s="257">
        <v>5.349461781E9</v>
      </c>
      <c r="M906" s="257" t="s">
        <v>14</v>
      </c>
      <c r="N906" s="257" t="s">
        <v>3826</v>
      </c>
      <c r="O906" s="257" t="s">
        <v>6621</v>
      </c>
      <c r="P906" s="370" t="str">
        <f>VLOOKUP(A906,import!A:P,16,0)</f>
        <v>Geleneksel</v>
      </c>
      <c r="Q906" s="370"/>
      <c r="R906" s="370" t="b">
        <v>1</v>
      </c>
      <c r="S906" s="370" t="b">
        <v>0</v>
      </c>
      <c r="T906" s="300" t="s">
        <v>3735</v>
      </c>
      <c r="U906" s="379"/>
      <c r="V906" s="379"/>
      <c r="W906" s="301" t="s">
        <v>6622</v>
      </c>
      <c r="X906" s="381"/>
      <c r="Y906" s="381"/>
      <c r="Z906" s="372"/>
      <c r="AA906" s="375"/>
      <c r="AB906" s="375"/>
      <c r="AC906" s="375"/>
      <c r="AD906" s="375"/>
      <c r="AE906" s="92"/>
      <c r="AF906" s="375"/>
      <c r="AG906" s="92"/>
      <c r="AH906" s="375"/>
      <c r="AI906" s="375"/>
      <c r="AJ906" s="375"/>
      <c r="AK906" s="375"/>
      <c r="AL906" s="375"/>
      <c r="AM906" s="375"/>
      <c r="AN906" s="375"/>
      <c r="AO906" s="375"/>
      <c r="AP906" s="376" t="s">
        <v>3683</v>
      </c>
      <c r="AQ906" s="375"/>
    </row>
    <row r="907">
      <c r="A907" s="257" t="s">
        <v>6623</v>
      </c>
      <c r="B907" s="257" t="s">
        <v>6624</v>
      </c>
      <c r="C907" s="257" t="str">
        <f>VLOOKUP(A907,import!A:J,3,0)</f>
        <v>DOĞRU</v>
      </c>
      <c r="D907" s="257" t="s">
        <v>3912</v>
      </c>
      <c r="E907" s="257">
        <f>VLOOKUP(A907,import!A:J,5,0)</f>
        <v>554</v>
      </c>
      <c r="F907" s="257">
        <f>VLOOKUP(A907,import!A:J,6,0)</f>
        <v>30</v>
      </c>
      <c r="G907" s="257">
        <f>VLOOKUP(A907,import!A:J,7,0)</f>
        <v>0</v>
      </c>
      <c r="H907" s="257">
        <f>VLOOKUP(A907,import!A:J,8,0)</f>
        <v>26</v>
      </c>
      <c r="I907" s="257">
        <f>VLOOKUP(A907,import!A:J,9,0)</f>
        <v>26</v>
      </c>
      <c r="J907" s="369">
        <f>VLOOKUP(A907,import!A:J,10,0)</f>
        <v>0</v>
      </c>
      <c r="K907" s="257" t="s">
        <v>6625</v>
      </c>
      <c r="L907" s="257">
        <v>5.436503101E9</v>
      </c>
      <c r="M907" s="257" t="s">
        <v>3701</v>
      </c>
      <c r="N907" s="257" t="s">
        <v>3702</v>
      </c>
      <c r="O907" s="257" t="s">
        <v>6626</v>
      </c>
      <c r="P907" s="370" t="s">
        <v>3941</v>
      </c>
      <c r="Q907" s="370"/>
      <c r="R907" s="370" t="b">
        <v>0</v>
      </c>
      <c r="S907" s="370" t="b">
        <v>0</v>
      </c>
      <c r="T907" s="301" t="s">
        <v>3862</v>
      </c>
      <c r="U907" s="379"/>
      <c r="V907" s="379"/>
      <c r="W907" s="301"/>
      <c r="X907" s="381"/>
      <c r="Y907" s="381"/>
      <c r="Z907" s="372"/>
      <c r="AA907" s="373"/>
      <c r="AB907" s="374"/>
      <c r="AC907" s="373"/>
      <c r="AD907" s="374"/>
      <c r="AE907" s="373"/>
      <c r="AF907" s="374"/>
      <c r="AG907" s="373"/>
      <c r="AH907" s="374"/>
      <c r="AI907" s="375"/>
      <c r="AJ907" s="375"/>
      <c r="AK907" s="373"/>
      <c r="AL907" s="375"/>
      <c r="AM907" s="375"/>
      <c r="AN907" s="373"/>
      <c r="AO907" s="375"/>
      <c r="AP907" s="376" t="s">
        <v>3686</v>
      </c>
      <c r="AQ907" s="375"/>
    </row>
    <row r="908">
      <c r="A908" s="257" t="s">
        <v>6627</v>
      </c>
      <c r="B908" s="257" t="s">
        <v>6628</v>
      </c>
      <c r="C908" s="257" t="str">
        <f>VLOOKUP(A908,import!A:J,3,0)</f>
        <v>DOĞRU</v>
      </c>
      <c r="D908" s="257" t="s">
        <v>3759</v>
      </c>
      <c r="E908" s="257">
        <f>VLOOKUP(A908,import!A:J,5,0)</f>
        <v>7</v>
      </c>
      <c r="F908" s="257">
        <f>VLOOKUP(A908,import!A:J,6,0)</f>
        <v>2</v>
      </c>
      <c r="G908" s="257">
        <f>VLOOKUP(A908,import!A:J,7,0)</f>
        <v>0</v>
      </c>
      <c r="H908" s="257">
        <f>VLOOKUP(A908,import!A:J,8,0)</f>
        <v>6</v>
      </c>
      <c r="I908" s="257">
        <f>VLOOKUP(A908,import!A:J,9,0)</f>
        <v>6</v>
      </c>
      <c r="J908" s="369">
        <f>VLOOKUP(A908,import!A:J,10,0)</f>
        <v>0</v>
      </c>
      <c r="K908" s="257" t="s">
        <v>6629</v>
      </c>
      <c r="L908" s="257">
        <v>3.222398778E9</v>
      </c>
      <c r="M908" s="257" t="s">
        <v>14</v>
      </c>
      <c r="N908" s="257" t="s">
        <v>3935</v>
      </c>
      <c r="O908" s="257" t="s">
        <v>6630</v>
      </c>
      <c r="P908" s="370" t="str">
        <f>VLOOKUP(A908,import!A:P,16,0)</f>
        <v>Geleneksel</v>
      </c>
      <c r="Q908" s="370"/>
      <c r="R908" s="370" t="b">
        <v>0</v>
      </c>
      <c r="S908" s="370" t="b">
        <v>0</v>
      </c>
      <c r="T908" s="301"/>
      <c r="U908" s="301"/>
      <c r="V908" s="301"/>
      <c r="W908" s="301"/>
      <c r="X908" s="371"/>
      <c r="Y908" s="371"/>
      <c r="Z908" s="372"/>
      <c r="AA908" s="373"/>
      <c r="AB908" s="374"/>
      <c r="AC908" s="373"/>
      <c r="AD908" s="374"/>
      <c r="AE908" s="373"/>
      <c r="AF908" s="374"/>
      <c r="AG908" s="373"/>
      <c r="AH908" s="374"/>
      <c r="AI908" s="373"/>
      <c r="AJ908" s="374"/>
      <c r="AK908" s="373"/>
      <c r="AL908" s="373"/>
      <c r="AM908" s="373"/>
      <c r="AN908" s="373"/>
      <c r="AO908" s="373"/>
      <c r="AP908" s="376"/>
      <c r="AQ908" s="373"/>
    </row>
    <row r="909">
      <c r="A909" s="257" t="s">
        <v>656</v>
      </c>
      <c r="B909" s="257" t="s">
        <v>657</v>
      </c>
      <c r="C909" s="257" t="str">
        <f>VLOOKUP(A909,import!A:J,3,0)</f>
        <v>DOĞRU</v>
      </c>
      <c r="D909" s="257" t="s">
        <v>3699</v>
      </c>
      <c r="E909" s="257">
        <f>VLOOKUP(A909,import!A:J,5,0)</f>
        <v>2203</v>
      </c>
      <c r="F909" s="257">
        <f>VLOOKUP(A909,import!A:J,6,0)</f>
        <v>65</v>
      </c>
      <c r="G909" s="257">
        <f>VLOOKUP(A909,import!A:J,7,0)</f>
        <v>18</v>
      </c>
      <c r="H909" s="257">
        <f>VLOOKUP(A909,import!A:J,8,0)</f>
        <v>16</v>
      </c>
      <c r="I909" s="257">
        <f>VLOOKUP(A909,import!A:J,9,0)</f>
        <v>34</v>
      </c>
      <c r="J909" s="369">
        <f>VLOOKUP(A909,import!A:J,10,0)</f>
        <v>0.53</v>
      </c>
      <c r="K909" s="257" t="s">
        <v>6631</v>
      </c>
      <c r="L909" s="257">
        <v>5.419500905E9</v>
      </c>
      <c r="M909" s="257" t="s">
        <v>286</v>
      </c>
      <c r="N909" s="257" t="s">
        <v>3806</v>
      </c>
      <c r="O909" s="257" t="s">
        <v>660</v>
      </c>
      <c r="P909" s="370" t="str">
        <f>VLOOKUP(A909,import!A:P,16,0)</f>
        <v>Geleneksel</v>
      </c>
      <c r="Q909" s="370"/>
      <c r="R909" s="370" t="b">
        <v>1</v>
      </c>
      <c r="S909" s="370" t="b">
        <v>0</v>
      </c>
      <c r="T909" s="301" t="s">
        <v>3679</v>
      </c>
      <c r="U909" s="301" t="s">
        <v>399</v>
      </c>
      <c r="V909" s="301" t="s">
        <v>6632</v>
      </c>
      <c r="W909" s="301" t="s">
        <v>6633</v>
      </c>
      <c r="X909" s="371">
        <v>44337.0</v>
      </c>
      <c r="Y909" s="371">
        <v>44341.0</v>
      </c>
      <c r="Z909" s="377"/>
      <c r="AA909" s="373" t="s">
        <v>3682</v>
      </c>
      <c r="AB909" s="374">
        <v>44386.0</v>
      </c>
      <c r="AC909" s="375"/>
      <c r="AD909" s="375"/>
      <c r="AE909" s="92"/>
      <c r="AF909" s="375"/>
      <c r="AG909" s="92"/>
      <c r="AH909" s="375"/>
      <c r="AI909" s="375"/>
      <c r="AJ909" s="375"/>
      <c r="AK909" s="373" t="s">
        <v>399</v>
      </c>
      <c r="AL909" s="375"/>
      <c r="AM909" s="375"/>
      <c r="AN909" s="375"/>
      <c r="AO909" s="375"/>
      <c r="AP909" s="376" t="s">
        <v>3686</v>
      </c>
      <c r="AQ909" s="375"/>
    </row>
    <row r="910">
      <c r="A910" s="257" t="s">
        <v>973</v>
      </c>
      <c r="B910" s="257" t="s">
        <v>974</v>
      </c>
      <c r="C910" s="257" t="str">
        <f>VLOOKUP(A910,import!A:J,3,0)</f>
        <v>DOĞRU</v>
      </c>
      <c r="D910" s="257" t="s">
        <v>3699</v>
      </c>
      <c r="E910" s="257">
        <f>VLOOKUP(A910,import!A:J,5,0)</f>
        <v>38</v>
      </c>
      <c r="F910" s="257">
        <f>VLOOKUP(A910,import!A:J,6,0)</f>
        <v>3</v>
      </c>
      <c r="G910" s="257">
        <f>VLOOKUP(A910,import!A:J,7,0)</f>
        <v>12</v>
      </c>
      <c r="H910" s="257">
        <f>VLOOKUP(A910,import!A:J,8,0)</f>
        <v>1</v>
      </c>
      <c r="I910" s="257">
        <f>VLOOKUP(A910,import!A:J,9,0)</f>
        <v>13</v>
      </c>
      <c r="J910" s="369">
        <f>VLOOKUP(A910,import!A:J,10,0)</f>
        <v>0.92</v>
      </c>
      <c r="K910" s="257" t="s">
        <v>6634</v>
      </c>
      <c r="L910" s="257">
        <v>5.412451446E9</v>
      </c>
      <c r="M910" s="257" t="s">
        <v>14</v>
      </c>
      <c r="N910" s="257" t="s">
        <v>3733</v>
      </c>
      <c r="O910" s="257" t="s">
        <v>976</v>
      </c>
      <c r="P910" s="370" t="str">
        <f>VLOOKUP(A910,import!A:P,16,0)</f>
        <v>Geleneksel</v>
      </c>
      <c r="Q910" s="370"/>
      <c r="R910" s="370" t="b">
        <v>1</v>
      </c>
      <c r="S910" s="370" t="b">
        <v>0</v>
      </c>
      <c r="T910" s="301" t="s">
        <v>3679</v>
      </c>
      <c r="U910" s="301" t="s">
        <v>399</v>
      </c>
      <c r="V910" s="301" t="s">
        <v>78</v>
      </c>
      <c r="W910" s="301"/>
      <c r="X910" s="371">
        <v>44363.0</v>
      </c>
      <c r="Y910" s="371">
        <v>44369.0</v>
      </c>
      <c r="Z910" s="372"/>
      <c r="AA910" s="373" t="s">
        <v>3681</v>
      </c>
      <c r="AB910" s="374">
        <v>44348.0</v>
      </c>
      <c r="AC910" s="373" t="s">
        <v>3682</v>
      </c>
      <c r="AD910" s="374">
        <v>44351.0</v>
      </c>
      <c r="AE910" s="373" t="s">
        <v>3682</v>
      </c>
      <c r="AF910" s="374">
        <v>44363.0</v>
      </c>
      <c r="AG910" s="92"/>
      <c r="AH910" s="375"/>
      <c r="AI910" s="375"/>
      <c r="AJ910" s="375"/>
      <c r="AK910" s="373" t="s">
        <v>79</v>
      </c>
      <c r="AL910" s="373" t="s">
        <v>3789</v>
      </c>
      <c r="AM910" s="373" t="s">
        <v>399</v>
      </c>
      <c r="AN910" s="375"/>
      <c r="AO910" s="375"/>
      <c r="AP910" s="376" t="s">
        <v>3683</v>
      </c>
      <c r="AQ910" s="375"/>
    </row>
    <row r="911">
      <c r="A911" s="257" t="s">
        <v>2577</v>
      </c>
      <c r="B911" s="257" t="s">
        <v>6635</v>
      </c>
      <c r="C911" s="257" t="str">
        <f>VLOOKUP(A911,import!A:J,3,0)</f>
        <v>DOĞRU</v>
      </c>
      <c r="D911" s="257" t="s">
        <v>3699</v>
      </c>
      <c r="E911" s="257">
        <f>VLOOKUP(A911,import!A:J,5,0)</f>
        <v>546</v>
      </c>
      <c r="F911" s="257">
        <f>VLOOKUP(A911,import!A:J,6,0)</f>
        <v>50</v>
      </c>
      <c r="G911" s="257">
        <f>VLOOKUP(A911,import!A:J,7,0)</f>
        <v>22</v>
      </c>
      <c r="H911" s="257">
        <f>VLOOKUP(A911,import!A:J,8,0)</f>
        <v>14</v>
      </c>
      <c r="I911" s="257">
        <f>VLOOKUP(A911,import!A:J,9,0)</f>
        <v>36</v>
      </c>
      <c r="J911" s="369">
        <f>VLOOKUP(A911,import!A:J,10,0)</f>
        <v>0.61</v>
      </c>
      <c r="K911" s="257" t="s">
        <v>6636</v>
      </c>
      <c r="L911" s="257">
        <v>5.367489967E9</v>
      </c>
      <c r="M911" s="257" t="s">
        <v>286</v>
      </c>
      <c r="N911" s="257" t="s">
        <v>3782</v>
      </c>
      <c r="O911" s="257" t="s">
        <v>6637</v>
      </c>
      <c r="P911" s="370" t="str">
        <f>VLOOKUP(A911,import!A:P,16,0)</f>
        <v>Geleneksel</v>
      </c>
      <c r="Q911" s="370"/>
      <c r="R911" s="370" t="b">
        <v>1</v>
      </c>
      <c r="S911" s="370" t="b">
        <v>1</v>
      </c>
      <c r="T911" s="301"/>
      <c r="U911" s="379"/>
      <c r="V911" s="379"/>
      <c r="W911" s="301" t="s">
        <v>6638</v>
      </c>
      <c r="X911" s="381"/>
      <c r="Y911" s="381"/>
      <c r="Z911" s="372"/>
      <c r="AA911" s="373" t="s">
        <v>3682</v>
      </c>
      <c r="AB911" s="374">
        <v>44466.0</v>
      </c>
      <c r="AC911" s="373"/>
      <c r="AD911" s="374"/>
      <c r="AE911" s="373"/>
      <c r="AF911" s="374"/>
      <c r="AG911" s="92"/>
      <c r="AH911" s="375"/>
      <c r="AI911" s="375"/>
      <c r="AJ911" s="375"/>
      <c r="AK911" s="373" t="s">
        <v>2542</v>
      </c>
      <c r="AL911" s="375"/>
      <c r="AM911" s="375"/>
      <c r="AN911" s="375"/>
      <c r="AO911" s="375"/>
      <c r="AP911" s="376" t="s">
        <v>3686</v>
      </c>
      <c r="AQ911" s="375"/>
    </row>
    <row r="912">
      <c r="A912" s="257" t="s">
        <v>6639</v>
      </c>
      <c r="B912" s="257" t="s">
        <v>6640</v>
      </c>
      <c r="C912" s="257" t="str">
        <f>VLOOKUP(A912,import!A:J,3,0)</f>
        <v>DOĞRU</v>
      </c>
      <c r="D912" s="257" t="s">
        <v>3699</v>
      </c>
      <c r="E912" s="257">
        <f>VLOOKUP(A912,import!A:J,5,0)</f>
        <v>1076</v>
      </c>
      <c r="F912" s="257">
        <f>VLOOKUP(A912,import!A:J,6,0)</f>
        <v>35</v>
      </c>
      <c r="G912" s="257">
        <f>VLOOKUP(A912,import!A:J,7,0)</f>
        <v>5</v>
      </c>
      <c r="H912" s="257">
        <f>VLOOKUP(A912,import!A:J,8,0)</f>
        <v>2</v>
      </c>
      <c r="I912" s="257">
        <f>VLOOKUP(A912,import!A:J,9,0)</f>
        <v>7</v>
      </c>
      <c r="J912" s="369">
        <f>VLOOKUP(A912,import!A:J,10,0)</f>
        <v>0.71</v>
      </c>
      <c r="K912" s="257" t="s">
        <v>6641</v>
      </c>
      <c r="L912" s="257">
        <v>5.551742166E9</v>
      </c>
      <c r="M912" s="257" t="s">
        <v>286</v>
      </c>
      <c r="N912" s="257" t="s">
        <v>6438</v>
      </c>
      <c r="O912" s="257" t="s">
        <v>6642</v>
      </c>
      <c r="P912" s="370" t="str">
        <f>VLOOKUP(A912,import!A:P,16,0)</f>
        <v>Geleneksel</v>
      </c>
      <c r="Q912" s="370"/>
      <c r="R912" s="370" t="b">
        <v>1</v>
      </c>
      <c r="S912" s="370" t="b">
        <v>0</v>
      </c>
      <c r="T912" s="300" t="s">
        <v>3735</v>
      </c>
      <c r="U912" s="301" t="s">
        <v>2542</v>
      </c>
      <c r="V912" s="301" t="s">
        <v>78</v>
      </c>
      <c r="W912" s="301" t="s">
        <v>6643</v>
      </c>
      <c r="X912" s="371">
        <v>44459.0</v>
      </c>
      <c r="Y912" s="371">
        <v>44460.0</v>
      </c>
      <c r="Z912" s="372"/>
      <c r="AA912" s="373" t="s">
        <v>3682</v>
      </c>
      <c r="AB912" s="374">
        <v>44459.0</v>
      </c>
      <c r="AC912" s="373"/>
      <c r="AD912" s="374"/>
      <c r="AE912" s="373"/>
      <c r="AF912" s="374"/>
      <c r="AG912" s="92"/>
      <c r="AH912" s="375"/>
      <c r="AI912" s="375"/>
      <c r="AJ912" s="375"/>
      <c r="AK912" s="373" t="s">
        <v>2542</v>
      </c>
      <c r="AL912" s="375"/>
      <c r="AM912" s="375"/>
      <c r="AN912" s="375"/>
      <c r="AO912" s="375"/>
      <c r="AP912" s="376" t="s">
        <v>3686</v>
      </c>
      <c r="AQ912" s="375"/>
    </row>
    <row r="913">
      <c r="A913" s="257" t="s">
        <v>1942</v>
      </c>
      <c r="B913" s="257" t="s">
        <v>1943</v>
      </c>
      <c r="C913" s="257" t="str">
        <f>VLOOKUP(A913,import!A:J,3,0)</f>
        <v>DOĞRU</v>
      </c>
      <c r="D913" s="257" t="s">
        <v>3699</v>
      </c>
      <c r="E913" s="257">
        <f>VLOOKUP(A913,import!A:J,5,0)</f>
        <v>917</v>
      </c>
      <c r="F913" s="257">
        <f>VLOOKUP(A913,import!A:J,6,0)</f>
        <v>119</v>
      </c>
      <c r="G913" s="257">
        <f>VLOOKUP(A913,import!A:J,7,0)</f>
        <v>3</v>
      </c>
      <c r="H913" s="257">
        <f>VLOOKUP(A913,import!A:J,8,0)</f>
        <v>19</v>
      </c>
      <c r="I913" s="257">
        <f>VLOOKUP(A913,import!A:J,9,0)</f>
        <v>22</v>
      </c>
      <c r="J913" s="369">
        <f>VLOOKUP(A913,import!A:J,10,0)</f>
        <v>0.14</v>
      </c>
      <c r="K913" s="257" t="s">
        <v>6644</v>
      </c>
      <c r="L913" s="257">
        <v>5.345222261E9</v>
      </c>
      <c r="M913" s="257" t="s">
        <v>286</v>
      </c>
      <c r="N913" s="257" t="s">
        <v>3806</v>
      </c>
      <c r="O913" s="257" t="s">
        <v>6645</v>
      </c>
      <c r="P913" s="370" t="str">
        <f>VLOOKUP(A913,import!A:P,16,0)</f>
        <v>Geleneksel</v>
      </c>
      <c r="Q913" s="370"/>
      <c r="R913" s="370" t="b">
        <v>1</v>
      </c>
      <c r="S913" s="370" t="b">
        <v>0</v>
      </c>
      <c r="T913" s="301" t="s">
        <v>3679</v>
      </c>
      <c r="U913" s="301" t="s">
        <v>3723</v>
      </c>
      <c r="V913" s="301" t="s">
        <v>78</v>
      </c>
      <c r="W913" s="301" t="s">
        <v>4762</v>
      </c>
      <c r="X913" s="371">
        <v>44421.0</v>
      </c>
      <c r="Y913" s="371">
        <v>44427.0</v>
      </c>
      <c r="Z913" s="372"/>
      <c r="AA913" s="373" t="s">
        <v>3448</v>
      </c>
      <c r="AB913" s="374">
        <v>44392.0</v>
      </c>
      <c r="AC913" s="373" t="s">
        <v>3682</v>
      </c>
      <c r="AD913" s="374">
        <v>44421.0</v>
      </c>
      <c r="AE913" s="92"/>
      <c r="AF913" s="375"/>
      <c r="AG913" s="92"/>
      <c r="AH913" s="375"/>
      <c r="AI913" s="375"/>
      <c r="AJ913" s="375"/>
      <c r="AK913" s="373" t="s">
        <v>4088</v>
      </c>
      <c r="AL913" s="375"/>
      <c r="AM913" s="375"/>
      <c r="AN913" s="375"/>
      <c r="AO913" s="375"/>
      <c r="AP913" s="376" t="s">
        <v>3686</v>
      </c>
      <c r="AQ913" s="375"/>
    </row>
    <row r="914">
      <c r="A914" s="257" t="s">
        <v>6646</v>
      </c>
      <c r="B914" s="257" t="s">
        <v>2091</v>
      </c>
      <c r="C914" s="257" t="str">
        <f>VLOOKUP(A914,import!A:J,3,0)</f>
        <v>DOĞRU</v>
      </c>
      <c r="D914" s="257" t="s">
        <v>3699</v>
      </c>
      <c r="E914" s="257">
        <f>VLOOKUP(A914,import!A:J,5,0)</f>
        <v>1629</v>
      </c>
      <c r="F914" s="257">
        <f>VLOOKUP(A914,import!A:J,6,0)</f>
        <v>92</v>
      </c>
      <c r="G914" s="257">
        <f>VLOOKUP(A914,import!A:J,7,0)</f>
        <v>9</v>
      </c>
      <c r="H914" s="257">
        <f>VLOOKUP(A914,import!A:J,8,0)</f>
        <v>9</v>
      </c>
      <c r="I914" s="257">
        <f>VLOOKUP(A914,import!A:J,9,0)</f>
        <v>18</v>
      </c>
      <c r="J914" s="369">
        <f>VLOOKUP(A914,import!A:J,10,0)</f>
        <v>0.5</v>
      </c>
      <c r="K914" s="257" t="s">
        <v>6644</v>
      </c>
      <c r="L914" s="257">
        <v>5.326947582E9</v>
      </c>
      <c r="M914" s="257" t="s">
        <v>286</v>
      </c>
      <c r="N914" s="257" t="s">
        <v>3961</v>
      </c>
      <c r="O914" s="257" t="s">
        <v>2093</v>
      </c>
      <c r="P914" s="370" t="str">
        <f>VLOOKUP(A914,import!A:P,16,0)</f>
        <v>Geleneksel</v>
      </c>
      <c r="Q914" s="370"/>
      <c r="R914" s="370" t="b">
        <v>1</v>
      </c>
      <c r="S914" s="370" t="b">
        <v>0</v>
      </c>
      <c r="T914" s="301" t="s">
        <v>3679</v>
      </c>
      <c r="U914" s="301" t="s">
        <v>3729</v>
      </c>
      <c r="V914" s="301" t="s">
        <v>78</v>
      </c>
      <c r="W914" s="301" t="s">
        <v>6647</v>
      </c>
      <c r="X914" s="371">
        <v>44431.0</v>
      </c>
      <c r="Y914" s="371">
        <v>44434.0</v>
      </c>
      <c r="Z914" s="372"/>
      <c r="AA914" s="373" t="s">
        <v>3448</v>
      </c>
      <c r="AB914" s="374">
        <v>44390.0</v>
      </c>
      <c r="AC914" s="373" t="s">
        <v>3448</v>
      </c>
      <c r="AD914" s="374">
        <v>44421.0</v>
      </c>
      <c r="AE914" s="373" t="s">
        <v>3682</v>
      </c>
      <c r="AF914" s="374">
        <v>44431.0</v>
      </c>
      <c r="AG914" s="373" t="s">
        <v>3448</v>
      </c>
      <c r="AH914" s="374">
        <v>44450.0</v>
      </c>
      <c r="AI914" s="375"/>
      <c r="AJ914" s="375"/>
      <c r="AK914" s="373" t="s">
        <v>3719</v>
      </c>
      <c r="AL914" s="373" t="s">
        <v>1947</v>
      </c>
      <c r="AM914" s="373" t="s">
        <v>3729</v>
      </c>
      <c r="AN914" s="373" t="s">
        <v>2418</v>
      </c>
      <c r="AO914" s="375"/>
      <c r="AP914" s="376" t="s">
        <v>3686</v>
      </c>
      <c r="AQ914" s="375"/>
    </row>
    <row r="915">
      <c r="A915" s="257" t="s">
        <v>3027</v>
      </c>
      <c r="B915" s="257" t="s">
        <v>3028</v>
      </c>
      <c r="C915" s="257" t="str">
        <f>VLOOKUP(A915,import!A:J,3,0)</f>
        <v>DOĞRU</v>
      </c>
      <c r="D915" s="257" t="s">
        <v>3801</v>
      </c>
      <c r="E915" s="257">
        <f>VLOOKUP(A915,import!A:J,5,0)</f>
        <v>63</v>
      </c>
      <c r="F915" s="257">
        <f>VLOOKUP(A915,import!A:J,6,0)</f>
        <v>6</v>
      </c>
      <c r="G915" s="257">
        <f>VLOOKUP(A915,import!A:J,7,0)</f>
        <v>7</v>
      </c>
      <c r="H915" s="257">
        <f>VLOOKUP(A915,import!A:J,8,0)</f>
        <v>1</v>
      </c>
      <c r="I915" s="257">
        <f>VLOOKUP(A915,import!A:J,9,0)</f>
        <v>8</v>
      </c>
      <c r="J915" s="369">
        <f>VLOOKUP(A915,import!A:J,10,0)</f>
        <v>0.88</v>
      </c>
      <c r="K915" s="257" t="s">
        <v>6648</v>
      </c>
      <c r="L915" s="257">
        <v>5.441303101E9</v>
      </c>
      <c r="M915" s="257" t="s">
        <v>286</v>
      </c>
      <c r="N915" s="257" t="s">
        <v>3688</v>
      </c>
      <c r="O915" s="257" t="s">
        <v>6649</v>
      </c>
      <c r="P915" s="370" t="str">
        <f>VLOOKUP(A915,import!A:P,16,0)</f>
        <v>Geleneksel</v>
      </c>
      <c r="Q915" s="370"/>
      <c r="R915" s="370" t="b">
        <v>1</v>
      </c>
      <c r="S915" s="370" t="b">
        <v>0</v>
      </c>
      <c r="T915" s="301" t="s">
        <v>3679</v>
      </c>
      <c r="U915" s="301" t="s">
        <v>2576</v>
      </c>
      <c r="V915" s="301" t="s">
        <v>78</v>
      </c>
      <c r="W915" s="301" t="s">
        <v>6650</v>
      </c>
      <c r="X915" s="371">
        <v>44505.0</v>
      </c>
      <c r="Y915" s="371">
        <v>44508.0</v>
      </c>
      <c r="Z915" s="372"/>
      <c r="AA915" s="373" t="s">
        <v>3682</v>
      </c>
      <c r="AB915" s="374">
        <v>44505.0</v>
      </c>
      <c r="AC915" s="373"/>
      <c r="AD915" s="374"/>
      <c r="AE915" s="373"/>
      <c r="AF915" s="374"/>
      <c r="AG915" s="373"/>
      <c r="AH915" s="374"/>
      <c r="AI915" s="375"/>
      <c r="AJ915" s="375"/>
      <c r="AK915" s="373" t="s">
        <v>2576</v>
      </c>
      <c r="AL915" s="375"/>
      <c r="AM915" s="375"/>
      <c r="AN915" s="373"/>
      <c r="AO915" s="375"/>
      <c r="AP915" s="376" t="s">
        <v>3686</v>
      </c>
      <c r="AQ915" s="375"/>
    </row>
    <row r="916">
      <c r="A916" s="257" t="s">
        <v>6651</v>
      </c>
      <c r="B916" s="257" t="s">
        <v>6652</v>
      </c>
      <c r="C916" s="257" t="str">
        <f>VLOOKUP(A916,import!A:J,3,0)</f>
        <v>DOĞRU</v>
      </c>
      <c r="D916" s="257" t="s">
        <v>3842</v>
      </c>
      <c r="E916" s="257">
        <f>VLOOKUP(A916,import!A:J,5,0)</f>
        <v>142</v>
      </c>
      <c r="F916" s="257">
        <f>VLOOKUP(A916,import!A:J,6,0)</f>
        <v>22</v>
      </c>
      <c r="G916" s="257">
        <f>VLOOKUP(A916,import!A:J,7,0)</f>
        <v>0</v>
      </c>
      <c r="H916" s="257">
        <f>VLOOKUP(A916,import!A:J,8,0)</f>
        <v>22</v>
      </c>
      <c r="I916" s="257">
        <f>VLOOKUP(A916,import!A:J,9,0)</f>
        <v>22</v>
      </c>
      <c r="J916" s="369">
        <f>VLOOKUP(A916,import!A:J,10,0)</f>
        <v>0</v>
      </c>
      <c r="K916" s="257" t="s">
        <v>6653</v>
      </c>
      <c r="L916" s="257">
        <v>5.303800968E9</v>
      </c>
      <c r="M916" s="257" t="s">
        <v>14</v>
      </c>
      <c r="N916" s="257" t="s">
        <v>3935</v>
      </c>
      <c r="O916" s="257" t="s">
        <v>6654</v>
      </c>
      <c r="P916" s="370" t="str">
        <f>VLOOKUP(A916,import!A:P,16,0)</f>
        <v>Geleneksel</v>
      </c>
      <c r="Q916" s="370"/>
      <c r="R916" s="370" t="b">
        <v>0</v>
      </c>
      <c r="S916" s="370" t="b">
        <v>0</v>
      </c>
      <c r="T916" s="301"/>
      <c r="U916" s="301"/>
      <c r="V916" s="301"/>
      <c r="W916" s="301" t="s">
        <v>6655</v>
      </c>
      <c r="X916" s="371"/>
      <c r="Y916" s="371"/>
      <c r="Z916" s="372"/>
      <c r="AA916" s="373" t="s">
        <v>3682</v>
      </c>
      <c r="AB916" s="371">
        <v>44632.0</v>
      </c>
      <c r="AC916" s="373"/>
      <c r="AD916" s="374"/>
      <c r="AE916" s="373"/>
      <c r="AF916" s="374"/>
      <c r="AG916" s="373"/>
      <c r="AH916" s="374"/>
      <c r="AI916" s="373"/>
      <c r="AJ916" s="374"/>
      <c r="AK916" s="373" t="s">
        <v>2542</v>
      </c>
      <c r="AL916" s="373"/>
      <c r="AM916" s="373"/>
      <c r="AN916" s="373"/>
      <c r="AO916" s="373"/>
      <c r="AP916" s="376"/>
      <c r="AQ916" s="373"/>
    </row>
    <row r="917">
      <c r="A917" s="257" t="s">
        <v>3605</v>
      </c>
      <c r="B917" s="257" t="s">
        <v>3606</v>
      </c>
      <c r="C917" s="257" t="str">
        <f>VLOOKUP(A917,import!A:J,3,0)</f>
        <v>DOĞRU</v>
      </c>
      <c r="D917" s="257" t="s">
        <v>3842</v>
      </c>
      <c r="E917" s="257">
        <f>VLOOKUP(A917,import!A:J,5,0)</f>
        <v>89</v>
      </c>
      <c r="F917" s="257">
        <f>VLOOKUP(A917,import!A:J,6,0)</f>
        <v>6</v>
      </c>
      <c r="G917" s="257">
        <f>VLOOKUP(A917,import!A:J,7,0)</f>
        <v>0</v>
      </c>
      <c r="H917" s="257">
        <f>VLOOKUP(A917,import!A:J,8,0)</f>
        <v>7</v>
      </c>
      <c r="I917" s="257">
        <f>VLOOKUP(A917,import!A:J,9,0)</f>
        <v>7</v>
      </c>
      <c r="J917" s="369">
        <f>VLOOKUP(A917,import!A:J,10,0)</f>
        <v>0</v>
      </c>
      <c r="K917" s="257" t="s">
        <v>6656</v>
      </c>
      <c r="L917" s="257">
        <v>5.424223177E9</v>
      </c>
      <c r="M917" s="257" t="s">
        <v>286</v>
      </c>
      <c r="N917" s="257" t="s">
        <v>4956</v>
      </c>
      <c r="O917" s="257" t="s">
        <v>3608</v>
      </c>
      <c r="P917" s="370" t="str">
        <f>VLOOKUP(A917,import!A:P,16,0)</f>
        <v>Geleneksel</v>
      </c>
      <c r="Q917" s="370"/>
      <c r="R917" s="370" t="b">
        <v>1</v>
      </c>
      <c r="S917" s="370" t="b">
        <v>0</v>
      </c>
      <c r="T917" s="301" t="s">
        <v>3679</v>
      </c>
      <c r="U917" s="301" t="s">
        <v>2542</v>
      </c>
      <c r="V917" s="394" t="s">
        <v>3331</v>
      </c>
      <c r="W917" s="301"/>
      <c r="X917" s="371">
        <v>44638.0</v>
      </c>
      <c r="Y917" s="371">
        <v>44641.0</v>
      </c>
      <c r="Z917" s="372"/>
      <c r="AA917" s="373" t="s">
        <v>3682</v>
      </c>
      <c r="AB917" s="371">
        <v>44638.0</v>
      </c>
      <c r="AC917" s="373"/>
      <c r="AD917" s="374"/>
      <c r="AE917" s="373"/>
      <c r="AF917" s="374"/>
      <c r="AG917" s="373"/>
      <c r="AH917" s="374"/>
      <c r="AI917" s="375"/>
      <c r="AJ917" s="375"/>
      <c r="AK917" s="373" t="s">
        <v>2542</v>
      </c>
      <c r="AL917" s="375"/>
      <c r="AM917" s="375"/>
      <c r="AN917" s="373"/>
      <c r="AO917" s="375"/>
      <c r="AP917" s="376"/>
      <c r="AQ917" s="375"/>
    </row>
    <row r="918">
      <c r="A918" s="257" t="s">
        <v>1720</v>
      </c>
      <c r="B918" s="257" t="s">
        <v>1721</v>
      </c>
      <c r="C918" s="257" t="str">
        <f>VLOOKUP(A918,import!A:J,3,0)</f>
        <v>DOĞRU</v>
      </c>
      <c r="D918" s="257" t="s">
        <v>3676</v>
      </c>
      <c r="E918" s="257">
        <f>VLOOKUP(A918,import!A:J,5,0)</f>
        <v>4734</v>
      </c>
      <c r="F918" s="257">
        <f>VLOOKUP(A918,import!A:J,6,0)</f>
        <v>51</v>
      </c>
      <c r="G918" s="257">
        <f>VLOOKUP(A918,import!A:J,7,0)</f>
        <v>8</v>
      </c>
      <c r="H918" s="257">
        <f>VLOOKUP(A918,import!A:J,8,0)</f>
        <v>1</v>
      </c>
      <c r="I918" s="257">
        <f>VLOOKUP(A918,import!A:J,9,0)</f>
        <v>9</v>
      </c>
      <c r="J918" s="369">
        <f>VLOOKUP(A918,import!A:J,10,0)</f>
        <v>0.89</v>
      </c>
      <c r="K918" s="257" t="s">
        <v>6657</v>
      </c>
      <c r="L918" s="257">
        <v>5.524831701E9</v>
      </c>
      <c r="M918" s="257" t="s">
        <v>286</v>
      </c>
      <c r="N918" s="257" t="s">
        <v>4057</v>
      </c>
      <c r="O918" s="257" t="s">
        <v>1724</v>
      </c>
      <c r="P918" s="370" t="str">
        <f>VLOOKUP(A918,import!A:P,16,0)</f>
        <v>Geleneksel</v>
      </c>
      <c r="Q918" s="370"/>
      <c r="R918" s="370" t="b">
        <v>1</v>
      </c>
      <c r="S918" s="370" t="b">
        <v>0</v>
      </c>
      <c r="T918" s="301" t="s">
        <v>3679</v>
      </c>
      <c r="U918" s="301" t="s">
        <v>3752</v>
      </c>
      <c r="V918" s="301" t="s">
        <v>78</v>
      </c>
      <c r="W918" s="301"/>
      <c r="X918" s="371">
        <v>44407.0</v>
      </c>
      <c r="Y918" s="371">
        <v>44412.0</v>
      </c>
      <c r="Z918" s="372"/>
      <c r="AA918" s="373" t="s">
        <v>3682</v>
      </c>
      <c r="AB918" s="374">
        <v>44407.0</v>
      </c>
      <c r="AC918" s="375"/>
      <c r="AD918" s="375"/>
      <c r="AE918" s="92"/>
      <c r="AF918" s="375"/>
      <c r="AG918" s="92"/>
      <c r="AH918" s="375"/>
      <c r="AI918" s="375"/>
      <c r="AJ918" s="375"/>
      <c r="AK918" s="375"/>
      <c r="AL918" s="375"/>
      <c r="AM918" s="375"/>
      <c r="AN918" s="375"/>
      <c r="AO918" s="375"/>
      <c r="AP918" s="376" t="s">
        <v>3686</v>
      </c>
      <c r="AQ918" s="375"/>
    </row>
    <row r="919">
      <c r="A919" s="257" t="s">
        <v>3089</v>
      </c>
      <c r="B919" s="257" t="s">
        <v>3090</v>
      </c>
      <c r="C919" s="257" t="str">
        <f>VLOOKUP(A919,import!A:J,3,0)</f>
        <v>DOĞRU</v>
      </c>
      <c r="D919" s="257" t="s">
        <v>3690</v>
      </c>
      <c r="E919" s="257">
        <f>VLOOKUP(A919,import!A:J,5,0)</f>
        <v>808</v>
      </c>
      <c r="F919" s="257">
        <f>VLOOKUP(A919,import!A:J,6,0)</f>
        <v>57</v>
      </c>
      <c r="G919" s="257">
        <f>VLOOKUP(A919,import!A:J,7,0)</f>
        <v>6</v>
      </c>
      <c r="H919" s="257">
        <f>VLOOKUP(A919,import!A:J,8,0)</f>
        <v>6</v>
      </c>
      <c r="I919" s="257">
        <f>VLOOKUP(A919,import!A:J,9,0)</f>
        <v>12</v>
      </c>
      <c r="J919" s="369">
        <f>VLOOKUP(A919,import!A:J,10,0)</f>
        <v>0.5</v>
      </c>
      <c r="K919" s="257" t="s">
        <v>6658</v>
      </c>
      <c r="L919" s="257">
        <v>5.461730133E9</v>
      </c>
      <c r="M919" s="257" t="s">
        <v>286</v>
      </c>
      <c r="N919" s="257" t="s">
        <v>3769</v>
      </c>
      <c r="O919" s="257" t="s">
        <v>3092</v>
      </c>
      <c r="P919" s="370" t="s">
        <v>3941</v>
      </c>
      <c r="Q919" s="370"/>
      <c r="R919" s="370" t="b">
        <v>1</v>
      </c>
      <c r="S919" s="370" t="b">
        <v>0</v>
      </c>
      <c r="T919" s="301" t="s">
        <v>3679</v>
      </c>
      <c r="U919" s="301" t="s">
        <v>2282</v>
      </c>
      <c r="V919" s="301" t="s">
        <v>78</v>
      </c>
      <c r="W919" s="301" t="s">
        <v>6659</v>
      </c>
      <c r="X919" s="371">
        <v>44512.0</v>
      </c>
      <c r="Y919" s="371">
        <v>44512.0</v>
      </c>
      <c r="Z919" s="372"/>
      <c r="AA919" s="373" t="s">
        <v>3682</v>
      </c>
      <c r="AB919" s="374">
        <v>44502.0</v>
      </c>
      <c r="AC919" s="373" t="s">
        <v>3682</v>
      </c>
      <c r="AD919" s="374">
        <v>44502.0</v>
      </c>
      <c r="AE919" s="373" t="s">
        <v>3682</v>
      </c>
      <c r="AF919" s="374">
        <v>44512.0</v>
      </c>
      <c r="AG919" s="373"/>
      <c r="AH919" s="374"/>
      <c r="AI919" s="375"/>
      <c r="AJ919" s="375"/>
      <c r="AK919" s="373" t="s">
        <v>2542</v>
      </c>
      <c r="AL919" s="373" t="s">
        <v>2542</v>
      </c>
      <c r="AM919" s="373" t="s">
        <v>2282</v>
      </c>
      <c r="AN919" s="373"/>
      <c r="AO919" s="375"/>
      <c r="AP919" s="376" t="s">
        <v>3686</v>
      </c>
      <c r="AQ919" s="375"/>
    </row>
    <row r="920">
      <c r="A920" s="257" t="s">
        <v>6660</v>
      </c>
      <c r="B920" s="257" t="s">
        <v>6661</v>
      </c>
      <c r="C920" s="257" t="str">
        <f>VLOOKUP(A920,import!A:J,3,0)</f>
        <v>DOĞRU</v>
      </c>
      <c r="D920" s="257" t="s">
        <v>3690</v>
      </c>
      <c r="E920" s="257">
        <f>VLOOKUP(A920,import!A:J,5,0)</f>
        <v>110</v>
      </c>
      <c r="F920" s="257" t="str">
        <f>VLOOKUP(A920,import!A:J,6,0)</f>
        <v/>
      </c>
      <c r="G920" s="257">
        <f>VLOOKUP(A920,import!A:J,7,0)</f>
        <v>0</v>
      </c>
      <c r="H920" s="257">
        <f>VLOOKUP(A920,import!A:J,8,0)</f>
        <v>49</v>
      </c>
      <c r="I920" s="257">
        <f>VLOOKUP(A920,import!A:J,9,0)</f>
        <v>49</v>
      </c>
      <c r="J920" s="369">
        <f>VLOOKUP(A920,import!A:J,10,0)</f>
        <v>0</v>
      </c>
      <c r="K920" s="257" t="s">
        <v>6662</v>
      </c>
      <c r="L920" s="257">
        <v>3.225045454E9</v>
      </c>
      <c r="M920" s="257" t="s">
        <v>286</v>
      </c>
      <c r="N920" s="257" t="s">
        <v>3769</v>
      </c>
      <c r="O920" s="257" t="s">
        <v>6663</v>
      </c>
      <c r="P920" s="370" t="str">
        <f>VLOOKUP(A920,import!A:P,16,0)</f>
        <v>Geleneksel</v>
      </c>
      <c r="Q920" s="370"/>
      <c r="R920" s="370" t="b">
        <v>1</v>
      </c>
      <c r="S920" s="370" t="b">
        <v>0</v>
      </c>
      <c r="T920" s="301"/>
      <c r="U920" s="301"/>
      <c r="V920" s="301"/>
      <c r="W920" s="301" t="s">
        <v>6664</v>
      </c>
      <c r="X920" s="371"/>
      <c r="Y920" s="371"/>
      <c r="Z920" s="372"/>
      <c r="AA920" s="373" t="s">
        <v>3682</v>
      </c>
      <c r="AB920" s="371">
        <v>44641.0</v>
      </c>
      <c r="AC920" s="373"/>
      <c r="AD920" s="374"/>
      <c r="AE920" s="373"/>
      <c r="AF920" s="374"/>
      <c r="AG920" s="373"/>
      <c r="AH920" s="374"/>
      <c r="AI920" s="373"/>
      <c r="AJ920" s="374"/>
      <c r="AK920" s="373" t="s">
        <v>2542</v>
      </c>
      <c r="AL920" s="373"/>
      <c r="AM920" s="373"/>
      <c r="AN920" s="373"/>
      <c r="AO920" s="373"/>
      <c r="AP920" s="376"/>
      <c r="AQ920" s="373"/>
    </row>
    <row r="921">
      <c r="A921" s="257" t="s">
        <v>6665</v>
      </c>
      <c r="B921" s="257" t="s">
        <v>6666</v>
      </c>
      <c r="C921" s="257" t="str">
        <f>VLOOKUP(A921,import!A:J,3,0)</f>
        <v>DOĞRU</v>
      </c>
      <c r="D921" s="257" t="s">
        <v>3713</v>
      </c>
      <c r="E921" s="257">
        <f>VLOOKUP(A921,import!A:J,5,0)</f>
        <v>601</v>
      </c>
      <c r="F921" s="257">
        <f>VLOOKUP(A921,import!A:J,6,0)</f>
        <v>33</v>
      </c>
      <c r="G921" s="257">
        <f>VLOOKUP(A921,import!A:J,7,0)</f>
        <v>0</v>
      </c>
      <c r="H921" s="257">
        <f>VLOOKUP(A921,import!A:J,8,0)</f>
        <v>12</v>
      </c>
      <c r="I921" s="257">
        <f>VLOOKUP(A921,import!A:J,9,0)</f>
        <v>12</v>
      </c>
      <c r="J921" s="369">
        <f>VLOOKUP(A921,import!A:J,10,0)</f>
        <v>0</v>
      </c>
      <c r="K921" s="257" t="s">
        <v>6667</v>
      </c>
      <c r="L921" s="257">
        <v>3.224542425E9</v>
      </c>
      <c r="M921" s="257" t="s">
        <v>286</v>
      </c>
      <c r="N921" s="257" t="s">
        <v>3806</v>
      </c>
      <c r="O921" s="257" t="s">
        <v>6668</v>
      </c>
      <c r="P921" s="370" t="str">
        <f>VLOOKUP(A921,import!A:P,16,0)</f>
        <v>Geleneksel</v>
      </c>
      <c r="Q921" s="370"/>
      <c r="R921" s="370" t="b">
        <v>1</v>
      </c>
      <c r="S921" s="370" t="b">
        <v>0</v>
      </c>
      <c r="T921" s="301" t="s">
        <v>3710</v>
      </c>
      <c r="U921" s="379"/>
      <c r="V921" s="379"/>
      <c r="W921" s="301" t="s">
        <v>6669</v>
      </c>
      <c r="X921" s="381"/>
      <c r="Y921" s="381"/>
      <c r="Z921" s="372"/>
      <c r="AA921" s="373" t="s">
        <v>3681</v>
      </c>
      <c r="AB921" s="374">
        <v>44474.0</v>
      </c>
      <c r="AC921" s="373" t="s">
        <v>3682</v>
      </c>
      <c r="AD921" s="374">
        <v>44483.0</v>
      </c>
      <c r="AE921" s="373" t="s">
        <v>3695</v>
      </c>
      <c r="AF921" s="374">
        <v>44502.0</v>
      </c>
      <c r="AG921" s="373" t="s">
        <v>3696</v>
      </c>
      <c r="AH921" s="374">
        <v>44508.0</v>
      </c>
      <c r="AI921" s="373" t="s">
        <v>3695</v>
      </c>
      <c r="AJ921" s="374">
        <v>44511.0</v>
      </c>
      <c r="AK921" s="373" t="s">
        <v>79</v>
      </c>
      <c r="AL921" s="373" t="s">
        <v>2542</v>
      </c>
      <c r="AM921" s="373" t="s">
        <v>2542</v>
      </c>
      <c r="AN921" s="373" t="s">
        <v>2192</v>
      </c>
      <c r="AO921" s="373" t="s">
        <v>2941</v>
      </c>
      <c r="AP921" s="376" t="s">
        <v>3686</v>
      </c>
      <c r="AQ921" s="373"/>
    </row>
    <row r="922">
      <c r="A922" s="257" t="s">
        <v>6670</v>
      </c>
      <c r="B922" s="257" t="s">
        <v>6671</v>
      </c>
      <c r="C922" s="257" t="str">
        <f>VLOOKUP(A922,import!A:J,3,0)</f>
        <v>DOĞRU</v>
      </c>
      <c r="D922" s="257" t="s">
        <v>4000</v>
      </c>
      <c r="E922" s="257">
        <f>VLOOKUP(A922,import!A:J,5,0)</f>
        <v>153</v>
      </c>
      <c r="F922" s="257">
        <f>VLOOKUP(A922,import!A:J,6,0)</f>
        <v>88</v>
      </c>
      <c r="G922" s="257">
        <f>VLOOKUP(A922,import!A:J,7,0)</f>
        <v>0</v>
      </c>
      <c r="H922" s="257">
        <f>VLOOKUP(A922,import!A:J,8,0)</f>
        <v>19</v>
      </c>
      <c r="I922" s="257">
        <f>VLOOKUP(A922,import!A:J,9,0)</f>
        <v>19</v>
      </c>
      <c r="J922" s="369">
        <f>VLOOKUP(A922,import!A:J,10,0)</f>
        <v>0</v>
      </c>
      <c r="K922" s="257" t="s">
        <v>6672</v>
      </c>
      <c r="L922" s="257">
        <v>3.229995069E9</v>
      </c>
      <c r="M922" s="257" t="s">
        <v>14</v>
      </c>
      <c r="N922" s="257" t="s">
        <v>3733</v>
      </c>
      <c r="O922" s="257" t="s">
        <v>3279</v>
      </c>
      <c r="P922" s="370" t="str">
        <f>VLOOKUP(A922,import!A:P,16,0)</f>
        <v>Geleneksel</v>
      </c>
      <c r="Q922" s="370"/>
      <c r="R922" s="370" t="b">
        <v>0</v>
      </c>
      <c r="S922" s="370" t="b">
        <v>0</v>
      </c>
      <c r="T922" s="301"/>
      <c r="U922" s="301"/>
      <c r="V922" s="301"/>
      <c r="W922" s="301"/>
      <c r="X922" s="371"/>
      <c r="Y922" s="371"/>
      <c r="Z922" s="372"/>
      <c r="AA922" s="373"/>
      <c r="AB922" s="374"/>
      <c r="AC922" s="373"/>
      <c r="AD922" s="374"/>
      <c r="AE922" s="373"/>
      <c r="AF922" s="374"/>
      <c r="AG922" s="373"/>
      <c r="AH922" s="374"/>
      <c r="AI922" s="373"/>
      <c r="AJ922" s="374"/>
      <c r="AK922" s="373"/>
      <c r="AL922" s="373"/>
      <c r="AM922" s="373"/>
      <c r="AN922" s="373"/>
      <c r="AO922" s="373"/>
      <c r="AP922" s="376"/>
      <c r="AQ922" s="373"/>
    </row>
    <row r="923">
      <c r="A923" s="257" t="s">
        <v>6673</v>
      </c>
      <c r="B923" s="257" t="s">
        <v>6674</v>
      </c>
      <c r="C923" s="257" t="str">
        <f>VLOOKUP(A923,import!A:J,3,0)</f>
        <v>DOĞRU</v>
      </c>
      <c r="D923" s="257" t="s">
        <v>4000</v>
      </c>
      <c r="E923" s="257">
        <f>VLOOKUP(A923,import!A:J,5,0)</f>
        <v>1595</v>
      </c>
      <c r="F923" s="257">
        <f>VLOOKUP(A923,import!A:J,6,0)</f>
        <v>57</v>
      </c>
      <c r="G923" s="257">
        <f>VLOOKUP(A923,import!A:J,7,0)</f>
        <v>0</v>
      </c>
      <c r="H923" s="257">
        <f>VLOOKUP(A923,import!A:J,8,0)</f>
        <v>75</v>
      </c>
      <c r="I923" s="257">
        <f>VLOOKUP(A923,import!A:J,9,0)</f>
        <v>75</v>
      </c>
      <c r="J923" s="369">
        <f>VLOOKUP(A923,import!A:J,10,0)</f>
        <v>0</v>
      </c>
      <c r="K923" s="257" t="s">
        <v>6675</v>
      </c>
      <c r="L923" s="257">
        <v>8.508402855E9</v>
      </c>
      <c r="M923" s="257" t="s">
        <v>286</v>
      </c>
      <c r="N923" s="257" t="s">
        <v>3737</v>
      </c>
      <c r="O923" s="257" t="s">
        <v>6676</v>
      </c>
      <c r="P923" s="370" t="str">
        <f>VLOOKUP(A923,import!A:P,16,0)</f>
        <v>Geleneksel</v>
      </c>
      <c r="Q923" s="370"/>
      <c r="R923" s="370" t="b">
        <v>1</v>
      </c>
      <c r="S923" s="370" t="b">
        <v>1</v>
      </c>
      <c r="T923" s="301"/>
      <c r="U923" s="379"/>
      <c r="V923" s="379"/>
      <c r="W923" s="301" t="s">
        <v>6677</v>
      </c>
      <c r="X923" s="381"/>
      <c r="Y923" s="381"/>
      <c r="Z923" s="372"/>
      <c r="AA923" s="373" t="s">
        <v>3682</v>
      </c>
      <c r="AB923" s="374">
        <v>44539.0</v>
      </c>
      <c r="AC923" s="375"/>
      <c r="AD923" s="375"/>
      <c r="AE923" s="92"/>
      <c r="AF923" s="375"/>
      <c r="AG923" s="92"/>
      <c r="AH923" s="375"/>
      <c r="AI923" s="375"/>
      <c r="AJ923" s="375"/>
      <c r="AK923" s="373" t="s">
        <v>3213</v>
      </c>
      <c r="AL923" s="375"/>
      <c r="AM923" s="375"/>
      <c r="AN923" s="375"/>
      <c r="AO923" s="375"/>
      <c r="AP923" s="376" t="s">
        <v>3683</v>
      </c>
      <c r="AQ923" s="375"/>
    </row>
    <row r="924">
      <c r="A924" s="257" t="s">
        <v>2701</v>
      </c>
      <c r="B924" s="257" t="s">
        <v>2702</v>
      </c>
      <c r="C924" s="257" t="str">
        <f>VLOOKUP(A924,import!A:J,3,0)</f>
        <v>DOĞRU</v>
      </c>
      <c r="D924" s="257" t="s">
        <v>4000</v>
      </c>
      <c r="E924" s="257">
        <f>VLOOKUP(A924,import!A:J,5,0)</f>
        <v>2607</v>
      </c>
      <c r="F924" s="257">
        <f>VLOOKUP(A924,import!A:J,6,0)</f>
        <v>72</v>
      </c>
      <c r="G924" s="257">
        <f>VLOOKUP(A924,import!A:J,7,0)</f>
        <v>4</v>
      </c>
      <c r="H924" s="257">
        <f>VLOOKUP(A924,import!A:J,8,0)</f>
        <v>68</v>
      </c>
      <c r="I924" s="257">
        <f>VLOOKUP(A924,import!A:J,9,0)</f>
        <v>72</v>
      </c>
      <c r="J924" s="369">
        <f>VLOOKUP(A924,import!A:J,10,0)</f>
        <v>0.06</v>
      </c>
      <c r="K924" s="257" t="s">
        <v>6678</v>
      </c>
      <c r="L924" s="257">
        <v>8.508402855E9</v>
      </c>
      <c r="M924" s="257" t="s">
        <v>14</v>
      </c>
      <c r="N924" s="257" t="s">
        <v>3797</v>
      </c>
      <c r="O924" s="257" t="s">
        <v>2704</v>
      </c>
      <c r="P924" s="370" t="str">
        <f>VLOOKUP(A924,import!A:P,16,0)</f>
        <v>Geleneksel</v>
      </c>
      <c r="Q924" s="370"/>
      <c r="R924" s="370" t="b">
        <v>1</v>
      </c>
      <c r="S924" s="370" t="b">
        <v>0</v>
      </c>
      <c r="T924" s="301" t="s">
        <v>3679</v>
      </c>
      <c r="U924" s="301" t="s">
        <v>2282</v>
      </c>
      <c r="V924" s="301" t="s">
        <v>78</v>
      </c>
      <c r="W924" s="301">
        <v>5.459579275E9</v>
      </c>
      <c r="X924" s="371">
        <v>44469.0</v>
      </c>
      <c r="Y924" s="371">
        <v>44470.0</v>
      </c>
      <c r="Z924" s="372"/>
      <c r="AA924" s="373" t="s">
        <v>3682</v>
      </c>
      <c r="AB924" s="374">
        <v>44408.0</v>
      </c>
      <c r="AC924" s="373" t="s">
        <v>3682</v>
      </c>
      <c r="AD924" s="374">
        <v>44469.0</v>
      </c>
      <c r="AE924" s="92"/>
      <c r="AF924" s="375"/>
      <c r="AG924" s="92"/>
      <c r="AH924" s="375"/>
      <c r="AI924" s="375"/>
      <c r="AJ924" s="375"/>
      <c r="AK924" s="373" t="s">
        <v>4088</v>
      </c>
      <c r="AL924" s="373" t="s">
        <v>2282</v>
      </c>
      <c r="AM924" s="375"/>
      <c r="AN924" s="375"/>
      <c r="AO924" s="375"/>
      <c r="AP924" s="376" t="s">
        <v>3683</v>
      </c>
      <c r="AQ924" s="375"/>
    </row>
    <row r="925">
      <c r="A925" s="376" t="s">
        <v>6679</v>
      </c>
      <c r="B925" s="376" t="s">
        <v>6680</v>
      </c>
      <c r="C925" s="257" t="str">
        <f>VLOOKUP(A925,import!A:J,3,0)</f>
        <v>DOĞRU</v>
      </c>
      <c r="D925" s="376" t="s">
        <v>3749</v>
      </c>
      <c r="E925" s="257" t="str">
        <f>VLOOKUP(A925,import!A:J,5,0)</f>
        <v/>
      </c>
      <c r="F925" s="257" t="str">
        <f>VLOOKUP(A925,import!A:J,6,0)</f>
        <v/>
      </c>
      <c r="G925" s="257">
        <f>VLOOKUP(A925,import!A:J,7,0)</f>
        <v>0</v>
      </c>
      <c r="H925" s="257">
        <f>VLOOKUP(A925,import!A:J,8,0)</f>
        <v>34</v>
      </c>
      <c r="I925" s="257">
        <f>VLOOKUP(A925,import!A:J,9,0)</f>
        <v>34</v>
      </c>
      <c r="J925" s="369">
        <f>VLOOKUP(A925,import!A:J,10,0)</f>
        <v>0</v>
      </c>
      <c r="K925" s="376" t="s">
        <v>6681</v>
      </c>
      <c r="L925" s="376">
        <v>5.527434173E9</v>
      </c>
      <c r="M925" s="376" t="s">
        <v>286</v>
      </c>
      <c r="N925" s="376" t="s">
        <v>3758</v>
      </c>
      <c r="O925" s="376" t="s">
        <v>6682</v>
      </c>
      <c r="P925" s="370" t="str">
        <f>VLOOKUP(A925,import!A:P,16,0)</f>
        <v>Geleneksel</v>
      </c>
      <c r="Q925" s="370"/>
      <c r="R925" s="370" t="b">
        <v>0</v>
      </c>
      <c r="S925" s="370" t="b">
        <v>0</v>
      </c>
      <c r="T925" s="301"/>
      <c r="U925" s="301"/>
      <c r="V925" s="301"/>
      <c r="W925" s="301"/>
      <c r="X925" s="371"/>
      <c r="Y925" s="371"/>
      <c r="Z925" s="372"/>
      <c r="AA925" s="373"/>
      <c r="AB925" s="374"/>
      <c r="AC925" s="373"/>
      <c r="AD925" s="374"/>
      <c r="AE925" s="373"/>
      <c r="AF925" s="374"/>
      <c r="AG925" s="373"/>
      <c r="AH925" s="374"/>
      <c r="AI925" s="373"/>
      <c r="AJ925" s="374"/>
      <c r="AK925" s="373"/>
      <c r="AL925" s="373"/>
      <c r="AM925" s="373"/>
      <c r="AN925" s="373"/>
      <c r="AO925" s="373"/>
      <c r="AP925" s="376"/>
      <c r="AQ925" s="373"/>
    </row>
    <row r="926">
      <c r="A926" s="257" t="s">
        <v>6683</v>
      </c>
      <c r="B926" s="257" t="s">
        <v>6684</v>
      </c>
      <c r="C926" s="257" t="str">
        <f>VLOOKUP(A926,import!A:J,3,0)</f>
        <v>YANLIŞ</v>
      </c>
      <c r="D926" s="257" t="s">
        <v>3994</v>
      </c>
      <c r="E926" s="257">
        <f>VLOOKUP(A926,import!A:J,5,0)</f>
        <v>462</v>
      </c>
      <c r="F926" s="257" t="str">
        <f>VLOOKUP(A926,import!A:J,6,0)</f>
        <v/>
      </c>
      <c r="G926" s="257">
        <f>VLOOKUP(A926,import!A:J,7,0)</f>
        <v>0</v>
      </c>
      <c r="H926" s="257">
        <f>VLOOKUP(A926,import!A:J,8,0)</f>
        <v>31</v>
      </c>
      <c r="I926" s="257">
        <f>VLOOKUP(A926,import!A:J,9,0)</f>
        <v>31</v>
      </c>
      <c r="J926" s="369">
        <f>VLOOKUP(A926,import!A:J,10,0)</f>
        <v>0</v>
      </c>
      <c r="K926" s="257" t="s">
        <v>6685</v>
      </c>
      <c r="L926" s="257">
        <v>3.224582946E9</v>
      </c>
      <c r="M926" s="257" t="s">
        <v>286</v>
      </c>
      <c r="N926" s="257" t="s">
        <v>3737</v>
      </c>
      <c r="O926" s="257" t="s">
        <v>6686</v>
      </c>
      <c r="P926" s="370" t="str">
        <f>VLOOKUP(A926,import!A:P,16,0)</f>
        <v>Geleneksel</v>
      </c>
      <c r="Q926" s="370"/>
      <c r="R926" s="370" t="b">
        <v>1</v>
      </c>
      <c r="S926" s="370" t="b">
        <v>0</v>
      </c>
      <c r="T926" s="301" t="s">
        <v>3770</v>
      </c>
      <c r="U926" s="379"/>
      <c r="V926" s="379"/>
      <c r="W926" s="301" t="s">
        <v>6687</v>
      </c>
      <c r="X926" s="381"/>
      <c r="Y926" s="381"/>
      <c r="Z926" s="372"/>
      <c r="AA926" s="373" t="s">
        <v>3682</v>
      </c>
      <c r="AB926" s="374">
        <v>44378.0</v>
      </c>
      <c r="AC926" s="373" t="s">
        <v>3696</v>
      </c>
      <c r="AD926" s="374">
        <v>44390.0</v>
      </c>
      <c r="AE926" s="373" t="s">
        <v>3682</v>
      </c>
      <c r="AF926" s="374">
        <v>44453.0</v>
      </c>
      <c r="AG926" s="373" t="s">
        <v>3682</v>
      </c>
      <c r="AH926" s="374">
        <v>44454.0</v>
      </c>
      <c r="AI926" s="375"/>
      <c r="AJ926" s="375"/>
      <c r="AK926" s="373" t="s">
        <v>111</v>
      </c>
      <c r="AL926" s="373" t="s">
        <v>3719</v>
      </c>
      <c r="AM926" s="373" t="s">
        <v>2542</v>
      </c>
      <c r="AN926" s="373" t="s">
        <v>2542</v>
      </c>
      <c r="AO926" s="375"/>
      <c r="AP926" s="376" t="s">
        <v>3683</v>
      </c>
      <c r="AQ926" s="375"/>
    </row>
    <row r="927">
      <c r="A927" s="257" t="s">
        <v>3574</v>
      </c>
      <c r="B927" s="257" t="s">
        <v>3575</v>
      </c>
      <c r="C927" s="257" t="str">
        <f>VLOOKUP(A927,import!A:J,3,0)</f>
        <v>DOĞRU</v>
      </c>
      <c r="D927" s="257" t="s">
        <v>3676</v>
      </c>
      <c r="E927" s="257">
        <f>VLOOKUP(A927,import!A:J,5,0)</f>
        <v>245</v>
      </c>
      <c r="F927" s="257">
        <f>VLOOKUP(A927,import!A:J,6,0)</f>
        <v>45</v>
      </c>
      <c r="G927" s="257">
        <f>VLOOKUP(A927,import!A:J,7,0)</f>
        <v>0</v>
      </c>
      <c r="H927" s="257">
        <f>VLOOKUP(A927,import!A:J,8,0)</f>
        <v>27</v>
      </c>
      <c r="I927" s="257">
        <f>VLOOKUP(A927,import!A:J,9,0)</f>
        <v>27</v>
      </c>
      <c r="J927" s="369">
        <f>VLOOKUP(A927,import!A:J,10,0)</f>
        <v>0</v>
      </c>
      <c r="K927" s="257" t="s">
        <v>6688</v>
      </c>
      <c r="L927" s="257">
        <v>5.526655201E9</v>
      </c>
      <c r="M927" s="257" t="s">
        <v>286</v>
      </c>
      <c r="N927" s="257" t="s">
        <v>3746</v>
      </c>
      <c r="O927" s="257" t="s">
        <v>1416</v>
      </c>
      <c r="P927" s="370" t="str">
        <f>VLOOKUP(A927,import!A:P,16,0)</f>
        <v>Geleneksel</v>
      </c>
      <c r="Q927" s="370"/>
      <c r="R927" s="370" t="b">
        <v>1</v>
      </c>
      <c r="S927" s="370" t="b">
        <v>0</v>
      </c>
      <c r="T927" s="301" t="s">
        <v>3679</v>
      </c>
      <c r="U927" s="301" t="s">
        <v>2542</v>
      </c>
      <c r="V927" s="394" t="s">
        <v>3331</v>
      </c>
      <c r="W927" s="301" t="s">
        <v>6689</v>
      </c>
      <c r="X927" s="371">
        <v>44637.0</v>
      </c>
      <c r="Y927" s="371">
        <v>44638.0</v>
      </c>
      <c r="Z927" s="372"/>
      <c r="AA927" s="373" t="s">
        <v>3682</v>
      </c>
      <c r="AB927" s="371">
        <v>44637.0</v>
      </c>
      <c r="AC927" s="373"/>
      <c r="AD927" s="374"/>
      <c r="AE927" s="373"/>
      <c r="AF927" s="374"/>
      <c r="AG927" s="373"/>
      <c r="AH927" s="374"/>
      <c r="AI927" s="373"/>
      <c r="AJ927" s="374"/>
      <c r="AK927" s="373" t="s">
        <v>2542</v>
      </c>
      <c r="AL927" s="373"/>
      <c r="AM927" s="373"/>
      <c r="AN927" s="373"/>
      <c r="AO927" s="373"/>
      <c r="AP927" s="376"/>
      <c r="AQ927" s="373"/>
    </row>
    <row r="928">
      <c r="A928" s="257" t="s">
        <v>1454</v>
      </c>
      <c r="B928" s="257" t="s">
        <v>1455</v>
      </c>
      <c r="C928" s="257" t="str">
        <f>VLOOKUP(A928,import!A:J,3,0)</f>
        <v>DOĞRU</v>
      </c>
      <c r="D928" s="257" t="s">
        <v>3878</v>
      </c>
      <c r="E928" s="257">
        <f>VLOOKUP(A928,import!A:J,5,0)</f>
        <v>335</v>
      </c>
      <c r="F928" s="257">
        <f>VLOOKUP(A928,import!A:J,6,0)</f>
        <v>25</v>
      </c>
      <c r="G928" s="257">
        <f>VLOOKUP(A928,import!A:J,7,0)</f>
        <v>0</v>
      </c>
      <c r="H928" s="257">
        <f>VLOOKUP(A928,import!A:J,8,0)</f>
        <v>37</v>
      </c>
      <c r="I928" s="257">
        <f>VLOOKUP(A928,import!A:J,9,0)</f>
        <v>37</v>
      </c>
      <c r="J928" s="369">
        <f>VLOOKUP(A928,import!A:J,10,0)</f>
        <v>0</v>
      </c>
      <c r="K928" s="257" t="s">
        <v>6690</v>
      </c>
      <c r="L928" s="257">
        <v>5.422575744E9</v>
      </c>
      <c r="M928" s="257" t="s">
        <v>286</v>
      </c>
      <c r="N928" s="257" t="s">
        <v>3806</v>
      </c>
      <c r="O928" s="257" t="s">
        <v>1458</v>
      </c>
      <c r="P928" s="370" t="str">
        <f>VLOOKUP(A928,import!A:P,16,0)</f>
        <v>Geleneksel</v>
      </c>
      <c r="Q928" s="370"/>
      <c r="R928" s="370" t="b">
        <v>1</v>
      </c>
      <c r="S928" s="370" t="b">
        <v>0</v>
      </c>
      <c r="T928" s="301" t="s">
        <v>3770</v>
      </c>
      <c r="U928" s="301" t="s">
        <v>79</v>
      </c>
      <c r="V928" s="301" t="s">
        <v>78</v>
      </c>
      <c r="W928" s="301" t="s">
        <v>6691</v>
      </c>
      <c r="X928" s="371">
        <v>44390.0</v>
      </c>
      <c r="Y928" s="371">
        <v>44392.0</v>
      </c>
      <c r="Z928" s="372"/>
      <c r="AA928" s="373" t="s">
        <v>3448</v>
      </c>
      <c r="AB928" s="374">
        <v>44386.0</v>
      </c>
      <c r="AC928" s="373" t="s">
        <v>3682</v>
      </c>
      <c r="AD928" s="374">
        <v>44386.0</v>
      </c>
      <c r="AE928" s="373" t="s">
        <v>3682</v>
      </c>
      <c r="AF928" s="374">
        <v>44392.0</v>
      </c>
      <c r="AG928" s="373" t="s">
        <v>3681</v>
      </c>
      <c r="AH928" s="374">
        <v>44466.0</v>
      </c>
      <c r="AI928" s="373" t="s">
        <v>3682</v>
      </c>
      <c r="AJ928" s="374">
        <v>44502.0</v>
      </c>
      <c r="AK928" s="373" t="s">
        <v>399</v>
      </c>
      <c r="AL928" s="373" t="s">
        <v>399</v>
      </c>
      <c r="AM928" s="373" t="s">
        <v>4088</v>
      </c>
      <c r="AN928" s="373" t="s">
        <v>2576</v>
      </c>
      <c r="AO928" s="373" t="s">
        <v>2542</v>
      </c>
      <c r="AP928" s="376" t="s">
        <v>3686</v>
      </c>
      <c r="AQ928" s="373"/>
    </row>
    <row r="929">
      <c r="A929" s="257" t="s">
        <v>6692</v>
      </c>
      <c r="B929" s="257" t="s">
        <v>6693</v>
      </c>
      <c r="C929" s="257" t="str">
        <f>VLOOKUP(A929,import!A:J,3,0)</f>
        <v>DOĞRU</v>
      </c>
      <c r="D929" s="257" t="s">
        <v>3676</v>
      </c>
      <c r="E929" s="257">
        <f>VLOOKUP(A929,import!A:J,5,0)</f>
        <v>70</v>
      </c>
      <c r="F929" s="257" t="str">
        <f>VLOOKUP(A929,import!A:J,6,0)</f>
        <v/>
      </c>
      <c r="G929" s="257">
        <f>VLOOKUP(A929,import!A:J,7,0)</f>
        <v>0</v>
      </c>
      <c r="H929" s="257">
        <f>VLOOKUP(A929,import!A:J,8,0)</f>
        <v>9</v>
      </c>
      <c r="I929" s="257">
        <f>VLOOKUP(A929,import!A:J,9,0)</f>
        <v>9</v>
      </c>
      <c r="J929" s="369">
        <f>VLOOKUP(A929,import!A:J,10,0)</f>
        <v>0</v>
      </c>
      <c r="K929" s="257" t="s">
        <v>6694</v>
      </c>
      <c r="L929" s="257">
        <v>5.510145967E9</v>
      </c>
      <c r="M929" s="257" t="s">
        <v>286</v>
      </c>
      <c r="N929" s="257" t="s">
        <v>4217</v>
      </c>
      <c r="O929" s="257" t="s">
        <v>6695</v>
      </c>
      <c r="P929" s="370" t="str">
        <f>VLOOKUP(A929,import!A:P,16,0)</f>
        <v>Geleneksel</v>
      </c>
      <c r="Q929" s="370"/>
      <c r="R929" s="370" t="b">
        <v>1</v>
      </c>
      <c r="S929" s="370" t="b">
        <v>0</v>
      </c>
      <c r="T929" s="301" t="s">
        <v>3770</v>
      </c>
      <c r="U929" s="379"/>
      <c r="V929" s="379"/>
      <c r="W929" s="301" t="s">
        <v>6696</v>
      </c>
      <c r="X929" s="381"/>
      <c r="Y929" s="381"/>
      <c r="Z929" s="372"/>
      <c r="AA929" s="373" t="s">
        <v>3682</v>
      </c>
      <c r="AB929" s="374">
        <v>44427.0</v>
      </c>
      <c r="AC929" s="375"/>
      <c r="AD929" s="375"/>
      <c r="AE929" s="92"/>
      <c r="AF929" s="375"/>
      <c r="AG929" s="92"/>
      <c r="AH929" s="375"/>
      <c r="AI929" s="375"/>
      <c r="AJ929" s="375"/>
      <c r="AK929" s="373" t="s">
        <v>1953</v>
      </c>
      <c r="AL929" s="375"/>
      <c r="AM929" s="375"/>
      <c r="AN929" s="375"/>
      <c r="AO929" s="375"/>
      <c r="AP929" s="376" t="s">
        <v>3686</v>
      </c>
      <c r="AQ929" s="375"/>
    </row>
    <row r="930">
      <c r="A930" s="257" t="s">
        <v>3111</v>
      </c>
      <c r="B930" s="257" t="s">
        <v>3112</v>
      </c>
      <c r="C930" s="257" t="str">
        <f>VLOOKUP(A930,import!A:J,3,0)</f>
        <v>DOĞRU</v>
      </c>
      <c r="D930" s="257" t="s">
        <v>3676</v>
      </c>
      <c r="E930" s="257">
        <f>VLOOKUP(A930,import!A:J,5,0)</f>
        <v>1179</v>
      </c>
      <c r="F930" s="257">
        <f>VLOOKUP(A930,import!A:J,6,0)</f>
        <v>109</v>
      </c>
      <c r="G930" s="257">
        <f>VLOOKUP(A930,import!A:J,7,0)</f>
        <v>50</v>
      </c>
      <c r="H930" s="257">
        <f>VLOOKUP(A930,import!A:J,8,0)</f>
        <v>10</v>
      </c>
      <c r="I930" s="257">
        <f>VLOOKUP(A930,import!A:J,9,0)</f>
        <v>60</v>
      </c>
      <c r="J930" s="369">
        <f>VLOOKUP(A930,import!A:J,10,0)</f>
        <v>0.83</v>
      </c>
      <c r="K930" s="257" t="s">
        <v>6697</v>
      </c>
      <c r="L930" s="257">
        <v>3.2222526E9</v>
      </c>
      <c r="M930" s="257" t="s">
        <v>14</v>
      </c>
      <c r="N930" s="257" t="s">
        <v>3914</v>
      </c>
      <c r="O930" s="257" t="s">
        <v>3114</v>
      </c>
      <c r="P930" s="370" t="str">
        <f>VLOOKUP(A930,import!A:P,16,0)</f>
        <v>Geleneksel</v>
      </c>
      <c r="Q930" s="370"/>
      <c r="R930" s="370" t="b">
        <v>1</v>
      </c>
      <c r="S930" s="370" t="b">
        <v>0</v>
      </c>
      <c r="T930" s="301" t="s">
        <v>3679</v>
      </c>
      <c r="U930" s="301" t="s">
        <v>2542</v>
      </c>
      <c r="V930" s="301" t="s">
        <v>78</v>
      </c>
      <c r="W930" s="301" t="s">
        <v>6698</v>
      </c>
      <c r="X930" s="371">
        <v>44548.0</v>
      </c>
      <c r="Y930" s="371">
        <v>44552.0</v>
      </c>
      <c r="Z930" s="372"/>
      <c r="AA930" s="373" t="s">
        <v>3448</v>
      </c>
      <c r="AB930" s="374">
        <v>44383.0</v>
      </c>
      <c r="AC930" s="373" t="s">
        <v>3448</v>
      </c>
      <c r="AD930" s="374">
        <v>44407.0</v>
      </c>
      <c r="AE930" s="373" t="s">
        <v>3681</v>
      </c>
      <c r="AF930" s="374">
        <v>44440.0</v>
      </c>
      <c r="AG930" s="373" t="s">
        <v>3682</v>
      </c>
      <c r="AH930" s="374">
        <v>44448.0</v>
      </c>
      <c r="AI930" s="373" t="s">
        <v>3682</v>
      </c>
      <c r="AJ930" s="374">
        <v>44539.0</v>
      </c>
      <c r="AK930" s="373" t="s">
        <v>399</v>
      </c>
      <c r="AL930" s="373" t="s">
        <v>4088</v>
      </c>
      <c r="AM930" s="373" t="s">
        <v>2542</v>
      </c>
      <c r="AN930" s="373" t="s">
        <v>2542</v>
      </c>
      <c r="AO930" s="373" t="s">
        <v>2542</v>
      </c>
      <c r="AP930" s="376" t="s">
        <v>3683</v>
      </c>
      <c r="AQ930" s="373"/>
    </row>
    <row r="931">
      <c r="A931" s="257" t="s">
        <v>3052</v>
      </c>
      <c r="B931" s="257" t="s">
        <v>3053</v>
      </c>
      <c r="C931" s="257" t="str">
        <f>VLOOKUP(A931,import!A:J,3,0)</f>
        <v>DOĞRU</v>
      </c>
      <c r="D931" s="257" t="s">
        <v>3676</v>
      </c>
      <c r="E931" s="257">
        <f>VLOOKUP(A931,import!A:J,5,0)</f>
        <v>953</v>
      </c>
      <c r="F931" s="257">
        <f>VLOOKUP(A931,import!A:J,6,0)</f>
        <v>41</v>
      </c>
      <c r="G931" s="257">
        <f>VLOOKUP(A931,import!A:J,7,0)</f>
        <v>0</v>
      </c>
      <c r="H931" s="257">
        <f>VLOOKUP(A931,import!A:J,8,0)</f>
        <v>26</v>
      </c>
      <c r="I931" s="257">
        <f>VLOOKUP(A931,import!A:J,9,0)</f>
        <v>26</v>
      </c>
      <c r="J931" s="369">
        <f>VLOOKUP(A931,import!A:J,10,0)</f>
        <v>0</v>
      </c>
      <c r="K931" s="257" t="s">
        <v>6699</v>
      </c>
      <c r="L931" s="257">
        <v>3.225023339E9</v>
      </c>
      <c r="M931" s="257" t="s">
        <v>3692</v>
      </c>
      <c r="N931" s="257" t="s">
        <v>3869</v>
      </c>
      <c r="O931" s="257" t="s">
        <v>3055</v>
      </c>
      <c r="P931" s="370" t="str">
        <f>VLOOKUP(A931,import!A:P,16,0)</f>
        <v>Geleneksel</v>
      </c>
      <c r="Q931" s="370"/>
      <c r="R931" s="370" t="b">
        <v>1</v>
      </c>
      <c r="S931" s="370" t="b">
        <v>0</v>
      </c>
      <c r="T931" s="301" t="s">
        <v>3787</v>
      </c>
      <c r="U931" s="301" t="s">
        <v>2192</v>
      </c>
      <c r="V931" s="301" t="s">
        <v>78</v>
      </c>
      <c r="W931" s="301" t="s">
        <v>6700</v>
      </c>
      <c r="X931" s="371">
        <v>44509.0</v>
      </c>
      <c r="Y931" s="371">
        <v>44510.0</v>
      </c>
      <c r="Z931" s="372"/>
      <c r="AA931" s="373" t="s">
        <v>3681</v>
      </c>
      <c r="AB931" s="374">
        <v>44496.0</v>
      </c>
      <c r="AC931" s="373" t="s">
        <v>3682</v>
      </c>
      <c r="AD931" s="374">
        <v>44509.0</v>
      </c>
      <c r="AE931" s="373"/>
      <c r="AF931" s="374"/>
      <c r="AG931" s="373"/>
      <c r="AH931" s="374"/>
      <c r="AI931" s="375"/>
      <c r="AJ931" s="375"/>
      <c r="AK931" s="373" t="s">
        <v>2282</v>
      </c>
      <c r="AL931" s="373" t="s">
        <v>2192</v>
      </c>
      <c r="AM931" s="375"/>
      <c r="AN931" s="373"/>
      <c r="AO931" s="375"/>
      <c r="AP931" s="376" t="s">
        <v>3686</v>
      </c>
      <c r="AQ931" s="375"/>
    </row>
    <row r="932">
      <c r="A932" s="257" t="s">
        <v>3532</v>
      </c>
      <c r="B932" s="257" t="s">
        <v>3533</v>
      </c>
      <c r="C932" s="257" t="str">
        <f>VLOOKUP(A932,import!A:J,3,0)</f>
        <v>DOĞRU</v>
      </c>
      <c r="D932" s="257" t="s">
        <v>3676</v>
      </c>
      <c r="E932" s="257">
        <f>VLOOKUP(A932,import!A:J,5,0)</f>
        <v>6465</v>
      </c>
      <c r="F932" s="257">
        <f>VLOOKUP(A932,import!A:J,6,0)</f>
        <v>254</v>
      </c>
      <c r="G932" s="257">
        <f>VLOOKUP(A932,import!A:J,7,0)</f>
        <v>0</v>
      </c>
      <c r="H932" s="257">
        <f>VLOOKUP(A932,import!A:J,8,0)</f>
        <v>38</v>
      </c>
      <c r="I932" s="257">
        <f>VLOOKUP(A932,import!A:J,9,0)</f>
        <v>38</v>
      </c>
      <c r="J932" s="369">
        <f>VLOOKUP(A932,import!A:J,10,0)</f>
        <v>0</v>
      </c>
      <c r="K932" s="257" t="s">
        <v>6701</v>
      </c>
      <c r="L932" s="257">
        <v>3.222354114E9</v>
      </c>
      <c r="M932" s="257" t="s">
        <v>14</v>
      </c>
      <c r="N932" s="257" t="s">
        <v>3767</v>
      </c>
      <c r="O932" s="257" t="s">
        <v>3535</v>
      </c>
      <c r="P932" s="370" t="str">
        <f>VLOOKUP(A932,import!A:P,16,0)</f>
        <v>Geleneksel</v>
      </c>
      <c r="Q932" s="370"/>
      <c r="R932" s="370" t="b">
        <v>1</v>
      </c>
      <c r="S932" s="370" t="b">
        <v>0</v>
      </c>
      <c r="T932" s="301" t="s">
        <v>3679</v>
      </c>
      <c r="U932" s="301" t="s">
        <v>2418</v>
      </c>
      <c r="V932" s="394" t="s">
        <v>3331</v>
      </c>
      <c r="W932" s="301"/>
      <c r="X932" s="371">
        <v>44634.0</v>
      </c>
      <c r="Y932" s="371">
        <v>44635.0</v>
      </c>
      <c r="Z932" s="377"/>
      <c r="AA932" s="373" t="s">
        <v>3682</v>
      </c>
      <c r="AB932" s="374">
        <v>44634.0</v>
      </c>
      <c r="AC932" s="375"/>
      <c r="AD932" s="375"/>
      <c r="AE932" s="92"/>
      <c r="AF932" s="375"/>
      <c r="AG932" s="92"/>
      <c r="AH932" s="375"/>
      <c r="AI932" s="375"/>
      <c r="AJ932" s="375"/>
      <c r="AK932" s="373" t="s">
        <v>2418</v>
      </c>
      <c r="AL932" s="375"/>
      <c r="AM932" s="375"/>
      <c r="AN932" s="375"/>
      <c r="AO932" s="375"/>
      <c r="AP932" s="376" t="s">
        <v>3683</v>
      </c>
      <c r="AQ932" s="375"/>
    </row>
    <row r="933">
      <c r="A933" s="257" t="s">
        <v>1436</v>
      </c>
      <c r="B933" s="257" t="s">
        <v>1437</v>
      </c>
      <c r="C933" s="257" t="str">
        <f>VLOOKUP(A933,import!A:J,3,0)</f>
        <v>DOĞRU</v>
      </c>
      <c r="D933" s="257" t="s">
        <v>3676</v>
      </c>
      <c r="E933" s="257">
        <f>VLOOKUP(A933,import!A:J,5,0)</f>
        <v>622</v>
      </c>
      <c r="F933" s="257">
        <f>VLOOKUP(A933,import!A:J,6,0)</f>
        <v>9</v>
      </c>
      <c r="G933" s="257">
        <f>VLOOKUP(A933,import!A:J,7,0)</f>
        <v>10</v>
      </c>
      <c r="H933" s="257">
        <f>VLOOKUP(A933,import!A:J,8,0)</f>
        <v>12</v>
      </c>
      <c r="I933" s="257">
        <f>VLOOKUP(A933,import!A:J,9,0)</f>
        <v>22</v>
      </c>
      <c r="J933" s="369">
        <f>VLOOKUP(A933,import!A:J,10,0)</f>
        <v>0.45</v>
      </c>
      <c r="K933" s="257" t="s">
        <v>6702</v>
      </c>
      <c r="L933" s="257">
        <v>3.222710102E9</v>
      </c>
      <c r="M933" s="257" t="s">
        <v>286</v>
      </c>
      <c r="N933" s="257" t="s">
        <v>4235</v>
      </c>
      <c r="O933" s="257" t="s">
        <v>1439</v>
      </c>
      <c r="P933" s="370" t="str">
        <f>VLOOKUP(A933,import!A:P,16,0)</f>
        <v>Geleneksel</v>
      </c>
      <c r="Q933" s="370"/>
      <c r="R933" s="370" t="b">
        <v>1</v>
      </c>
      <c r="S933" s="370" t="b">
        <v>0</v>
      </c>
      <c r="T933" s="301" t="s">
        <v>3679</v>
      </c>
      <c r="U933" s="301" t="s">
        <v>4089</v>
      </c>
      <c r="V933" s="301" t="s">
        <v>78</v>
      </c>
      <c r="W933" s="301" t="s">
        <v>6703</v>
      </c>
      <c r="X933" s="371">
        <v>44389.0</v>
      </c>
      <c r="Y933" s="371">
        <v>44391.0</v>
      </c>
      <c r="Z933" s="372"/>
      <c r="AA933" s="373" t="s">
        <v>3682</v>
      </c>
      <c r="AB933" s="374">
        <v>44389.0</v>
      </c>
      <c r="AC933" s="373" t="s">
        <v>3682</v>
      </c>
      <c r="AD933" s="374">
        <v>44503.0</v>
      </c>
      <c r="AE933" s="92"/>
      <c r="AF933" s="375"/>
      <c r="AG933" s="92"/>
      <c r="AH933" s="375"/>
      <c r="AI933" s="375"/>
      <c r="AJ933" s="375"/>
      <c r="AK933" s="373" t="s">
        <v>4089</v>
      </c>
      <c r="AL933" s="373" t="s">
        <v>2418</v>
      </c>
      <c r="AM933" s="375"/>
      <c r="AN933" s="375"/>
      <c r="AO933" s="375"/>
      <c r="AP933" s="376" t="s">
        <v>3686</v>
      </c>
      <c r="AQ933" s="375"/>
    </row>
    <row r="934">
      <c r="A934" s="257" t="s">
        <v>6704</v>
      </c>
      <c r="B934" s="257" t="s">
        <v>6705</v>
      </c>
      <c r="C934" s="257" t="str">
        <f>VLOOKUP(A934,import!A:J,3,0)</f>
        <v>YANLIŞ</v>
      </c>
      <c r="D934" s="257" t="s">
        <v>3676</v>
      </c>
      <c r="E934" s="257">
        <f>VLOOKUP(A934,import!A:J,5,0)</f>
        <v>704</v>
      </c>
      <c r="F934" s="257" t="str">
        <f>VLOOKUP(A934,import!A:J,6,0)</f>
        <v/>
      </c>
      <c r="G934" s="257">
        <f>VLOOKUP(A934,import!A:J,7,0)</f>
        <v>0</v>
      </c>
      <c r="H934" s="257">
        <f>VLOOKUP(A934,import!A:J,8,0)</f>
        <v>37</v>
      </c>
      <c r="I934" s="257">
        <f>VLOOKUP(A934,import!A:J,9,0)</f>
        <v>37</v>
      </c>
      <c r="J934" s="369">
        <f>VLOOKUP(A934,import!A:J,10,0)</f>
        <v>0</v>
      </c>
      <c r="K934" s="257" t="s">
        <v>6706</v>
      </c>
      <c r="L934" s="257">
        <v>5.418445451E9</v>
      </c>
      <c r="M934" s="257" t="s">
        <v>14</v>
      </c>
      <c r="N934" s="257" t="s">
        <v>3826</v>
      </c>
      <c r="O934" s="257" t="s">
        <v>6707</v>
      </c>
      <c r="P934" s="370" t="str">
        <f>VLOOKUP(A934,import!A:P,16,0)</f>
        <v>Geleneksel</v>
      </c>
      <c r="Q934" s="370"/>
      <c r="R934" s="370" t="b">
        <v>0</v>
      </c>
      <c r="S934" s="370" t="b">
        <v>0</v>
      </c>
      <c r="T934" s="301" t="s">
        <v>3735</v>
      </c>
      <c r="U934" s="379"/>
      <c r="V934" s="379"/>
      <c r="W934" s="257" t="s">
        <v>6708</v>
      </c>
      <c r="X934" s="257"/>
      <c r="Y934" s="381"/>
      <c r="Z934" s="372"/>
      <c r="AA934" s="373" t="s">
        <v>3682</v>
      </c>
      <c r="AB934" s="371">
        <v>44632.0</v>
      </c>
      <c r="AC934" s="373"/>
      <c r="AD934" s="374"/>
      <c r="AE934" s="373"/>
      <c r="AF934" s="374"/>
      <c r="AG934" s="373"/>
      <c r="AH934" s="374"/>
      <c r="AI934" s="375"/>
      <c r="AJ934" s="375"/>
      <c r="AK934" s="373" t="s">
        <v>2542</v>
      </c>
      <c r="AL934" s="375"/>
      <c r="AM934" s="375"/>
      <c r="AN934" s="373"/>
      <c r="AO934" s="375"/>
      <c r="AP934" s="376"/>
      <c r="AQ934" s="375"/>
    </row>
    <row r="935">
      <c r="A935" s="257" t="s">
        <v>1087</v>
      </c>
      <c r="B935" s="257" t="s">
        <v>1088</v>
      </c>
      <c r="C935" s="257" t="str">
        <f>VLOOKUP(A935,import!A:J,3,0)</f>
        <v>DOĞRU</v>
      </c>
      <c r="D935" s="257" t="s">
        <v>3676</v>
      </c>
      <c r="E935" s="257">
        <f>VLOOKUP(A935,import!A:J,5,0)</f>
        <v>5582</v>
      </c>
      <c r="F935" s="257">
        <f>VLOOKUP(A935,import!A:J,6,0)</f>
        <v>281</v>
      </c>
      <c r="G935" s="257">
        <f>VLOOKUP(A935,import!A:J,7,0)</f>
        <v>14</v>
      </c>
      <c r="H935" s="257">
        <f>VLOOKUP(A935,import!A:J,8,0)</f>
        <v>13</v>
      </c>
      <c r="I935" s="257">
        <f>VLOOKUP(A935,import!A:J,9,0)</f>
        <v>27</v>
      </c>
      <c r="J935" s="369">
        <f>VLOOKUP(A935,import!A:J,10,0)</f>
        <v>0.52</v>
      </c>
      <c r="K935" s="257" t="s">
        <v>6709</v>
      </c>
      <c r="L935" s="257">
        <v>3.2221101E9</v>
      </c>
      <c r="M935" s="257" t="s">
        <v>14</v>
      </c>
      <c r="N935" s="257" t="s">
        <v>3733</v>
      </c>
      <c r="O935" s="257" t="s">
        <v>1090</v>
      </c>
      <c r="P935" s="370" t="str">
        <f>VLOOKUP(A935,import!A:P,16,0)</f>
        <v>Geleneksel</v>
      </c>
      <c r="Q935" s="370"/>
      <c r="R935" s="370" t="b">
        <v>1</v>
      </c>
      <c r="S935" s="370" t="b">
        <v>0</v>
      </c>
      <c r="T935" s="301" t="s">
        <v>3817</v>
      </c>
      <c r="U935" s="301"/>
      <c r="V935" s="301"/>
      <c r="W935" s="301">
        <v>5.423120166E9</v>
      </c>
      <c r="X935" s="371"/>
      <c r="Y935" s="371"/>
      <c r="Z935" s="301"/>
      <c r="AA935" s="373" t="s">
        <v>3682</v>
      </c>
      <c r="AB935" s="374">
        <v>44363.0</v>
      </c>
      <c r="AC935" s="373" t="s">
        <v>3682</v>
      </c>
      <c r="AD935" s="374">
        <v>44406.0</v>
      </c>
      <c r="AE935" s="373" t="s">
        <v>3682</v>
      </c>
      <c r="AF935" s="374">
        <v>44407.0</v>
      </c>
      <c r="AG935" s="92"/>
      <c r="AH935" s="375"/>
      <c r="AI935" s="375"/>
      <c r="AJ935" s="375"/>
      <c r="AK935" s="373" t="s">
        <v>399</v>
      </c>
      <c r="AL935" s="373" t="s">
        <v>3719</v>
      </c>
      <c r="AM935" s="373" t="s">
        <v>4088</v>
      </c>
      <c r="AN935" s="375"/>
      <c r="AO935" s="375"/>
      <c r="AP935" s="376" t="s">
        <v>3683</v>
      </c>
      <c r="AQ935" s="375"/>
    </row>
    <row r="936">
      <c r="A936" s="257" t="s">
        <v>6710</v>
      </c>
      <c r="B936" s="257" t="s">
        <v>6711</v>
      </c>
      <c r="C936" s="257" t="str">
        <f>VLOOKUP(A936,import!A:J,3,0)</f>
        <v>DOĞRU</v>
      </c>
      <c r="D936" s="257" t="s">
        <v>3676</v>
      </c>
      <c r="E936" s="257">
        <f>VLOOKUP(A936,import!A:J,5,0)</f>
        <v>1090</v>
      </c>
      <c r="F936" s="257">
        <f>VLOOKUP(A936,import!A:J,6,0)</f>
        <v>19</v>
      </c>
      <c r="G936" s="257">
        <f>VLOOKUP(A936,import!A:J,7,0)</f>
        <v>11</v>
      </c>
      <c r="H936" s="257">
        <f>VLOOKUP(A936,import!A:J,8,0)</f>
        <v>6</v>
      </c>
      <c r="I936" s="257">
        <f>VLOOKUP(A936,import!A:J,9,0)</f>
        <v>17</v>
      </c>
      <c r="J936" s="369">
        <f>VLOOKUP(A936,import!A:J,10,0)</f>
        <v>0.65</v>
      </c>
      <c r="K936" s="257" t="s">
        <v>6712</v>
      </c>
      <c r="L936" s="257">
        <v>3.22363099E9</v>
      </c>
      <c r="M936" s="257" t="s">
        <v>286</v>
      </c>
      <c r="N936" s="257" t="s">
        <v>4451</v>
      </c>
      <c r="O936" s="257" t="s">
        <v>6713</v>
      </c>
      <c r="P936" s="370" t="str">
        <f>VLOOKUP(A936,import!A:P,16,0)</f>
        <v>Geleneksel</v>
      </c>
      <c r="Q936" s="370"/>
      <c r="R936" s="370" t="b">
        <v>1</v>
      </c>
      <c r="S936" s="370" t="b">
        <v>0</v>
      </c>
      <c r="T936" s="301" t="s">
        <v>3817</v>
      </c>
      <c r="U936" s="379"/>
      <c r="V936" s="379"/>
      <c r="W936" s="301" t="s">
        <v>6714</v>
      </c>
      <c r="X936" s="381"/>
      <c r="Y936" s="381"/>
      <c r="Z936" s="372"/>
      <c r="AA936" s="373" t="s">
        <v>3448</v>
      </c>
      <c r="AB936" s="374">
        <v>44421.0</v>
      </c>
      <c r="AC936" s="375"/>
      <c r="AD936" s="375"/>
      <c r="AE936" s="92"/>
      <c r="AF936" s="375"/>
      <c r="AG936" s="92"/>
      <c r="AH936" s="375"/>
      <c r="AI936" s="375"/>
      <c r="AJ936" s="375"/>
      <c r="AK936" s="373" t="s">
        <v>3729</v>
      </c>
      <c r="AL936" s="375"/>
      <c r="AM936" s="375"/>
      <c r="AN936" s="375"/>
      <c r="AO936" s="375"/>
      <c r="AP936" s="376" t="s">
        <v>3686</v>
      </c>
      <c r="AQ936" s="375"/>
    </row>
    <row r="937">
      <c r="A937" s="257" t="s">
        <v>3622</v>
      </c>
      <c r="B937" s="257" t="s">
        <v>3623</v>
      </c>
      <c r="C937" s="257" t="str">
        <f>VLOOKUP(A937,import!A:J,3,0)</f>
        <v>DOĞRU</v>
      </c>
      <c r="D937" s="257" t="s">
        <v>3749</v>
      </c>
      <c r="E937" s="257">
        <f>VLOOKUP(A937,import!A:J,5,0)</f>
        <v>138</v>
      </c>
      <c r="F937" s="257">
        <f>VLOOKUP(A937,import!A:J,6,0)</f>
        <v>63</v>
      </c>
      <c r="G937" s="257">
        <f>VLOOKUP(A937,import!A:J,7,0)</f>
        <v>0</v>
      </c>
      <c r="H937" s="257">
        <f>VLOOKUP(A937,import!A:J,8,0)</f>
        <v>56</v>
      </c>
      <c r="I937" s="257">
        <f>VLOOKUP(A937,import!A:J,9,0)</f>
        <v>56</v>
      </c>
      <c r="J937" s="369">
        <f>VLOOKUP(A937,import!A:J,10,0)</f>
        <v>0</v>
      </c>
      <c r="K937" s="257" t="s">
        <v>6715</v>
      </c>
      <c r="L937" s="257">
        <v>3.224596941E9</v>
      </c>
      <c r="M937" s="257" t="s">
        <v>286</v>
      </c>
      <c r="N937" s="257" t="s">
        <v>3737</v>
      </c>
      <c r="O937" s="257" t="s">
        <v>3625</v>
      </c>
      <c r="P937" s="370" t="str">
        <f>VLOOKUP(A937,import!A:P,16,0)</f>
        <v>Geleneksel</v>
      </c>
      <c r="Q937" s="370"/>
      <c r="R937" s="370" t="b">
        <v>1</v>
      </c>
      <c r="S937" s="370" t="b">
        <v>0</v>
      </c>
      <c r="T937" s="301" t="s">
        <v>3679</v>
      </c>
      <c r="U937" s="301" t="s">
        <v>2542</v>
      </c>
      <c r="V937" s="394" t="s">
        <v>3331</v>
      </c>
      <c r="W937" s="301"/>
      <c r="X937" s="371">
        <v>44641.0</v>
      </c>
      <c r="Y937" s="371">
        <v>44642.0</v>
      </c>
      <c r="Z937" s="372"/>
      <c r="AA937" s="373" t="s">
        <v>3682</v>
      </c>
      <c r="AB937" s="371">
        <v>44641.0</v>
      </c>
      <c r="AC937" s="373"/>
      <c r="AD937" s="374"/>
      <c r="AE937" s="373"/>
      <c r="AF937" s="374"/>
      <c r="AG937" s="373"/>
      <c r="AH937" s="374"/>
      <c r="AI937" s="373"/>
      <c r="AJ937" s="374"/>
      <c r="AK937" s="373" t="s">
        <v>2542</v>
      </c>
      <c r="AL937" s="373"/>
      <c r="AM937" s="373"/>
      <c r="AN937" s="373"/>
      <c r="AO937" s="373"/>
      <c r="AP937" s="376"/>
      <c r="AQ937" s="373"/>
    </row>
    <row r="938">
      <c r="A938" s="257" t="s">
        <v>6716</v>
      </c>
      <c r="B938" s="257" t="s">
        <v>6717</v>
      </c>
      <c r="C938" s="257" t="str">
        <f>VLOOKUP(A938,import!A:J,3,0)</f>
        <v>DOĞRU</v>
      </c>
      <c r="D938" s="257" t="s">
        <v>3749</v>
      </c>
      <c r="E938" s="257">
        <f>VLOOKUP(A938,import!A:J,5,0)</f>
        <v>753</v>
      </c>
      <c r="F938" s="257">
        <f>VLOOKUP(A938,import!A:J,6,0)</f>
        <v>44</v>
      </c>
      <c r="G938" s="257">
        <f>VLOOKUP(A938,import!A:J,7,0)</f>
        <v>0</v>
      </c>
      <c r="H938" s="257">
        <f>VLOOKUP(A938,import!A:J,8,0)</f>
        <v>29</v>
      </c>
      <c r="I938" s="257">
        <f>VLOOKUP(A938,import!A:J,9,0)</f>
        <v>29</v>
      </c>
      <c r="J938" s="369">
        <f>VLOOKUP(A938,import!A:J,10,0)</f>
        <v>0</v>
      </c>
      <c r="K938" s="257" t="s">
        <v>5331</v>
      </c>
      <c r="L938" s="257">
        <v>5.393490139E9</v>
      </c>
      <c r="M938" s="257" t="s">
        <v>14</v>
      </c>
      <c r="N938" s="257" t="s">
        <v>3733</v>
      </c>
      <c r="O938" s="257" t="s">
        <v>323</v>
      </c>
      <c r="P938" s="370" t="str">
        <f>VLOOKUP(A938,import!A:P,16,0)</f>
        <v>Geleneksel</v>
      </c>
      <c r="Q938" s="370"/>
      <c r="R938" s="370" t="b">
        <v>1</v>
      </c>
      <c r="S938" s="370" t="b">
        <v>0</v>
      </c>
      <c r="T938" s="301"/>
      <c r="U938" s="301"/>
      <c r="V938" s="301"/>
      <c r="W938" s="301" t="s">
        <v>6718</v>
      </c>
      <c r="X938" s="371"/>
      <c r="Y938" s="371"/>
      <c r="Z938" s="372"/>
      <c r="AA938" s="373" t="s">
        <v>3682</v>
      </c>
      <c r="AB938" s="374">
        <v>44483.0</v>
      </c>
      <c r="AC938" s="373" t="s">
        <v>3682</v>
      </c>
      <c r="AD938" s="374">
        <v>44635.0</v>
      </c>
      <c r="AE938" s="373"/>
      <c r="AF938" s="374"/>
      <c r="AG938" s="373"/>
      <c r="AH938" s="374"/>
      <c r="AI938" s="375"/>
      <c r="AJ938" s="375"/>
      <c r="AK938" s="373" t="s">
        <v>2542</v>
      </c>
      <c r="AL938" s="373" t="s">
        <v>2192</v>
      </c>
      <c r="AM938" s="375"/>
      <c r="AN938" s="373"/>
      <c r="AO938" s="375"/>
      <c r="AP938" s="376" t="s">
        <v>3683</v>
      </c>
      <c r="AQ938" s="375"/>
    </row>
    <row r="939">
      <c r="A939" s="257" t="s">
        <v>6719</v>
      </c>
      <c r="B939" s="257" t="s">
        <v>6720</v>
      </c>
      <c r="C939" s="257" t="str">
        <f>VLOOKUP(A939,import!A:J,3,0)</f>
        <v>DOĞRU</v>
      </c>
      <c r="D939" s="257" t="s">
        <v>3749</v>
      </c>
      <c r="E939" s="257">
        <f>VLOOKUP(A939,import!A:J,5,0)</f>
        <v>631</v>
      </c>
      <c r="F939" s="257">
        <f>VLOOKUP(A939,import!A:J,6,0)</f>
        <v>79</v>
      </c>
      <c r="G939" s="257">
        <f>VLOOKUP(A939,import!A:J,7,0)</f>
        <v>0</v>
      </c>
      <c r="H939" s="257">
        <f>VLOOKUP(A939,import!A:J,8,0)</f>
        <v>26</v>
      </c>
      <c r="I939" s="257">
        <f>VLOOKUP(A939,import!A:J,9,0)</f>
        <v>26</v>
      </c>
      <c r="J939" s="369">
        <f>VLOOKUP(A939,import!A:J,10,0)</f>
        <v>0</v>
      </c>
      <c r="K939" s="257" t="s">
        <v>6721</v>
      </c>
      <c r="L939" s="257">
        <v>3.224581939E9</v>
      </c>
      <c r="M939" s="257" t="s">
        <v>286</v>
      </c>
      <c r="N939" s="257" t="s">
        <v>3737</v>
      </c>
      <c r="O939" s="257" t="s">
        <v>6722</v>
      </c>
      <c r="P939" s="370" t="str">
        <f>VLOOKUP(A939,import!A:P,16,0)</f>
        <v>Geleneksel</v>
      </c>
      <c r="Q939" s="370"/>
      <c r="R939" s="370" t="b">
        <v>1</v>
      </c>
      <c r="S939" s="370" t="b">
        <v>0</v>
      </c>
      <c r="T939" s="301" t="s">
        <v>3770</v>
      </c>
      <c r="U939" s="379"/>
      <c r="V939" s="379"/>
      <c r="W939" s="301" t="s">
        <v>6723</v>
      </c>
      <c r="X939" s="381"/>
      <c r="Y939" s="381"/>
      <c r="Z939" s="372"/>
      <c r="AA939" s="373" t="s">
        <v>3682</v>
      </c>
      <c r="AB939" s="374">
        <v>44571.0</v>
      </c>
      <c r="AC939" s="373"/>
      <c r="AD939" s="374"/>
      <c r="AE939" s="373"/>
      <c r="AF939" s="374"/>
      <c r="AG939" s="373"/>
      <c r="AH939" s="374"/>
      <c r="AI939" s="375"/>
      <c r="AJ939" s="375"/>
      <c r="AK939" s="373" t="s">
        <v>2542</v>
      </c>
      <c r="AL939" s="375"/>
      <c r="AM939" s="375"/>
      <c r="AN939" s="373"/>
      <c r="AO939" s="375"/>
      <c r="AP939" s="376"/>
      <c r="AQ939" s="375"/>
    </row>
    <row r="940">
      <c r="A940" s="257" t="s">
        <v>3417</v>
      </c>
      <c r="B940" s="257" t="s">
        <v>3418</v>
      </c>
      <c r="C940" s="257" t="str">
        <f>VLOOKUP(A940,import!A:J,3,0)</f>
        <v>DOĞRU</v>
      </c>
      <c r="D940" s="257" t="s">
        <v>3749</v>
      </c>
      <c r="E940" s="257">
        <f>VLOOKUP(A940,import!A:J,5,0)</f>
        <v>698</v>
      </c>
      <c r="F940" s="257">
        <f>VLOOKUP(A940,import!A:J,6,0)</f>
        <v>241</v>
      </c>
      <c r="G940" s="257">
        <f>VLOOKUP(A940,import!A:J,7,0)</f>
        <v>9</v>
      </c>
      <c r="H940" s="257">
        <f>VLOOKUP(A940,import!A:J,8,0)</f>
        <v>7</v>
      </c>
      <c r="I940" s="257">
        <f>VLOOKUP(A940,import!A:J,9,0)</f>
        <v>16</v>
      </c>
      <c r="J940" s="369">
        <f>VLOOKUP(A940,import!A:J,10,0)</f>
        <v>0.56</v>
      </c>
      <c r="K940" s="257" t="s">
        <v>6724</v>
      </c>
      <c r="L940" s="257">
        <v>5.336620491E9</v>
      </c>
      <c r="M940" s="257" t="s">
        <v>286</v>
      </c>
      <c r="N940" s="257" t="s">
        <v>3754</v>
      </c>
      <c r="O940" s="257" t="s">
        <v>6725</v>
      </c>
      <c r="P940" s="370" t="str">
        <f>VLOOKUP(A940,import!A:P,16,0)</f>
        <v>Geleneksel</v>
      </c>
      <c r="Q940" s="370"/>
      <c r="R940" s="370" t="b">
        <v>1</v>
      </c>
      <c r="S940" s="370" t="b">
        <v>0</v>
      </c>
      <c r="T940" s="301" t="s">
        <v>3679</v>
      </c>
      <c r="U940" s="301" t="s">
        <v>2576</v>
      </c>
      <c r="V940" s="301" t="s">
        <v>3331</v>
      </c>
      <c r="W940" s="301" t="s">
        <v>6726</v>
      </c>
      <c r="X940" s="371">
        <v>44624.0</v>
      </c>
      <c r="Y940" s="371">
        <v>44660.0</v>
      </c>
      <c r="Z940" s="372"/>
      <c r="AA940" s="373" t="s">
        <v>3682</v>
      </c>
      <c r="AB940" s="374">
        <v>44621.0</v>
      </c>
      <c r="AC940" s="373" t="s">
        <v>3682</v>
      </c>
      <c r="AD940" s="374">
        <v>44624.0</v>
      </c>
      <c r="AE940" s="373"/>
      <c r="AF940" s="374"/>
      <c r="AG940" s="373"/>
      <c r="AH940" s="374"/>
      <c r="AI940" s="373"/>
      <c r="AJ940" s="374"/>
      <c r="AK940" s="373" t="s">
        <v>2576</v>
      </c>
      <c r="AL940" s="373" t="s">
        <v>2576</v>
      </c>
      <c r="AM940" s="373"/>
      <c r="AN940" s="373"/>
      <c r="AO940" s="373"/>
      <c r="AP940" s="376"/>
      <c r="AQ940" s="373"/>
    </row>
    <row r="941">
      <c r="A941" s="257" t="s">
        <v>3399</v>
      </c>
      <c r="B941" s="257" t="s">
        <v>3400</v>
      </c>
      <c r="C941" s="257" t="str">
        <f>VLOOKUP(A941,import!A:J,3,0)</f>
        <v>DOĞRU</v>
      </c>
      <c r="D941" s="257" t="s">
        <v>3749</v>
      </c>
      <c r="E941" s="257">
        <f>VLOOKUP(A941,import!A:J,5,0)</f>
        <v>430</v>
      </c>
      <c r="F941" s="257">
        <f>VLOOKUP(A941,import!A:J,6,0)</f>
        <v>63</v>
      </c>
      <c r="G941" s="257">
        <f>VLOOKUP(A941,import!A:J,7,0)</f>
        <v>18</v>
      </c>
      <c r="H941" s="257">
        <f>VLOOKUP(A941,import!A:J,8,0)</f>
        <v>4</v>
      </c>
      <c r="I941" s="257">
        <f>VLOOKUP(A941,import!A:J,9,0)</f>
        <v>22</v>
      </c>
      <c r="J941" s="369">
        <f>VLOOKUP(A941,import!A:J,10,0)</f>
        <v>0.82</v>
      </c>
      <c r="K941" s="257" t="s">
        <v>6727</v>
      </c>
      <c r="L941" s="257">
        <v>5.301328437E9</v>
      </c>
      <c r="M941" s="257" t="s">
        <v>286</v>
      </c>
      <c r="N941" s="257" t="s">
        <v>3961</v>
      </c>
      <c r="O941" s="257" t="s">
        <v>3403</v>
      </c>
      <c r="P941" s="370" t="str">
        <f>VLOOKUP(A941,import!A:P,16,0)</f>
        <v>Geleneksel</v>
      </c>
      <c r="Q941" s="370"/>
      <c r="R941" s="370" t="b">
        <v>1</v>
      </c>
      <c r="S941" s="370" t="b">
        <v>0</v>
      </c>
      <c r="T941" s="301" t="s">
        <v>3679</v>
      </c>
      <c r="U941" s="301" t="s">
        <v>2576</v>
      </c>
      <c r="V941" s="301" t="s">
        <v>3331</v>
      </c>
      <c r="W941" s="301"/>
      <c r="X941" s="371">
        <v>44621.0</v>
      </c>
      <c r="Y941" s="371">
        <v>44622.0</v>
      </c>
      <c r="Z941" s="372"/>
      <c r="AA941" s="373" t="s">
        <v>3682</v>
      </c>
      <c r="AB941" s="374">
        <v>44621.0</v>
      </c>
      <c r="AC941" s="373"/>
      <c r="AD941" s="374"/>
      <c r="AE941" s="373"/>
      <c r="AF941" s="374"/>
      <c r="AG941" s="373"/>
      <c r="AH941" s="374"/>
      <c r="AI941" s="375"/>
      <c r="AJ941" s="375"/>
      <c r="AK941" s="373" t="s">
        <v>2576</v>
      </c>
      <c r="AL941" s="375"/>
      <c r="AM941" s="375"/>
      <c r="AN941" s="373"/>
      <c r="AO941" s="375"/>
      <c r="AP941" s="376"/>
      <c r="AQ941" s="375"/>
    </row>
    <row r="942">
      <c r="A942" s="257" t="s">
        <v>3413</v>
      </c>
      <c r="B942" s="257" t="s">
        <v>3414</v>
      </c>
      <c r="C942" s="257" t="str">
        <f>VLOOKUP(A942,import!A:J,3,0)</f>
        <v>DOĞRU</v>
      </c>
      <c r="D942" s="257" t="s">
        <v>3749</v>
      </c>
      <c r="E942" s="257">
        <f>VLOOKUP(A942,import!A:J,5,0)</f>
        <v>1193</v>
      </c>
      <c r="F942" s="257">
        <f>VLOOKUP(A942,import!A:J,6,0)</f>
        <v>210</v>
      </c>
      <c r="G942" s="257">
        <f>VLOOKUP(A942,import!A:J,7,0)</f>
        <v>15</v>
      </c>
      <c r="H942" s="257">
        <f>VLOOKUP(A942,import!A:J,8,0)</f>
        <v>6</v>
      </c>
      <c r="I942" s="257">
        <f>VLOOKUP(A942,import!A:J,9,0)</f>
        <v>21</v>
      </c>
      <c r="J942" s="369">
        <f>VLOOKUP(A942,import!A:J,10,0)</f>
        <v>0.71</v>
      </c>
      <c r="K942" s="257" t="s">
        <v>6728</v>
      </c>
      <c r="L942" s="257">
        <v>5.304571236E9</v>
      </c>
      <c r="M942" s="257" t="s">
        <v>286</v>
      </c>
      <c r="N942" s="257" t="s">
        <v>3754</v>
      </c>
      <c r="O942" s="257" t="s">
        <v>6729</v>
      </c>
      <c r="P942" s="370" t="str">
        <f>VLOOKUP(A942,import!A:P,16,0)</f>
        <v>Geleneksel</v>
      </c>
      <c r="Q942" s="370"/>
      <c r="R942" s="370" t="b">
        <v>1</v>
      </c>
      <c r="S942" s="370" t="b">
        <v>0</v>
      </c>
      <c r="T942" s="301" t="s">
        <v>3679</v>
      </c>
      <c r="U942" s="301" t="s">
        <v>2576</v>
      </c>
      <c r="V942" s="301" t="s">
        <v>3331</v>
      </c>
      <c r="W942" s="301"/>
      <c r="X942" s="371">
        <v>44621.0</v>
      </c>
      <c r="Y942" s="371">
        <v>44622.0</v>
      </c>
      <c r="Z942" s="372"/>
      <c r="AA942" s="373" t="s">
        <v>3682</v>
      </c>
      <c r="AB942" s="374">
        <v>44621.0</v>
      </c>
      <c r="AC942" s="373"/>
      <c r="AD942" s="374"/>
      <c r="AE942" s="373"/>
      <c r="AF942" s="374"/>
      <c r="AG942" s="373"/>
      <c r="AH942" s="374"/>
      <c r="AI942" s="375"/>
      <c r="AJ942" s="375"/>
      <c r="AK942" s="373" t="s">
        <v>2576</v>
      </c>
      <c r="AL942" s="375"/>
      <c r="AM942" s="375"/>
      <c r="AN942" s="373"/>
      <c r="AO942" s="375"/>
      <c r="AP942" s="376"/>
      <c r="AQ942" s="375"/>
    </row>
    <row r="943">
      <c r="A943" s="257" t="s">
        <v>6730</v>
      </c>
      <c r="B943" s="257" t="s">
        <v>6731</v>
      </c>
      <c r="C943" s="257" t="str">
        <f>VLOOKUP(A943,import!A:J,3,0)</f>
        <v>DOĞRU</v>
      </c>
      <c r="D943" s="257" t="s">
        <v>3878</v>
      </c>
      <c r="E943" s="257">
        <f>VLOOKUP(A943,import!A:J,5,0)</f>
        <v>459</v>
      </c>
      <c r="F943" s="257">
        <f>VLOOKUP(A943,import!A:J,6,0)</f>
        <v>35</v>
      </c>
      <c r="G943" s="257">
        <f>VLOOKUP(A943,import!A:J,7,0)</f>
        <v>0</v>
      </c>
      <c r="H943" s="257">
        <f>VLOOKUP(A943,import!A:J,8,0)</f>
        <v>88</v>
      </c>
      <c r="I943" s="257">
        <f>VLOOKUP(A943,import!A:J,9,0)</f>
        <v>88</v>
      </c>
      <c r="J943" s="369">
        <f>VLOOKUP(A943,import!A:J,10,0)</f>
        <v>0</v>
      </c>
      <c r="K943" s="257" t="s">
        <v>6732</v>
      </c>
      <c r="L943" s="257">
        <v>3.224546354E9</v>
      </c>
      <c r="M943" s="257" t="s">
        <v>286</v>
      </c>
      <c r="N943" s="257" t="s">
        <v>3806</v>
      </c>
      <c r="O943" s="257" t="s">
        <v>6733</v>
      </c>
      <c r="P943" s="370" t="str">
        <f>VLOOKUP(A943,import!A:P,16,0)</f>
        <v>Geleneksel</v>
      </c>
      <c r="Q943" s="370"/>
      <c r="R943" s="370" t="b">
        <v>1</v>
      </c>
      <c r="S943" s="370" t="b">
        <v>1</v>
      </c>
      <c r="T943" s="301"/>
      <c r="U943" s="301"/>
      <c r="V943" s="379"/>
      <c r="W943" s="301" t="s">
        <v>6734</v>
      </c>
      <c r="X943" s="371"/>
      <c r="Y943" s="371"/>
      <c r="Z943" s="377"/>
      <c r="AA943" s="373" t="s">
        <v>3682</v>
      </c>
      <c r="AB943" s="374">
        <v>44386.0</v>
      </c>
      <c r="AC943" s="373" t="s">
        <v>3682</v>
      </c>
      <c r="AD943" s="374">
        <v>44392.0</v>
      </c>
      <c r="AE943" s="373" t="s">
        <v>3682</v>
      </c>
      <c r="AF943" s="374">
        <v>44454.0</v>
      </c>
      <c r="AG943" s="92"/>
      <c r="AH943" s="375"/>
      <c r="AI943" s="375"/>
      <c r="AJ943" s="375"/>
      <c r="AK943" s="373" t="s">
        <v>399</v>
      </c>
      <c r="AL943" s="373" t="s">
        <v>4088</v>
      </c>
      <c r="AM943" s="373" t="s">
        <v>2542</v>
      </c>
      <c r="AN943" s="375"/>
      <c r="AO943" s="375"/>
      <c r="AP943" s="376" t="s">
        <v>3686</v>
      </c>
      <c r="AQ943" s="375"/>
    </row>
    <row r="944">
      <c r="A944" s="376" t="s">
        <v>6735</v>
      </c>
      <c r="B944" s="376" t="s">
        <v>6736</v>
      </c>
      <c r="C944" s="257" t="str">
        <f>VLOOKUP(A944,import!A:J,3,0)</f>
        <v>DOĞRU</v>
      </c>
      <c r="D944" s="376" t="s">
        <v>3676</v>
      </c>
      <c r="E944" s="257">
        <f>VLOOKUP(A944,import!A:J,5,0)</f>
        <v>44</v>
      </c>
      <c r="F944" s="257">
        <f>VLOOKUP(A944,import!A:J,6,0)</f>
        <v>44</v>
      </c>
      <c r="G944" s="257">
        <f>VLOOKUP(A944,import!A:J,7,0)</f>
        <v>0</v>
      </c>
      <c r="H944" s="257">
        <f>VLOOKUP(A944,import!A:J,8,0)</f>
        <v>8</v>
      </c>
      <c r="I944" s="257">
        <f>VLOOKUP(A944,import!A:J,9,0)</f>
        <v>8</v>
      </c>
      <c r="J944" s="369">
        <f>VLOOKUP(A944,import!A:J,10,0)</f>
        <v>0</v>
      </c>
      <c r="K944" s="376" t="s">
        <v>6737</v>
      </c>
      <c r="L944" s="376">
        <v>5.06053406E9</v>
      </c>
      <c r="M944" s="376" t="s">
        <v>3692</v>
      </c>
      <c r="N944" s="376" t="s">
        <v>3721</v>
      </c>
      <c r="O944" s="376" t="s">
        <v>6738</v>
      </c>
      <c r="P944" s="370" t="str">
        <f>VLOOKUP(A944,import!A:P,16,0)</f>
        <v>Geleneksel</v>
      </c>
      <c r="Q944" s="370"/>
      <c r="R944" s="370" t="b">
        <v>0</v>
      </c>
      <c r="S944" s="370" t="b">
        <v>0</v>
      </c>
      <c r="T944" s="301"/>
      <c r="U944" s="301"/>
      <c r="V944" s="301"/>
      <c r="W944" s="301"/>
      <c r="X944" s="371"/>
      <c r="Y944" s="371"/>
      <c r="Z944" s="372"/>
      <c r="AA944" s="373"/>
      <c r="AB944" s="374"/>
      <c r="AC944" s="373"/>
      <c r="AD944" s="374"/>
      <c r="AE944" s="373"/>
      <c r="AF944" s="374"/>
      <c r="AG944" s="373"/>
      <c r="AH944" s="374"/>
      <c r="AI944" s="373"/>
      <c r="AJ944" s="374"/>
      <c r="AK944" s="373"/>
      <c r="AL944" s="373"/>
      <c r="AM944" s="373"/>
      <c r="AN944" s="373"/>
      <c r="AO944" s="373"/>
      <c r="AP944" s="376"/>
      <c r="AQ944" s="373"/>
    </row>
    <row r="945">
      <c r="A945" s="257" t="s">
        <v>68</v>
      </c>
      <c r="B945" s="257" t="s">
        <v>69</v>
      </c>
      <c r="C945" s="257" t="str">
        <f>VLOOKUP(A945,import!A:J,3,0)</f>
        <v>DOĞRU</v>
      </c>
      <c r="D945" s="257" t="s">
        <v>3699</v>
      </c>
      <c r="E945" s="257">
        <f>VLOOKUP(A945,import!A:J,5,0)</f>
        <v>2656</v>
      </c>
      <c r="F945" s="257">
        <f>VLOOKUP(A945,import!A:J,6,0)</f>
        <v>27</v>
      </c>
      <c r="G945" s="257">
        <f>VLOOKUP(A945,import!A:J,7,0)</f>
        <v>53</v>
      </c>
      <c r="H945" s="257">
        <f>VLOOKUP(A945,import!A:J,8,0)</f>
        <v>39</v>
      </c>
      <c r="I945" s="257">
        <f>VLOOKUP(A945,import!A:J,9,0)</f>
        <v>92</v>
      </c>
      <c r="J945" s="369">
        <f>VLOOKUP(A945,import!A:J,10,0)</f>
        <v>0.58</v>
      </c>
      <c r="K945" s="257" t="s">
        <v>6739</v>
      </c>
      <c r="L945" s="257">
        <v>3.222660044E9</v>
      </c>
      <c r="M945" s="257" t="s">
        <v>14</v>
      </c>
      <c r="N945" s="257" t="s">
        <v>3678</v>
      </c>
      <c r="O945" s="257" t="s">
        <v>72</v>
      </c>
      <c r="P945" s="370" t="str">
        <f>VLOOKUP(A945,import!A:P,16,0)</f>
        <v>Geleneksel</v>
      </c>
      <c r="Q945" s="370"/>
      <c r="R945" s="370" t="b">
        <v>1</v>
      </c>
      <c r="S945" s="370" t="b">
        <v>0</v>
      </c>
      <c r="T945" s="301" t="s">
        <v>3679</v>
      </c>
      <c r="U945" s="301" t="s">
        <v>40</v>
      </c>
      <c r="V945" s="301" t="s">
        <v>15</v>
      </c>
      <c r="W945" s="301" t="s">
        <v>6740</v>
      </c>
      <c r="X945" s="371">
        <v>44285.0</v>
      </c>
      <c r="Y945" s="371">
        <v>44287.0</v>
      </c>
      <c r="Z945" s="377"/>
      <c r="AA945" s="373" t="s">
        <v>3682</v>
      </c>
      <c r="AB945" s="374">
        <v>44435.0</v>
      </c>
      <c r="AC945" s="375"/>
      <c r="AD945" s="375"/>
      <c r="AE945" s="92"/>
      <c r="AF945" s="375"/>
      <c r="AG945" s="92"/>
      <c r="AH945" s="375"/>
      <c r="AI945" s="375"/>
      <c r="AJ945" s="375"/>
      <c r="AK945" s="375"/>
      <c r="AL945" s="375"/>
      <c r="AM945" s="375"/>
      <c r="AN945" s="375"/>
      <c r="AO945" s="375"/>
      <c r="AP945" s="376" t="s">
        <v>3683</v>
      </c>
      <c r="AQ945" s="375"/>
    </row>
    <row r="946">
      <c r="A946" s="257" t="s">
        <v>6741</v>
      </c>
      <c r="B946" s="257" t="s">
        <v>6742</v>
      </c>
      <c r="C946" s="257" t="str">
        <f>VLOOKUP(A946,import!A:J,3,0)</f>
        <v>DOĞRU</v>
      </c>
      <c r="D946" s="257" t="s">
        <v>3690</v>
      </c>
      <c r="E946" s="257">
        <f>VLOOKUP(A946,import!A:J,5,0)</f>
        <v>769</v>
      </c>
      <c r="F946" s="257">
        <f>VLOOKUP(A946,import!A:J,6,0)</f>
        <v>10</v>
      </c>
      <c r="G946" s="257">
        <f>VLOOKUP(A946,import!A:J,7,0)</f>
        <v>3</v>
      </c>
      <c r="H946" s="257">
        <f>VLOOKUP(A946,import!A:J,8,0)</f>
        <v>5</v>
      </c>
      <c r="I946" s="257">
        <f>VLOOKUP(A946,import!A:J,9,0)</f>
        <v>8</v>
      </c>
      <c r="J946" s="369">
        <f>VLOOKUP(A946,import!A:J,10,0)</f>
        <v>0.38</v>
      </c>
      <c r="K946" s="257" t="s">
        <v>6743</v>
      </c>
      <c r="L946" s="257">
        <v>3.229992047E9</v>
      </c>
      <c r="M946" s="257" t="s">
        <v>286</v>
      </c>
      <c r="N946" s="257" t="s">
        <v>3782</v>
      </c>
      <c r="O946" s="257" t="s">
        <v>6744</v>
      </c>
      <c r="P946" s="370" t="str">
        <f>VLOOKUP(A946,import!A:P,16,0)</f>
        <v>Geleneksel</v>
      </c>
      <c r="Q946" s="370"/>
      <c r="R946" s="370" t="b">
        <v>1</v>
      </c>
      <c r="S946" s="370" t="b">
        <v>0</v>
      </c>
      <c r="T946" s="300" t="s">
        <v>3817</v>
      </c>
      <c r="U946" s="379"/>
      <c r="V946" s="379"/>
      <c r="W946" s="301" t="s">
        <v>6745</v>
      </c>
      <c r="X946" s="381"/>
      <c r="Y946" s="381"/>
      <c r="Z946" s="372"/>
      <c r="AA946" s="373" t="s">
        <v>3682</v>
      </c>
      <c r="AB946" s="374">
        <v>44413.0</v>
      </c>
      <c r="AC946" s="373" t="s">
        <v>3448</v>
      </c>
      <c r="AD946" s="374">
        <v>44450.0</v>
      </c>
      <c r="AE946" s="373" t="s">
        <v>3448</v>
      </c>
      <c r="AF946" s="374">
        <v>44454.0</v>
      </c>
      <c r="AG946" s="373" t="s">
        <v>3695</v>
      </c>
      <c r="AH946" s="374">
        <v>44539.0</v>
      </c>
      <c r="AI946" s="375"/>
      <c r="AJ946" s="375"/>
      <c r="AK946" s="373" t="s">
        <v>3729</v>
      </c>
      <c r="AL946" s="373" t="s">
        <v>2418</v>
      </c>
      <c r="AM946" s="373" t="s">
        <v>2542</v>
      </c>
      <c r="AN946" s="373" t="s">
        <v>2542</v>
      </c>
      <c r="AO946" s="375"/>
      <c r="AP946" s="376" t="s">
        <v>3686</v>
      </c>
      <c r="AQ946" s="375"/>
    </row>
    <row r="947">
      <c r="A947" s="257" t="s">
        <v>90</v>
      </c>
      <c r="B947" s="257" t="s">
        <v>91</v>
      </c>
      <c r="C947" s="257" t="str">
        <f>VLOOKUP(A947,import!A:J,3,0)</f>
        <v>DOĞRU</v>
      </c>
      <c r="D947" s="257" t="s">
        <v>3690</v>
      </c>
      <c r="E947" s="257">
        <f>VLOOKUP(A947,import!A:J,5,0)</f>
        <v>538</v>
      </c>
      <c r="F947" s="257">
        <f>VLOOKUP(A947,import!A:J,6,0)</f>
        <v>2</v>
      </c>
      <c r="G947" s="257">
        <f>VLOOKUP(A947,import!A:J,7,0)</f>
        <v>7</v>
      </c>
      <c r="H947" s="257">
        <f>VLOOKUP(A947,import!A:J,8,0)</f>
        <v>4</v>
      </c>
      <c r="I947" s="257">
        <f>VLOOKUP(A947,import!A:J,9,0)</f>
        <v>11</v>
      </c>
      <c r="J947" s="369">
        <f>VLOOKUP(A947,import!A:J,10,0)</f>
        <v>0.64</v>
      </c>
      <c r="K947" s="257" t="s">
        <v>6746</v>
      </c>
      <c r="L947" s="257">
        <v>3.22234202E9</v>
      </c>
      <c r="M947" s="257" t="s">
        <v>14</v>
      </c>
      <c r="N947" s="257" t="s">
        <v>3797</v>
      </c>
      <c r="O947" s="257" t="s">
        <v>93</v>
      </c>
      <c r="P947" s="370" t="str">
        <f>VLOOKUP(A947,import!A:P,16,0)</f>
        <v>Geleneksel</v>
      </c>
      <c r="Q947" s="370" t="s">
        <v>6747</v>
      </c>
      <c r="R947" s="370" t="b">
        <v>1</v>
      </c>
      <c r="S947" s="370" t="b">
        <v>0</v>
      </c>
      <c r="T947" s="301" t="s">
        <v>3679</v>
      </c>
      <c r="U947" s="301" t="s">
        <v>79</v>
      </c>
      <c r="V947" s="301" t="s">
        <v>15</v>
      </c>
      <c r="W947" s="301"/>
      <c r="X947" s="371">
        <v>44287.0</v>
      </c>
      <c r="Y947" s="371">
        <v>44291.0</v>
      </c>
      <c r="Z947" s="377"/>
      <c r="AA947" s="375"/>
      <c r="AB947" s="375"/>
      <c r="AC947" s="375"/>
      <c r="AD947" s="375"/>
      <c r="AE947" s="92"/>
      <c r="AF947" s="375"/>
      <c r="AG947" s="92"/>
      <c r="AH947" s="375"/>
      <c r="AI947" s="375"/>
      <c r="AJ947" s="375"/>
      <c r="AK947" s="375"/>
      <c r="AL947" s="375"/>
      <c r="AM947" s="375"/>
      <c r="AN947" s="375"/>
      <c r="AO947" s="375"/>
      <c r="AP947" s="376" t="s">
        <v>3683</v>
      </c>
      <c r="AQ947" s="375"/>
    </row>
    <row r="948">
      <c r="A948" s="257" t="s">
        <v>3444</v>
      </c>
      <c r="B948" s="257" t="s">
        <v>1316</v>
      </c>
      <c r="C948" s="257" t="str">
        <f>VLOOKUP(A948,import!A:J,3,0)</f>
        <v>DOĞRU</v>
      </c>
      <c r="D948" s="257" t="s">
        <v>3699</v>
      </c>
      <c r="E948" s="257">
        <f>VLOOKUP(A948,import!A:J,5,0)</f>
        <v>43</v>
      </c>
      <c r="F948" s="257">
        <f>VLOOKUP(A948,import!A:J,6,0)</f>
        <v>3</v>
      </c>
      <c r="G948" s="257">
        <f>VLOOKUP(A948,import!A:J,7,0)</f>
        <v>0</v>
      </c>
      <c r="H948" s="257">
        <f>VLOOKUP(A948,import!A:J,8,0)</f>
        <v>29</v>
      </c>
      <c r="I948" s="257">
        <f>VLOOKUP(A948,import!A:J,9,0)</f>
        <v>29</v>
      </c>
      <c r="J948" s="369">
        <f>VLOOKUP(A948,import!A:J,10,0)</f>
        <v>0</v>
      </c>
      <c r="K948" s="257" t="s">
        <v>6748</v>
      </c>
      <c r="L948" s="257">
        <v>3.224210174E9</v>
      </c>
      <c r="M948" s="257" t="s">
        <v>286</v>
      </c>
      <c r="N948" s="257" t="s">
        <v>4956</v>
      </c>
      <c r="O948" s="257" t="s">
        <v>3447</v>
      </c>
      <c r="P948" s="370" t="str">
        <f>VLOOKUP(A948,import!A:P,16,0)</f>
        <v>Geleneksel</v>
      </c>
      <c r="Q948" s="370"/>
      <c r="R948" s="370" t="b">
        <v>1</v>
      </c>
      <c r="S948" s="370" t="b">
        <v>0</v>
      </c>
      <c r="T948" s="301" t="s">
        <v>3710</v>
      </c>
      <c r="U948" s="301" t="s">
        <v>2192</v>
      </c>
      <c r="V948" s="387" t="s">
        <v>3331</v>
      </c>
      <c r="W948" s="301">
        <v>5.382811455E9</v>
      </c>
      <c r="X948" s="371">
        <v>44628.0</v>
      </c>
      <c r="Y948" s="371">
        <v>44629.0</v>
      </c>
      <c r="Z948" s="372"/>
      <c r="AA948" s="373" t="s">
        <v>3682</v>
      </c>
      <c r="AB948" s="374">
        <v>44628.0</v>
      </c>
      <c r="AC948" s="373"/>
      <c r="AD948" s="374"/>
      <c r="AE948" s="373"/>
      <c r="AF948" s="374"/>
      <c r="AG948" s="373"/>
      <c r="AH948" s="374"/>
      <c r="AI948" s="375"/>
      <c r="AJ948" s="375"/>
      <c r="AK948" s="373" t="s">
        <v>2192</v>
      </c>
      <c r="AL948" s="375"/>
      <c r="AM948" s="375"/>
      <c r="AN948" s="373"/>
      <c r="AO948" s="375"/>
      <c r="AP948" s="376"/>
      <c r="AQ948" s="375"/>
    </row>
    <row r="949">
      <c r="A949" s="257" t="s">
        <v>6749</v>
      </c>
      <c r="B949" s="257" t="s">
        <v>6750</v>
      </c>
      <c r="C949" s="257" t="str">
        <f>VLOOKUP(A949,import!A:J,3,0)</f>
        <v>DOĞRU</v>
      </c>
      <c r="D949" s="257" t="s">
        <v>3842</v>
      </c>
      <c r="E949" s="257">
        <f>VLOOKUP(A949,import!A:J,5,0)</f>
        <v>44</v>
      </c>
      <c r="F949" s="257">
        <f>VLOOKUP(A949,import!A:J,6,0)</f>
        <v>29</v>
      </c>
      <c r="G949" s="257">
        <f>VLOOKUP(A949,import!A:J,7,0)</f>
        <v>0</v>
      </c>
      <c r="H949" s="257">
        <f>VLOOKUP(A949,import!A:J,8,0)</f>
        <v>17</v>
      </c>
      <c r="I949" s="257">
        <f>VLOOKUP(A949,import!A:J,9,0)</f>
        <v>17</v>
      </c>
      <c r="J949" s="369">
        <f>VLOOKUP(A949,import!A:J,10,0)</f>
        <v>0</v>
      </c>
      <c r="K949" s="257" t="s">
        <v>6751</v>
      </c>
      <c r="L949" s="257">
        <v>5.325134043E9</v>
      </c>
      <c r="M949" s="257" t="s">
        <v>3707</v>
      </c>
      <c r="N949" s="257" t="s">
        <v>4570</v>
      </c>
      <c r="O949" s="257" t="s">
        <v>6752</v>
      </c>
      <c r="P949" s="370" t="str">
        <f>VLOOKUP(A949,import!A:P,16,0)</f>
        <v>Geleneksel</v>
      </c>
      <c r="Q949" s="370"/>
      <c r="R949" s="370" t="b">
        <v>0</v>
      </c>
      <c r="S949" s="370" t="b">
        <v>0</v>
      </c>
      <c r="T949" s="301"/>
      <c r="U949" s="301"/>
      <c r="V949" s="301"/>
      <c r="W949" s="301"/>
      <c r="X949" s="371"/>
      <c r="Y949" s="371"/>
      <c r="Z949" s="372"/>
      <c r="AA949" s="373"/>
      <c r="AB949" s="374"/>
      <c r="AC949" s="373"/>
      <c r="AD949" s="374"/>
      <c r="AE949" s="373"/>
      <c r="AF949" s="374"/>
      <c r="AG949" s="373"/>
      <c r="AH949" s="374"/>
      <c r="AI949" s="373"/>
      <c r="AJ949" s="374"/>
      <c r="AK949" s="373"/>
      <c r="AL949" s="373"/>
      <c r="AM949" s="373"/>
      <c r="AN949" s="373"/>
      <c r="AO949" s="373"/>
      <c r="AP949" s="376"/>
      <c r="AQ949" s="373"/>
    </row>
    <row r="950">
      <c r="A950" s="257" t="s">
        <v>6753</v>
      </c>
      <c r="B950" s="257" t="s">
        <v>6754</v>
      </c>
      <c r="C950" s="257" t="str">
        <f>VLOOKUP(A950,import!A:J,3,0)</f>
        <v>DOĞRU</v>
      </c>
      <c r="D950" s="257" t="s">
        <v>3713</v>
      </c>
      <c r="E950" s="257">
        <f>VLOOKUP(A950,import!A:J,5,0)</f>
        <v>64</v>
      </c>
      <c r="F950" s="257" t="str">
        <f>VLOOKUP(A950,import!A:J,6,0)</f>
        <v/>
      </c>
      <c r="G950" s="257">
        <f>VLOOKUP(A950,import!A:J,7,0)</f>
        <v>0</v>
      </c>
      <c r="H950" s="257">
        <f>VLOOKUP(A950,import!A:J,8,0)</f>
        <v>37</v>
      </c>
      <c r="I950" s="257">
        <f>VLOOKUP(A950,import!A:J,9,0)</f>
        <v>37</v>
      </c>
      <c r="J950" s="369">
        <f>VLOOKUP(A950,import!A:J,10,0)</f>
        <v>0</v>
      </c>
      <c r="K950" s="257" t="s">
        <v>6755</v>
      </c>
      <c r="L950" s="257">
        <v>3.226063224E9</v>
      </c>
      <c r="M950" s="257" t="s">
        <v>286</v>
      </c>
      <c r="N950" s="257" t="s">
        <v>3688</v>
      </c>
      <c r="O950" s="257" t="s">
        <v>6756</v>
      </c>
      <c r="P950" s="370" t="str">
        <f>VLOOKUP(A950,import!A:P,16,0)</f>
        <v>Geleneksel</v>
      </c>
      <c r="Q950" s="370"/>
      <c r="R950" s="370" t="b">
        <v>1</v>
      </c>
      <c r="S950" s="370" t="b">
        <v>1</v>
      </c>
      <c r="T950" s="301"/>
      <c r="U950" s="301"/>
      <c r="V950" s="301"/>
      <c r="W950" s="301" t="s">
        <v>6757</v>
      </c>
      <c r="X950" s="371"/>
      <c r="Y950" s="371"/>
      <c r="Z950" s="377"/>
      <c r="AA950" s="373" t="s">
        <v>3682</v>
      </c>
      <c r="AB950" s="374">
        <v>44421.0</v>
      </c>
      <c r="AC950" s="373" t="s">
        <v>3681</v>
      </c>
      <c r="AD950" s="374">
        <v>44427.0</v>
      </c>
      <c r="AE950" s="373" t="s">
        <v>3682</v>
      </c>
      <c r="AF950" s="374">
        <v>44450.0</v>
      </c>
      <c r="AG950" s="373" t="s">
        <v>3682</v>
      </c>
      <c r="AH950" s="374">
        <v>44453.0</v>
      </c>
      <c r="AI950" s="373" t="s">
        <v>3448</v>
      </c>
      <c r="AJ950" s="374">
        <v>44454.0</v>
      </c>
      <c r="AK950" s="373" t="s">
        <v>3723</v>
      </c>
      <c r="AL950" s="373" t="s">
        <v>1947</v>
      </c>
      <c r="AM950" s="373" t="s">
        <v>2418</v>
      </c>
      <c r="AN950" s="373" t="s">
        <v>2542</v>
      </c>
      <c r="AO950" s="373" t="s">
        <v>2542</v>
      </c>
      <c r="AP950" s="376" t="s">
        <v>3686</v>
      </c>
      <c r="AQ950" s="373"/>
    </row>
    <row r="951">
      <c r="A951" s="266" t="s">
        <v>422</v>
      </c>
      <c r="B951" s="266" t="s">
        <v>423</v>
      </c>
      <c r="C951" s="257" t="str">
        <f>VLOOKUP(A951,import!A:J,3,0)</f>
        <v>DOĞRU</v>
      </c>
      <c r="D951" s="266" t="s">
        <v>3713</v>
      </c>
      <c r="E951" s="257">
        <f>VLOOKUP(A951,import!A:J,5,0)</f>
        <v>741</v>
      </c>
      <c r="F951" s="257">
        <f>VLOOKUP(A951,import!A:J,6,0)</f>
        <v>30</v>
      </c>
      <c r="G951" s="257">
        <f>VLOOKUP(A951,import!A:J,7,0)</f>
        <v>0</v>
      </c>
      <c r="H951" s="257">
        <f>VLOOKUP(A951,import!A:J,8,0)</f>
        <v>19</v>
      </c>
      <c r="I951" s="257">
        <f>VLOOKUP(A951,import!A:J,9,0)</f>
        <v>19</v>
      </c>
      <c r="J951" s="369">
        <f>VLOOKUP(A951,import!A:J,10,0)</f>
        <v>0</v>
      </c>
      <c r="K951" s="266" t="s">
        <v>6758</v>
      </c>
      <c r="L951" s="266">
        <v>5.386466545E9</v>
      </c>
      <c r="M951" s="266" t="s">
        <v>14</v>
      </c>
      <c r="N951" s="422" t="s">
        <v>3935</v>
      </c>
      <c r="O951" s="266" t="s">
        <v>426</v>
      </c>
      <c r="P951" s="370" t="str">
        <f>VLOOKUP(A951,import!A:P,16,0)</f>
        <v>Geleneksel</v>
      </c>
      <c r="Q951" s="370"/>
      <c r="R951" s="370" t="b">
        <v>1</v>
      </c>
      <c r="S951" s="370" t="b">
        <v>0</v>
      </c>
      <c r="T951" s="301" t="s">
        <v>3787</v>
      </c>
      <c r="U951" s="301" t="s">
        <v>2542</v>
      </c>
      <c r="V951" s="301" t="s">
        <v>78</v>
      </c>
      <c r="W951" s="301" t="s">
        <v>6759</v>
      </c>
      <c r="X951" s="371">
        <v>44477.0</v>
      </c>
      <c r="Y951" s="371">
        <v>44483.0</v>
      </c>
      <c r="Z951" s="377"/>
      <c r="AA951" s="373" t="s">
        <v>3682</v>
      </c>
      <c r="AB951" s="374">
        <v>44407.0</v>
      </c>
      <c r="AC951" s="373" t="s">
        <v>3448</v>
      </c>
      <c r="AD951" s="374">
        <v>44443.0</v>
      </c>
      <c r="AE951" s="373" t="s">
        <v>3682</v>
      </c>
      <c r="AF951" s="374">
        <v>44477.0</v>
      </c>
      <c r="AG951" s="92"/>
      <c r="AH951" s="375"/>
      <c r="AI951" s="375"/>
      <c r="AJ951" s="375"/>
      <c r="AK951" s="373" t="s">
        <v>4088</v>
      </c>
      <c r="AL951" s="373" t="s">
        <v>79</v>
      </c>
      <c r="AM951" s="373" t="s">
        <v>2542</v>
      </c>
      <c r="AN951" s="375"/>
      <c r="AO951" s="375"/>
      <c r="AP951" s="376" t="s">
        <v>3683</v>
      </c>
      <c r="AQ951" s="375"/>
    </row>
    <row r="952">
      <c r="A952" s="257" t="s">
        <v>3214</v>
      </c>
      <c r="B952" s="257" t="s">
        <v>3215</v>
      </c>
      <c r="C952" s="257" t="str">
        <f>VLOOKUP(A952,import!A:J,3,0)</f>
        <v>DOĞRU</v>
      </c>
      <c r="D952" s="257" t="s">
        <v>4468</v>
      </c>
      <c r="E952" s="257">
        <f>VLOOKUP(A952,import!A:J,5,0)</f>
        <v>387</v>
      </c>
      <c r="F952" s="257">
        <f>VLOOKUP(A952,import!A:J,6,0)</f>
        <v>23</v>
      </c>
      <c r="G952" s="257">
        <f>VLOOKUP(A952,import!A:J,7,0)</f>
        <v>0</v>
      </c>
      <c r="H952" s="257">
        <f>VLOOKUP(A952,import!A:J,8,0)</f>
        <v>29</v>
      </c>
      <c r="I952" s="257">
        <f>VLOOKUP(A952,import!A:J,9,0)</f>
        <v>29</v>
      </c>
      <c r="J952" s="369">
        <f>VLOOKUP(A952,import!A:J,10,0)</f>
        <v>0</v>
      </c>
      <c r="K952" s="257" t="s">
        <v>6760</v>
      </c>
      <c r="L952" s="257">
        <v>5.424137331E9</v>
      </c>
      <c r="M952" s="257" t="s">
        <v>286</v>
      </c>
      <c r="N952" s="257" t="s">
        <v>3855</v>
      </c>
      <c r="O952" s="257" t="s">
        <v>6761</v>
      </c>
      <c r="P952" s="370" t="str">
        <f>VLOOKUP(A952,import!A:P,16,0)</f>
        <v>Geleneksel</v>
      </c>
      <c r="Q952" s="370"/>
      <c r="R952" s="370" t="b">
        <v>1</v>
      </c>
      <c r="S952" s="370" t="b">
        <v>0</v>
      </c>
      <c r="T952" s="301" t="s">
        <v>3679</v>
      </c>
      <c r="U952" s="301" t="s">
        <v>3213</v>
      </c>
      <c r="V952" s="301" t="s">
        <v>78</v>
      </c>
      <c r="W952" s="301" t="s">
        <v>6762</v>
      </c>
      <c r="X952" s="371">
        <v>44537.0</v>
      </c>
      <c r="Y952" s="371">
        <v>44540.0</v>
      </c>
      <c r="Z952" s="372"/>
      <c r="AA952" s="373" t="s">
        <v>3682</v>
      </c>
      <c r="AB952" s="374">
        <v>44537.0</v>
      </c>
      <c r="AC952" s="373" t="s">
        <v>3682</v>
      </c>
      <c r="AD952" s="374">
        <v>44540.0</v>
      </c>
      <c r="AE952" s="373" t="s">
        <v>3448</v>
      </c>
      <c r="AF952" s="374">
        <v>44574.0</v>
      </c>
      <c r="AG952" s="373" t="s">
        <v>3682</v>
      </c>
      <c r="AH952" s="374">
        <v>44574.0</v>
      </c>
      <c r="AI952" s="375"/>
      <c r="AJ952" s="375"/>
      <c r="AK952" s="373" t="s">
        <v>3213</v>
      </c>
      <c r="AL952" s="373" t="s">
        <v>2706</v>
      </c>
      <c r="AM952" s="373" t="s">
        <v>2192</v>
      </c>
      <c r="AN952" s="373"/>
      <c r="AO952" s="375"/>
      <c r="AP952" s="376" t="s">
        <v>3686</v>
      </c>
      <c r="AQ952" s="375"/>
    </row>
    <row r="953">
      <c r="A953" s="257" t="s">
        <v>2694</v>
      </c>
      <c r="B953" s="257" t="s">
        <v>2695</v>
      </c>
      <c r="C953" s="257" t="str">
        <f>VLOOKUP(A953,import!A:J,3,0)</f>
        <v>DOĞRU</v>
      </c>
      <c r="D953" s="257" t="s">
        <v>3690</v>
      </c>
      <c r="E953" s="257">
        <f>VLOOKUP(A953,import!A:J,5,0)</f>
        <v>379</v>
      </c>
      <c r="F953" s="257" t="str">
        <f>VLOOKUP(A953,import!A:J,6,0)</f>
        <v/>
      </c>
      <c r="G953" s="257">
        <f>VLOOKUP(A953,import!A:J,7,0)</f>
        <v>5</v>
      </c>
      <c r="H953" s="257">
        <f>VLOOKUP(A953,import!A:J,8,0)</f>
        <v>1</v>
      </c>
      <c r="I953" s="257">
        <f>VLOOKUP(A953,import!A:J,9,0)</f>
        <v>6</v>
      </c>
      <c r="J953" s="369">
        <f>VLOOKUP(A953,import!A:J,10,0)</f>
        <v>0.83</v>
      </c>
      <c r="K953" s="257" t="s">
        <v>6763</v>
      </c>
      <c r="L953" s="257">
        <v>3.229993134E9</v>
      </c>
      <c r="M953" s="257" t="s">
        <v>286</v>
      </c>
      <c r="N953" s="257" t="s">
        <v>3855</v>
      </c>
      <c r="O953" s="257" t="s">
        <v>6764</v>
      </c>
      <c r="P953" s="370" t="str">
        <f>VLOOKUP(A953,import!A:P,16,0)</f>
        <v>Geleneksel</v>
      </c>
      <c r="Q953" s="370"/>
      <c r="R953" s="370" t="b">
        <v>1</v>
      </c>
      <c r="S953" s="370" t="b">
        <v>0</v>
      </c>
      <c r="T953" s="301" t="s">
        <v>3679</v>
      </c>
      <c r="U953" s="301" t="s">
        <v>2192</v>
      </c>
      <c r="V953" s="301" t="s">
        <v>78</v>
      </c>
      <c r="W953" s="301">
        <v>5.38726446E9</v>
      </c>
      <c r="X953" s="371">
        <v>44467.0</v>
      </c>
      <c r="Y953" s="371">
        <v>44468.0</v>
      </c>
      <c r="Z953" s="372"/>
      <c r="AA953" s="373" t="s">
        <v>3448</v>
      </c>
      <c r="AB953" s="374">
        <v>44445.0</v>
      </c>
      <c r="AC953" s="373" t="s">
        <v>3448</v>
      </c>
      <c r="AD953" s="374">
        <v>44453.0</v>
      </c>
      <c r="AE953" s="373" t="s">
        <v>3448</v>
      </c>
      <c r="AF953" s="374">
        <v>44454.0</v>
      </c>
      <c r="AG953" s="373" t="s">
        <v>3682</v>
      </c>
      <c r="AH953" s="374">
        <v>44467.0</v>
      </c>
      <c r="AI953" s="375"/>
      <c r="AJ953" s="375"/>
      <c r="AK953" s="373" t="s">
        <v>79</v>
      </c>
      <c r="AL953" s="373" t="s">
        <v>2542</v>
      </c>
      <c r="AM953" s="373" t="s">
        <v>2542</v>
      </c>
      <c r="AN953" s="373" t="s">
        <v>2192</v>
      </c>
      <c r="AO953" s="375"/>
      <c r="AP953" s="376" t="s">
        <v>3686</v>
      </c>
      <c r="AQ953" s="375"/>
    </row>
    <row r="954">
      <c r="A954" s="257" t="s">
        <v>241</v>
      </c>
      <c r="B954" s="257" t="s">
        <v>242</v>
      </c>
      <c r="C954" s="257" t="str">
        <f>VLOOKUP(A954,import!A:J,3,0)</f>
        <v>DOĞRU</v>
      </c>
      <c r="D954" s="257" t="s">
        <v>3699</v>
      </c>
      <c r="E954" s="257">
        <f>VLOOKUP(A954,import!A:J,5,0)</f>
        <v>236</v>
      </c>
      <c r="F954" s="257">
        <f>VLOOKUP(A954,import!A:J,6,0)</f>
        <v>4</v>
      </c>
      <c r="G954" s="257">
        <f>VLOOKUP(A954,import!A:J,7,0)</f>
        <v>16</v>
      </c>
      <c r="H954" s="257">
        <f>VLOOKUP(A954,import!A:J,8,0)</f>
        <v>6</v>
      </c>
      <c r="I954" s="257">
        <f>VLOOKUP(A954,import!A:J,9,0)</f>
        <v>22</v>
      </c>
      <c r="J954" s="369">
        <f>VLOOKUP(A954,import!A:J,10,0)</f>
        <v>0.73</v>
      </c>
      <c r="K954" s="257" t="s">
        <v>6765</v>
      </c>
      <c r="L954" s="257">
        <v>5.425942854E9</v>
      </c>
      <c r="M954" s="257" t="s">
        <v>14</v>
      </c>
      <c r="N954" s="257" t="s">
        <v>3797</v>
      </c>
      <c r="O954" s="257" t="s">
        <v>245</v>
      </c>
      <c r="P954" s="370" t="str">
        <f>VLOOKUP(A954,import!A:P,16,0)</f>
        <v>Geleneksel</v>
      </c>
      <c r="Q954" s="370"/>
      <c r="R954" s="370" t="b">
        <v>1</v>
      </c>
      <c r="S954" s="370" t="b">
        <v>0</v>
      </c>
      <c r="T954" s="301" t="s">
        <v>3679</v>
      </c>
      <c r="U954" s="301" t="s">
        <v>6766</v>
      </c>
      <c r="V954" s="301" t="s">
        <v>78</v>
      </c>
      <c r="W954" s="301" t="s">
        <v>6767</v>
      </c>
      <c r="X954" s="371">
        <v>44301.0</v>
      </c>
      <c r="Y954" s="371">
        <v>44301.0</v>
      </c>
      <c r="Z954" s="377"/>
      <c r="AA954" s="375"/>
      <c r="AB954" s="375"/>
      <c r="AC954" s="375"/>
      <c r="AD954" s="375"/>
      <c r="AE954" s="92"/>
      <c r="AF954" s="375"/>
      <c r="AG954" s="92"/>
      <c r="AH954" s="375"/>
      <c r="AI954" s="375"/>
      <c r="AJ954" s="375"/>
      <c r="AK954" s="375"/>
      <c r="AL954" s="375"/>
      <c r="AM954" s="375"/>
      <c r="AN954" s="375"/>
      <c r="AO954" s="375"/>
      <c r="AP954" s="376" t="s">
        <v>3683</v>
      </c>
      <c r="AQ954" s="375"/>
    </row>
    <row r="955">
      <c r="A955" s="257" t="s">
        <v>861</v>
      </c>
      <c r="B955" s="257" t="s">
        <v>862</v>
      </c>
      <c r="C955" s="257" t="str">
        <f>VLOOKUP(A955,import!A:J,3,0)</f>
        <v>DOĞRU</v>
      </c>
      <c r="D955" s="257" t="s">
        <v>3749</v>
      </c>
      <c r="E955" s="257">
        <f>VLOOKUP(A955,import!A:J,5,0)</f>
        <v>920</v>
      </c>
      <c r="F955" s="257">
        <f>VLOOKUP(A955,import!A:J,6,0)</f>
        <v>22</v>
      </c>
      <c r="G955" s="257">
        <f>VLOOKUP(A955,import!A:J,7,0)</f>
        <v>20</v>
      </c>
      <c r="H955" s="257">
        <f>VLOOKUP(A955,import!A:J,8,0)</f>
        <v>41</v>
      </c>
      <c r="I955" s="257">
        <f>VLOOKUP(A955,import!A:J,9,0)</f>
        <v>61</v>
      </c>
      <c r="J955" s="369">
        <f>VLOOKUP(A955,import!A:J,10,0)</f>
        <v>0.33</v>
      </c>
      <c r="K955" s="257" t="s">
        <v>6768</v>
      </c>
      <c r="L955" s="257">
        <v>5.525235273E9</v>
      </c>
      <c r="M955" s="257" t="s">
        <v>14</v>
      </c>
      <c r="N955" s="257" t="s">
        <v>3914</v>
      </c>
      <c r="O955" s="257" t="s">
        <v>864</v>
      </c>
      <c r="P955" s="370" t="str">
        <f>VLOOKUP(A955,import!A:P,16,0)</f>
        <v>Geleneksel</v>
      </c>
      <c r="Q955" s="370"/>
      <c r="R955" s="370" t="b">
        <v>1</v>
      </c>
      <c r="S955" s="370" t="b">
        <v>0</v>
      </c>
      <c r="T955" s="301" t="s">
        <v>3679</v>
      </c>
      <c r="U955" s="301" t="s">
        <v>79</v>
      </c>
      <c r="V955" s="301" t="s">
        <v>78</v>
      </c>
      <c r="W955" s="301" t="s">
        <v>6769</v>
      </c>
      <c r="X955" s="371">
        <v>44456.0</v>
      </c>
      <c r="Y955" s="371">
        <v>44461.0</v>
      </c>
      <c r="Z955" s="372"/>
      <c r="AA955" s="373" t="s">
        <v>3682</v>
      </c>
      <c r="AB955" s="374">
        <v>44348.0</v>
      </c>
      <c r="AC955" s="373" t="s">
        <v>3695</v>
      </c>
      <c r="AD955" s="374">
        <v>44382.0</v>
      </c>
      <c r="AE955" s="373" t="s">
        <v>3695</v>
      </c>
      <c r="AF955" s="374">
        <v>44383.0</v>
      </c>
      <c r="AG955" s="373" t="s">
        <v>3448</v>
      </c>
      <c r="AH955" s="374">
        <v>44406.0</v>
      </c>
      <c r="AI955" s="373" t="s">
        <v>3448</v>
      </c>
      <c r="AJ955" s="374">
        <v>44435.0</v>
      </c>
      <c r="AK955" s="373" t="s">
        <v>79</v>
      </c>
      <c r="AL955" s="373" t="s">
        <v>3719</v>
      </c>
      <c r="AM955" s="373" t="s">
        <v>399</v>
      </c>
      <c r="AN955" s="373" t="s">
        <v>3719</v>
      </c>
      <c r="AO955" s="373" t="s">
        <v>3723</v>
      </c>
      <c r="AP955" s="376" t="s">
        <v>3683</v>
      </c>
      <c r="AQ955" s="373"/>
    </row>
    <row r="956">
      <c r="A956" s="376" t="s">
        <v>6770</v>
      </c>
      <c r="B956" s="376" t="s">
        <v>6771</v>
      </c>
      <c r="C956" s="257" t="str">
        <f>VLOOKUP(A956,import!A:J,3,0)</f>
        <v>DOĞRU</v>
      </c>
      <c r="D956" s="376" t="s">
        <v>3801</v>
      </c>
      <c r="E956" s="257">
        <f>VLOOKUP(A956,import!A:J,5,0)</f>
        <v>26</v>
      </c>
      <c r="F956" s="257">
        <f>VLOOKUP(A956,import!A:J,6,0)</f>
        <v>25</v>
      </c>
      <c r="G956" s="257">
        <f>VLOOKUP(A956,import!A:J,7,0)</f>
        <v>0</v>
      </c>
      <c r="H956" s="257">
        <f>VLOOKUP(A956,import!A:J,8,0)</f>
        <v>10</v>
      </c>
      <c r="I956" s="257">
        <f>VLOOKUP(A956,import!A:J,9,0)</f>
        <v>10</v>
      </c>
      <c r="J956" s="369">
        <f>VLOOKUP(A956,import!A:J,10,0)</f>
        <v>0</v>
      </c>
      <c r="K956" s="376" t="s">
        <v>4552</v>
      </c>
      <c r="L956" s="376">
        <v>3.22329083E9</v>
      </c>
      <c r="M956" s="376" t="s">
        <v>3707</v>
      </c>
      <c r="N956" s="376" t="s">
        <v>6447</v>
      </c>
      <c r="O956" s="376" t="s">
        <v>6772</v>
      </c>
      <c r="P956" s="370" t="str">
        <f>VLOOKUP(A956,import!A:P,16,0)</f>
        <v>Geleneksel</v>
      </c>
      <c r="Q956" s="370"/>
      <c r="R956" s="370" t="b">
        <v>0</v>
      </c>
      <c r="S956" s="370" t="b">
        <v>0</v>
      </c>
      <c r="T956" s="301"/>
      <c r="U956" s="301"/>
      <c r="V956" s="301"/>
      <c r="W956" s="301"/>
      <c r="X956" s="371"/>
      <c r="Y956" s="371"/>
      <c r="Z956" s="372"/>
      <c r="AA956" s="373"/>
      <c r="AB956" s="374"/>
      <c r="AC956" s="373"/>
      <c r="AD956" s="374"/>
      <c r="AE956" s="373"/>
      <c r="AF956" s="374"/>
      <c r="AG956" s="373"/>
      <c r="AH956" s="374"/>
      <c r="AI956" s="373"/>
      <c r="AJ956" s="374"/>
      <c r="AK956" s="373"/>
      <c r="AL956" s="373"/>
      <c r="AM956" s="373"/>
      <c r="AN956" s="373"/>
      <c r="AO956" s="373"/>
      <c r="AP956" s="376"/>
      <c r="AQ956" s="373"/>
    </row>
    <row r="957">
      <c r="A957" s="266" t="s">
        <v>2231</v>
      </c>
      <c r="B957" s="266" t="s">
        <v>2232</v>
      </c>
      <c r="C957" s="257" t="str">
        <f>VLOOKUP(A957,import!A:J,3,0)</f>
        <v>DOĞRU</v>
      </c>
      <c r="D957" s="266" t="s">
        <v>3759</v>
      </c>
      <c r="E957" s="257">
        <f>VLOOKUP(A957,import!A:J,5,0)</f>
        <v>2360</v>
      </c>
      <c r="F957" s="257">
        <f>VLOOKUP(A957,import!A:J,6,0)</f>
        <v>58</v>
      </c>
      <c r="G957" s="257">
        <f>VLOOKUP(A957,import!A:J,7,0)</f>
        <v>36</v>
      </c>
      <c r="H957" s="257">
        <f>VLOOKUP(A957,import!A:J,8,0)</f>
        <v>59</v>
      </c>
      <c r="I957" s="257">
        <f>VLOOKUP(A957,import!A:J,9,0)</f>
        <v>95</v>
      </c>
      <c r="J957" s="369">
        <f>VLOOKUP(A957,import!A:J,10,0)</f>
        <v>0.38</v>
      </c>
      <c r="K957" s="266" t="s">
        <v>6773</v>
      </c>
      <c r="L957" s="266">
        <v>5.339284051E9</v>
      </c>
      <c r="M957" s="266" t="s">
        <v>286</v>
      </c>
      <c r="N957" s="266" t="s">
        <v>3855</v>
      </c>
      <c r="O957" s="266" t="s">
        <v>2234</v>
      </c>
      <c r="P957" s="370" t="str">
        <f>VLOOKUP(A957,import!A:P,16,0)</f>
        <v>Geleneksel</v>
      </c>
      <c r="Q957" s="370"/>
      <c r="R957" s="370" t="b">
        <v>1</v>
      </c>
      <c r="S957" s="370" t="b">
        <v>0</v>
      </c>
      <c r="T957" s="301" t="s">
        <v>3679</v>
      </c>
      <c r="U957" s="301" t="s">
        <v>2542</v>
      </c>
      <c r="V957" s="301" t="s">
        <v>78</v>
      </c>
      <c r="W957" s="301" t="s">
        <v>6774</v>
      </c>
      <c r="X957" s="371">
        <v>44440.0</v>
      </c>
      <c r="Y957" s="371">
        <v>44441.0</v>
      </c>
      <c r="Z957" s="372"/>
      <c r="AA957" s="373" t="s">
        <v>3682</v>
      </c>
      <c r="AB957" s="374">
        <v>44440.0</v>
      </c>
      <c r="AC957" s="375"/>
      <c r="AD957" s="375"/>
      <c r="AE957" s="92"/>
      <c r="AF957" s="375"/>
      <c r="AG957" s="92"/>
      <c r="AH957" s="375"/>
      <c r="AI957" s="375"/>
      <c r="AJ957" s="375"/>
      <c r="AK957" s="373" t="s">
        <v>2542</v>
      </c>
      <c r="AL957" s="375"/>
      <c r="AM957" s="375"/>
      <c r="AN957" s="375"/>
      <c r="AO957" s="375"/>
      <c r="AP957" s="376" t="s">
        <v>3686</v>
      </c>
      <c r="AQ957" s="375"/>
    </row>
    <row r="958">
      <c r="A958" s="257" t="s">
        <v>1091</v>
      </c>
      <c r="B958" s="257" t="s">
        <v>1092</v>
      </c>
      <c r="C958" s="257" t="str">
        <f>VLOOKUP(A958,import!A:J,3,0)</f>
        <v>DOĞRU</v>
      </c>
      <c r="D958" s="257" t="s">
        <v>3690</v>
      </c>
      <c r="E958" s="257">
        <f>VLOOKUP(A958,import!A:J,5,0)</f>
        <v>2978</v>
      </c>
      <c r="F958" s="257">
        <f>VLOOKUP(A958,import!A:J,6,0)</f>
        <v>2</v>
      </c>
      <c r="G958" s="257">
        <f>VLOOKUP(A958,import!A:J,7,0)</f>
        <v>0</v>
      </c>
      <c r="H958" s="257">
        <f>VLOOKUP(A958,import!A:J,8,0)</f>
        <v>10</v>
      </c>
      <c r="I958" s="257">
        <f>VLOOKUP(A958,import!A:J,9,0)</f>
        <v>10</v>
      </c>
      <c r="J958" s="369">
        <f>VLOOKUP(A958,import!A:J,10,0)</f>
        <v>0</v>
      </c>
      <c r="K958" s="257" t="s">
        <v>6775</v>
      </c>
      <c r="L958" s="257">
        <v>5.382140402E9</v>
      </c>
      <c r="M958" s="257" t="s">
        <v>14</v>
      </c>
      <c r="N958" s="257" t="s">
        <v>3826</v>
      </c>
      <c r="O958" s="257" t="s">
        <v>1094</v>
      </c>
      <c r="P958" s="370" t="str">
        <f>VLOOKUP(A958,import!A:P,16,0)</f>
        <v>Geleneksel</v>
      </c>
      <c r="Q958" s="370"/>
      <c r="R958" s="370" t="b">
        <v>1</v>
      </c>
      <c r="S958" s="370" t="b">
        <v>0</v>
      </c>
      <c r="T958" s="301" t="s">
        <v>3770</v>
      </c>
      <c r="U958" s="301" t="s">
        <v>79</v>
      </c>
      <c r="V958" s="301" t="s">
        <v>78</v>
      </c>
      <c r="W958" s="301" t="s">
        <v>6776</v>
      </c>
      <c r="X958" s="371">
        <v>44363.0</v>
      </c>
      <c r="Y958" s="371">
        <v>44369.0</v>
      </c>
      <c r="Z958" s="372"/>
      <c r="AA958" s="373" t="s">
        <v>3448</v>
      </c>
      <c r="AB958" s="374">
        <v>44358.0</v>
      </c>
      <c r="AC958" s="373" t="s">
        <v>3682</v>
      </c>
      <c r="AD958" s="374">
        <v>44363.0</v>
      </c>
      <c r="AE958" s="373" t="s">
        <v>3448</v>
      </c>
      <c r="AF958" s="374">
        <v>44406.0</v>
      </c>
      <c r="AG958" s="373" t="s">
        <v>3682</v>
      </c>
      <c r="AH958" s="374">
        <v>44407.0</v>
      </c>
      <c r="AI958" s="373" t="s">
        <v>3448</v>
      </c>
      <c r="AJ958" s="374">
        <v>44469.0</v>
      </c>
      <c r="AK958" s="373" t="s">
        <v>79</v>
      </c>
      <c r="AL958" s="373" t="s">
        <v>79</v>
      </c>
      <c r="AM958" s="373" t="s">
        <v>3719</v>
      </c>
      <c r="AN958" s="375"/>
      <c r="AO958" s="373" t="s">
        <v>2282</v>
      </c>
      <c r="AP958" s="376" t="s">
        <v>3683</v>
      </c>
      <c r="AQ958" s="373"/>
    </row>
    <row r="959">
      <c r="A959" s="376" t="s">
        <v>6777</v>
      </c>
      <c r="B959" s="376" t="s">
        <v>6778</v>
      </c>
      <c r="C959" s="257" t="str">
        <f>VLOOKUP(A959,import!A:J,3,0)</f>
        <v>DOĞRU</v>
      </c>
      <c r="D959" s="376" t="s">
        <v>3676</v>
      </c>
      <c r="E959" s="257">
        <f>VLOOKUP(A959,import!A:J,5,0)</f>
        <v>6</v>
      </c>
      <c r="F959" s="257">
        <f>VLOOKUP(A959,import!A:J,6,0)</f>
        <v>5</v>
      </c>
      <c r="G959" s="257">
        <f>VLOOKUP(A959,import!A:J,7,0)</f>
        <v>0</v>
      </c>
      <c r="H959" s="257">
        <f>VLOOKUP(A959,import!A:J,8,0)</f>
        <v>18</v>
      </c>
      <c r="I959" s="257">
        <f>VLOOKUP(A959,import!A:J,9,0)</f>
        <v>18</v>
      </c>
      <c r="J959" s="369">
        <f>VLOOKUP(A959,import!A:J,10,0)</f>
        <v>0</v>
      </c>
      <c r="K959" s="376" t="s">
        <v>6779</v>
      </c>
      <c r="L959" s="376">
        <v>3.224541717E9</v>
      </c>
      <c r="M959" s="376" t="s">
        <v>286</v>
      </c>
      <c r="N959" s="376" t="s">
        <v>3737</v>
      </c>
      <c r="O959" s="376" t="s">
        <v>6780</v>
      </c>
      <c r="P959" s="370" t="str">
        <f>VLOOKUP(A959,import!A:P,16,0)</f>
        <v>Geleneksel</v>
      </c>
      <c r="Q959" s="370"/>
      <c r="R959" s="370" t="b">
        <v>0</v>
      </c>
      <c r="S959" s="370" t="b">
        <v>0</v>
      </c>
      <c r="T959" s="301"/>
      <c r="U959" s="301"/>
      <c r="V959" s="301"/>
      <c r="W959" s="301"/>
      <c r="X959" s="371"/>
      <c r="Y959" s="371"/>
      <c r="Z959" s="372"/>
      <c r="AA959" s="373"/>
      <c r="AB959" s="374"/>
      <c r="AC959" s="373"/>
      <c r="AD959" s="374"/>
      <c r="AE959" s="373"/>
      <c r="AF959" s="374"/>
      <c r="AG959" s="373"/>
      <c r="AH959" s="374"/>
      <c r="AI959" s="373"/>
      <c r="AJ959" s="374"/>
      <c r="AK959" s="373"/>
      <c r="AL959" s="373"/>
      <c r="AM959" s="373"/>
      <c r="AN959" s="373"/>
      <c r="AO959" s="373"/>
      <c r="AP959" s="376"/>
      <c r="AQ959" s="373"/>
    </row>
    <row r="960">
      <c r="A960" s="257" t="s">
        <v>6781</v>
      </c>
      <c r="B960" s="257" t="s">
        <v>6782</v>
      </c>
      <c r="C960" s="257" t="str">
        <f>VLOOKUP(A960,import!A:J,3,0)</f>
        <v>DOĞRU</v>
      </c>
      <c r="D960" s="257" t="s">
        <v>3749</v>
      </c>
      <c r="E960" s="257">
        <f>VLOOKUP(A960,import!A:J,5,0)</f>
        <v>257</v>
      </c>
      <c r="F960" s="257">
        <f>VLOOKUP(A960,import!A:J,6,0)</f>
        <v>59</v>
      </c>
      <c r="G960" s="257">
        <f>VLOOKUP(A960,import!A:J,7,0)</f>
        <v>0</v>
      </c>
      <c r="H960" s="257">
        <f>VLOOKUP(A960,import!A:J,8,0)</f>
        <v>14</v>
      </c>
      <c r="I960" s="257">
        <f>VLOOKUP(A960,import!A:J,9,0)</f>
        <v>14</v>
      </c>
      <c r="J960" s="369">
        <f>VLOOKUP(A960,import!A:J,10,0)</f>
        <v>0</v>
      </c>
      <c r="K960" s="257" t="s">
        <v>6783</v>
      </c>
      <c r="L960" s="257">
        <v>3.225048504E9</v>
      </c>
      <c r="M960" s="257" t="s">
        <v>14</v>
      </c>
      <c r="N960" s="257" t="s">
        <v>3678</v>
      </c>
      <c r="O960" s="257" t="s">
        <v>6784</v>
      </c>
      <c r="P960" s="370" t="str">
        <f>VLOOKUP(A960,import!A:P,16,0)</f>
        <v>Geleneksel</v>
      </c>
      <c r="Q960" s="370"/>
      <c r="R960" s="370" t="b">
        <v>1</v>
      </c>
      <c r="S960" s="370" t="b">
        <v>0</v>
      </c>
      <c r="T960" s="301"/>
      <c r="U960" s="379"/>
      <c r="V960" s="379"/>
      <c r="W960" s="301" t="s">
        <v>6785</v>
      </c>
      <c r="X960" s="381"/>
      <c r="Y960" s="381"/>
      <c r="Z960" s="372"/>
      <c r="AA960" s="373" t="s">
        <v>3682</v>
      </c>
      <c r="AB960" s="374">
        <v>44634.0</v>
      </c>
      <c r="AC960" s="373"/>
      <c r="AD960" s="374"/>
      <c r="AE960" s="373"/>
      <c r="AF960" s="374"/>
      <c r="AG960" s="373"/>
      <c r="AH960" s="374"/>
      <c r="AI960" s="375"/>
      <c r="AJ960" s="375"/>
      <c r="AK960" s="373" t="s">
        <v>2418</v>
      </c>
      <c r="AL960" s="375"/>
      <c r="AM960" s="375"/>
      <c r="AN960" s="373"/>
      <c r="AO960" s="375"/>
      <c r="AP960" s="376"/>
      <c r="AQ960" s="375"/>
    </row>
    <row r="961">
      <c r="A961" s="257" t="s">
        <v>6786</v>
      </c>
      <c r="B961" s="257" t="s">
        <v>6787</v>
      </c>
      <c r="C961" s="257" t="str">
        <f>VLOOKUP(A961,import!A:J,3,0)</f>
        <v>YANLIŞ</v>
      </c>
      <c r="D961" s="257" t="s">
        <v>3749</v>
      </c>
      <c r="E961" s="257">
        <f>VLOOKUP(A961,import!A:J,5,0)</f>
        <v>394</v>
      </c>
      <c r="F961" s="257" t="str">
        <f>VLOOKUP(A961,import!A:J,6,0)</f>
        <v/>
      </c>
      <c r="G961" s="257">
        <f>VLOOKUP(A961,import!A:J,7,0)</f>
        <v>0</v>
      </c>
      <c r="H961" s="257">
        <f>VLOOKUP(A961,import!A:J,8,0)</f>
        <v>13</v>
      </c>
      <c r="I961" s="257">
        <f>VLOOKUP(A961,import!A:J,9,0)</f>
        <v>13</v>
      </c>
      <c r="J961" s="369">
        <f>VLOOKUP(A961,import!A:J,10,0)</f>
        <v>0</v>
      </c>
      <c r="K961" s="257" t="s">
        <v>6788</v>
      </c>
      <c r="L961" s="257">
        <v>5.435133717E9</v>
      </c>
      <c r="M961" s="257" t="s">
        <v>286</v>
      </c>
      <c r="N961" s="257" t="s">
        <v>4152</v>
      </c>
      <c r="O961" s="257" t="s">
        <v>4153</v>
      </c>
      <c r="P961" s="370" t="str">
        <f>VLOOKUP(A961,import!A:P,16,0)</f>
        <v>Geleneksel</v>
      </c>
      <c r="Q961" s="370"/>
      <c r="R961" s="370" t="b">
        <v>1</v>
      </c>
      <c r="S961" s="370" t="b">
        <v>0</v>
      </c>
      <c r="T961" s="301" t="s">
        <v>3770</v>
      </c>
      <c r="U961" s="379"/>
      <c r="V961" s="379"/>
      <c r="W961" s="301" t="s">
        <v>6789</v>
      </c>
      <c r="X961" s="381"/>
      <c r="Y961" s="381"/>
      <c r="Z961" s="372"/>
      <c r="AA961" s="373" t="s">
        <v>3682</v>
      </c>
      <c r="AB961" s="374">
        <v>44467.0</v>
      </c>
      <c r="AC961" s="373" t="s">
        <v>3448</v>
      </c>
      <c r="AD961" s="374">
        <v>44510.0</v>
      </c>
      <c r="AE961" s="373" t="s">
        <v>3695</v>
      </c>
      <c r="AF961" s="374">
        <v>44519.0</v>
      </c>
      <c r="AG961" s="92"/>
      <c r="AH961" s="375"/>
      <c r="AI961" s="375"/>
      <c r="AJ961" s="375"/>
      <c r="AK961" s="373" t="s">
        <v>2192</v>
      </c>
      <c r="AL961" s="373" t="s">
        <v>3073</v>
      </c>
      <c r="AM961" s="373" t="s">
        <v>3073</v>
      </c>
      <c r="AN961" s="375"/>
      <c r="AO961" s="375"/>
      <c r="AP961" s="376" t="s">
        <v>3686</v>
      </c>
      <c r="AQ961" s="375"/>
    </row>
    <row r="962">
      <c r="A962" s="257" t="s">
        <v>3147</v>
      </c>
      <c r="B962" s="257" t="s">
        <v>3148</v>
      </c>
      <c r="C962" s="257" t="str">
        <f>VLOOKUP(A962,import!A:J,3,0)</f>
        <v>DOĞRU</v>
      </c>
      <c r="D962" s="257" t="s">
        <v>3749</v>
      </c>
      <c r="E962" s="257">
        <f>VLOOKUP(A962,import!A:J,5,0)</f>
        <v>1279</v>
      </c>
      <c r="F962" s="257">
        <f>VLOOKUP(A962,import!A:J,6,0)</f>
        <v>106</v>
      </c>
      <c r="G962" s="257">
        <f>VLOOKUP(A962,import!A:J,7,0)</f>
        <v>0</v>
      </c>
      <c r="H962" s="257">
        <f>VLOOKUP(A962,import!A:J,8,0)</f>
        <v>15</v>
      </c>
      <c r="I962" s="257">
        <f>VLOOKUP(A962,import!A:J,9,0)</f>
        <v>15</v>
      </c>
      <c r="J962" s="369">
        <f>VLOOKUP(A962,import!A:J,10,0)</f>
        <v>0</v>
      </c>
      <c r="K962" s="257" t="s">
        <v>6790</v>
      </c>
      <c r="L962" s="257">
        <v>3.222256225E9</v>
      </c>
      <c r="M962" s="257" t="s">
        <v>286</v>
      </c>
      <c r="N962" s="257" t="s">
        <v>3688</v>
      </c>
      <c r="O962" s="257" t="s">
        <v>3150</v>
      </c>
      <c r="P962" s="370" t="str">
        <f>VLOOKUP(A962,import!A:P,16,0)</f>
        <v>Geleneksel</v>
      </c>
      <c r="Q962" s="370"/>
      <c r="R962" s="370" t="b">
        <v>1</v>
      </c>
      <c r="S962" s="370" t="b">
        <v>0</v>
      </c>
      <c r="T962" s="301" t="s">
        <v>3679</v>
      </c>
      <c r="U962" s="301" t="s">
        <v>2542</v>
      </c>
      <c r="V962" s="301" t="s">
        <v>78</v>
      </c>
      <c r="W962" s="301" t="s">
        <v>6791</v>
      </c>
      <c r="X962" s="371">
        <v>44524.0</v>
      </c>
      <c r="Y962" s="371">
        <v>44525.0</v>
      </c>
      <c r="Z962" s="372"/>
      <c r="AA962" s="373"/>
      <c r="AB962" s="374"/>
      <c r="AC962" s="373"/>
      <c r="AD962" s="374"/>
      <c r="AE962" s="373"/>
      <c r="AF962" s="374"/>
      <c r="AG962" s="373"/>
      <c r="AH962" s="374"/>
      <c r="AI962" s="375"/>
      <c r="AJ962" s="375"/>
      <c r="AK962" s="373" t="s">
        <v>2542</v>
      </c>
      <c r="AL962" s="375"/>
      <c r="AM962" s="375"/>
      <c r="AN962" s="373"/>
      <c r="AO962" s="375"/>
      <c r="AP962" s="376" t="s">
        <v>3686</v>
      </c>
      <c r="AQ962" s="375"/>
    </row>
    <row r="963">
      <c r="A963" s="257" t="s">
        <v>2325</v>
      </c>
      <c r="B963" s="257" t="s">
        <v>2326</v>
      </c>
      <c r="C963" s="257" t="str">
        <f>VLOOKUP(A963,import!A:J,3,0)</f>
        <v>DOĞRU</v>
      </c>
      <c r="D963" s="257" t="s">
        <v>3713</v>
      </c>
      <c r="E963" s="257">
        <f>VLOOKUP(A963,import!A:J,5,0)</f>
        <v>239</v>
      </c>
      <c r="F963" s="257">
        <f>VLOOKUP(A963,import!A:J,6,0)</f>
        <v>5</v>
      </c>
      <c r="G963" s="257">
        <f>VLOOKUP(A963,import!A:J,7,0)</f>
        <v>0</v>
      </c>
      <c r="H963" s="257">
        <f>VLOOKUP(A963,import!A:J,8,0)</f>
        <v>13</v>
      </c>
      <c r="I963" s="257">
        <f>VLOOKUP(A963,import!A:J,9,0)</f>
        <v>13</v>
      </c>
      <c r="J963" s="369">
        <f>VLOOKUP(A963,import!A:J,10,0)</f>
        <v>0</v>
      </c>
      <c r="K963" s="257" t="s">
        <v>6792</v>
      </c>
      <c r="L963" s="257">
        <v>3.22329298E9</v>
      </c>
      <c r="M963" s="257" t="s">
        <v>3692</v>
      </c>
      <c r="N963" s="257" t="s">
        <v>4156</v>
      </c>
      <c r="O963" s="257" t="s">
        <v>2328</v>
      </c>
      <c r="P963" s="370" t="str">
        <f>VLOOKUP(A963,import!A:P,16,0)</f>
        <v>Geleneksel</v>
      </c>
      <c r="Q963" s="370"/>
      <c r="R963" s="370" t="b">
        <v>1</v>
      </c>
      <c r="S963" s="370" t="b">
        <v>0</v>
      </c>
      <c r="T963" s="301" t="s">
        <v>6793</v>
      </c>
      <c r="U963" s="301" t="s">
        <v>79</v>
      </c>
      <c r="V963" s="379"/>
      <c r="W963" s="301" t="s">
        <v>6794</v>
      </c>
      <c r="X963" s="371">
        <v>44446.0</v>
      </c>
      <c r="Y963" s="371">
        <v>44447.0</v>
      </c>
      <c r="Z963" s="301" t="s">
        <v>4983</v>
      </c>
      <c r="AA963" s="373" t="s">
        <v>3682</v>
      </c>
      <c r="AB963" s="374">
        <v>44407.0</v>
      </c>
      <c r="AC963" s="373" t="s">
        <v>3682</v>
      </c>
      <c r="AD963" s="374">
        <v>44428.0</v>
      </c>
      <c r="AE963" s="373" t="s">
        <v>3682</v>
      </c>
      <c r="AF963" s="374">
        <v>44469.0</v>
      </c>
      <c r="AG963" s="373" t="s">
        <v>3682</v>
      </c>
      <c r="AH963" s="374">
        <v>44509.0</v>
      </c>
      <c r="AI963" s="375"/>
      <c r="AJ963" s="375"/>
      <c r="AK963" s="373"/>
      <c r="AL963" s="373" t="s">
        <v>1953</v>
      </c>
      <c r="AM963" s="373" t="s">
        <v>2706</v>
      </c>
      <c r="AN963" s="373" t="s">
        <v>2192</v>
      </c>
      <c r="AO963" s="375"/>
      <c r="AP963" s="376" t="s">
        <v>3686</v>
      </c>
      <c r="AQ963" s="375"/>
    </row>
    <row r="964">
      <c r="A964" s="266" t="s">
        <v>6795</v>
      </c>
      <c r="B964" s="266" t="s">
        <v>6796</v>
      </c>
      <c r="C964" s="257" t="str">
        <f>VLOOKUP(A964,import!A:J,3,0)</f>
        <v>DOĞRU</v>
      </c>
      <c r="D964" s="266" t="s">
        <v>3713</v>
      </c>
      <c r="E964" s="257">
        <f>VLOOKUP(A964,import!A:J,5,0)</f>
        <v>1626</v>
      </c>
      <c r="F964" s="257">
        <f>VLOOKUP(A964,import!A:J,6,0)</f>
        <v>88</v>
      </c>
      <c r="G964" s="257">
        <f>VLOOKUP(A964,import!A:J,7,0)</f>
        <v>0</v>
      </c>
      <c r="H964" s="257">
        <f>VLOOKUP(A964,import!A:J,8,0)</f>
        <v>19</v>
      </c>
      <c r="I964" s="257">
        <f>VLOOKUP(A964,import!A:J,9,0)</f>
        <v>19</v>
      </c>
      <c r="J964" s="369">
        <f>VLOOKUP(A964,import!A:J,10,0)</f>
        <v>0</v>
      </c>
      <c r="K964" s="266" t="s">
        <v>6797</v>
      </c>
      <c r="L964" s="266">
        <v>5.53959498E9</v>
      </c>
      <c r="M964" s="266" t="s">
        <v>3692</v>
      </c>
      <c r="N964" s="266" t="s">
        <v>3721</v>
      </c>
      <c r="O964" s="266" t="s">
        <v>6798</v>
      </c>
      <c r="P964" s="370" t="str">
        <f>VLOOKUP(A964,import!A:P,16,0)</f>
        <v>Geleneksel</v>
      </c>
      <c r="Q964" s="370"/>
      <c r="R964" s="370" t="b">
        <v>1</v>
      </c>
      <c r="S964" s="370" t="b">
        <v>1</v>
      </c>
      <c r="T964" s="301"/>
      <c r="U964" s="379"/>
      <c r="V964" s="379"/>
      <c r="W964" s="301" t="s">
        <v>6799</v>
      </c>
      <c r="X964" s="381"/>
      <c r="Y964" s="381"/>
      <c r="Z964" s="372"/>
      <c r="AA964" s="373" t="s">
        <v>3682</v>
      </c>
      <c r="AB964" s="374">
        <v>44428.0</v>
      </c>
      <c r="AC964" s="373" t="s">
        <v>3695</v>
      </c>
      <c r="AD964" s="374">
        <v>44459.0</v>
      </c>
      <c r="AE964" s="373" t="s">
        <v>3682</v>
      </c>
      <c r="AF964" s="374">
        <v>44475.0</v>
      </c>
      <c r="AG964" s="92"/>
      <c r="AH964" s="375"/>
      <c r="AI964" s="375"/>
      <c r="AJ964" s="375"/>
      <c r="AK964" s="373" t="s">
        <v>1953</v>
      </c>
      <c r="AL964" s="373" t="s">
        <v>2542</v>
      </c>
      <c r="AM964" s="373" t="s">
        <v>399</v>
      </c>
      <c r="AN964" s="375"/>
      <c r="AO964" s="375"/>
      <c r="AP964" s="376" t="s">
        <v>3686</v>
      </c>
      <c r="AQ964" s="375"/>
    </row>
    <row r="965">
      <c r="A965" s="257" t="s">
        <v>2556</v>
      </c>
      <c r="B965" s="257" t="s">
        <v>2557</v>
      </c>
      <c r="C965" s="257" t="str">
        <f>VLOOKUP(A965,import!A:J,3,0)</f>
        <v>DOĞRU</v>
      </c>
      <c r="D965" s="257" t="s">
        <v>3699</v>
      </c>
      <c r="E965" s="257">
        <f>VLOOKUP(A965,import!A:J,5,0)</f>
        <v>277</v>
      </c>
      <c r="F965" s="257">
        <f>VLOOKUP(A965,import!A:J,6,0)</f>
        <v>27</v>
      </c>
      <c r="G965" s="257">
        <f>VLOOKUP(A965,import!A:J,7,0)</f>
        <v>25</v>
      </c>
      <c r="H965" s="257">
        <f>VLOOKUP(A965,import!A:J,8,0)</f>
        <v>17</v>
      </c>
      <c r="I965" s="257">
        <f>VLOOKUP(A965,import!A:J,9,0)</f>
        <v>42</v>
      </c>
      <c r="J965" s="369">
        <f>VLOOKUP(A965,import!A:J,10,0)</f>
        <v>0.6</v>
      </c>
      <c r="K965" s="257" t="s">
        <v>6800</v>
      </c>
      <c r="L965" s="257">
        <v>3.224351435E9</v>
      </c>
      <c r="M965" s="257" t="s">
        <v>14</v>
      </c>
      <c r="N965" s="257" t="s">
        <v>3797</v>
      </c>
      <c r="O965" s="257" t="s">
        <v>2559</v>
      </c>
      <c r="P965" s="370" t="str">
        <f>VLOOKUP(A965,import!A:P,16,0)</f>
        <v>Geleneksel</v>
      </c>
      <c r="Q965" s="370"/>
      <c r="R965" s="370" t="b">
        <v>1</v>
      </c>
      <c r="S965" s="370" t="b">
        <v>0</v>
      </c>
      <c r="T965" s="301" t="s">
        <v>3679</v>
      </c>
      <c r="U965" s="301" t="s">
        <v>2542</v>
      </c>
      <c r="V965" s="301" t="s">
        <v>78</v>
      </c>
      <c r="W965" s="301" t="s">
        <v>6801</v>
      </c>
      <c r="X965" s="371">
        <v>44459.0</v>
      </c>
      <c r="Y965" s="371">
        <v>44460.0</v>
      </c>
      <c r="Z965" s="372"/>
      <c r="AA965" s="373" t="s">
        <v>3682</v>
      </c>
      <c r="AB965" s="374">
        <v>44348.0</v>
      </c>
      <c r="AC965" s="373" t="s">
        <v>3682</v>
      </c>
      <c r="AD965" s="374">
        <v>44383.0</v>
      </c>
      <c r="AE965" s="373" t="s">
        <v>3682</v>
      </c>
      <c r="AF965" s="374">
        <v>44390.0</v>
      </c>
      <c r="AG965" s="373" t="s">
        <v>3682</v>
      </c>
      <c r="AH965" s="374">
        <v>44440.0</v>
      </c>
      <c r="AI965" s="373" t="s">
        <v>3682</v>
      </c>
      <c r="AJ965" s="374">
        <v>44459.0</v>
      </c>
      <c r="AK965" s="373" t="s">
        <v>79</v>
      </c>
      <c r="AL965" s="373" t="s">
        <v>399</v>
      </c>
      <c r="AM965" s="373" t="s">
        <v>111</v>
      </c>
      <c r="AN965" s="373" t="s">
        <v>2542</v>
      </c>
      <c r="AO965" s="373" t="s">
        <v>2542</v>
      </c>
      <c r="AP965" s="376" t="s">
        <v>3683</v>
      </c>
      <c r="AQ965" s="373"/>
    </row>
    <row r="966">
      <c r="A966" s="257" t="s">
        <v>6802</v>
      </c>
      <c r="B966" s="257" t="s">
        <v>6803</v>
      </c>
      <c r="C966" s="257" t="str">
        <f>VLOOKUP(A966,import!A:J,3,0)</f>
        <v>DOĞRU</v>
      </c>
      <c r="D966" s="257" t="s">
        <v>4000</v>
      </c>
      <c r="E966" s="257" t="str">
        <f>VLOOKUP(A966,import!A:J,5,0)</f>
        <v/>
      </c>
      <c r="F966" s="257" t="str">
        <f>VLOOKUP(A966,import!A:J,6,0)</f>
        <v/>
      </c>
      <c r="G966" s="257">
        <f>VLOOKUP(A966,import!A:J,7,0)</f>
        <v>0</v>
      </c>
      <c r="H966" s="257">
        <f>VLOOKUP(A966,import!A:J,8,0)</f>
        <v>17</v>
      </c>
      <c r="I966" s="257">
        <f>VLOOKUP(A966,import!A:J,9,0)</f>
        <v>17</v>
      </c>
      <c r="J966" s="369">
        <f>VLOOKUP(A966,import!A:J,10,0)</f>
        <v>0</v>
      </c>
      <c r="K966" s="257" t="s">
        <v>6804</v>
      </c>
      <c r="L966" s="257">
        <v>5.424276489E9</v>
      </c>
      <c r="M966" s="257" t="s">
        <v>286</v>
      </c>
      <c r="N966" s="257" t="s">
        <v>3688</v>
      </c>
      <c r="O966" s="257" t="s">
        <v>6805</v>
      </c>
      <c r="P966" s="370" t="str">
        <f>VLOOKUP(A966,import!A:P,16,0)</f>
        <v>Geleneksel</v>
      </c>
      <c r="Q966" s="370"/>
      <c r="R966" s="370" t="b">
        <v>0</v>
      </c>
      <c r="S966" s="370" t="b">
        <v>0</v>
      </c>
      <c r="T966" s="301"/>
      <c r="U966" s="301"/>
      <c r="V966" s="301"/>
      <c r="W966" s="301" t="s">
        <v>6806</v>
      </c>
      <c r="X966" s="371"/>
      <c r="Y966" s="371"/>
      <c r="Z966" s="372"/>
      <c r="AA966" s="373" t="s">
        <v>3682</v>
      </c>
      <c r="AB966" s="371">
        <v>44641.0</v>
      </c>
      <c r="AC966" s="373"/>
      <c r="AD966" s="374"/>
      <c r="AE966" s="373"/>
      <c r="AF966" s="374"/>
      <c r="AG966" s="373"/>
      <c r="AH966" s="374"/>
      <c r="AI966" s="373"/>
      <c r="AJ966" s="374"/>
      <c r="AK966" s="373" t="s">
        <v>2542</v>
      </c>
      <c r="AL966" s="373"/>
      <c r="AM966" s="373"/>
      <c r="AN966" s="373"/>
      <c r="AO966" s="373"/>
      <c r="AP966" s="376"/>
      <c r="AQ966" s="373"/>
    </row>
    <row r="967">
      <c r="A967" s="257" t="s">
        <v>1829</v>
      </c>
      <c r="B967" s="257" t="s">
        <v>1830</v>
      </c>
      <c r="C967" s="257" t="str">
        <f>VLOOKUP(A967,import!A:J,3,0)</f>
        <v>DOĞRU</v>
      </c>
      <c r="D967" s="257" t="s">
        <v>3690</v>
      </c>
      <c r="E967" s="257">
        <f>VLOOKUP(A967,import!A:J,5,0)</f>
        <v>1070</v>
      </c>
      <c r="F967" s="257">
        <f>VLOOKUP(A967,import!A:J,6,0)</f>
        <v>33</v>
      </c>
      <c r="G967" s="257">
        <f>VLOOKUP(A967,import!A:J,7,0)</f>
        <v>15</v>
      </c>
      <c r="H967" s="257">
        <f>VLOOKUP(A967,import!A:J,8,0)</f>
        <v>1</v>
      </c>
      <c r="I967" s="257">
        <f>VLOOKUP(A967,import!A:J,9,0)</f>
        <v>16</v>
      </c>
      <c r="J967" s="369">
        <f>VLOOKUP(A967,import!A:J,10,0)</f>
        <v>0.94</v>
      </c>
      <c r="K967" s="257" t="s">
        <v>6807</v>
      </c>
      <c r="L967" s="257">
        <v>3.22459532E9</v>
      </c>
      <c r="M967" s="257" t="s">
        <v>286</v>
      </c>
      <c r="N967" s="257" t="s">
        <v>4263</v>
      </c>
      <c r="O967" s="257" t="s">
        <v>1833</v>
      </c>
      <c r="P967" s="370" t="str">
        <f>VLOOKUP(A967,import!A:P,16,0)</f>
        <v>Geleneksel</v>
      </c>
      <c r="Q967" s="370"/>
      <c r="R967" s="370" t="b">
        <v>1</v>
      </c>
      <c r="S967" s="370" t="b">
        <v>0</v>
      </c>
      <c r="T967" s="301" t="s">
        <v>3679</v>
      </c>
      <c r="U967" s="301" t="s">
        <v>3723</v>
      </c>
      <c r="V967" s="301" t="s">
        <v>78</v>
      </c>
      <c r="W967" s="301" t="s">
        <v>6808</v>
      </c>
      <c r="X967" s="381"/>
      <c r="Y967" s="381"/>
      <c r="Z967" s="372"/>
      <c r="AA967" s="373" t="s">
        <v>3695</v>
      </c>
      <c r="AB967" s="374">
        <v>44386.0</v>
      </c>
      <c r="AC967" s="373" t="s">
        <v>3682</v>
      </c>
      <c r="AD967" s="374">
        <v>44414.0</v>
      </c>
      <c r="AE967" s="92"/>
      <c r="AF967" s="375"/>
      <c r="AG967" s="92"/>
      <c r="AH967" s="375"/>
      <c r="AI967" s="375"/>
      <c r="AJ967" s="375"/>
      <c r="AK967" s="373" t="s">
        <v>111</v>
      </c>
      <c r="AL967" s="373" t="s">
        <v>3723</v>
      </c>
      <c r="AM967" s="375"/>
      <c r="AN967" s="375"/>
      <c r="AO967" s="375"/>
      <c r="AP967" s="376" t="s">
        <v>3686</v>
      </c>
      <c r="AQ967" s="375"/>
    </row>
    <row r="968">
      <c r="A968" s="257" t="s">
        <v>929</v>
      </c>
      <c r="B968" s="257" t="s">
        <v>930</v>
      </c>
      <c r="C968" s="257" t="str">
        <f>VLOOKUP(A968,import!A:J,3,0)</f>
        <v>DOĞRU</v>
      </c>
      <c r="D968" s="257" t="s">
        <v>3699</v>
      </c>
      <c r="E968" s="257">
        <f>VLOOKUP(A968,import!A:J,5,0)</f>
        <v>846</v>
      </c>
      <c r="F968" s="257">
        <f>VLOOKUP(A968,import!A:J,6,0)</f>
        <v>54</v>
      </c>
      <c r="G968" s="257">
        <f>VLOOKUP(A968,import!A:J,7,0)</f>
        <v>15</v>
      </c>
      <c r="H968" s="257">
        <f>VLOOKUP(A968,import!A:J,8,0)</f>
        <v>5</v>
      </c>
      <c r="I968" s="257">
        <f>VLOOKUP(A968,import!A:J,9,0)</f>
        <v>20</v>
      </c>
      <c r="J968" s="369">
        <f>VLOOKUP(A968,import!A:J,10,0)</f>
        <v>0.75</v>
      </c>
      <c r="K968" s="257" t="s">
        <v>6809</v>
      </c>
      <c r="L968" s="257">
        <v>3.22292E9</v>
      </c>
      <c r="M968" s="257" t="s">
        <v>14</v>
      </c>
      <c r="N968" s="257" t="s">
        <v>3914</v>
      </c>
      <c r="O968" s="257" t="s">
        <v>933</v>
      </c>
      <c r="P968" s="370" t="str">
        <f>VLOOKUP(A968,import!A:P,16,0)</f>
        <v>Geleneksel</v>
      </c>
      <c r="Q968" s="370"/>
      <c r="R968" s="370" t="b">
        <v>1</v>
      </c>
      <c r="S968" s="370" t="b">
        <v>0</v>
      </c>
      <c r="T968" s="301" t="s">
        <v>3679</v>
      </c>
      <c r="U968" s="301" t="s">
        <v>3723</v>
      </c>
      <c r="V968" s="301" t="s">
        <v>78</v>
      </c>
      <c r="W968" s="301"/>
      <c r="X968" s="371">
        <v>44435.0</v>
      </c>
      <c r="Y968" s="371">
        <v>44439.0</v>
      </c>
      <c r="Z968" s="301" t="s">
        <v>3957</v>
      </c>
      <c r="AA968" s="373" t="s">
        <v>3682</v>
      </c>
      <c r="AB968" s="374">
        <v>44350.0</v>
      </c>
      <c r="AC968" s="373" t="s">
        <v>3682</v>
      </c>
      <c r="AD968" s="374">
        <v>44435.0</v>
      </c>
      <c r="AE968" s="92"/>
      <c r="AF968" s="375"/>
      <c r="AG968" s="92"/>
      <c r="AH968" s="375"/>
      <c r="AI968" s="375"/>
      <c r="AJ968" s="375"/>
      <c r="AK968" s="373" t="s">
        <v>3789</v>
      </c>
      <c r="AL968" s="373" t="s">
        <v>3723</v>
      </c>
      <c r="AM968" s="375"/>
      <c r="AN968" s="375"/>
      <c r="AO968" s="375"/>
      <c r="AP968" s="376" t="s">
        <v>3683</v>
      </c>
      <c r="AQ968" s="375"/>
    </row>
    <row r="969">
      <c r="A969" s="257" t="s">
        <v>6810</v>
      </c>
      <c r="B969" s="257" t="s">
        <v>2980</v>
      </c>
      <c r="C969" s="257" t="str">
        <f>VLOOKUP(A969,import!A:J,3,0)</f>
        <v>DOĞRU</v>
      </c>
      <c r="D969" s="257" t="s">
        <v>4671</v>
      </c>
      <c r="E969" s="257">
        <f>VLOOKUP(A969,import!A:J,5,0)</f>
        <v>46</v>
      </c>
      <c r="F969" s="257">
        <f>VLOOKUP(A969,import!A:J,6,0)</f>
        <v>33</v>
      </c>
      <c r="G969" s="257">
        <f>VLOOKUP(A969,import!A:J,7,0)</f>
        <v>0</v>
      </c>
      <c r="H969" s="257">
        <f>VLOOKUP(A969,import!A:J,8,0)</f>
        <v>29</v>
      </c>
      <c r="I969" s="257">
        <f>VLOOKUP(A969,import!A:J,9,0)</f>
        <v>29</v>
      </c>
      <c r="J969" s="369">
        <f>VLOOKUP(A969,import!A:J,10,0)</f>
        <v>0</v>
      </c>
      <c r="K969" s="257" t="s">
        <v>6811</v>
      </c>
      <c r="L969" s="257">
        <v>5.439360963E9</v>
      </c>
      <c r="M969" s="257" t="s">
        <v>14</v>
      </c>
      <c r="N969" s="257" t="s">
        <v>3797</v>
      </c>
      <c r="O969" s="257" t="s">
        <v>2982</v>
      </c>
      <c r="P969" s="370" t="str">
        <f>VLOOKUP(A969,import!A:P,16,0)</f>
        <v>Geleneksel</v>
      </c>
      <c r="Q969" s="370"/>
      <c r="R969" s="370" t="b">
        <v>0</v>
      </c>
      <c r="S969" s="370" t="b">
        <v>0</v>
      </c>
      <c r="T969" s="301"/>
      <c r="U969" s="301"/>
      <c r="V969" s="301"/>
      <c r="W969" s="301"/>
      <c r="X969" s="371"/>
      <c r="Y969" s="371"/>
      <c r="Z969" s="372"/>
      <c r="AA969" s="373"/>
      <c r="AB969" s="374"/>
      <c r="AC969" s="373"/>
      <c r="AD969" s="374"/>
      <c r="AE969" s="373"/>
      <c r="AF969" s="374"/>
      <c r="AG969" s="373"/>
      <c r="AH969" s="374"/>
      <c r="AI969" s="373"/>
      <c r="AJ969" s="374"/>
      <c r="AK969" s="373"/>
      <c r="AL969" s="373"/>
      <c r="AM969" s="373"/>
      <c r="AN969" s="373"/>
      <c r="AO969" s="373"/>
      <c r="AP969" s="376"/>
      <c r="AQ969" s="373"/>
    </row>
    <row r="970">
      <c r="A970" s="257" t="s">
        <v>2449</v>
      </c>
      <c r="B970" s="257" t="s">
        <v>2450</v>
      </c>
      <c r="C970" s="257" t="str">
        <f>VLOOKUP(A970,import!A:J,3,0)</f>
        <v>YANLIŞ</v>
      </c>
      <c r="D970" s="257" t="s">
        <v>4124</v>
      </c>
      <c r="E970" s="257" t="str">
        <f>VLOOKUP(A970,import!A:J,5,0)</f>
        <v/>
      </c>
      <c r="F970" s="257" t="str">
        <f>VLOOKUP(A970,import!A:J,6,0)</f>
        <v/>
      </c>
      <c r="G970" s="257">
        <f>VLOOKUP(A970,import!A:J,7,0)</f>
        <v>0</v>
      </c>
      <c r="H970" s="257">
        <f>VLOOKUP(A970,import!A:J,8,0)</f>
        <v>12</v>
      </c>
      <c r="I970" s="257">
        <f>VLOOKUP(A970,import!A:J,9,0)</f>
        <v>12</v>
      </c>
      <c r="J970" s="369">
        <f>VLOOKUP(A970,import!A:J,10,0)</f>
        <v>0</v>
      </c>
      <c r="K970" s="257" t="s">
        <v>6099</v>
      </c>
      <c r="L970" s="257">
        <v>3.222350725E9</v>
      </c>
      <c r="M970" s="257" t="s">
        <v>14</v>
      </c>
      <c r="N970" s="257" t="s">
        <v>3797</v>
      </c>
      <c r="O970" s="257" t="s">
        <v>1258</v>
      </c>
      <c r="P970" s="370" t="str">
        <f>VLOOKUP(A970,import!A:P,16,0)</f>
        <v>Geleneksel</v>
      </c>
      <c r="Q970" s="370"/>
      <c r="R970" s="370" t="b">
        <v>1</v>
      </c>
      <c r="S970" s="370" t="b">
        <v>0</v>
      </c>
      <c r="T970" s="301" t="s">
        <v>4182</v>
      </c>
      <c r="U970" s="301" t="s">
        <v>2542</v>
      </c>
      <c r="V970" s="301" t="s">
        <v>78</v>
      </c>
      <c r="W970" s="301" t="s">
        <v>6812</v>
      </c>
      <c r="X970" s="371">
        <v>44453.0</v>
      </c>
      <c r="Y970" s="371">
        <v>44454.0</v>
      </c>
      <c r="Z970" s="372"/>
      <c r="AA970" s="373" t="s">
        <v>3695</v>
      </c>
      <c r="AB970" s="374">
        <v>44382.0</v>
      </c>
      <c r="AC970" s="373" t="s">
        <v>3448</v>
      </c>
      <c r="AD970" s="374">
        <v>44383.0</v>
      </c>
      <c r="AE970" s="373" t="s">
        <v>3682</v>
      </c>
      <c r="AF970" s="374">
        <v>44406.0</v>
      </c>
      <c r="AG970" s="373" t="s">
        <v>3682</v>
      </c>
      <c r="AH970" s="374">
        <v>44427.0</v>
      </c>
      <c r="AI970" s="373" t="s">
        <v>3682</v>
      </c>
      <c r="AJ970" s="374">
        <v>44469.0</v>
      </c>
      <c r="AK970" s="373" t="s">
        <v>3974</v>
      </c>
      <c r="AL970" s="373" t="s">
        <v>399</v>
      </c>
      <c r="AM970" s="373" t="s">
        <v>3719</v>
      </c>
      <c r="AN970" s="373" t="s">
        <v>3723</v>
      </c>
      <c r="AO970" s="373" t="s">
        <v>2282</v>
      </c>
      <c r="AP970" s="376" t="s">
        <v>3683</v>
      </c>
      <c r="AQ970" s="373"/>
    </row>
    <row r="971">
      <c r="A971" s="257" t="s">
        <v>6813</v>
      </c>
      <c r="B971" s="257" t="s">
        <v>6814</v>
      </c>
      <c r="C971" s="257" t="str">
        <f>VLOOKUP(A971,import!A:J,3,0)</f>
        <v>YANLIŞ</v>
      </c>
      <c r="D971" s="257" t="s">
        <v>4124</v>
      </c>
      <c r="E971" s="257" t="str">
        <f>VLOOKUP(A971,import!A:J,5,0)</f>
        <v/>
      </c>
      <c r="F971" s="257" t="str">
        <f>VLOOKUP(A971,import!A:J,6,0)</f>
        <v/>
      </c>
      <c r="G971" s="257">
        <f>VLOOKUP(A971,import!A:J,7,0)</f>
        <v>0</v>
      </c>
      <c r="H971" s="257">
        <f>VLOOKUP(A971,import!A:J,8,0)</f>
        <v>12</v>
      </c>
      <c r="I971" s="257">
        <f>VLOOKUP(A971,import!A:J,9,0)</f>
        <v>12</v>
      </c>
      <c r="J971" s="369">
        <f>VLOOKUP(A971,import!A:J,10,0)</f>
        <v>0</v>
      </c>
      <c r="K971" s="257" t="s">
        <v>6815</v>
      </c>
      <c r="L971" s="257">
        <v>3.224595152E9</v>
      </c>
      <c r="M971" s="257" t="s">
        <v>286</v>
      </c>
      <c r="N971" s="257" t="s">
        <v>3737</v>
      </c>
      <c r="O971" s="257" t="s">
        <v>698</v>
      </c>
      <c r="P971" s="370" t="str">
        <f>VLOOKUP(A971,import!A:P,16,0)</f>
        <v>Geleneksel</v>
      </c>
      <c r="Q971" s="370"/>
      <c r="R971" s="370" t="b">
        <v>1</v>
      </c>
      <c r="S971" s="370" t="b">
        <v>0</v>
      </c>
      <c r="T971" s="301" t="s">
        <v>3817</v>
      </c>
      <c r="U971" s="379"/>
      <c r="V971" s="379"/>
      <c r="W971" s="301" t="s">
        <v>6816</v>
      </c>
      <c r="X971" s="381"/>
      <c r="Y971" s="381"/>
      <c r="Z971" s="372"/>
      <c r="AA971" s="373" t="s">
        <v>3695</v>
      </c>
      <c r="AB971" s="374">
        <v>44385.0</v>
      </c>
      <c r="AC971" s="373" t="s">
        <v>3695</v>
      </c>
      <c r="AD971" s="374">
        <v>44390.0</v>
      </c>
      <c r="AE971" s="373" t="s">
        <v>3682</v>
      </c>
      <c r="AF971" s="374">
        <v>44390.0</v>
      </c>
      <c r="AG971" s="92"/>
      <c r="AH971" s="375"/>
      <c r="AI971" s="375"/>
      <c r="AJ971" s="375"/>
      <c r="AK971" s="373" t="s">
        <v>79</v>
      </c>
      <c r="AL971" s="373" t="s">
        <v>3719</v>
      </c>
      <c r="AM971" s="373" t="s">
        <v>3719</v>
      </c>
      <c r="AN971" s="375"/>
      <c r="AO971" s="375"/>
      <c r="AP971" s="376" t="s">
        <v>3683</v>
      </c>
      <c r="AQ971" s="375"/>
    </row>
    <row r="972">
      <c r="A972" s="257" t="s">
        <v>3285</v>
      </c>
      <c r="B972" s="257" t="s">
        <v>3286</v>
      </c>
      <c r="C972" s="257" t="str">
        <f>VLOOKUP(A972,import!A:J,3,0)</f>
        <v>DOĞRU</v>
      </c>
      <c r="D972" s="257" t="s">
        <v>4907</v>
      </c>
      <c r="E972" s="257">
        <f>VLOOKUP(A972,import!A:J,5,0)</f>
        <v>23</v>
      </c>
      <c r="F972" s="257" t="str">
        <f>VLOOKUP(A972,import!A:J,6,0)</f>
        <v/>
      </c>
      <c r="G972" s="257">
        <f>VLOOKUP(A972,import!A:J,7,0)</f>
        <v>0</v>
      </c>
      <c r="H972" s="257">
        <f>VLOOKUP(A972,import!A:J,8,0)</f>
        <v>13</v>
      </c>
      <c r="I972" s="257">
        <f>VLOOKUP(A972,import!A:J,9,0)</f>
        <v>13</v>
      </c>
      <c r="J972" s="369">
        <f>VLOOKUP(A972,import!A:J,10,0)</f>
        <v>0</v>
      </c>
      <c r="K972" s="257" t="s">
        <v>6817</v>
      </c>
      <c r="L972" s="257">
        <v>5.425450126E9</v>
      </c>
      <c r="M972" s="257" t="s">
        <v>14</v>
      </c>
      <c r="N972" s="257" t="s">
        <v>3797</v>
      </c>
      <c r="O972" s="257" t="s">
        <v>3288</v>
      </c>
      <c r="P972" s="370" t="str">
        <f>VLOOKUP(A972,import!A:P,16,0)</f>
        <v>Geleneksel</v>
      </c>
      <c r="Q972" s="370"/>
      <c r="R972" s="370" t="b">
        <v>1</v>
      </c>
      <c r="S972" s="370" t="b">
        <v>0</v>
      </c>
      <c r="T972" s="301" t="s">
        <v>3679</v>
      </c>
      <c r="U972" s="301" t="s">
        <v>2192</v>
      </c>
      <c r="V972" s="410" t="s">
        <v>3331</v>
      </c>
      <c r="W972" s="301"/>
      <c r="X972" s="371">
        <v>44635.0</v>
      </c>
      <c r="Y972" s="371">
        <v>44636.0</v>
      </c>
      <c r="Z972" s="372"/>
      <c r="AA972" s="373" t="s">
        <v>3695</v>
      </c>
      <c r="AB972" s="374">
        <v>44557.0</v>
      </c>
      <c r="AC972" s="373" t="s">
        <v>3682</v>
      </c>
      <c r="AD972" s="374">
        <v>44557.0</v>
      </c>
      <c r="AE972" s="373" t="s">
        <v>3682</v>
      </c>
      <c r="AF972" s="374">
        <v>44560.0</v>
      </c>
      <c r="AG972" s="373" t="s">
        <v>3682</v>
      </c>
      <c r="AH972" s="374">
        <v>44635.0</v>
      </c>
      <c r="AI972" s="375"/>
      <c r="AJ972" s="375"/>
      <c r="AK972" s="373" t="s">
        <v>2542</v>
      </c>
      <c r="AL972" s="373" t="s">
        <v>2542</v>
      </c>
      <c r="AM972" s="373" t="s">
        <v>2542</v>
      </c>
      <c r="AN972" s="373" t="s">
        <v>2192</v>
      </c>
      <c r="AO972" s="375"/>
      <c r="AP972" s="376"/>
      <c r="AQ972" s="375"/>
    </row>
    <row r="973">
      <c r="A973" s="266" t="s">
        <v>6818</v>
      </c>
      <c r="B973" s="266" t="s">
        <v>6819</v>
      </c>
      <c r="C973" s="257" t="str">
        <f>VLOOKUP(A973,import!A:J,3,0)</f>
        <v>DOĞRU</v>
      </c>
      <c r="D973" s="266" t="s">
        <v>3713</v>
      </c>
      <c r="E973" s="257">
        <f>VLOOKUP(A973,import!A:J,5,0)</f>
        <v>5470</v>
      </c>
      <c r="F973" s="257">
        <f>VLOOKUP(A973,import!A:J,6,0)</f>
        <v>146</v>
      </c>
      <c r="G973" s="257">
        <f>VLOOKUP(A973,import!A:J,7,0)</f>
        <v>0</v>
      </c>
      <c r="H973" s="257">
        <f>VLOOKUP(A973,import!A:J,8,0)</f>
        <v>42</v>
      </c>
      <c r="I973" s="257">
        <f>VLOOKUP(A973,import!A:J,9,0)</f>
        <v>42</v>
      </c>
      <c r="J973" s="369">
        <f>VLOOKUP(A973,import!A:J,10,0)</f>
        <v>0</v>
      </c>
      <c r="K973" s="266" t="s">
        <v>6820</v>
      </c>
      <c r="L973" s="266">
        <v>3.223293515E9</v>
      </c>
      <c r="M973" s="266" t="s">
        <v>3707</v>
      </c>
      <c r="N973" s="266" t="s">
        <v>3761</v>
      </c>
      <c r="O973" s="266" t="s">
        <v>6821</v>
      </c>
      <c r="P973" s="370" t="str">
        <f>VLOOKUP(A973,import!A:P,16,0)</f>
        <v>Geleneksel</v>
      </c>
      <c r="Q973" s="370"/>
      <c r="R973" s="370" t="b">
        <v>1</v>
      </c>
      <c r="S973" s="370" t="b">
        <v>0</v>
      </c>
      <c r="T973" s="301" t="s">
        <v>3770</v>
      </c>
      <c r="U973" s="379"/>
      <c r="V973" s="379"/>
      <c r="W973" s="301" t="s">
        <v>6822</v>
      </c>
      <c r="X973" s="381"/>
      <c r="Y973" s="381"/>
      <c r="Z973" s="372"/>
      <c r="AA973" s="373" t="s">
        <v>3681</v>
      </c>
      <c r="AB973" s="374">
        <v>44391.0</v>
      </c>
      <c r="AC973" s="373" t="s">
        <v>3695</v>
      </c>
      <c r="AD973" s="374">
        <v>44392.0</v>
      </c>
      <c r="AE973" s="373" t="s">
        <v>3448</v>
      </c>
      <c r="AF973" s="374">
        <v>44392.0</v>
      </c>
      <c r="AG973" s="373" t="s">
        <v>3682</v>
      </c>
      <c r="AH973" s="374">
        <v>44392.0</v>
      </c>
      <c r="AI973" s="373" t="s">
        <v>3682</v>
      </c>
      <c r="AJ973" s="374">
        <v>44496.0</v>
      </c>
      <c r="AK973" s="373" t="s">
        <v>3752</v>
      </c>
      <c r="AL973" s="373" t="s">
        <v>3719</v>
      </c>
      <c r="AM973" s="373" t="s">
        <v>3719</v>
      </c>
      <c r="AN973" s="373" t="s">
        <v>3719</v>
      </c>
      <c r="AO973" s="373" t="s">
        <v>2282</v>
      </c>
      <c r="AP973" s="376" t="s">
        <v>3686</v>
      </c>
      <c r="AQ973" s="373"/>
    </row>
    <row r="974">
      <c r="A974" s="257" t="s">
        <v>6823</v>
      </c>
      <c r="B974" s="257" t="s">
        <v>6824</v>
      </c>
      <c r="C974" s="257" t="str">
        <f>VLOOKUP(A974,import!A:J,3,0)</f>
        <v>DOĞRU</v>
      </c>
      <c r="D974" s="257" t="s">
        <v>4000</v>
      </c>
      <c r="E974" s="257">
        <f>VLOOKUP(A974,import!A:J,5,0)</f>
        <v>366</v>
      </c>
      <c r="F974" s="257">
        <f>VLOOKUP(A974,import!A:J,6,0)</f>
        <v>17</v>
      </c>
      <c r="G974" s="257">
        <f>VLOOKUP(A974,import!A:J,7,0)</f>
        <v>0</v>
      </c>
      <c r="H974" s="257">
        <f>VLOOKUP(A974,import!A:J,8,0)</f>
        <v>8</v>
      </c>
      <c r="I974" s="257">
        <f>VLOOKUP(A974,import!A:J,9,0)</f>
        <v>8</v>
      </c>
      <c r="J974" s="369">
        <f>VLOOKUP(A974,import!A:J,10,0)</f>
        <v>0</v>
      </c>
      <c r="K974" s="257" t="s">
        <v>6825</v>
      </c>
      <c r="L974" s="257">
        <v>3.224583331E9</v>
      </c>
      <c r="M974" s="257" t="s">
        <v>286</v>
      </c>
      <c r="N974" s="257" t="s">
        <v>3806</v>
      </c>
      <c r="O974" s="257" t="s">
        <v>6826</v>
      </c>
      <c r="P974" s="370" t="str">
        <f>VLOOKUP(A974,import!A:P,16,0)</f>
        <v>Geleneksel</v>
      </c>
      <c r="Q974" s="370"/>
      <c r="R974" s="370" t="b">
        <v>1</v>
      </c>
      <c r="S974" s="370" t="b">
        <v>0</v>
      </c>
      <c r="T974" s="301" t="s">
        <v>3448</v>
      </c>
      <c r="U974" s="379"/>
      <c r="V974" s="379"/>
      <c r="W974" s="301" t="s">
        <v>6827</v>
      </c>
      <c r="X974" s="381"/>
      <c r="Y974" s="381"/>
      <c r="Z974" s="372"/>
      <c r="AA974" s="373" t="s">
        <v>3695</v>
      </c>
      <c r="AB974" s="374">
        <v>44386.0</v>
      </c>
      <c r="AC974" s="373" t="s">
        <v>3695</v>
      </c>
      <c r="AD974" s="374">
        <v>44390.0</v>
      </c>
      <c r="AE974" s="373" t="s">
        <v>3682</v>
      </c>
      <c r="AF974" s="374">
        <v>44427.0</v>
      </c>
      <c r="AG974" s="373" t="s">
        <v>3448</v>
      </c>
      <c r="AH974" s="374">
        <v>44450.0</v>
      </c>
      <c r="AI974" s="373" t="s">
        <v>3681</v>
      </c>
      <c r="AJ974" s="374">
        <v>44508.0</v>
      </c>
      <c r="AK974" s="373" t="s">
        <v>399</v>
      </c>
      <c r="AL974" s="373" t="s">
        <v>111</v>
      </c>
      <c r="AM974" s="375"/>
      <c r="AN974" s="373" t="s">
        <v>1953</v>
      </c>
      <c r="AO974" s="373" t="s">
        <v>2192</v>
      </c>
      <c r="AP974" s="376" t="s">
        <v>3686</v>
      </c>
      <c r="AQ974" s="373"/>
    </row>
    <row r="975">
      <c r="A975" s="257" t="s">
        <v>1154</v>
      </c>
      <c r="B975" s="257" t="s">
        <v>1155</v>
      </c>
      <c r="C975" s="257" t="str">
        <f>VLOOKUP(A975,import!A:J,3,0)</f>
        <v>DOĞRU</v>
      </c>
      <c r="D975" s="257" t="s">
        <v>3699</v>
      </c>
      <c r="E975" s="257">
        <f>VLOOKUP(A975,import!A:J,5,0)</f>
        <v>2997</v>
      </c>
      <c r="F975" s="257">
        <f>VLOOKUP(A975,import!A:J,6,0)</f>
        <v>92</v>
      </c>
      <c r="G975" s="257">
        <f>VLOOKUP(A975,import!A:J,7,0)</f>
        <v>30</v>
      </c>
      <c r="H975" s="257">
        <f>VLOOKUP(A975,import!A:J,8,0)</f>
        <v>9</v>
      </c>
      <c r="I975" s="257">
        <f>VLOOKUP(A975,import!A:J,9,0)</f>
        <v>39</v>
      </c>
      <c r="J975" s="369">
        <f>VLOOKUP(A975,import!A:J,10,0)</f>
        <v>0.77</v>
      </c>
      <c r="K975" s="257" t="s">
        <v>6828</v>
      </c>
      <c r="L975" s="257">
        <v>3.222331131E9</v>
      </c>
      <c r="M975" s="257" t="s">
        <v>14</v>
      </c>
      <c r="N975" s="257" t="s">
        <v>3733</v>
      </c>
      <c r="O975" s="257" t="s">
        <v>1157</v>
      </c>
      <c r="P975" s="370" t="str">
        <f>VLOOKUP(A975,import!A:P,16,0)</f>
        <v>Geleneksel</v>
      </c>
      <c r="Q975" s="370"/>
      <c r="R975" s="370" t="b">
        <v>1</v>
      </c>
      <c r="S975" s="370" t="b">
        <v>0</v>
      </c>
      <c r="T975" s="301" t="s">
        <v>3679</v>
      </c>
      <c r="U975" s="301" t="s">
        <v>1014</v>
      </c>
      <c r="V975" s="301" t="s">
        <v>78</v>
      </c>
      <c r="W975" s="301">
        <v>5.32464196E9</v>
      </c>
      <c r="X975" s="371">
        <v>44371.0</v>
      </c>
      <c r="Y975" s="371">
        <v>44375.0</v>
      </c>
      <c r="Z975" s="301" t="s">
        <v>3957</v>
      </c>
      <c r="AA975" s="373" t="s">
        <v>3682</v>
      </c>
      <c r="AB975" s="374">
        <v>44371.0</v>
      </c>
      <c r="AC975" s="375"/>
      <c r="AD975" s="375"/>
      <c r="AE975" s="92"/>
      <c r="AF975" s="375"/>
      <c r="AG975" s="92"/>
      <c r="AH975" s="375"/>
      <c r="AI975" s="375"/>
      <c r="AJ975" s="375"/>
      <c r="AK975" s="373" t="s">
        <v>1014</v>
      </c>
      <c r="AL975" s="375"/>
      <c r="AM975" s="375"/>
      <c r="AN975" s="375"/>
      <c r="AO975" s="375"/>
      <c r="AP975" s="376" t="s">
        <v>3683</v>
      </c>
      <c r="AQ975" s="375"/>
    </row>
    <row r="976">
      <c r="A976" s="376" t="s">
        <v>6829</v>
      </c>
      <c r="B976" s="376" t="s">
        <v>6830</v>
      </c>
      <c r="C976" s="257" t="str">
        <f>VLOOKUP(A976,import!A:J,3,0)</f>
        <v>DOĞRU</v>
      </c>
      <c r="D976" s="376" t="s">
        <v>3699</v>
      </c>
      <c r="E976" s="257">
        <f>VLOOKUP(A976,import!A:J,5,0)</f>
        <v>123</v>
      </c>
      <c r="F976" s="257">
        <f>VLOOKUP(A976,import!A:J,6,0)</f>
        <v>101</v>
      </c>
      <c r="G976" s="257">
        <f>VLOOKUP(A976,import!A:J,7,0)</f>
        <v>0</v>
      </c>
      <c r="H976" s="257">
        <f>VLOOKUP(A976,import!A:J,8,0)</f>
        <v>21</v>
      </c>
      <c r="I976" s="257">
        <f>VLOOKUP(A976,import!A:J,9,0)</f>
        <v>21</v>
      </c>
      <c r="J976" s="369">
        <f>VLOOKUP(A976,import!A:J,10,0)</f>
        <v>0</v>
      </c>
      <c r="K976" s="376" t="s">
        <v>6831</v>
      </c>
      <c r="L976" s="376">
        <v>5.374422717E9</v>
      </c>
      <c r="M976" s="376" t="s">
        <v>14</v>
      </c>
      <c r="N976" s="376" t="s">
        <v>3733</v>
      </c>
      <c r="O976" s="376" t="s">
        <v>6832</v>
      </c>
      <c r="P976" s="370" t="str">
        <f>VLOOKUP(A976,import!A:P,16,0)</f>
        <v>Geleneksel</v>
      </c>
      <c r="Q976" s="370"/>
      <c r="R976" s="370" t="b">
        <v>0</v>
      </c>
      <c r="S976" s="370" t="b">
        <v>0</v>
      </c>
      <c r="T976" s="301"/>
      <c r="U976" s="301"/>
      <c r="V976" s="301"/>
      <c r="W976" s="301"/>
      <c r="X976" s="371"/>
      <c r="Y976" s="371"/>
      <c r="Z976" s="372"/>
      <c r="AA976" s="373"/>
      <c r="AB976" s="374"/>
      <c r="AC976" s="373"/>
      <c r="AD976" s="374"/>
      <c r="AE976" s="373"/>
      <c r="AF976" s="374"/>
      <c r="AG976" s="373"/>
      <c r="AH976" s="374"/>
      <c r="AI976" s="373"/>
      <c r="AJ976" s="374"/>
      <c r="AK976" s="373"/>
      <c r="AL976" s="373"/>
      <c r="AM976" s="373"/>
      <c r="AN976" s="373"/>
      <c r="AO976" s="373"/>
      <c r="AP976" s="376"/>
      <c r="AQ976" s="373"/>
    </row>
    <row r="977">
      <c r="A977" s="257" t="s">
        <v>3105</v>
      </c>
      <c r="B977" s="257" t="s">
        <v>3106</v>
      </c>
      <c r="C977" s="257" t="str">
        <f>VLOOKUP(A977,import!A:J,3,0)</f>
        <v>DOĞRU</v>
      </c>
      <c r="D977" s="257" t="s">
        <v>3699</v>
      </c>
      <c r="E977" s="257">
        <f>VLOOKUP(A977,import!A:J,5,0)</f>
        <v>1387</v>
      </c>
      <c r="F977" s="257">
        <f>VLOOKUP(A977,import!A:J,6,0)</f>
        <v>58</v>
      </c>
      <c r="G977" s="257">
        <f>VLOOKUP(A977,import!A:J,7,0)</f>
        <v>0</v>
      </c>
      <c r="H977" s="257">
        <f>VLOOKUP(A977,import!A:J,8,0)</f>
        <v>22</v>
      </c>
      <c r="I977" s="257">
        <f>VLOOKUP(A977,import!A:J,9,0)</f>
        <v>22</v>
      </c>
      <c r="J977" s="369">
        <f>VLOOKUP(A977,import!A:J,10,0)</f>
        <v>0</v>
      </c>
      <c r="K977" s="257" t="s">
        <v>6833</v>
      </c>
      <c r="L977" s="257">
        <v>5.382257174E9</v>
      </c>
      <c r="M977" s="257" t="s">
        <v>286</v>
      </c>
      <c r="N977" s="257" t="s">
        <v>3855</v>
      </c>
      <c r="O977" s="257" t="s">
        <v>3108</v>
      </c>
      <c r="P977" s="370" t="str">
        <f>VLOOKUP(A977,import!A:P,16,0)</f>
        <v>Geleneksel</v>
      </c>
      <c r="Q977" s="370"/>
      <c r="R977" s="370" t="b">
        <v>1</v>
      </c>
      <c r="S977" s="370" t="b">
        <v>0</v>
      </c>
      <c r="T977" s="301" t="s">
        <v>3787</v>
      </c>
      <c r="U977" s="301" t="s">
        <v>2542</v>
      </c>
      <c r="V977" s="301" t="s">
        <v>78</v>
      </c>
      <c r="W977" s="301" t="s">
        <v>2969</v>
      </c>
      <c r="X977" s="371">
        <v>44515.0</v>
      </c>
      <c r="Y977" s="371">
        <v>44517.0</v>
      </c>
      <c r="Z977" s="372"/>
      <c r="AA977" s="373" t="s">
        <v>3682</v>
      </c>
      <c r="AB977" s="374">
        <v>44515.0</v>
      </c>
      <c r="AC977" s="373"/>
      <c r="AD977" s="374"/>
      <c r="AE977" s="373"/>
      <c r="AF977" s="374"/>
      <c r="AG977" s="373"/>
      <c r="AH977" s="374"/>
      <c r="AI977" s="375"/>
      <c r="AJ977" s="375"/>
      <c r="AK977" s="373" t="s">
        <v>2542</v>
      </c>
      <c r="AL977" s="375"/>
      <c r="AM977" s="375"/>
      <c r="AN977" s="373"/>
      <c r="AO977" s="375"/>
      <c r="AP977" s="376" t="s">
        <v>3686</v>
      </c>
      <c r="AQ977" s="375"/>
    </row>
    <row r="978">
      <c r="A978" s="257" t="s">
        <v>6834</v>
      </c>
      <c r="B978" s="257" t="s">
        <v>6835</v>
      </c>
      <c r="C978" s="257" t="str">
        <f>VLOOKUP(A978,import!A:J,3,0)</f>
        <v>DOĞRU</v>
      </c>
      <c r="D978" s="257" t="s">
        <v>3699</v>
      </c>
      <c r="E978" s="257">
        <f>VLOOKUP(A978,import!A:J,5,0)</f>
        <v>500</v>
      </c>
      <c r="F978" s="257">
        <f>VLOOKUP(A978,import!A:J,6,0)</f>
        <v>60</v>
      </c>
      <c r="G978" s="257">
        <f>VLOOKUP(A978,import!A:J,7,0)</f>
        <v>1</v>
      </c>
      <c r="H978" s="257">
        <f>VLOOKUP(A978,import!A:J,8,0)</f>
        <v>21</v>
      </c>
      <c r="I978" s="257">
        <f>VLOOKUP(A978,import!A:J,9,0)</f>
        <v>22</v>
      </c>
      <c r="J978" s="369">
        <f>VLOOKUP(A978,import!A:J,10,0)</f>
        <v>0.05</v>
      </c>
      <c r="K978" s="257" t="s">
        <v>6836</v>
      </c>
      <c r="L978" s="257">
        <v>5.314640599E9</v>
      </c>
      <c r="M978" s="257" t="s">
        <v>3707</v>
      </c>
      <c r="N978" s="257" t="s">
        <v>6447</v>
      </c>
      <c r="O978" s="257" t="s">
        <v>6837</v>
      </c>
      <c r="P978" s="370" t="str">
        <f>VLOOKUP(A978,import!A:P,16,0)</f>
        <v>Geleneksel</v>
      </c>
      <c r="Q978" s="370"/>
      <c r="R978" s="370" t="b">
        <v>1</v>
      </c>
      <c r="S978" s="370" t="b">
        <v>0</v>
      </c>
      <c r="T978" s="301" t="s">
        <v>3710</v>
      </c>
      <c r="U978" s="301"/>
      <c r="V978" s="378"/>
      <c r="W978" s="301"/>
      <c r="X978" s="371"/>
      <c r="Y978" s="371"/>
      <c r="Z978" s="372"/>
      <c r="AA978" s="373" t="s">
        <v>3682</v>
      </c>
      <c r="AB978" s="371">
        <v>44620.0</v>
      </c>
      <c r="AC978" s="373"/>
      <c r="AD978" s="374"/>
      <c r="AE978" s="373"/>
      <c r="AF978" s="374"/>
      <c r="AG978" s="373"/>
      <c r="AH978" s="374"/>
      <c r="AI978" s="375"/>
      <c r="AJ978" s="375"/>
      <c r="AK978" s="373" t="s">
        <v>2542</v>
      </c>
      <c r="AL978" s="375"/>
      <c r="AM978" s="375"/>
      <c r="AN978" s="373"/>
      <c r="AO978" s="375"/>
      <c r="AP978" s="376"/>
      <c r="AQ978" s="375"/>
    </row>
    <row r="979">
      <c r="A979" s="376" t="s">
        <v>6838</v>
      </c>
      <c r="B979" s="376" t="s">
        <v>6839</v>
      </c>
      <c r="C979" s="257" t="str">
        <f>VLOOKUP(A979,import!A:J,3,0)</f>
        <v>DOĞRU</v>
      </c>
      <c r="D979" s="376" t="s">
        <v>3699</v>
      </c>
      <c r="E979" s="257" t="str">
        <f>VLOOKUP(A979,import!A:J,5,0)</f>
        <v/>
      </c>
      <c r="F979" s="257" t="str">
        <f>VLOOKUP(A979,import!A:J,6,0)</f>
        <v/>
      </c>
      <c r="G979" s="257">
        <f>VLOOKUP(A979,import!A:J,7,0)</f>
        <v>0</v>
      </c>
      <c r="H979" s="257">
        <f>VLOOKUP(A979,import!A:J,8,0)</f>
        <v>4</v>
      </c>
      <c r="I979" s="257">
        <f>VLOOKUP(A979,import!A:J,9,0)</f>
        <v>4</v>
      </c>
      <c r="J979" s="369">
        <f>VLOOKUP(A979,import!A:J,10,0)</f>
        <v>0</v>
      </c>
      <c r="K979" s="376" t="s">
        <v>6840</v>
      </c>
      <c r="L979" s="376">
        <v>3.229995439E9</v>
      </c>
      <c r="M979" s="376" t="s">
        <v>14</v>
      </c>
      <c r="N979" s="376" t="s">
        <v>3733</v>
      </c>
      <c r="O979" s="376" t="s">
        <v>4512</v>
      </c>
      <c r="P979" s="370" t="str">
        <f>VLOOKUP(A979,import!A:P,16,0)</f>
        <v>Geleneksel</v>
      </c>
      <c r="Q979" s="370"/>
      <c r="R979" s="370" t="b">
        <v>0</v>
      </c>
      <c r="S979" s="370" t="b">
        <v>0</v>
      </c>
      <c r="T979" s="301"/>
      <c r="U979" s="301"/>
      <c r="V979" s="301"/>
      <c r="W979" s="301"/>
      <c r="X979" s="371"/>
      <c r="Y979" s="371"/>
      <c r="Z979" s="372"/>
      <c r="AA979" s="373"/>
      <c r="AB979" s="374"/>
      <c r="AC979" s="373"/>
      <c r="AD979" s="374"/>
      <c r="AE979" s="373"/>
      <c r="AF979" s="374"/>
      <c r="AG979" s="373"/>
      <c r="AH979" s="374"/>
      <c r="AI979" s="373"/>
      <c r="AJ979" s="374"/>
      <c r="AK979" s="373"/>
      <c r="AL979" s="373"/>
      <c r="AM979" s="373"/>
      <c r="AN979" s="373"/>
      <c r="AO979" s="373"/>
      <c r="AP979" s="376"/>
      <c r="AQ979" s="373"/>
    </row>
    <row r="980">
      <c r="A980" s="257" t="s">
        <v>6841</v>
      </c>
      <c r="B980" s="257" t="s">
        <v>6842</v>
      </c>
      <c r="C980" s="257" t="str">
        <f>VLOOKUP(A980,import!A:J,3,0)</f>
        <v>DOĞRU</v>
      </c>
      <c r="D980" s="257" t="s">
        <v>3699</v>
      </c>
      <c r="E980" s="257">
        <f>VLOOKUP(A980,import!A:J,5,0)</f>
        <v>353</v>
      </c>
      <c r="F980" s="257">
        <f>VLOOKUP(A980,import!A:J,6,0)</f>
        <v>76</v>
      </c>
      <c r="G980" s="257">
        <f>VLOOKUP(A980,import!A:J,7,0)</f>
        <v>0</v>
      </c>
      <c r="H980" s="257">
        <f>VLOOKUP(A980,import!A:J,8,0)</f>
        <v>1</v>
      </c>
      <c r="I980" s="257">
        <f>VLOOKUP(A980,import!A:J,9,0)</f>
        <v>1</v>
      </c>
      <c r="J980" s="369">
        <f>VLOOKUP(A980,import!A:J,10,0)</f>
        <v>0</v>
      </c>
      <c r="K980" s="257" t="s">
        <v>6843</v>
      </c>
      <c r="L980" s="257">
        <v>5.43290315E9</v>
      </c>
      <c r="M980" s="257" t="s">
        <v>286</v>
      </c>
      <c r="N980" s="257" t="s">
        <v>3737</v>
      </c>
      <c r="O980" s="257" t="s">
        <v>6844</v>
      </c>
      <c r="P980" s="370" t="str">
        <f>VLOOKUP(A980,import!A:P,16,0)</f>
        <v>Geleneksel</v>
      </c>
      <c r="Q980" s="370"/>
      <c r="R980" s="370" t="b">
        <v>0</v>
      </c>
      <c r="S980" s="370" t="b">
        <v>0</v>
      </c>
      <c r="T980" s="301"/>
      <c r="U980" s="379"/>
      <c r="V980" s="379"/>
      <c r="W980" s="301"/>
      <c r="X980" s="381"/>
      <c r="Y980" s="381"/>
      <c r="Z980" s="372"/>
      <c r="AA980" s="373"/>
      <c r="AB980" s="374"/>
      <c r="AC980" s="373"/>
      <c r="AD980" s="374"/>
      <c r="AE980" s="373"/>
      <c r="AF980" s="374"/>
      <c r="AG980" s="373"/>
      <c r="AH980" s="374"/>
      <c r="AI980" s="375"/>
      <c r="AJ980" s="375"/>
      <c r="AK980" s="373"/>
      <c r="AL980" s="375"/>
      <c r="AM980" s="375"/>
      <c r="AN980" s="373"/>
      <c r="AO980" s="375"/>
      <c r="AP980" s="376"/>
      <c r="AQ980" s="375"/>
    </row>
    <row r="981">
      <c r="A981" s="257" t="s">
        <v>2470</v>
      </c>
      <c r="B981" s="257" t="s">
        <v>2471</v>
      </c>
      <c r="C981" s="257" t="str">
        <f>VLOOKUP(A981,import!A:J,3,0)</f>
        <v>DOĞRU</v>
      </c>
      <c r="D981" s="257" t="s">
        <v>3699</v>
      </c>
      <c r="E981" s="257">
        <f>VLOOKUP(A981,import!A:J,5,0)</f>
        <v>678</v>
      </c>
      <c r="F981" s="257">
        <f>VLOOKUP(A981,import!A:J,6,0)</f>
        <v>42</v>
      </c>
      <c r="G981" s="257">
        <f>VLOOKUP(A981,import!A:J,7,0)</f>
        <v>0</v>
      </c>
      <c r="H981" s="257">
        <f>VLOOKUP(A981,import!A:J,8,0)</f>
        <v>18</v>
      </c>
      <c r="I981" s="257">
        <f>VLOOKUP(A981,import!A:J,9,0)</f>
        <v>18</v>
      </c>
      <c r="J981" s="369">
        <f>VLOOKUP(A981,import!A:J,10,0)</f>
        <v>0</v>
      </c>
      <c r="K981" s="257" t="s">
        <v>6492</v>
      </c>
      <c r="L981" s="257">
        <v>5.417750999E9</v>
      </c>
      <c r="M981" s="257" t="s">
        <v>286</v>
      </c>
      <c r="N981" s="257" t="s">
        <v>3737</v>
      </c>
      <c r="O981" s="257" t="s">
        <v>2473</v>
      </c>
      <c r="P981" s="370" t="str">
        <f>VLOOKUP(A981,import!A:P,16,0)</f>
        <v>Geleneksel</v>
      </c>
      <c r="Q981" s="370"/>
      <c r="R981" s="370" t="b">
        <v>1</v>
      </c>
      <c r="S981" s="370" t="b">
        <v>0</v>
      </c>
      <c r="T981" s="301" t="s">
        <v>3787</v>
      </c>
      <c r="U981" s="301" t="s">
        <v>2542</v>
      </c>
      <c r="V981" s="301" t="s">
        <v>78</v>
      </c>
      <c r="W981" s="301" t="s">
        <v>6845</v>
      </c>
      <c r="X981" s="371">
        <v>44453.0</v>
      </c>
      <c r="Y981" s="371">
        <v>44454.0</v>
      </c>
      <c r="Z981" s="372"/>
      <c r="AA981" s="373" t="s">
        <v>3681</v>
      </c>
      <c r="AB981" s="374">
        <v>44445.0</v>
      </c>
      <c r="AC981" s="373" t="s">
        <v>3682</v>
      </c>
      <c r="AD981" s="374">
        <v>44453.0</v>
      </c>
      <c r="AE981" s="373" t="s">
        <v>3448</v>
      </c>
      <c r="AF981" s="374">
        <v>44474.0</v>
      </c>
      <c r="AG981" s="373" t="s">
        <v>3682</v>
      </c>
      <c r="AH981" s="374">
        <v>44476.0</v>
      </c>
      <c r="AI981" s="373" t="s">
        <v>3682</v>
      </c>
      <c r="AJ981" s="374">
        <v>44484.0</v>
      </c>
      <c r="AK981" s="373" t="s">
        <v>79</v>
      </c>
      <c r="AL981" s="373" t="s">
        <v>2542</v>
      </c>
      <c r="AM981" s="373" t="s">
        <v>2542</v>
      </c>
      <c r="AN981" s="373" t="s">
        <v>2418</v>
      </c>
      <c r="AO981" s="373" t="s">
        <v>2542</v>
      </c>
      <c r="AP981" s="376" t="s">
        <v>3683</v>
      </c>
      <c r="AQ981" s="373"/>
    </row>
    <row r="982">
      <c r="A982" s="257" t="s">
        <v>2483</v>
      </c>
      <c r="B982" s="257" t="s">
        <v>2484</v>
      </c>
      <c r="C982" s="257" t="str">
        <f>VLOOKUP(A982,import!A:J,3,0)</f>
        <v>DOĞRU</v>
      </c>
      <c r="D982" s="257" t="s">
        <v>3699</v>
      </c>
      <c r="E982" s="257">
        <f>VLOOKUP(A982,import!A:J,5,0)</f>
        <v>617</v>
      </c>
      <c r="F982" s="257">
        <f>VLOOKUP(A982,import!A:J,6,0)</f>
        <v>31</v>
      </c>
      <c r="G982" s="257">
        <f>VLOOKUP(A982,import!A:J,7,0)</f>
        <v>0</v>
      </c>
      <c r="H982" s="257">
        <f>VLOOKUP(A982,import!A:J,8,0)</f>
        <v>48</v>
      </c>
      <c r="I982" s="257">
        <f>VLOOKUP(A982,import!A:J,9,0)</f>
        <v>48</v>
      </c>
      <c r="J982" s="369">
        <f>VLOOKUP(A982,import!A:J,10,0)</f>
        <v>0</v>
      </c>
      <c r="K982" s="257" t="s">
        <v>6846</v>
      </c>
      <c r="L982" s="257">
        <v>8.502277747E9</v>
      </c>
      <c r="M982" s="257" t="s">
        <v>14</v>
      </c>
      <c r="N982" s="257" t="s">
        <v>3733</v>
      </c>
      <c r="O982" s="257" t="s">
        <v>2486</v>
      </c>
      <c r="P982" s="370" t="str">
        <f>VLOOKUP(A982,import!A:P,16,0)</f>
        <v>Geleneksel</v>
      </c>
      <c r="Q982" s="370"/>
      <c r="R982" s="370" t="b">
        <v>1</v>
      </c>
      <c r="S982" s="370" t="b">
        <v>0</v>
      </c>
      <c r="T982" s="301"/>
      <c r="U982" s="301" t="s">
        <v>2542</v>
      </c>
      <c r="V982" s="301" t="s">
        <v>78</v>
      </c>
      <c r="W982" s="301" t="s">
        <v>6847</v>
      </c>
      <c r="X982" s="371">
        <v>44454.0</v>
      </c>
      <c r="Y982" s="371">
        <v>44455.0</v>
      </c>
      <c r="Z982" s="372"/>
      <c r="AA982" s="373" t="s">
        <v>3696</v>
      </c>
      <c r="AB982" s="374">
        <v>44368.0</v>
      </c>
      <c r="AC982" s="373" t="s">
        <v>3682</v>
      </c>
      <c r="AD982" s="374">
        <v>44371.0</v>
      </c>
      <c r="AE982" s="373" t="s">
        <v>3682</v>
      </c>
      <c r="AF982" s="374">
        <v>44454.0</v>
      </c>
      <c r="AG982" s="373" t="s">
        <v>3682</v>
      </c>
      <c r="AH982" s="374">
        <v>44467.0</v>
      </c>
      <c r="AI982" s="375"/>
      <c r="AJ982" s="375"/>
      <c r="AK982" s="373" t="s">
        <v>79</v>
      </c>
      <c r="AL982" s="373" t="s">
        <v>1014</v>
      </c>
      <c r="AM982" s="373" t="s">
        <v>2542</v>
      </c>
      <c r="AN982" s="373" t="s">
        <v>2192</v>
      </c>
      <c r="AO982" s="375"/>
      <c r="AP982" s="376" t="s">
        <v>3683</v>
      </c>
      <c r="AQ982" s="375"/>
    </row>
    <row r="983">
      <c r="A983" s="257" t="s">
        <v>6848</v>
      </c>
      <c r="B983" s="257" t="s">
        <v>6849</v>
      </c>
      <c r="C983" s="257" t="str">
        <f>VLOOKUP(A983,import!A:J,3,0)</f>
        <v>DOĞRU</v>
      </c>
      <c r="D983" s="257" t="s">
        <v>3699</v>
      </c>
      <c r="E983" s="257">
        <f>VLOOKUP(A983,import!A:J,5,0)</f>
        <v>443</v>
      </c>
      <c r="F983" s="257">
        <f>VLOOKUP(A983,import!A:J,6,0)</f>
        <v>41</v>
      </c>
      <c r="G983" s="257">
        <f>VLOOKUP(A983,import!A:J,7,0)</f>
        <v>0</v>
      </c>
      <c r="H983" s="257">
        <f>VLOOKUP(A983,import!A:J,8,0)</f>
        <v>19</v>
      </c>
      <c r="I983" s="257">
        <f>VLOOKUP(A983,import!A:J,9,0)</f>
        <v>19</v>
      </c>
      <c r="J983" s="369">
        <f>VLOOKUP(A983,import!A:J,10,0)</f>
        <v>0</v>
      </c>
      <c r="K983" s="257" t="s">
        <v>6850</v>
      </c>
      <c r="L983" s="257">
        <v>5.52354155E9</v>
      </c>
      <c r="M983" s="257" t="s">
        <v>286</v>
      </c>
      <c r="N983" s="257" t="s">
        <v>3855</v>
      </c>
      <c r="O983" s="257" t="s">
        <v>6497</v>
      </c>
      <c r="P983" s="370" t="str">
        <f>VLOOKUP(A983,import!A:P,16,0)</f>
        <v>Geleneksel</v>
      </c>
      <c r="Q983" s="370"/>
      <c r="R983" s="370" t="b">
        <v>1</v>
      </c>
      <c r="S983" s="370" t="b">
        <v>0</v>
      </c>
      <c r="T983" s="301"/>
      <c r="U983" s="379"/>
      <c r="V983" s="379"/>
      <c r="W983" s="301" t="s">
        <v>6851</v>
      </c>
      <c r="X983" s="381"/>
      <c r="Y983" s="381"/>
      <c r="Z983" s="372"/>
      <c r="AA983" s="373" t="s">
        <v>3448</v>
      </c>
      <c r="AB983" s="374">
        <v>44539.0</v>
      </c>
      <c r="AC983" s="373"/>
      <c r="AD983" s="374"/>
      <c r="AE983" s="373"/>
      <c r="AF983" s="374"/>
      <c r="AG983" s="373"/>
      <c r="AH983" s="374"/>
      <c r="AI983" s="375"/>
      <c r="AJ983" s="375"/>
      <c r="AK983" s="373" t="s">
        <v>2542</v>
      </c>
      <c r="AL983" s="375"/>
      <c r="AM983" s="375"/>
      <c r="AN983" s="373"/>
      <c r="AO983" s="375"/>
      <c r="AP983" s="376" t="s">
        <v>3686</v>
      </c>
      <c r="AQ983" s="375"/>
    </row>
    <row r="984">
      <c r="A984" s="257" t="s">
        <v>6852</v>
      </c>
      <c r="B984" s="257" t="s">
        <v>6853</v>
      </c>
      <c r="C984" s="257" t="str">
        <f>VLOOKUP(A984,import!A:J,3,0)</f>
        <v>DOĞRU</v>
      </c>
      <c r="D984" s="257" t="s">
        <v>6854</v>
      </c>
      <c r="E984" s="257">
        <f>VLOOKUP(A984,import!A:J,5,0)</f>
        <v>286</v>
      </c>
      <c r="F984" s="257">
        <f>VLOOKUP(A984,import!A:J,6,0)</f>
        <v>62</v>
      </c>
      <c r="G984" s="257">
        <f>VLOOKUP(A984,import!A:J,7,0)</f>
        <v>0</v>
      </c>
      <c r="H984" s="257">
        <f>VLOOKUP(A984,import!A:J,8,0)</f>
        <v>62</v>
      </c>
      <c r="I984" s="257">
        <f>VLOOKUP(A984,import!A:J,9,0)</f>
        <v>62</v>
      </c>
      <c r="J984" s="369">
        <f>VLOOKUP(A984,import!A:J,10,0)</f>
        <v>0</v>
      </c>
      <c r="K984" s="257" t="s">
        <v>6855</v>
      </c>
      <c r="L984" s="257">
        <v>5.427738377E9</v>
      </c>
      <c r="M984" s="257" t="s">
        <v>286</v>
      </c>
      <c r="N984" s="257" t="s">
        <v>3688</v>
      </c>
      <c r="O984" s="257" t="s">
        <v>6856</v>
      </c>
      <c r="P984" s="370" t="str">
        <f>VLOOKUP(A984,import!A:P,16,0)</f>
        <v>Geleneksel</v>
      </c>
      <c r="Q984" s="370"/>
      <c r="R984" s="370" t="b">
        <v>1</v>
      </c>
      <c r="S984" s="370" t="b">
        <v>1</v>
      </c>
      <c r="T984" s="301"/>
      <c r="U984" s="379"/>
      <c r="V984" s="379"/>
      <c r="W984" s="301" t="s">
        <v>6677</v>
      </c>
      <c r="X984" s="381"/>
      <c r="Y984" s="381"/>
      <c r="Z984" s="372"/>
      <c r="AA984" s="373" t="s">
        <v>3695</v>
      </c>
      <c r="AB984" s="374">
        <v>44620.0</v>
      </c>
      <c r="AC984" s="373" t="s">
        <v>3682</v>
      </c>
      <c r="AD984" s="374">
        <v>44628.0</v>
      </c>
      <c r="AE984" s="373"/>
      <c r="AF984" s="374"/>
      <c r="AG984" s="373"/>
      <c r="AH984" s="374"/>
      <c r="AI984" s="375"/>
      <c r="AJ984" s="375"/>
      <c r="AK984" s="373" t="s">
        <v>2576</v>
      </c>
      <c r="AL984" s="373" t="s">
        <v>2192</v>
      </c>
      <c r="AM984" s="375"/>
      <c r="AN984" s="373"/>
      <c r="AO984" s="375"/>
      <c r="AP984" s="376"/>
      <c r="AQ984" s="375"/>
    </row>
    <row r="985">
      <c r="A985" s="257" t="s">
        <v>6857</v>
      </c>
      <c r="B985" s="257" t="s">
        <v>6858</v>
      </c>
      <c r="C985" s="257" t="str">
        <f>VLOOKUP(A985,import!A:J,3,0)</f>
        <v>DOĞRU</v>
      </c>
      <c r="D985" s="257" t="s">
        <v>3749</v>
      </c>
      <c r="E985" s="257">
        <f>VLOOKUP(A985,import!A:J,5,0)</f>
        <v>509</v>
      </c>
      <c r="F985" s="257">
        <f>VLOOKUP(A985,import!A:J,6,0)</f>
        <v>22</v>
      </c>
      <c r="G985" s="257">
        <f>VLOOKUP(A985,import!A:J,7,0)</f>
        <v>0</v>
      </c>
      <c r="H985" s="257">
        <f>VLOOKUP(A985,import!A:J,8,0)</f>
        <v>23</v>
      </c>
      <c r="I985" s="257">
        <f>VLOOKUP(A985,import!A:J,9,0)</f>
        <v>23</v>
      </c>
      <c r="J985" s="369">
        <f>VLOOKUP(A985,import!A:J,10,0)</f>
        <v>0</v>
      </c>
      <c r="K985" s="257" t="s">
        <v>6859</v>
      </c>
      <c r="L985" s="257">
        <v>5.462662556E9</v>
      </c>
      <c r="M985" s="257" t="s">
        <v>3814</v>
      </c>
      <c r="N985" s="257" t="s">
        <v>3815</v>
      </c>
      <c r="O985" s="257" t="s">
        <v>6860</v>
      </c>
      <c r="P985" s="370" t="str">
        <f>VLOOKUP(A985,import!A:P,16,0)</f>
        <v>Geleneksel</v>
      </c>
      <c r="Q985" s="370"/>
      <c r="R985" s="370" t="b">
        <v>0</v>
      </c>
      <c r="S985" s="370" t="b">
        <v>0</v>
      </c>
      <c r="T985" s="301" t="s">
        <v>3862</v>
      </c>
      <c r="U985" s="379"/>
      <c r="V985" s="379"/>
      <c r="W985" s="301"/>
      <c r="X985" s="381"/>
      <c r="Y985" s="381"/>
      <c r="Z985" s="372"/>
      <c r="AA985" s="373"/>
      <c r="AB985" s="374"/>
      <c r="AC985" s="373"/>
      <c r="AD985" s="374"/>
      <c r="AE985" s="373"/>
      <c r="AF985" s="374"/>
      <c r="AG985" s="373"/>
      <c r="AH985" s="374"/>
      <c r="AI985" s="375"/>
      <c r="AJ985" s="375"/>
      <c r="AK985" s="373"/>
      <c r="AL985" s="375"/>
      <c r="AM985" s="375"/>
      <c r="AN985" s="373"/>
      <c r="AO985" s="375"/>
      <c r="AP985" s="376" t="s">
        <v>3686</v>
      </c>
      <c r="AQ985" s="375"/>
    </row>
    <row r="986">
      <c r="A986" s="257" t="s">
        <v>6861</v>
      </c>
      <c r="B986" s="257" t="s">
        <v>3506</v>
      </c>
      <c r="C986" s="257" t="str">
        <f>VLOOKUP(A986,import!A:J,3,0)</f>
        <v>YANLIŞ</v>
      </c>
      <c r="D986" s="257" t="s">
        <v>3842</v>
      </c>
      <c r="E986" s="257">
        <f>VLOOKUP(A986,import!A:J,5,0)</f>
        <v>7</v>
      </c>
      <c r="F986" s="257" t="str">
        <f>VLOOKUP(A986,import!A:J,6,0)</f>
        <v/>
      </c>
      <c r="G986" s="257">
        <f>VLOOKUP(A986,import!A:J,7,0)</f>
        <v>0</v>
      </c>
      <c r="H986" s="257">
        <f>VLOOKUP(A986,import!A:J,8,0)</f>
        <v>18</v>
      </c>
      <c r="I986" s="257">
        <f>VLOOKUP(A986,import!A:J,9,0)</f>
        <v>18</v>
      </c>
      <c r="J986" s="369">
        <f>VLOOKUP(A986,import!A:J,10,0)</f>
        <v>0</v>
      </c>
      <c r="K986" s="257" t="s">
        <v>6862</v>
      </c>
      <c r="L986" s="257">
        <v>5.076403798E9</v>
      </c>
      <c r="M986" s="257" t="s">
        <v>14</v>
      </c>
      <c r="N986" s="257" t="s">
        <v>3767</v>
      </c>
      <c r="O986" s="257" t="s">
        <v>3508</v>
      </c>
      <c r="P986" s="370" t="str">
        <f>VLOOKUP(A986,import!A:P,16,0)</f>
        <v>Geleneksel</v>
      </c>
      <c r="Q986" s="370"/>
      <c r="R986" s="370" t="b">
        <v>0</v>
      </c>
      <c r="S986" s="370" t="b">
        <v>0</v>
      </c>
      <c r="T986" s="301"/>
      <c r="U986" s="379"/>
      <c r="V986" s="379"/>
      <c r="W986" s="301"/>
      <c r="X986" s="381"/>
      <c r="Y986" s="381"/>
      <c r="Z986" s="372"/>
      <c r="AA986" s="373"/>
      <c r="AB986" s="374"/>
      <c r="AC986" s="373"/>
      <c r="AD986" s="374"/>
      <c r="AE986" s="373"/>
      <c r="AF986" s="374"/>
      <c r="AG986" s="373"/>
      <c r="AH986" s="374"/>
      <c r="AI986" s="375"/>
      <c r="AJ986" s="375"/>
      <c r="AK986" s="373"/>
      <c r="AL986" s="375"/>
      <c r="AM986" s="375"/>
      <c r="AN986" s="373"/>
      <c r="AO986" s="375"/>
      <c r="AP986" s="376"/>
      <c r="AQ986" s="375"/>
    </row>
    <row r="987">
      <c r="A987" s="257" t="s">
        <v>3505</v>
      </c>
      <c r="B987" s="257" t="s">
        <v>3506</v>
      </c>
      <c r="C987" s="257" t="str">
        <f>VLOOKUP(A987,import!A:J,3,0)</f>
        <v>DOĞRU</v>
      </c>
      <c r="D987" s="257" t="s">
        <v>6863</v>
      </c>
      <c r="E987" s="257">
        <f>VLOOKUP(A987,import!A:J,5,0)</f>
        <v>240</v>
      </c>
      <c r="F987" s="257">
        <f>VLOOKUP(A987,import!A:J,6,0)</f>
        <v>99</v>
      </c>
      <c r="G987" s="257">
        <f>VLOOKUP(A987,import!A:J,7,0)</f>
        <v>3</v>
      </c>
      <c r="H987" s="257">
        <f>VLOOKUP(A987,import!A:J,8,0)</f>
        <v>43</v>
      </c>
      <c r="I987" s="257">
        <f>VLOOKUP(A987,import!A:J,9,0)</f>
        <v>46</v>
      </c>
      <c r="J987" s="369">
        <f>VLOOKUP(A987,import!A:J,10,0)</f>
        <v>0.07</v>
      </c>
      <c r="K987" s="257" t="s">
        <v>6864</v>
      </c>
      <c r="L987" s="257">
        <v>5.076403798E9</v>
      </c>
      <c r="M987" s="257" t="s">
        <v>14</v>
      </c>
      <c r="N987" s="257" t="s">
        <v>3767</v>
      </c>
      <c r="O987" s="257" t="s">
        <v>3508</v>
      </c>
      <c r="P987" s="370" t="str">
        <f>VLOOKUP(A987,import!A:P,16,0)</f>
        <v>Geleneksel</v>
      </c>
      <c r="Q987" s="370"/>
      <c r="R987" s="370" t="b">
        <v>1</v>
      </c>
      <c r="S987" s="370" t="b">
        <v>0</v>
      </c>
      <c r="T987" s="301" t="s">
        <v>3679</v>
      </c>
      <c r="U987" s="301" t="s">
        <v>2576</v>
      </c>
      <c r="V987" s="394" t="s">
        <v>3331</v>
      </c>
      <c r="W987" s="301" t="s">
        <v>6865</v>
      </c>
      <c r="X987" s="371">
        <v>44630.0</v>
      </c>
      <c r="Y987" s="371">
        <v>44631.0</v>
      </c>
      <c r="Z987" s="372"/>
      <c r="AA987" s="373" t="s">
        <v>3682</v>
      </c>
      <c r="AB987" s="374">
        <v>44630.0</v>
      </c>
      <c r="AC987" s="373" t="s">
        <v>3682</v>
      </c>
      <c r="AD987" s="374">
        <v>44630.0</v>
      </c>
      <c r="AE987" s="373"/>
      <c r="AF987" s="374"/>
      <c r="AG987" s="373"/>
      <c r="AH987" s="374"/>
      <c r="AI987" s="373"/>
      <c r="AJ987" s="374"/>
      <c r="AK987" s="373" t="s">
        <v>2576</v>
      </c>
      <c r="AL987" s="373" t="s">
        <v>2576</v>
      </c>
      <c r="AM987" s="373"/>
      <c r="AN987" s="373"/>
      <c r="AO987" s="373"/>
      <c r="AP987" s="376"/>
      <c r="AQ987" s="373"/>
    </row>
    <row r="988">
      <c r="A988" s="257" t="s">
        <v>2405</v>
      </c>
      <c r="B988" s="257" t="s">
        <v>2406</v>
      </c>
      <c r="C988" s="257" t="str">
        <f>VLOOKUP(A988,import!A:J,3,0)</f>
        <v>DOĞRU</v>
      </c>
      <c r="D988" s="257" t="s">
        <v>3713</v>
      </c>
      <c r="E988" s="257">
        <f>VLOOKUP(A988,import!A:J,5,0)</f>
        <v>1023</v>
      </c>
      <c r="F988" s="257">
        <f>VLOOKUP(A988,import!A:J,6,0)</f>
        <v>34</v>
      </c>
      <c r="G988" s="257">
        <f>VLOOKUP(A988,import!A:J,7,0)</f>
        <v>8</v>
      </c>
      <c r="H988" s="257">
        <f>VLOOKUP(A988,import!A:J,8,0)</f>
        <v>17</v>
      </c>
      <c r="I988" s="257">
        <f>VLOOKUP(A988,import!A:J,9,0)</f>
        <v>25</v>
      </c>
      <c r="J988" s="369">
        <f>VLOOKUP(A988,import!A:J,10,0)</f>
        <v>0.32</v>
      </c>
      <c r="K988" s="257" t="s">
        <v>6866</v>
      </c>
      <c r="L988" s="257">
        <v>5.327702319E9</v>
      </c>
      <c r="M988" s="257" t="s">
        <v>14</v>
      </c>
      <c r="N988" s="257" t="s">
        <v>3733</v>
      </c>
      <c r="O988" s="257" t="s">
        <v>2408</v>
      </c>
      <c r="P988" s="370" t="str">
        <f>VLOOKUP(A988,import!A:P,16,0)</f>
        <v>Geleneksel</v>
      </c>
      <c r="Q988" s="370"/>
      <c r="R988" s="370" t="b">
        <v>1</v>
      </c>
      <c r="S988" s="370" t="b">
        <v>0</v>
      </c>
      <c r="T988" s="301" t="s">
        <v>3679</v>
      </c>
      <c r="U988" s="301" t="s">
        <v>2542</v>
      </c>
      <c r="V988" s="301" t="s">
        <v>78</v>
      </c>
      <c r="W988" s="301" t="s">
        <v>6867</v>
      </c>
      <c r="X988" s="371">
        <v>44450.0</v>
      </c>
      <c r="Y988" s="371">
        <v>44452.0</v>
      </c>
      <c r="Z988" s="372"/>
      <c r="AA988" s="373" t="s">
        <v>3448</v>
      </c>
      <c r="AB988" s="374">
        <v>44445.0</v>
      </c>
      <c r="AC988" s="373" t="s">
        <v>3682</v>
      </c>
      <c r="AD988" s="374">
        <v>44450.0</v>
      </c>
      <c r="AE988" s="373"/>
      <c r="AF988" s="374"/>
      <c r="AG988" s="92"/>
      <c r="AH988" s="375"/>
      <c r="AI988" s="375"/>
      <c r="AJ988" s="375"/>
      <c r="AK988" s="373" t="s">
        <v>79</v>
      </c>
      <c r="AL988" s="373" t="s">
        <v>2542</v>
      </c>
      <c r="AM988" s="375"/>
      <c r="AN988" s="375"/>
      <c r="AO988" s="375"/>
      <c r="AP988" s="376" t="s">
        <v>3683</v>
      </c>
      <c r="AQ988" s="375"/>
    </row>
    <row r="989">
      <c r="A989" s="257" t="s">
        <v>2223</v>
      </c>
      <c r="B989" s="257" t="s">
        <v>2224</v>
      </c>
      <c r="C989" s="257" t="str">
        <f>VLOOKUP(A989,import!A:J,3,0)</f>
        <v>DOĞRU</v>
      </c>
      <c r="D989" s="257" t="s">
        <v>4944</v>
      </c>
      <c r="E989" s="257">
        <f>VLOOKUP(A989,import!A:J,5,0)</f>
        <v>5116</v>
      </c>
      <c r="F989" s="257">
        <f>VLOOKUP(A989,import!A:J,6,0)</f>
        <v>811</v>
      </c>
      <c r="G989" s="257">
        <f>VLOOKUP(A989,import!A:J,7,0)</f>
        <v>9</v>
      </c>
      <c r="H989" s="257">
        <f>VLOOKUP(A989,import!A:J,8,0)</f>
        <v>27</v>
      </c>
      <c r="I989" s="257">
        <f>VLOOKUP(A989,import!A:J,9,0)</f>
        <v>36</v>
      </c>
      <c r="J989" s="369">
        <f>VLOOKUP(A989,import!A:J,10,0)</f>
        <v>0.25</v>
      </c>
      <c r="K989" s="257" t="s">
        <v>6868</v>
      </c>
      <c r="L989" s="257">
        <v>3.222338777E9</v>
      </c>
      <c r="M989" s="257" t="s">
        <v>14</v>
      </c>
      <c r="N989" s="257" t="s">
        <v>3767</v>
      </c>
      <c r="O989" s="257" t="s">
        <v>2226</v>
      </c>
      <c r="P989" s="370" t="str">
        <f>VLOOKUP(A989,import!A:P,16,0)</f>
        <v>Geleneksel</v>
      </c>
      <c r="Q989" s="370"/>
      <c r="R989" s="370" t="b">
        <v>1</v>
      </c>
      <c r="S989" s="370" t="b">
        <v>0</v>
      </c>
      <c r="T989" s="301" t="s">
        <v>3679</v>
      </c>
      <c r="U989" s="301" t="s">
        <v>2542</v>
      </c>
      <c r="V989" s="301" t="s">
        <v>78</v>
      </c>
      <c r="W989" s="301" t="s">
        <v>6869</v>
      </c>
      <c r="X989" s="371">
        <v>44440.0</v>
      </c>
      <c r="Y989" s="371">
        <v>44441.0</v>
      </c>
      <c r="Z989" s="372"/>
      <c r="AA989" s="373" t="s">
        <v>3682</v>
      </c>
      <c r="AB989" s="374">
        <v>44390.0</v>
      </c>
      <c r="AC989" s="373" t="s">
        <v>3682</v>
      </c>
      <c r="AD989" s="374">
        <v>44440.0</v>
      </c>
      <c r="AE989" s="373" t="s">
        <v>3682</v>
      </c>
      <c r="AF989" s="374">
        <v>44469.0</v>
      </c>
      <c r="AG989" s="92"/>
      <c r="AH989" s="375"/>
      <c r="AI989" s="375"/>
      <c r="AJ989" s="375"/>
      <c r="AK989" s="373" t="s">
        <v>111</v>
      </c>
      <c r="AL989" s="373" t="s">
        <v>2542</v>
      </c>
      <c r="AM989" s="373" t="s">
        <v>2282</v>
      </c>
      <c r="AN989" s="375"/>
      <c r="AO989" s="375"/>
      <c r="AP989" s="376" t="s">
        <v>3683</v>
      </c>
      <c r="AQ989" s="375"/>
    </row>
    <row r="990">
      <c r="A990" s="257" t="s">
        <v>3352</v>
      </c>
      <c r="B990" s="257" t="s">
        <v>2927</v>
      </c>
      <c r="C990" s="257" t="str">
        <f>VLOOKUP(A990,import!A:J,3,0)</f>
        <v>DOĞRU</v>
      </c>
      <c r="D990" s="257" t="s">
        <v>3676</v>
      </c>
      <c r="E990" s="257">
        <f>VLOOKUP(A990,import!A:J,5,0)</f>
        <v>646</v>
      </c>
      <c r="F990" s="257">
        <f>VLOOKUP(A990,import!A:J,6,0)</f>
        <v>87</v>
      </c>
      <c r="G990" s="257">
        <f>VLOOKUP(A990,import!A:J,7,0)</f>
        <v>0</v>
      </c>
      <c r="H990" s="257">
        <f>VLOOKUP(A990,import!A:J,8,0)</f>
        <v>66</v>
      </c>
      <c r="I990" s="257">
        <f>VLOOKUP(A990,import!A:J,9,0)</f>
        <v>66</v>
      </c>
      <c r="J990" s="369">
        <f>VLOOKUP(A990,import!A:J,10,0)</f>
        <v>0</v>
      </c>
      <c r="K990" s="257" t="s">
        <v>6870</v>
      </c>
      <c r="L990" s="257">
        <v>5.369919901E9</v>
      </c>
      <c r="M990" s="257" t="s">
        <v>3707</v>
      </c>
      <c r="N990" s="257" t="s">
        <v>3715</v>
      </c>
      <c r="O990" s="257" t="s">
        <v>2929</v>
      </c>
      <c r="P990" s="370" t="str">
        <f>VLOOKUP(A990,import!A:P,16,0)</f>
        <v>Geleneksel</v>
      </c>
      <c r="Q990" s="370"/>
      <c r="R990" s="370" t="b">
        <v>1</v>
      </c>
      <c r="S990" s="370" t="b">
        <v>0</v>
      </c>
      <c r="T990" s="301" t="s">
        <v>3710</v>
      </c>
      <c r="U990" s="301"/>
      <c r="V990" s="301"/>
      <c r="W990" s="299">
        <v>5.068264017E9</v>
      </c>
      <c r="X990" s="371"/>
      <c r="Y990" s="371"/>
      <c r="Z990" s="372"/>
      <c r="AA990" s="373" t="s">
        <v>3682</v>
      </c>
      <c r="AB990" s="374">
        <v>44617.0</v>
      </c>
      <c r="AC990" s="373" t="s">
        <v>3682</v>
      </c>
      <c r="AD990" s="374">
        <v>44621.0</v>
      </c>
      <c r="AE990" s="373"/>
      <c r="AF990" s="374"/>
      <c r="AG990" s="373"/>
      <c r="AH990" s="374"/>
      <c r="AI990" s="375"/>
      <c r="AJ990" s="375"/>
      <c r="AK990" s="373" t="s">
        <v>2576</v>
      </c>
      <c r="AL990" s="373" t="s">
        <v>2576</v>
      </c>
      <c r="AM990" s="375"/>
      <c r="AN990" s="373"/>
      <c r="AO990" s="375"/>
      <c r="AP990" s="376"/>
      <c r="AQ990" s="375"/>
    </row>
    <row r="991">
      <c r="A991" s="376" t="s">
        <v>6871</v>
      </c>
      <c r="B991" s="376" t="s">
        <v>6872</v>
      </c>
      <c r="C991" s="257" t="str">
        <f>VLOOKUP(A991,import!A:J,3,0)</f>
        <v>DOĞRU</v>
      </c>
      <c r="D991" s="376" t="s">
        <v>3842</v>
      </c>
      <c r="E991" s="257">
        <f>VLOOKUP(A991,import!A:J,5,0)</f>
        <v>4</v>
      </c>
      <c r="F991" s="257">
        <f>VLOOKUP(A991,import!A:J,6,0)</f>
        <v>4</v>
      </c>
      <c r="G991" s="257">
        <f>VLOOKUP(A991,import!A:J,7,0)</f>
        <v>0</v>
      </c>
      <c r="H991" s="257">
        <f>VLOOKUP(A991,import!A:J,8,0)</f>
        <v>7</v>
      </c>
      <c r="I991" s="257">
        <f>VLOOKUP(A991,import!A:J,9,0)</f>
        <v>7</v>
      </c>
      <c r="J991" s="369">
        <f>VLOOKUP(A991,import!A:J,10,0)</f>
        <v>0</v>
      </c>
      <c r="K991" s="376" t="s">
        <v>6873</v>
      </c>
      <c r="L991" s="376">
        <v>5.367003696E9</v>
      </c>
      <c r="M991" s="376" t="s">
        <v>286</v>
      </c>
      <c r="N991" s="376" t="s">
        <v>5192</v>
      </c>
      <c r="O991" s="376" t="s">
        <v>6874</v>
      </c>
      <c r="P991" s="370" t="str">
        <f>VLOOKUP(A991,import!A:P,16,0)</f>
        <v>Geleneksel</v>
      </c>
      <c r="Q991" s="370"/>
      <c r="R991" s="370" t="b">
        <v>0</v>
      </c>
      <c r="S991" s="370" t="b">
        <v>0</v>
      </c>
      <c r="T991" s="301"/>
      <c r="U991" s="301"/>
      <c r="V991" s="301"/>
      <c r="W991" s="301"/>
      <c r="X991" s="371"/>
      <c r="Y991" s="371"/>
      <c r="Z991" s="372"/>
      <c r="AA991" s="373"/>
      <c r="AB991" s="374"/>
      <c r="AC991" s="373"/>
      <c r="AD991" s="374"/>
      <c r="AE991" s="373"/>
      <c r="AF991" s="374"/>
      <c r="AG991" s="373"/>
      <c r="AH991" s="374"/>
      <c r="AI991" s="373"/>
      <c r="AJ991" s="374"/>
      <c r="AK991" s="373"/>
      <c r="AL991" s="373"/>
      <c r="AM991" s="373"/>
      <c r="AN991" s="373"/>
      <c r="AO991" s="373"/>
      <c r="AP991" s="376"/>
      <c r="AQ991" s="373"/>
    </row>
    <row r="992">
      <c r="A992" s="257" t="s">
        <v>6875</v>
      </c>
      <c r="B992" s="257" t="s">
        <v>6876</v>
      </c>
      <c r="C992" s="257" t="str">
        <f>VLOOKUP(A992,import!A:J,3,0)</f>
        <v>DOĞRU</v>
      </c>
      <c r="D992" s="257" t="s">
        <v>3676</v>
      </c>
      <c r="E992" s="257">
        <f>VLOOKUP(A992,import!A:J,5,0)</f>
        <v>2008</v>
      </c>
      <c r="F992" s="257">
        <f>VLOOKUP(A992,import!A:J,6,0)</f>
        <v>56</v>
      </c>
      <c r="G992" s="257">
        <f>VLOOKUP(A992,import!A:J,7,0)</f>
        <v>0</v>
      </c>
      <c r="H992" s="257">
        <f>VLOOKUP(A992,import!A:J,8,0)</f>
        <v>9</v>
      </c>
      <c r="I992" s="257">
        <f>VLOOKUP(A992,import!A:J,9,0)</f>
        <v>9</v>
      </c>
      <c r="J992" s="369">
        <f>VLOOKUP(A992,import!A:J,10,0)</f>
        <v>0</v>
      </c>
      <c r="K992" s="257" t="s">
        <v>6877</v>
      </c>
      <c r="L992" s="257">
        <v>5.544188146E9</v>
      </c>
      <c r="M992" s="257" t="s">
        <v>286</v>
      </c>
      <c r="N992" s="257" t="s">
        <v>3737</v>
      </c>
      <c r="O992" s="257" t="s">
        <v>6878</v>
      </c>
      <c r="P992" s="370" t="str">
        <f>VLOOKUP(A992,import!A:P,16,0)</f>
        <v>Geleneksel</v>
      </c>
      <c r="Q992" s="370"/>
      <c r="R992" s="370" t="b">
        <v>1</v>
      </c>
      <c r="S992" s="370" t="b">
        <v>1</v>
      </c>
      <c r="T992" s="389"/>
      <c r="U992" s="389"/>
      <c r="V992" s="389"/>
      <c r="W992" s="389" t="s">
        <v>6879</v>
      </c>
      <c r="X992" s="390"/>
      <c r="Y992" s="390"/>
      <c r="Z992" s="391"/>
      <c r="AA992" s="373" t="s">
        <v>3682</v>
      </c>
      <c r="AB992" s="374">
        <v>44414.0</v>
      </c>
      <c r="AC992" s="373" t="s">
        <v>3682</v>
      </c>
      <c r="AD992" s="374">
        <v>44440.0</v>
      </c>
      <c r="AE992" s="92"/>
      <c r="AF992" s="375"/>
      <c r="AG992" s="92"/>
      <c r="AH992" s="375"/>
      <c r="AI992" s="375"/>
      <c r="AJ992" s="375"/>
      <c r="AK992" s="373" t="s">
        <v>3723</v>
      </c>
      <c r="AL992" s="373" t="s">
        <v>2542</v>
      </c>
      <c r="AM992" s="375"/>
      <c r="AN992" s="375"/>
      <c r="AO992" s="375"/>
      <c r="AP992" s="376" t="s">
        <v>3683</v>
      </c>
      <c r="AQ992" s="375"/>
    </row>
    <row r="993">
      <c r="A993" s="257" t="s">
        <v>6880</v>
      </c>
      <c r="B993" s="257" t="s">
        <v>6881</v>
      </c>
      <c r="C993" s="257" t="str">
        <f>VLOOKUP(A993,import!A:J,3,0)</f>
        <v>DOĞRU</v>
      </c>
      <c r="D993" s="257" t="s">
        <v>3676</v>
      </c>
      <c r="E993" s="257">
        <f>VLOOKUP(A993,import!A:J,5,0)</f>
        <v>3730</v>
      </c>
      <c r="F993" s="257">
        <f>VLOOKUP(A993,import!A:J,6,0)</f>
        <v>126</v>
      </c>
      <c r="G993" s="257">
        <f>VLOOKUP(A993,import!A:J,7,0)</f>
        <v>0</v>
      </c>
      <c r="H993" s="257">
        <f>VLOOKUP(A993,import!A:J,8,0)</f>
        <v>9</v>
      </c>
      <c r="I993" s="257">
        <f>VLOOKUP(A993,import!A:J,9,0)</f>
        <v>9</v>
      </c>
      <c r="J993" s="369">
        <f>VLOOKUP(A993,import!A:J,10,0)</f>
        <v>0</v>
      </c>
      <c r="K993" s="257" t="s">
        <v>6877</v>
      </c>
      <c r="L993" s="257">
        <v>3.222325077E9</v>
      </c>
      <c r="M993" s="257" t="s">
        <v>14</v>
      </c>
      <c r="N993" s="257" t="s">
        <v>3797</v>
      </c>
      <c r="O993" s="257" t="s">
        <v>6882</v>
      </c>
      <c r="P993" s="370" t="str">
        <f>VLOOKUP(A993,import!A:P,16,0)</f>
        <v>Geleneksel</v>
      </c>
      <c r="Q993" s="370"/>
      <c r="R993" s="370" t="b">
        <v>1</v>
      </c>
      <c r="S993" s="370" t="b">
        <v>1</v>
      </c>
      <c r="T993" s="301"/>
      <c r="U993" s="301"/>
      <c r="V993" s="301"/>
      <c r="W993" s="301" t="s">
        <v>6883</v>
      </c>
      <c r="X993" s="371"/>
      <c r="Y993" s="371"/>
      <c r="Z993" s="377"/>
      <c r="AA993" s="373" t="s">
        <v>3448</v>
      </c>
      <c r="AB993" s="374">
        <v>44358.0</v>
      </c>
      <c r="AC993" s="373" t="s">
        <v>3682</v>
      </c>
      <c r="AD993" s="374">
        <v>44390.0</v>
      </c>
      <c r="AE993" s="373" t="s">
        <v>3682</v>
      </c>
      <c r="AF993" s="374">
        <v>44441.0</v>
      </c>
      <c r="AG993" s="92"/>
      <c r="AH993" s="375"/>
      <c r="AI993" s="375"/>
      <c r="AJ993" s="375"/>
      <c r="AK993" s="373" t="s">
        <v>79</v>
      </c>
      <c r="AL993" s="373" t="s">
        <v>111</v>
      </c>
      <c r="AM993" s="373" t="s">
        <v>2542</v>
      </c>
      <c r="AN993" s="375"/>
      <c r="AO993" s="375"/>
      <c r="AP993" s="376" t="s">
        <v>3683</v>
      </c>
      <c r="AQ993" s="375"/>
    </row>
    <row r="994">
      <c r="A994" s="257" t="s">
        <v>3577</v>
      </c>
      <c r="B994" s="257" t="s">
        <v>3578</v>
      </c>
      <c r="C994" s="257" t="str">
        <f>VLOOKUP(A994,import!A:J,3,0)</f>
        <v>DOĞRU</v>
      </c>
      <c r="D994" s="257" t="s">
        <v>3713</v>
      </c>
      <c r="E994" s="257">
        <f>VLOOKUP(A994,import!A:J,5,0)</f>
        <v>178</v>
      </c>
      <c r="F994" s="257">
        <f>VLOOKUP(A994,import!A:J,6,0)</f>
        <v>31</v>
      </c>
      <c r="G994" s="257">
        <f>VLOOKUP(A994,import!A:J,7,0)</f>
        <v>0</v>
      </c>
      <c r="H994" s="257">
        <f>VLOOKUP(A994,import!A:J,8,0)</f>
        <v>22</v>
      </c>
      <c r="I994" s="257">
        <f>VLOOKUP(A994,import!A:J,9,0)</f>
        <v>22</v>
      </c>
      <c r="J994" s="369">
        <f>VLOOKUP(A994,import!A:J,10,0)</f>
        <v>0</v>
      </c>
      <c r="K994" s="257" t="s">
        <v>6884</v>
      </c>
      <c r="L994" s="257">
        <v>3.224576538E9</v>
      </c>
      <c r="M994" s="257" t="s">
        <v>286</v>
      </c>
      <c r="N994" s="257" t="s">
        <v>4550</v>
      </c>
      <c r="O994" s="257" t="s">
        <v>3580</v>
      </c>
      <c r="P994" s="370" t="str">
        <f>VLOOKUP(A994,import!A:P,16,0)</f>
        <v>Geleneksel</v>
      </c>
      <c r="Q994" s="370"/>
      <c r="R994" s="370" t="b">
        <v>1</v>
      </c>
      <c r="S994" s="370" t="b">
        <v>0</v>
      </c>
      <c r="T994" s="301" t="s">
        <v>3679</v>
      </c>
      <c r="U994" s="301" t="s">
        <v>2542</v>
      </c>
      <c r="V994" s="394" t="s">
        <v>3331</v>
      </c>
      <c r="W994" s="301">
        <v>5.364044401E9</v>
      </c>
      <c r="X994" s="371">
        <v>44637.0</v>
      </c>
      <c r="Y994" s="371">
        <v>44638.0</v>
      </c>
      <c r="Z994" s="372"/>
      <c r="AA994" s="373" t="s">
        <v>3682</v>
      </c>
      <c r="AB994" s="371">
        <v>44637.0</v>
      </c>
      <c r="AC994" s="373"/>
      <c r="AD994" s="374"/>
      <c r="AE994" s="373"/>
      <c r="AF994" s="374"/>
      <c r="AG994" s="373"/>
      <c r="AH994" s="374"/>
      <c r="AI994" s="375"/>
      <c r="AJ994" s="375"/>
      <c r="AK994" s="373" t="s">
        <v>2542</v>
      </c>
      <c r="AL994" s="375"/>
      <c r="AM994" s="375"/>
      <c r="AN994" s="373"/>
      <c r="AO994" s="375"/>
      <c r="AP994" s="376"/>
      <c r="AQ994" s="375"/>
    </row>
    <row r="995">
      <c r="A995" s="376" t="s">
        <v>6885</v>
      </c>
      <c r="B995" s="376" t="s">
        <v>6886</v>
      </c>
      <c r="C995" s="257" t="str">
        <f>VLOOKUP(A995,import!A:J,3,0)</f>
        <v>DOĞRU</v>
      </c>
      <c r="D995" s="376" t="s">
        <v>3676</v>
      </c>
      <c r="E995" s="257">
        <f>VLOOKUP(A995,import!A:J,5,0)</f>
        <v>2</v>
      </c>
      <c r="F995" s="257">
        <f>VLOOKUP(A995,import!A:J,6,0)</f>
        <v>2</v>
      </c>
      <c r="G995" s="257">
        <f>VLOOKUP(A995,import!A:J,7,0)</f>
        <v>0</v>
      </c>
      <c r="H995" s="257">
        <f>VLOOKUP(A995,import!A:J,8,0)</f>
        <v>16</v>
      </c>
      <c r="I995" s="257">
        <f>VLOOKUP(A995,import!A:J,9,0)</f>
        <v>16</v>
      </c>
      <c r="J995" s="369">
        <f>VLOOKUP(A995,import!A:J,10,0)</f>
        <v>0</v>
      </c>
      <c r="K995" s="376" t="s">
        <v>6887</v>
      </c>
      <c r="L995" s="376">
        <v>5.451382E9</v>
      </c>
      <c r="M995" s="376" t="s">
        <v>286</v>
      </c>
      <c r="N995" s="376" t="s">
        <v>4135</v>
      </c>
      <c r="O995" s="376" t="s">
        <v>6888</v>
      </c>
      <c r="P995" s="370" t="str">
        <f>VLOOKUP(A995,import!A:P,16,0)</f>
        <v>Geleneksel</v>
      </c>
      <c r="Q995" s="370"/>
      <c r="R995" s="370" t="b">
        <v>0</v>
      </c>
      <c r="S995" s="370" t="b">
        <v>0</v>
      </c>
      <c r="T995" s="301"/>
      <c r="U995" s="301"/>
      <c r="V995" s="301"/>
      <c r="W995" s="301"/>
      <c r="X995" s="371"/>
      <c r="Y995" s="371"/>
      <c r="Z995" s="372"/>
      <c r="AA995" s="373"/>
      <c r="AB995" s="374"/>
      <c r="AC995" s="373"/>
      <c r="AD995" s="374"/>
      <c r="AE995" s="373"/>
      <c r="AF995" s="374"/>
      <c r="AG995" s="373"/>
      <c r="AH995" s="374"/>
      <c r="AI995" s="373"/>
      <c r="AJ995" s="374"/>
      <c r="AK995" s="373"/>
      <c r="AL995" s="373"/>
      <c r="AM995" s="373"/>
      <c r="AN995" s="373"/>
      <c r="AO995" s="373"/>
      <c r="AP995" s="376"/>
      <c r="AQ995" s="373"/>
    </row>
    <row r="996">
      <c r="A996" s="257" t="s">
        <v>1166</v>
      </c>
      <c r="B996" s="257" t="s">
        <v>1167</v>
      </c>
      <c r="C996" s="257" t="str">
        <f>VLOOKUP(A996,import!A:J,3,0)</f>
        <v>DOĞRU</v>
      </c>
      <c r="D996" s="257" t="s">
        <v>3912</v>
      </c>
      <c r="E996" s="257">
        <f>VLOOKUP(A996,import!A:J,5,0)</f>
        <v>1887</v>
      </c>
      <c r="F996" s="257">
        <f>VLOOKUP(A996,import!A:J,6,0)</f>
        <v>68</v>
      </c>
      <c r="G996" s="257">
        <f>VLOOKUP(A996,import!A:J,7,0)</f>
        <v>17</v>
      </c>
      <c r="H996" s="257">
        <f>VLOOKUP(A996,import!A:J,8,0)</f>
        <v>44</v>
      </c>
      <c r="I996" s="257">
        <f>VLOOKUP(A996,import!A:J,9,0)</f>
        <v>61</v>
      </c>
      <c r="J996" s="369">
        <f>VLOOKUP(A996,import!A:J,10,0)</f>
        <v>0.28</v>
      </c>
      <c r="K996" s="257" t="s">
        <v>6889</v>
      </c>
      <c r="L996" s="257">
        <v>5.445458329E9</v>
      </c>
      <c r="M996" s="257" t="s">
        <v>286</v>
      </c>
      <c r="N996" s="257" t="s">
        <v>6890</v>
      </c>
      <c r="O996" s="257" t="s">
        <v>1170</v>
      </c>
      <c r="P996" s="370" t="str">
        <f>VLOOKUP(A996,import!A:P,16,0)</f>
        <v>Geleneksel</v>
      </c>
      <c r="Q996" s="370"/>
      <c r="R996" s="370" t="b">
        <v>1</v>
      </c>
      <c r="S996" s="370" t="b">
        <v>0</v>
      </c>
      <c r="T996" s="301" t="s">
        <v>3679</v>
      </c>
      <c r="U996" s="301" t="s">
        <v>2542</v>
      </c>
      <c r="V996" s="301" t="s">
        <v>78</v>
      </c>
      <c r="W996" s="301" t="s">
        <v>2392</v>
      </c>
      <c r="X996" s="371">
        <v>44456.0</v>
      </c>
      <c r="Y996" s="371">
        <v>44459.0</v>
      </c>
      <c r="Z996" s="372"/>
      <c r="AA996" s="373" t="s">
        <v>3682</v>
      </c>
      <c r="AB996" s="374">
        <v>44372.0</v>
      </c>
      <c r="AC996" s="373" t="s">
        <v>3682</v>
      </c>
      <c r="AD996" s="374">
        <v>44448.0</v>
      </c>
      <c r="AE996" s="92"/>
      <c r="AF996" s="375"/>
      <c r="AG996" s="92"/>
      <c r="AH996" s="375"/>
      <c r="AI996" s="375"/>
      <c r="AJ996" s="375"/>
      <c r="AK996" s="373" t="s">
        <v>3719</v>
      </c>
      <c r="AL996" s="373" t="s">
        <v>2542</v>
      </c>
      <c r="AM996" s="375"/>
      <c r="AN996" s="375"/>
      <c r="AO996" s="375"/>
      <c r="AP996" s="376" t="s">
        <v>3686</v>
      </c>
      <c r="AQ996" s="375"/>
    </row>
    <row r="997">
      <c r="A997" s="257" t="s">
        <v>3478</v>
      </c>
      <c r="B997" s="257" t="s">
        <v>3479</v>
      </c>
      <c r="C997" s="257" t="str">
        <f>VLOOKUP(A997,import!A:J,3,0)</f>
        <v>DOĞRU</v>
      </c>
      <c r="D997" s="257" t="s">
        <v>3842</v>
      </c>
      <c r="E997" s="257">
        <f>VLOOKUP(A997,import!A:J,5,0)</f>
        <v>174</v>
      </c>
      <c r="F997" s="257">
        <f>VLOOKUP(A997,import!A:J,6,0)</f>
        <v>63</v>
      </c>
      <c r="G997" s="257">
        <f>VLOOKUP(A997,import!A:J,7,0)</f>
        <v>0</v>
      </c>
      <c r="H997" s="257">
        <f>VLOOKUP(A997,import!A:J,8,0)</f>
        <v>28</v>
      </c>
      <c r="I997" s="257">
        <f>VLOOKUP(A997,import!A:J,9,0)</f>
        <v>28</v>
      </c>
      <c r="J997" s="369">
        <f>VLOOKUP(A997,import!A:J,10,0)</f>
        <v>0</v>
      </c>
      <c r="K997" s="257" t="s">
        <v>6891</v>
      </c>
      <c r="L997" s="257">
        <v>5.315442595E9</v>
      </c>
      <c r="M997" s="257" t="s">
        <v>14</v>
      </c>
      <c r="N997" s="257" t="s">
        <v>3826</v>
      </c>
      <c r="O997" s="257" t="s">
        <v>3481</v>
      </c>
      <c r="P997" s="370" t="str">
        <f>VLOOKUP(A997,import!A:P,16,0)</f>
        <v>Geleneksel</v>
      </c>
      <c r="Q997" s="370"/>
      <c r="R997" s="370" t="b">
        <v>1</v>
      </c>
      <c r="S997" s="370" t="b">
        <v>0</v>
      </c>
      <c r="T997" s="301" t="s">
        <v>3787</v>
      </c>
      <c r="U997" s="301" t="s">
        <v>2576</v>
      </c>
      <c r="V997" s="394" t="s">
        <v>3331</v>
      </c>
      <c r="W997" s="301"/>
      <c r="X997" s="371">
        <v>44632.0</v>
      </c>
      <c r="Y997" s="371">
        <v>44635.0</v>
      </c>
      <c r="Z997" s="372"/>
      <c r="AA997" s="373" t="s">
        <v>3682</v>
      </c>
      <c r="AB997" s="374">
        <v>44630.0</v>
      </c>
      <c r="AC997" s="373" t="s">
        <v>3682</v>
      </c>
      <c r="AD997" s="371">
        <v>44632.0</v>
      </c>
      <c r="AE997" s="373"/>
      <c r="AF997" s="374"/>
      <c r="AG997" s="373"/>
      <c r="AH997" s="374"/>
      <c r="AI997" s="375"/>
      <c r="AJ997" s="375"/>
      <c r="AK997" s="373" t="s">
        <v>2576</v>
      </c>
      <c r="AL997" s="373" t="s">
        <v>2542</v>
      </c>
      <c r="AM997" s="375"/>
      <c r="AN997" s="373"/>
      <c r="AO997" s="375"/>
      <c r="AP997" s="376"/>
      <c r="AQ997" s="375"/>
    </row>
    <row r="998">
      <c r="A998" s="257" t="s">
        <v>2688</v>
      </c>
      <c r="B998" s="257" t="s">
        <v>2689</v>
      </c>
      <c r="C998" s="257" t="str">
        <f>VLOOKUP(A998,import!A:J,3,0)</f>
        <v>DOĞRU</v>
      </c>
      <c r="D998" s="257" t="s">
        <v>3713</v>
      </c>
      <c r="E998" s="257">
        <f>VLOOKUP(A998,import!A:J,5,0)</f>
        <v>80</v>
      </c>
      <c r="F998" s="257">
        <f>VLOOKUP(A998,import!A:J,6,0)</f>
        <v>7</v>
      </c>
      <c r="G998" s="257">
        <f>VLOOKUP(A998,import!A:J,7,0)</f>
        <v>5</v>
      </c>
      <c r="H998" s="257">
        <f>VLOOKUP(A998,import!A:J,8,0)</f>
        <v>11</v>
      </c>
      <c r="I998" s="257">
        <f>VLOOKUP(A998,import!A:J,9,0)</f>
        <v>16</v>
      </c>
      <c r="J998" s="369">
        <f>VLOOKUP(A998,import!A:J,10,0)</f>
        <v>0.31</v>
      </c>
      <c r="K998" s="257" t="s">
        <v>6892</v>
      </c>
      <c r="L998" s="257">
        <v>3.224595944E9</v>
      </c>
      <c r="M998" s="257" t="s">
        <v>286</v>
      </c>
      <c r="N998" s="257" t="s">
        <v>3688</v>
      </c>
      <c r="O998" s="257" t="s">
        <v>2692</v>
      </c>
      <c r="P998" s="370" t="str">
        <f>VLOOKUP(A998,import!A:P,16,0)</f>
        <v>Geleneksel</v>
      </c>
      <c r="Q998" s="370"/>
      <c r="R998" s="370" t="b">
        <v>1</v>
      </c>
      <c r="S998" s="370" t="b">
        <v>0</v>
      </c>
      <c r="T998" s="301" t="s">
        <v>3679</v>
      </c>
      <c r="U998" s="301" t="s">
        <v>2576</v>
      </c>
      <c r="V998" s="301" t="s">
        <v>78</v>
      </c>
      <c r="W998" s="301" t="s">
        <v>6893</v>
      </c>
      <c r="X998" s="371">
        <v>44466.0</v>
      </c>
      <c r="Y998" s="371">
        <v>44468.0</v>
      </c>
      <c r="Z998" s="372"/>
      <c r="AA998" s="373" t="s">
        <v>3682</v>
      </c>
      <c r="AB998" s="374">
        <v>44466.0</v>
      </c>
      <c r="AC998" s="373" t="s">
        <v>3682</v>
      </c>
      <c r="AD998" s="374">
        <v>44494.0</v>
      </c>
      <c r="AE998" s="373"/>
      <c r="AF998" s="374"/>
      <c r="AG998" s="92"/>
      <c r="AH998" s="375"/>
      <c r="AI998" s="375"/>
      <c r="AJ998" s="375"/>
      <c r="AK998" s="373" t="s">
        <v>2576</v>
      </c>
      <c r="AL998" s="373" t="s">
        <v>2706</v>
      </c>
      <c r="AM998" s="375"/>
      <c r="AN998" s="375"/>
      <c r="AO998" s="375"/>
      <c r="AP998" s="376" t="s">
        <v>3686</v>
      </c>
      <c r="AQ998" s="375"/>
    </row>
    <row r="999">
      <c r="A999" s="257" t="s">
        <v>1530</v>
      </c>
      <c r="B999" s="257" t="s">
        <v>1531</v>
      </c>
      <c r="C999" s="257" t="str">
        <f>VLOOKUP(A999,import!A:J,3,0)</f>
        <v>DOĞRU</v>
      </c>
      <c r="D999" s="257" t="s">
        <v>3676</v>
      </c>
      <c r="E999" s="257">
        <f>VLOOKUP(A999,import!A:J,5,0)</f>
        <v>2684</v>
      </c>
      <c r="F999" s="257">
        <f>VLOOKUP(A999,import!A:J,6,0)</f>
        <v>96</v>
      </c>
      <c r="G999" s="257">
        <f>VLOOKUP(A999,import!A:J,7,0)</f>
        <v>0</v>
      </c>
      <c r="H999" s="257">
        <f>VLOOKUP(A999,import!A:J,8,0)</f>
        <v>8</v>
      </c>
      <c r="I999" s="257">
        <f>VLOOKUP(A999,import!A:J,9,0)</f>
        <v>8</v>
      </c>
      <c r="J999" s="369">
        <f>VLOOKUP(A999,import!A:J,10,0)</f>
        <v>0</v>
      </c>
      <c r="K999" s="257" t="s">
        <v>6894</v>
      </c>
      <c r="L999" s="257">
        <v>3.223217788E9</v>
      </c>
      <c r="M999" s="257" t="s">
        <v>3707</v>
      </c>
      <c r="N999" s="257" t="s">
        <v>3692</v>
      </c>
      <c r="O999" s="257" t="s">
        <v>1534</v>
      </c>
      <c r="P999" s="370" t="str">
        <f>VLOOKUP(A999,import!A:P,16,0)</f>
        <v>Geleneksel</v>
      </c>
      <c r="Q999" s="370"/>
      <c r="R999" s="370" t="b">
        <v>1</v>
      </c>
      <c r="S999" s="370" t="b">
        <v>0</v>
      </c>
      <c r="T999" s="301" t="s">
        <v>3679</v>
      </c>
      <c r="U999" s="301" t="s">
        <v>1014</v>
      </c>
      <c r="V999" s="301" t="s">
        <v>78</v>
      </c>
      <c r="W999" s="301">
        <v>5.050745002E9</v>
      </c>
      <c r="X999" s="371">
        <v>44392.0</v>
      </c>
      <c r="Y999" s="371">
        <v>44403.0</v>
      </c>
      <c r="Z999" s="301" t="s">
        <v>3957</v>
      </c>
      <c r="AA999" s="373" t="s">
        <v>3696</v>
      </c>
      <c r="AB999" s="374">
        <v>44391.0</v>
      </c>
      <c r="AC999" s="373" t="s">
        <v>3682</v>
      </c>
      <c r="AD999" s="374">
        <v>44392.0</v>
      </c>
      <c r="AE999" s="92"/>
      <c r="AF999" s="375"/>
      <c r="AG999" s="92"/>
      <c r="AH999" s="375"/>
      <c r="AI999" s="375"/>
      <c r="AJ999" s="375"/>
      <c r="AK999" s="373" t="s">
        <v>3752</v>
      </c>
      <c r="AL999" s="373" t="s">
        <v>1014</v>
      </c>
      <c r="AM999" s="375"/>
      <c r="AN999" s="375"/>
      <c r="AO999" s="375"/>
      <c r="AP999" s="376" t="s">
        <v>3686</v>
      </c>
      <c r="AQ999" s="375"/>
    </row>
    <row r="1000">
      <c r="A1000" s="257" t="s">
        <v>1069</v>
      </c>
      <c r="B1000" s="257" t="s">
        <v>1070</v>
      </c>
      <c r="C1000" s="257" t="str">
        <f>VLOOKUP(A1000,import!A:J,3,0)</f>
        <v>DOĞRU</v>
      </c>
      <c r="D1000" s="257" t="s">
        <v>3912</v>
      </c>
      <c r="E1000" s="257">
        <f>VLOOKUP(A1000,import!A:J,5,0)</f>
        <v>3554</v>
      </c>
      <c r="F1000" s="257">
        <f>VLOOKUP(A1000,import!A:J,6,0)</f>
        <v>114</v>
      </c>
      <c r="G1000" s="257">
        <f>VLOOKUP(A1000,import!A:J,7,0)</f>
        <v>16</v>
      </c>
      <c r="H1000" s="257">
        <f>VLOOKUP(A1000,import!A:J,8,0)</f>
        <v>12</v>
      </c>
      <c r="I1000" s="257">
        <f>VLOOKUP(A1000,import!A:J,9,0)</f>
        <v>28</v>
      </c>
      <c r="J1000" s="369">
        <f>VLOOKUP(A1000,import!A:J,10,0)</f>
        <v>0.57</v>
      </c>
      <c r="K1000" s="257" t="s">
        <v>6895</v>
      </c>
      <c r="L1000" s="257">
        <v>3.22235009E9</v>
      </c>
      <c r="M1000" s="257" t="s">
        <v>14</v>
      </c>
      <c r="N1000" s="257" t="s">
        <v>3733</v>
      </c>
      <c r="O1000" s="257" t="s">
        <v>1072</v>
      </c>
      <c r="P1000" s="370" t="str">
        <f>VLOOKUP(A1000,import!A:P,16,0)</f>
        <v>Geleneksel</v>
      </c>
      <c r="Q1000" s="370"/>
      <c r="R1000" s="370" t="b">
        <v>1</v>
      </c>
      <c r="S1000" s="370" t="b">
        <v>0</v>
      </c>
      <c r="T1000" s="301" t="s">
        <v>3679</v>
      </c>
      <c r="U1000" s="301" t="s">
        <v>3723</v>
      </c>
      <c r="V1000" s="301" t="s">
        <v>78</v>
      </c>
      <c r="W1000" s="301" t="s">
        <v>6896</v>
      </c>
      <c r="X1000" s="371">
        <v>44435.0</v>
      </c>
      <c r="Y1000" s="371">
        <v>44440.0</v>
      </c>
      <c r="Z1000" s="377"/>
      <c r="AA1000" s="373" t="s">
        <v>3681</v>
      </c>
      <c r="AB1000" s="374">
        <v>44348.0</v>
      </c>
      <c r="AC1000" s="373" t="s">
        <v>3681</v>
      </c>
      <c r="AD1000" s="374">
        <v>44349.0</v>
      </c>
      <c r="AE1000" s="373" t="s">
        <v>3681</v>
      </c>
      <c r="AF1000" s="374">
        <v>44355.0</v>
      </c>
      <c r="AG1000" s="373" t="s">
        <v>3682</v>
      </c>
      <c r="AH1000" s="374">
        <v>44362.0</v>
      </c>
      <c r="AI1000" s="373" t="s">
        <v>3682</v>
      </c>
      <c r="AJ1000" s="374">
        <v>44435.0</v>
      </c>
      <c r="AK1000" s="373" t="s">
        <v>79</v>
      </c>
      <c r="AL1000" s="373" t="s">
        <v>2706</v>
      </c>
      <c r="AM1000" s="373" t="s">
        <v>399</v>
      </c>
      <c r="AN1000" s="373" t="s">
        <v>2706</v>
      </c>
      <c r="AO1000" s="373" t="s">
        <v>3723</v>
      </c>
      <c r="AP1000" s="376" t="s">
        <v>3683</v>
      </c>
      <c r="AQ1000" s="373"/>
    </row>
    <row r="1001">
      <c r="A1001" s="376" t="s">
        <v>6897</v>
      </c>
      <c r="B1001" s="376" t="s">
        <v>6898</v>
      </c>
      <c r="C1001" s="257" t="str">
        <f>VLOOKUP(A1001,import!A:J,3,0)</f>
        <v>DOĞRU</v>
      </c>
      <c r="D1001" s="376" t="s">
        <v>3994</v>
      </c>
      <c r="E1001" s="257" t="str">
        <f>VLOOKUP(A1001,import!A:J,5,0)</f>
        <v/>
      </c>
      <c r="F1001" s="257" t="str">
        <f>VLOOKUP(A1001,import!A:J,6,0)</f>
        <v/>
      </c>
      <c r="G1001" s="257">
        <f>VLOOKUP(A1001,import!A:J,7,0)</f>
        <v>0</v>
      </c>
      <c r="H1001" s="257">
        <f>VLOOKUP(A1001,import!A:J,8,0)</f>
        <v>81</v>
      </c>
      <c r="I1001" s="257">
        <f>VLOOKUP(A1001,import!A:J,9,0)</f>
        <v>81</v>
      </c>
      <c r="J1001" s="369">
        <f>VLOOKUP(A1001,import!A:J,10,0)</f>
        <v>0</v>
      </c>
      <c r="K1001" s="376" t="s">
        <v>6899</v>
      </c>
      <c r="L1001" s="376">
        <v>3.226113611E9</v>
      </c>
      <c r="M1001" s="376" t="s">
        <v>3701</v>
      </c>
      <c r="N1001" s="376" t="s">
        <v>4685</v>
      </c>
      <c r="O1001" s="376" t="s">
        <v>6900</v>
      </c>
      <c r="P1001" s="370" t="str">
        <f>VLOOKUP(A1001,import!A:P,16,0)</f>
        <v>Geleneksel</v>
      </c>
      <c r="Q1001" s="370"/>
      <c r="R1001" s="370" t="b">
        <v>0</v>
      </c>
      <c r="S1001" s="370" t="b">
        <v>0</v>
      </c>
      <c r="T1001" s="301"/>
      <c r="U1001" s="301"/>
      <c r="V1001" s="301"/>
      <c r="W1001" s="301"/>
      <c r="X1001" s="371"/>
      <c r="Y1001" s="371"/>
      <c r="Z1001" s="372"/>
      <c r="AA1001" s="373"/>
      <c r="AB1001" s="374"/>
      <c r="AC1001" s="373"/>
      <c r="AD1001" s="374"/>
      <c r="AE1001" s="373"/>
      <c r="AF1001" s="374"/>
      <c r="AG1001" s="373"/>
      <c r="AH1001" s="374"/>
      <c r="AI1001" s="373"/>
      <c r="AJ1001" s="374"/>
      <c r="AK1001" s="373"/>
      <c r="AL1001" s="373"/>
      <c r="AM1001" s="373"/>
      <c r="AN1001" s="373"/>
      <c r="AO1001" s="373"/>
      <c r="AP1001" s="376"/>
      <c r="AQ1001" s="373"/>
    </row>
    <row r="1002">
      <c r="A1002" s="257" t="s">
        <v>1814</v>
      </c>
      <c r="B1002" s="257" t="s">
        <v>1815</v>
      </c>
      <c r="C1002" s="257" t="str">
        <f>VLOOKUP(A1002,import!A:J,3,0)</f>
        <v>DOĞRU</v>
      </c>
      <c r="D1002" s="257" t="s">
        <v>3699</v>
      </c>
      <c r="E1002" s="257">
        <f>VLOOKUP(A1002,import!A:J,5,0)</f>
        <v>295</v>
      </c>
      <c r="F1002" s="257">
        <f>VLOOKUP(A1002,import!A:J,6,0)</f>
        <v>16</v>
      </c>
      <c r="G1002" s="257">
        <f>VLOOKUP(A1002,import!A:J,7,0)</f>
        <v>17</v>
      </c>
      <c r="H1002" s="257">
        <f>VLOOKUP(A1002,import!A:J,8,0)</f>
        <v>15</v>
      </c>
      <c r="I1002" s="257">
        <f>VLOOKUP(A1002,import!A:J,9,0)</f>
        <v>32</v>
      </c>
      <c r="J1002" s="369">
        <f>VLOOKUP(A1002,import!A:J,10,0)</f>
        <v>0.53</v>
      </c>
      <c r="K1002" s="257" t="s">
        <v>6901</v>
      </c>
      <c r="L1002" s="257">
        <v>5.310270393E9</v>
      </c>
      <c r="M1002" s="257" t="s">
        <v>286</v>
      </c>
      <c r="N1002" s="257" t="s">
        <v>3782</v>
      </c>
      <c r="O1002" s="257" t="s">
        <v>1818</v>
      </c>
      <c r="P1002" s="370" t="str">
        <f>VLOOKUP(A1002,import!A:P,16,0)</f>
        <v>Geleneksel</v>
      </c>
      <c r="Q1002" s="370"/>
      <c r="R1002" s="370" t="b">
        <v>1</v>
      </c>
      <c r="S1002" s="370" t="b">
        <v>0</v>
      </c>
      <c r="T1002" s="301" t="s">
        <v>3679</v>
      </c>
      <c r="U1002" s="301" t="s">
        <v>399</v>
      </c>
      <c r="V1002" s="301" t="s">
        <v>78</v>
      </c>
      <c r="W1002" s="301" t="s">
        <v>838</v>
      </c>
      <c r="X1002" s="371">
        <v>44442.0</v>
      </c>
      <c r="Y1002" s="371">
        <v>44446.0</v>
      </c>
      <c r="Z1002" s="372"/>
      <c r="AA1002" s="373" t="s">
        <v>3682</v>
      </c>
      <c r="AB1002" s="374">
        <v>44413.0</v>
      </c>
      <c r="AC1002" s="373" t="s">
        <v>3682</v>
      </c>
      <c r="AD1002" s="374">
        <v>44442.0</v>
      </c>
      <c r="AE1002" s="92"/>
      <c r="AF1002" s="375"/>
      <c r="AG1002" s="92"/>
      <c r="AH1002" s="375"/>
      <c r="AI1002" s="375"/>
      <c r="AJ1002" s="375"/>
      <c r="AK1002" s="373" t="s">
        <v>3729</v>
      </c>
      <c r="AL1002" s="373" t="s">
        <v>399</v>
      </c>
      <c r="AM1002" s="375"/>
      <c r="AN1002" s="375"/>
      <c r="AO1002" s="375"/>
      <c r="AP1002" s="376" t="s">
        <v>3686</v>
      </c>
      <c r="AQ1002" s="375"/>
    </row>
    <row r="1003">
      <c r="A1003" s="257" t="s">
        <v>6902</v>
      </c>
      <c r="B1003" s="257" t="s">
        <v>6903</v>
      </c>
      <c r="C1003" s="257" t="str">
        <f>VLOOKUP(A1003,import!A:J,3,0)</f>
        <v>DOĞRU</v>
      </c>
      <c r="D1003" s="257" t="s">
        <v>3699</v>
      </c>
      <c r="E1003" s="257">
        <f>VLOOKUP(A1003,import!A:J,5,0)</f>
        <v>153</v>
      </c>
      <c r="F1003" s="257">
        <f>VLOOKUP(A1003,import!A:J,6,0)</f>
        <v>83</v>
      </c>
      <c r="G1003" s="257">
        <f>VLOOKUP(A1003,import!A:J,7,0)</f>
        <v>0</v>
      </c>
      <c r="H1003" s="257">
        <f>VLOOKUP(A1003,import!A:J,8,0)</f>
        <v>55</v>
      </c>
      <c r="I1003" s="257">
        <f>VLOOKUP(A1003,import!A:J,9,0)</f>
        <v>55</v>
      </c>
      <c r="J1003" s="369">
        <f>VLOOKUP(A1003,import!A:J,10,0)</f>
        <v>0</v>
      </c>
      <c r="K1003" s="257" t="s">
        <v>6904</v>
      </c>
      <c r="L1003" s="257">
        <v>5.364427302E9</v>
      </c>
      <c r="M1003" s="257" t="s">
        <v>3707</v>
      </c>
      <c r="N1003" s="257" t="s">
        <v>3815</v>
      </c>
      <c r="O1003" s="257" t="s">
        <v>6905</v>
      </c>
      <c r="P1003" s="370" t="str">
        <f>VLOOKUP(A1003,import!A:P,16,0)</f>
        <v>Geleneksel</v>
      </c>
      <c r="Q1003" s="370"/>
      <c r="R1003" s="370" t="b">
        <v>0</v>
      </c>
      <c r="S1003" s="370" t="b">
        <v>0</v>
      </c>
      <c r="T1003" s="301"/>
      <c r="U1003" s="301"/>
      <c r="V1003" s="301"/>
      <c r="W1003" s="301"/>
      <c r="X1003" s="371"/>
      <c r="Y1003" s="371"/>
      <c r="Z1003" s="372"/>
      <c r="AA1003" s="373"/>
      <c r="AB1003" s="374"/>
      <c r="AC1003" s="373"/>
      <c r="AD1003" s="374"/>
      <c r="AE1003" s="373"/>
      <c r="AF1003" s="374"/>
      <c r="AG1003" s="373"/>
      <c r="AH1003" s="374"/>
      <c r="AI1003" s="373"/>
      <c r="AJ1003" s="374"/>
      <c r="AK1003" s="373"/>
      <c r="AL1003" s="373"/>
      <c r="AM1003" s="373"/>
      <c r="AN1003" s="373"/>
      <c r="AO1003" s="373"/>
      <c r="AP1003" s="376"/>
      <c r="AQ1003" s="373"/>
    </row>
    <row r="1004">
      <c r="A1004" s="257" t="s">
        <v>6906</v>
      </c>
      <c r="B1004" s="257" t="s">
        <v>6907</v>
      </c>
      <c r="C1004" s="257" t="str">
        <f>VLOOKUP(A1004,import!A:J,3,0)</f>
        <v>DOĞRU</v>
      </c>
      <c r="D1004" s="257" t="s">
        <v>3676</v>
      </c>
      <c r="E1004" s="257">
        <f>VLOOKUP(A1004,import!A:J,5,0)</f>
        <v>586</v>
      </c>
      <c r="F1004" s="257">
        <f>VLOOKUP(A1004,import!A:J,6,0)</f>
        <v>13</v>
      </c>
      <c r="G1004" s="257">
        <f>VLOOKUP(A1004,import!A:J,7,0)</f>
        <v>0</v>
      </c>
      <c r="H1004" s="257">
        <f>VLOOKUP(A1004,import!A:J,8,0)</f>
        <v>8</v>
      </c>
      <c r="I1004" s="257">
        <f>VLOOKUP(A1004,import!A:J,9,0)</f>
        <v>8</v>
      </c>
      <c r="J1004" s="369">
        <f>VLOOKUP(A1004,import!A:J,10,0)</f>
        <v>0</v>
      </c>
      <c r="K1004" s="257" t="s">
        <v>6908</v>
      </c>
      <c r="L1004" s="257">
        <v>3.224324474E9</v>
      </c>
      <c r="M1004" s="257" t="s">
        <v>286</v>
      </c>
      <c r="N1004" s="257" t="s">
        <v>4760</v>
      </c>
      <c r="O1004" s="257" t="s">
        <v>6909</v>
      </c>
      <c r="P1004" s="370" t="str">
        <f>VLOOKUP(A1004,import!A:P,16,0)</f>
        <v>Geleneksel</v>
      </c>
      <c r="Q1004" s="370"/>
      <c r="R1004" s="370" t="b">
        <v>1</v>
      </c>
      <c r="S1004" s="370" t="b">
        <v>0</v>
      </c>
      <c r="T1004" s="301" t="s">
        <v>3770</v>
      </c>
      <c r="U1004" s="379"/>
      <c r="V1004" s="379"/>
      <c r="W1004" s="301" t="s">
        <v>6910</v>
      </c>
      <c r="X1004" s="381"/>
      <c r="Y1004" s="381"/>
      <c r="Z1004" s="372"/>
      <c r="AA1004" s="373" t="s">
        <v>3682</v>
      </c>
      <c r="AB1004" s="374">
        <v>44424.0</v>
      </c>
      <c r="AC1004" s="373" t="s">
        <v>3695</v>
      </c>
      <c r="AD1004" s="374">
        <v>44454.0</v>
      </c>
      <c r="AE1004" s="373"/>
      <c r="AF1004" s="374"/>
      <c r="AG1004" s="92"/>
      <c r="AH1004" s="375"/>
      <c r="AI1004" s="375"/>
      <c r="AJ1004" s="375"/>
      <c r="AK1004" s="373" t="s">
        <v>1953</v>
      </c>
      <c r="AL1004" s="373" t="s">
        <v>2542</v>
      </c>
      <c r="AM1004" s="375"/>
      <c r="AN1004" s="375"/>
      <c r="AO1004" s="375"/>
      <c r="AP1004" s="376" t="s">
        <v>3686</v>
      </c>
      <c r="AQ1004" s="375"/>
    </row>
    <row r="1005">
      <c r="A1005" s="257" t="s">
        <v>6911</v>
      </c>
      <c r="B1005" s="257" t="s">
        <v>6912</v>
      </c>
      <c r="C1005" s="257" t="str">
        <f>VLOOKUP(A1005,import!A:J,3,0)</f>
        <v>DOĞRU</v>
      </c>
      <c r="D1005" s="257" t="s">
        <v>3676</v>
      </c>
      <c r="E1005" s="257">
        <f>VLOOKUP(A1005,import!A:J,5,0)</f>
        <v>660</v>
      </c>
      <c r="F1005" s="257">
        <f>VLOOKUP(A1005,import!A:J,6,0)</f>
        <v>242</v>
      </c>
      <c r="G1005" s="257">
        <f>VLOOKUP(A1005,import!A:J,7,0)</f>
        <v>0</v>
      </c>
      <c r="H1005" s="257">
        <f>VLOOKUP(A1005,import!A:J,8,0)</f>
        <v>33</v>
      </c>
      <c r="I1005" s="257">
        <f>VLOOKUP(A1005,import!A:J,9,0)</f>
        <v>33</v>
      </c>
      <c r="J1005" s="369">
        <f>VLOOKUP(A1005,import!A:J,10,0)</f>
        <v>0</v>
      </c>
      <c r="K1005" s="257" t="s">
        <v>6913</v>
      </c>
      <c r="L1005" s="257">
        <v>3.222610161E9</v>
      </c>
      <c r="M1005" s="257" t="s">
        <v>286</v>
      </c>
      <c r="N1005" s="257" t="s">
        <v>3737</v>
      </c>
      <c r="O1005" s="257" t="s">
        <v>6914</v>
      </c>
      <c r="P1005" s="370" t="str">
        <f>VLOOKUP(A1005,import!A:P,16,0)</f>
        <v>Geleneksel</v>
      </c>
      <c r="Q1005" s="370"/>
      <c r="R1005" s="370" t="b">
        <v>1</v>
      </c>
      <c r="S1005" s="370" t="b">
        <v>0</v>
      </c>
      <c r="T1005" s="301"/>
      <c r="U1005" s="301"/>
      <c r="V1005" s="301"/>
      <c r="W1005" s="301">
        <v>3.224505566E9</v>
      </c>
      <c r="X1005" s="371"/>
      <c r="Y1005" s="371"/>
      <c r="Z1005" s="372"/>
      <c r="AA1005" s="373"/>
      <c r="AB1005" s="374"/>
      <c r="AC1005" s="373"/>
      <c r="AD1005" s="374"/>
      <c r="AE1005" s="373"/>
      <c r="AF1005" s="374"/>
      <c r="AG1005" s="373"/>
      <c r="AH1005" s="374"/>
      <c r="AI1005" s="373"/>
      <c r="AJ1005" s="374"/>
      <c r="AK1005" s="373"/>
      <c r="AL1005" s="373"/>
      <c r="AM1005" s="373"/>
      <c r="AN1005" s="373"/>
      <c r="AO1005" s="373"/>
      <c r="AP1005" s="376"/>
      <c r="AQ1005" s="373"/>
    </row>
    <row r="1006">
      <c r="A1006" s="257" t="s">
        <v>6915</v>
      </c>
      <c r="B1006" s="257" t="s">
        <v>6916</v>
      </c>
      <c r="C1006" s="257" t="str">
        <f>VLOOKUP(A1006,import!A:J,3,0)</f>
        <v>DOĞRU</v>
      </c>
      <c r="D1006" s="257" t="s">
        <v>3676</v>
      </c>
      <c r="E1006" s="257">
        <f>VLOOKUP(A1006,import!A:J,5,0)</f>
        <v>2926</v>
      </c>
      <c r="F1006" s="257">
        <f>VLOOKUP(A1006,import!A:J,6,0)</f>
        <v>105</v>
      </c>
      <c r="G1006" s="257">
        <f>VLOOKUP(A1006,import!A:J,7,0)</f>
        <v>0</v>
      </c>
      <c r="H1006" s="257">
        <f>VLOOKUP(A1006,import!A:J,8,0)</f>
        <v>34</v>
      </c>
      <c r="I1006" s="257">
        <f>VLOOKUP(A1006,import!A:J,9,0)</f>
        <v>34</v>
      </c>
      <c r="J1006" s="369">
        <f>VLOOKUP(A1006,import!A:J,10,0)</f>
        <v>0</v>
      </c>
      <c r="K1006" s="257" t="s">
        <v>6917</v>
      </c>
      <c r="L1006" s="257">
        <v>5.314990202E9</v>
      </c>
      <c r="M1006" s="257" t="s">
        <v>286</v>
      </c>
      <c r="N1006" s="257" t="s">
        <v>3855</v>
      </c>
      <c r="O1006" s="257" t="s">
        <v>6918</v>
      </c>
      <c r="P1006" s="370" t="str">
        <f>VLOOKUP(A1006,import!A:P,16,0)</f>
        <v>Geleneksel</v>
      </c>
      <c r="Q1006" s="370"/>
      <c r="R1006" s="370" t="b">
        <v>1</v>
      </c>
      <c r="S1006" s="370" t="b">
        <v>1</v>
      </c>
      <c r="T1006" s="301"/>
      <c r="U1006" s="301"/>
      <c r="V1006" s="301"/>
      <c r="W1006" s="301" t="s">
        <v>6919</v>
      </c>
      <c r="X1006" s="371"/>
      <c r="Y1006" s="371"/>
      <c r="Z1006" s="377"/>
      <c r="AA1006" s="373" t="s">
        <v>3682</v>
      </c>
      <c r="AB1006" s="374">
        <v>44440.0</v>
      </c>
      <c r="AC1006" s="373" t="s">
        <v>3682</v>
      </c>
      <c r="AD1006" s="374">
        <v>44454.0</v>
      </c>
      <c r="AE1006" s="373" t="s">
        <v>3682</v>
      </c>
      <c r="AF1006" s="374">
        <v>44463.0</v>
      </c>
      <c r="AG1006" s="92"/>
      <c r="AH1006" s="375"/>
      <c r="AI1006" s="375"/>
      <c r="AJ1006" s="375"/>
      <c r="AK1006" s="373" t="s">
        <v>2542</v>
      </c>
      <c r="AL1006" s="373" t="s">
        <v>2542</v>
      </c>
      <c r="AM1006" s="373" t="s">
        <v>2542</v>
      </c>
      <c r="AN1006" s="375"/>
      <c r="AO1006" s="375"/>
      <c r="AP1006" s="376" t="s">
        <v>3686</v>
      </c>
      <c r="AQ1006" s="375"/>
    </row>
    <row r="1007">
      <c r="A1007" s="257" t="s">
        <v>6920</v>
      </c>
      <c r="B1007" s="257" t="s">
        <v>6921</v>
      </c>
      <c r="C1007" s="257" t="str">
        <f>VLOOKUP(A1007,import!A:J,3,0)</f>
        <v>DOĞRU</v>
      </c>
      <c r="D1007" s="257" t="s">
        <v>3699</v>
      </c>
      <c r="E1007" s="257">
        <f>VLOOKUP(A1007,import!A:J,5,0)</f>
        <v>166</v>
      </c>
      <c r="F1007" s="257">
        <f>VLOOKUP(A1007,import!A:J,6,0)</f>
        <v>11</v>
      </c>
      <c r="G1007" s="257">
        <f>VLOOKUP(A1007,import!A:J,7,0)</f>
        <v>0</v>
      </c>
      <c r="H1007" s="257">
        <f>VLOOKUP(A1007,import!A:J,8,0)</f>
        <v>5</v>
      </c>
      <c r="I1007" s="257">
        <f>VLOOKUP(A1007,import!A:J,9,0)</f>
        <v>5</v>
      </c>
      <c r="J1007" s="369">
        <f>VLOOKUP(A1007,import!A:J,10,0)</f>
        <v>0</v>
      </c>
      <c r="K1007" s="257" t="s">
        <v>6922</v>
      </c>
      <c r="L1007" s="257">
        <v>5.468068058E9</v>
      </c>
      <c r="M1007" s="257" t="s">
        <v>3707</v>
      </c>
      <c r="N1007" s="257" t="s">
        <v>6923</v>
      </c>
      <c r="O1007" s="257" t="s">
        <v>6924</v>
      </c>
      <c r="P1007" s="370" t="str">
        <f>VLOOKUP(A1007,import!A:P,16,0)</f>
        <v>Geleneksel</v>
      </c>
      <c r="Q1007" s="370"/>
      <c r="R1007" s="370" t="b">
        <v>1</v>
      </c>
      <c r="S1007" s="370" t="b">
        <v>1</v>
      </c>
      <c r="T1007" s="379"/>
      <c r="U1007" s="379"/>
      <c r="V1007" s="379"/>
      <c r="W1007" s="301" t="s">
        <v>6925</v>
      </c>
      <c r="X1007" s="381"/>
      <c r="Y1007" s="381"/>
      <c r="Z1007" s="372"/>
      <c r="AA1007" s="373" t="s">
        <v>3682</v>
      </c>
      <c r="AB1007" s="374">
        <v>44463.0</v>
      </c>
      <c r="AC1007" s="373" t="s">
        <v>3682</v>
      </c>
      <c r="AD1007" s="374">
        <v>44491.0</v>
      </c>
      <c r="AE1007" s="373" t="s">
        <v>3682</v>
      </c>
      <c r="AF1007" s="374">
        <v>44496.0</v>
      </c>
      <c r="AG1007" s="92"/>
      <c r="AH1007" s="375"/>
      <c r="AI1007" s="375"/>
      <c r="AJ1007" s="375"/>
      <c r="AK1007" s="373" t="s">
        <v>2542</v>
      </c>
      <c r="AL1007" s="373" t="s">
        <v>2542</v>
      </c>
      <c r="AM1007" s="373" t="s">
        <v>2282</v>
      </c>
      <c r="AN1007" s="375"/>
      <c r="AO1007" s="375"/>
      <c r="AP1007" s="376" t="s">
        <v>3686</v>
      </c>
      <c r="AQ1007" s="375"/>
    </row>
    <row r="1008">
      <c r="A1008" s="257" t="s">
        <v>6926</v>
      </c>
      <c r="B1008" s="257" t="s">
        <v>6927</v>
      </c>
      <c r="C1008" s="257" t="str">
        <f>VLOOKUP(A1008,import!A:J,3,0)</f>
        <v>DOĞRU</v>
      </c>
      <c r="D1008" s="257" t="s">
        <v>3699</v>
      </c>
      <c r="E1008" s="257">
        <f>VLOOKUP(A1008,import!A:J,5,0)</f>
        <v>88</v>
      </c>
      <c r="F1008" s="257">
        <f>VLOOKUP(A1008,import!A:J,6,0)</f>
        <v>27</v>
      </c>
      <c r="G1008" s="257">
        <f>VLOOKUP(A1008,import!A:J,7,0)</f>
        <v>17</v>
      </c>
      <c r="H1008" s="257">
        <f>VLOOKUP(A1008,import!A:J,8,0)</f>
        <v>39</v>
      </c>
      <c r="I1008" s="257">
        <f>VLOOKUP(A1008,import!A:J,9,0)</f>
        <v>56</v>
      </c>
      <c r="J1008" s="369">
        <f>VLOOKUP(A1008,import!A:J,10,0)</f>
        <v>0.3</v>
      </c>
      <c r="K1008" s="257" t="s">
        <v>6928</v>
      </c>
      <c r="L1008" s="257">
        <v>5.5162991E9</v>
      </c>
      <c r="M1008" s="257" t="s">
        <v>3692</v>
      </c>
      <c r="N1008" s="257" t="s">
        <v>3901</v>
      </c>
      <c r="O1008" s="257" t="s">
        <v>6929</v>
      </c>
      <c r="P1008" s="370" t="str">
        <f>VLOOKUP(A1008,import!A:P,16,0)</f>
        <v>Geleneksel</v>
      </c>
      <c r="Q1008" s="370"/>
      <c r="R1008" s="370" t="b">
        <v>0</v>
      </c>
      <c r="S1008" s="370" t="b">
        <v>0</v>
      </c>
      <c r="T1008" s="301"/>
      <c r="U1008" s="379"/>
      <c r="V1008" s="379"/>
      <c r="W1008" s="301"/>
      <c r="X1008" s="381"/>
      <c r="Y1008" s="381"/>
      <c r="Z1008" s="372"/>
      <c r="AA1008" s="373"/>
      <c r="AB1008" s="374"/>
      <c r="AC1008" s="373"/>
      <c r="AD1008" s="374"/>
      <c r="AE1008" s="373"/>
      <c r="AF1008" s="374"/>
      <c r="AG1008" s="373"/>
      <c r="AH1008" s="374"/>
      <c r="AI1008" s="375"/>
      <c r="AJ1008" s="375"/>
      <c r="AK1008" s="373"/>
      <c r="AL1008" s="375"/>
      <c r="AM1008" s="375"/>
      <c r="AN1008" s="373"/>
      <c r="AO1008" s="375"/>
      <c r="AP1008" s="376"/>
      <c r="AQ1008" s="375"/>
    </row>
    <row r="1009">
      <c r="A1009" s="257" t="s">
        <v>6930</v>
      </c>
      <c r="B1009" s="257" t="s">
        <v>6931</v>
      </c>
      <c r="C1009" s="257" t="str">
        <f>VLOOKUP(A1009,import!A:J,3,0)</f>
        <v>DOĞRU</v>
      </c>
      <c r="D1009" s="257" t="s">
        <v>3907</v>
      </c>
      <c r="E1009" s="257">
        <f>VLOOKUP(A1009,import!A:J,5,0)</f>
        <v>105</v>
      </c>
      <c r="F1009" s="257">
        <f>VLOOKUP(A1009,import!A:J,6,0)</f>
        <v>3</v>
      </c>
      <c r="G1009" s="257">
        <f>VLOOKUP(A1009,import!A:J,7,0)</f>
        <v>0</v>
      </c>
      <c r="H1009" s="257">
        <f>VLOOKUP(A1009,import!A:J,8,0)</f>
        <v>10</v>
      </c>
      <c r="I1009" s="257">
        <f>VLOOKUP(A1009,import!A:J,9,0)</f>
        <v>10</v>
      </c>
      <c r="J1009" s="369">
        <f>VLOOKUP(A1009,import!A:J,10,0)</f>
        <v>0</v>
      </c>
      <c r="K1009" s="257" t="s">
        <v>6932</v>
      </c>
      <c r="L1009" s="257">
        <v>3.226113434E9</v>
      </c>
      <c r="M1009" s="257" t="s">
        <v>3701</v>
      </c>
      <c r="N1009" s="257" t="s">
        <v>3803</v>
      </c>
      <c r="O1009" s="257" t="s">
        <v>6933</v>
      </c>
      <c r="P1009" s="370" t="str">
        <f>VLOOKUP(A1009,import!A:P,16,0)</f>
        <v>Geleneksel</v>
      </c>
      <c r="Q1009" s="370"/>
      <c r="R1009" s="370" t="b">
        <v>0</v>
      </c>
      <c r="S1009" s="370" t="b">
        <v>0</v>
      </c>
      <c r="T1009" s="301"/>
      <c r="U1009" s="379"/>
      <c r="V1009" s="379"/>
      <c r="W1009" s="301"/>
      <c r="X1009" s="381"/>
      <c r="Y1009" s="381"/>
      <c r="Z1009" s="372"/>
      <c r="AA1009" s="373"/>
      <c r="AB1009" s="374"/>
      <c r="AC1009" s="373"/>
      <c r="AD1009" s="374"/>
      <c r="AE1009" s="373"/>
      <c r="AF1009" s="374"/>
      <c r="AG1009" s="373"/>
      <c r="AH1009" s="374"/>
      <c r="AI1009" s="375"/>
      <c r="AJ1009" s="375"/>
      <c r="AK1009" s="373"/>
      <c r="AL1009" s="375"/>
      <c r="AM1009" s="375"/>
      <c r="AN1009" s="373"/>
      <c r="AO1009" s="375"/>
      <c r="AP1009" s="376"/>
      <c r="AQ1009" s="375"/>
    </row>
    <row r="1010">
      <c r="A1010" s="257" t="s">
        <v>3451</v>
      </c>
      <c r="B1010" s="257" t="s">
        <v>3452</v>
      </c>
      <c r="C1010" s="257" t="str">
        <f>VLOOKUP(A1010,import!A:J,3,0)</f>
        <v>DOĞRU</v>
      </c>
      <c r="D1010" s="257" t="s">
        <v>3676</v>
      </c>
      <c r="E1010" s="257">
        <f>VLOOKUP(A1010,import!A:J,5,0)</f>
        <v>70</v>
      </c>
      <c r="F1010" s="257" t="str">
        <f>VLOOKUP(A1010,import!A:J,6,0)</f>
        <v/>
      </c>
      <c r="G1010" s="257">
        <f>VLOOKUP(A1010,import!A:J,7,0)</f>
        <v>4</v>
      </c>
      <c r="H1010" s="257">
        <f>VLOOKUP(A1010,import!A:J,8,0)</f>
        <v>5</v>
      </c>
      <c r="I1010" s="257">
        <f>VLOOKUP(A1010,import!A:J,9,0)</f>
        <v>9</v>
      </c>
      <c r="J1010" s="369">
        <f>VLOOKUP(A1010,import!A:J,10,0)</f>
        <v>0.44</v>
      </c>
      <c r="K1010" s="257" t="s">
        <v>6934</v>
      </c>
      <c r="L1010" s="257">
        <v>5.437167882E9</v>
      </c>
      <c r="M1010" s="257" t="s">
        <v>286</v>
      </c>
      <c r="N1010" s="257" t="s">
        <v>4057</v>
      </c>
      <c r="O1010" s="257" t="s">
        <v>3454</v>
      </c>
      <c r="P1010" s="370" t="str">
        <f>VLOOKUP(A1010,import!A:P,16,0)</f>
        <v>Geleneksel</v>
      </c>
      <c r="Q1010" s="370"/>
      <c r="R1010" s="370" t="b">
        <v>1</v>
      </c>
      <c r="S1010" s="370" t="b">
        <v>0</v>
      </c>
      <c r="T1010" s="301" t="s">
        <v>3679</v>
      </c>
      <c r="U1010" s="301" t="s">
        <v>2192</v>
      </c>
      <c r="V1010" s="387" t="s">
        <v>3331</v>
      </c>
      <c r="W1010" s="414"/>
      <c r="X1010" s="371">
        <v>44628.0</v>
      </c>
      <c r="Y1010" s="371">
        <v>44629.0</v>
      </c>
      <c r="Z1010" s="372"/>
      <c r="AA1010" s="373" t="s">
        <v>3682</v>
      </c>
      <c r="AB1010" s="374">
        <v>44628.0</v>
      </c>
      <c r="AC1010" s="373"/>
      <c r="AD1010" s="374"/>
      <c r="AE1010" s="373"/>
      <c r="AF1010" s="374"/>
      <c r="AG1010" s="373"/>
      <c r="AH1010" s="374"/>
      <c r="AI1010" s="375"/>
      <c r="AJ1010" s="375"/>
      <c r="AK1010" s="373" t="s">
        <v>2192</v>
      </c>
      <c r="AL1010" s="375"/>
      <c r="AM1010" s="375"/>
      <c r="AN1010" s="373"/>
      <c r="AO1010" s="375"/>
      <c r="AP1010" s="376"/>
      <c r="AQ1010" s="375"/>
    </row>
    <row r="1011">
      <c r="A1011" s="257" t="s">
        <v>6935</v>
      </c>
      <c r="B1011" s="257" t="s">
        <v>6936</v>
      </c>
      <c r="C1011" s="257" t="str">
        <f>VLOOKUP(A1011,import!A:J,3,0)</f>
        <v>DOĞRU</v>
      </c>
      <c r="D1011" s="257" t="s">
        <v>3713</v>
      </c>
      <c r="E1011" s="257">
        <f>VLOOKUP(A1011,import!A:J,5,0)</f>
        <v>3097</v>
      </c>
      <c r="F1011" s="257">
        <f>VLOOKUP(A1011,import!A:J,6,0)</f>
        <v>91</v>
      </c>
      <c r="G1011" s="257">
        <f>VLOOKUP(A1011,import!A:J,7,0)</f>
        <v>11</v>
      </c>
      <c r="H1011" s="257">
        <f>VLOOKUP(A1011,import!A:J,8,0)</f>
        <v>13</v>
      </c>
      <c r="I1011" s="257">
        <f>VLOOKUP(A1011,import!A:J,9,0)</f>
        <v>24</v>
      </c>
      <c r="J1011" s="369">
        <f>VLOOKUP(A1011,import!A:J,10,0)</f>
        <v>0.46</v>
      </c>
      <c r="K1011" s="257" t="s">
        <v>6937</v>
      </c>
      <c r="L1011" s="257">
        <v>3.2243344E9</v>
      </c>
      <c r="M1011" s="257" t="s">
        <v>286</v>
      </c>
      <c r="N1011" s="257" t="s">
        <v>4760</v>
      </c>
      <c r="O1011" s="257" t="s">
        <v>1733</v>
      </c>
      <c r="P1011" s="370" t="str">
        <f>VLOOKUP(A1011,import!A:P,16,0)</f>
        <v>Geleneksel</v>
      </c>
      <c r="Q1011" s="370"/>
      <c r="R1011" s="370" t="b">
        <v>1</v>
      </c>
      <c r="S1011" s="370" t="b">
        <v>0</v>
      </c>
      <c r="T1011" s="301" t="s">
        <v>3679</v>
      </c>
      <c r="U1011" s="301" t="s">
        <v>79</v>
      </c>
      <c r="V1011" s="301" t="s">
        <v>78</v>
      </c>
      <c r="W1011" s="301" t="s">
        <v>6938</v>
      </c>
      <c r="X1011" s="371">
        <v>44407.0</v>
      </c>
      <c r="Y1011" s="371">
        <v>44412.0</v>
      </c>
      <c r="Z1011" s="377"/>
      <c r="AA1011" s="373" t="s">
        <v>3682</v>
      </c>
      <c r="AB1011" s="374">
        <v>44407.0</v>
      </c>
      <c r="AC1011" s="375"/>
      <c r="AD1011" s="375"/>
      <c r="AE1011" s="92"/>
      <c r="AF1011" s="375"/>
      <c r="AG1011" s="92"/>
      <c r="AH1011" s="375"/>
      <c r="AI1011" s="373" t="s">
        <v>3696</v>
      </c>
      <c r="AJ1011" s="374">
        <v>44407.0</v>
      </c>
      <c r="AK1011" s="373" t="s">
        <v>79</v>
      </c>
      <c r="AL1011" s="375"/>
      <c r="AM1011" s="375"/>
      <c r="AN1011" s="375"/>
      <c r="AO1011" s="375"/>
      <c r="AP1011" s="376" t="s">
        <v>3686</v>
      </c>
      <c r="AQ1011" s="375"/>
    </row>
    <row r="1012">
      <c r="A1012" s="257" t="s">
        <v>530</v>
      </c>
      <c r="B1012" s="257" t="s">
        <v>531</v>
      </c>
      <c r="C1012" s="257" t="str">
        <f>VLOOKUP(A1012,import!A:J,3,0)</f>
        <v>DOĞRU</v>
      </c>
      <c r="D1012" s="257" t="s">
        <v>3699</v>
      </c>
      <c r="E1012" s="257">
        <f>VLOOKUP(A1012,import!A:J,5,0)</f>
        <v>563</v>
      </c>
      <c r="F1012" s="257">
        <f>VLOOKUP(A1012,import!A:J,6,0)</f>
        <v>17</v>
      </c>
      <c r="G1012" s="257">
        <f>VLOOKUP(A1012,import!A:J,7,0)</f>
        <v>21</v>
      </c>
      <c r="H1012" s="257">
        <f>VLOOKUP(A1012,import!A:J,8,0)</f>
        <v>15</v>
      </c>
      <c r="I1012" s="257">
        <f>VLOOKUP(A1012,import!A:J,9,0)</f>
        <v>36</v>
      </c>
      <c r="J1012" s="369">
        <f>VLOOKUP(A1012,import!A:J,10,0)</f>
        <v>0.58</v>
      </c>
      <c r="K1012" s="257" t="s">
        <v>6939</v>
      </c>
      <c r="L1012" s="257">
        <v>3.224578465E9</v>
      </c>
      <c r="M1012" s="257" t="s">
        <v>286</v>
      </c>
      <c r="N1012" s="257" t="s">
        <v>3737</v>
      </c>
      <c r="O1012" s="257" t="s">
        <v>533</v>
      </c>
      <c r="P1012" s="370" t="str">
        <f>VLOOKUP(A1012,import!A:P,16,0)</f>
        <v>Geleneksel</v>
      </c>
      <c r="Q1012" s="370"/>
      <c r="R1012" s="370" t="b">
        <v>1</v>
      </c>
      <c r="S1012" s="370" t="b">
        <v>0</v>
      </c>
      <c r="T1012" s="301" t="s">
        <v>3679</v>
      </c>
      <c r="U1012" s="301" t="s">
        <v>79</v>
      </c>
      <c r="V1012" s="301" t="s">
        <v>4054</v>
      </c>
      <c r="W1012" s="301"/>
      <c r="X1012" s="371">
        <v>44310.0</v>
      </c>
      <c r="Y1012" s="371">
        <v>44313.0</v>
      </c>
      <c r="Z1012" s="377"/>
      <c r="AA1012" s="375"/>
      <c r="AB1012" s="375"/>
      <c r="AC1012" s="375"/>
      <c r="AD1012" s="375"/>
      <c r="AE1012" s="92"/>
      <c r="AF1012" s="375"/>
      <c r="AG1012" s="92"/>
      <c r="AH1012" s="375"/>
      <c r="AI1012" s="375"/>
      <c r="AJ1012" s="375"/>
      <c r="AK1012" s="375"/>
      <c r="AL1012" s="375"/>
      <c r="AM1012" s="375"/>
      <c r="AN1012" s="375"/>
      <c r="AO1012" s="375"/>
      <c r="AP1012" s="376" t="s">
        <v>3683</v>
      </c>
      <c r="AQ1012" s="375"/>
    </row>
    <row r="1013">
      <c r="A1013" s="257" t="s">
        <v>619</v>
      </c>
      <c r="B1013" s="257" t="s">
        <v>620</v>
      </c>
      <c r="C1013" s="257" t="str">
        <f>VLOOKUP(A1013,import!A:J,3,0)</f>
        <v>DOĞRU</v>
      </c>
      <c r="D1013" s="257" t="s">
        <v>3699</v>
      </c>
      <c r="E1013" s="257">
        <f>VLOOKUP(A1013,import!A:J,5,0)</f>
        <v>481</v>
      </c>
      <c r="F1013" s="257">
        <f>VLOOKUP(A1013,import!A:J,6,0)</f>
        <v>34</v>
      </c>
      <c r="G1013" s="257">
        <f>VLOOKUP(A1013,import!A:J,7,0)</f>
        <v>21</v>
      </c>
      <c r="H1013" s="257">
        <f>VLOOKUP(A1013,import!A:J,8,0)</f>
        <v>25</v>
      </c>
      <c r="I1013" s="257">
        <f>VLOOKUP(A1013,import!A:J,9,0)</f>
        <v>46</v>
      </c>
      <c r="J1013" s="369">
        <f>VLOOKUP(A1013,import!A:J,10,0)</f>
        <v>0.46</v>
      </c>
      <c r="K1013" s="257" t="s">
        <v>6940</v>
      </c>
      <c r="L1013" s="257">
        <v>3.222255138E9</v>
      </c>
      <c r="M1013" s="257" t="s">
        <v>14</v>
      </c>
      <c r="N1013" s="257" t="s">
        <v>3797</v>
      </c>
      <c r="O1013" s="257" t="s">
        <v>622</v>
      </c>
      <c r="P1013" s="370" t="str">
        <f>VLOOKUP(A1013,import!A:P,16,0)</f>
        <v>Geleneksel</v>
      </c>
      <c r="Q1013" s="370"/>
      <c r="R1013" s="370" t="b">
        <v>1</v>
      </c>
      <c r="S1013" s="370" t="b">
        <v>0</v>
      </c>
      <c r="T1013" s="301" t="s">
        <v>3679</v>
      </c>
      <c r="U1013" s="301" t="s">
        <v>606</v>
      </c>
      <c r="V1013" s="301" t="s">
        <v>4054</v>
      </c>
      <c r="W1013" s="301" t="s">
        <v>6941</v>
      </c>
      <c r="X1013" s="371">
        <v>44335.0</v>
      </c>
      <c r="Y1013" s="371">
        <v>44337.0</v>
      </c>
      <c r="Z1013" s="377"/>
      <c r="AA1013" s="373" t="s">
        <v>3681</v>
      </c>
      <c r="AB1013" s="374">
        <v>44363.0</v>
      </c>
      <c r="AC1013" s="373" t="s">
        <v>3448</v>
      </c>
      <c r="AD1013" s="374">
        <v>44382.0</v>
      </c>
      <c r="AE1013" s="373" t="s">
        <v>3682</v>
      </c>
      <c r="AF1013" s="374">
        <v>44383.0</v>
      </c>
      <c r="AG1013" s="373" t="s">
        <v>3448</v>
      </c>
      <c r="AH1013" s="374">
        <v>44421.0</v>
      </c>
      <c r="AI1013" s="373" t="s">
        <v>3682</v>
      </c>
      <c r="AJ1013" s="374">
        <v>44459.0</v>
      </c>
      <c r="AK1013" s="373" t="s">
        <v>399</v>
      </c>
      <c r="AL1013" s="373" t="s">
        <v>3719</v>
      </c>
      <c r="AM1013" s="373" t="s">
        <v>399</v>
      </c>
      <c r="AN1013" s="373" t="s">
        <v>1947</v>
      </c>
      <c r="AO1013" s="373" t="s">
        <v>399</v>
      </c>
      <c r="AP1013" s="376" t="s">
        <v>3683</v>
      </c>
      <c r="AQ1013" s="373"/>
    </row>
    <row r="1014">
      <c r="A1014" s="257" t="s">
        <v>6942</v>
      </c>
      <c r="B1014" s="257" t="s">
        <v>6943</v>
      </c>
      <c r="C1014" s="257" t="str">
        <f>VLOOKUP(A1014,import!A:J,3,0)</f>
        <v>DOĞRU</v>
      </c>
      <c r="D1014" s="257" t="s">
        <v>5878</v>
      </c>
      <c r="E1014" s="257">
        <f>VLOOKUP(A1014,import!A:J,5,0)</f>
        <v>507</v>
      </c>
      <c r="F1014" s="257">
        <f>VLOOKUP(A1014,import!A:J,6,0)</f>
        <v>42</v>
      </c>
      <c r="G1014" s="257">
        <f>VLOOKUP(A1014,import!A:J,7,0)</f>
        <v>0</v>
      </c>
      <c r="H1014" s="257">
        <f>VLOOKUP(A1014,import!A:J,8,0)</f>
        <v>61</v>
      </c>
      <c r="I1014" s="257">
        <f>VLOOKUP(A1014,import!A:J,9,0)</f>
        <v>61</v>
      </c>
      <c r="J1014" s="369">
        <f>VLOOKUP(A1014,import!A:J,10,0)</f>
        <v>0</v>
      </c>
      <c r="K1014" s="257" t="s">
        <v>4001</v>
      </c>
      <c r="L1014" s="257">
        <v>3.229995768E9</v>
      </c>
      <c r="M1014" s="257" t="s">
        <v>286</v>
      </c>
      <c r="N1014" s="257" t="s">
        <v>3855</v>
      </c>
      <c r="O1014" s="257" t="s">
        <v>4002</v>
      </c>
      <c r="P1014" s="370" t="str">
        <f>VLOOKUP(A1014,import!A:P,16,0)</f>
        <v>Geleneksel</v>
      </c>
      <c r="Q1014" s="370"/>
      <c r="R1014" s="370" t="b">
        <v>1</v>
      </c>
      <c r="S1014" s="370" t="b">
        <v>0</v>
      </c>
      <c r="T1014" s="301"/>
      <c r="U1014" s="379"/>
      <c r="V1014" s="379"/>
      <c r="W1014" s="301" t="s">
        <v>6944</v>
      </c>
      <c r="X1014" s="381"/>
      <c r="Y1014" s="381"/>
      <c r="Z1014" s="372"/>
      <c r="AA1014" s="373" t="s">
        <v>3681</v>
      </c>
      <c r="AB1014" s="374">
        <v>44566.0</v>
      </c>
      <c r="AC1014" s="373" t="s">
        <v>3682</v>
      </c>
      <c r="AD1014" s="374">
        <v>44641.0</v>
      </c>
      <c r="AE1014" s="373"/>
      <c r="AF1014" s="374"/>
      <c r="AG1014" s="373"/>
      <c r="AH1014" s="374"/>
      <c r="AI1014" s="375"/>
      <c r="AJ1014" s="375"/>
      <c r="AK1014" s="373" t="s">
        <v>2542</v>
      </c>
      <c r="AL1014" s="373" t="s">
        <v>2542</v>
      </c>
      <c r="AM1014" s="375"/>
      <c r="AN1014" s="373"/>
      <c r="AO1014" s="375"/>
      <c r="AP1014" s="376"/>
      <c r="AQ1014" s="375"/>
    </row>
    <row r="1015">
      <c r="A1015" s="266" t="s">
        <v>6945</v>
      </c>
      <c r="B1015" s="266" t="s">
        <v>6946</v>
      </c>
      <c r="C1015" s="257" t="str">
        <f>VLOOKUP(A1015,import!A:J,3,0)</f>
        <v>DOĞRU</v>
      </c>
      <c r="D1015" s="266" t="s">
        <v>3713</v>
      </c>
      <c r="E1015" s="257">
        <f>VLOOKUP(A1015,import!A:J,5,0)</f>
        <v>1619</v>
      </c>
      <c r="F1015" s="257">
        <f>VLOOKUP(A1015,import!A:J,6,0)</f>
        <v>91</v>
      </c>
      <c r="G1015" s="257">
        <f>VLOOKUP(A1015,import!A:J,7,0)</f>
        <v>0</v>
      </c>
      <c r="H1015" s="257">
        <f>VLOOKUP(A1015,import!A:J,8,0)</f>
        <v>29</v>
      </c>
      <c r="I1015" s="257">
        <f>VLOOKUP(A1015,import!A:J,9,0)</f>
        <v>29</v>
      </c>
      <c r="J1015" s="369">
        <f>VLOOKUP(A1015,import!A:J,10,0)</f>
        <v>0</v>
      </c>
      <c r="K1015" s="266" t="s">
        <v>6947</v>
      </c>
      <c r="L1015" s="266">
        <v>5.35568433E9</v>
      </c>
      <c r="M1015" s="266" t="s">
        <v>286</v>
      </c>
      <c r="N1015" s="266" t="s">
        <v>4057</v>
      </c>
      <c r="O1015" s="266" t="s">
        <v>6948</v>
      </c>
      <c r="P1015" s="370" t="str">
        <f>VLOOKUP(A1015,import!A:P,16,0)</f>
        <v>Geleneksel</v>
      </c>
      <c r="Q1015" s="370"/>
      <c r="R1015" s="370" t="b">
        <v>1</v>
      </c>
      <c r="S1015" s="370" t="b">
        <v>0</v>
      </c>
      <c r="T1015" s="301" t="s">
        <v>3770</v>
      </c>
      <c r="U1015" s="379"/>
      <c r="V1015" s="379"/>
      <c r="W1015" s="301" t="s">
        <v>6949</v>
      </c>
      <c r="X1015" s="381"/>
      <c r="Y1015" s="381"/>
      <c r="Z1015" s="372"/>
      <c r="AA1015" s="373" t="s">
        <v>3682</v>
      </c>
      <c r="AB1015" s="374">
        <v>44389.0</v>
      </c>
      <c r="AC1015" s="373" t="s">
        <v>3682</v>
      </c>
      <c r="AD1015" s="374">
        <v>44421.0</v>
      </c>
      <c r="AE1015" s="373" t="s">
        <v>3681</v>
      </c>
      <c r="AF1015" s="374">
        <v>44427.0</v>
      </c>
      <c r="AG1015" s="373" t="s">
        <v>3682</v>
      </c>
      <c r="AH1015" s="374">
        <v>44428.0</v>
      </c>
      <c r="AI1015" s="375"/>
      <c r="AJ1015" s="375"/>
      <c r="AK1015" s="375"/>
      <c r="AL1015" s="373" t="s">
        <v>3723</v>
      </c>
      <c r="AM1015" s="373" t="s">
        <v>3723</v>
      </c>
      <c r="AN1015" s="375"/>
      <c r="AO1015" s="373" t="s">
        <v>1953</v>
      </c>
      <c r="AP1015" s="376" t="s">
        <v>3686</v>
      </c>
      <c r="AQ1015" s="373"/>
    </row>
    <row r="1016">
      <c r="A1016" s="257" t="s">
        <v>628</v>
      </c>
      <c r="B1016" s="257" t="s">
        <v>629</v>
      </c>
      <c r="C1016" s="257" t="str">
        <f>VLOOKUP(A1016,import!A:J,3,0)</f>
        <v>DOĞRU</v>
      </c>
      <c r="D1016" s="257" t="s">
        <v>3699</v>
      </c>
      <c r="E1016" s="257">
        <f>VLOOKUP(A1016,import!A:J,5,0)</f>
        <v>2766</v>
      </c>
      <c r="F1016" s="257">
        <f>VLOOKUP(A1016,import!A:J,6,0)</f>
        <v>162</v>
      </c>
      <c r="G1016" s="257">
        <f>VLOOKUP(A1016,import!A:J,7,0)</f>
        <v>11</v>
      </c>
      <c r="H1016" s="257">
        <f>VLOOKUP(A1016,import!A:J,8,0)</f>
        <v>4</v>
      </c>
      <c r="I1016" s="257">
        <f>VLOOKUP(A1016,import!A:J,9,0)</f>
        <v>15</v>
      </c>
      <c r="J1016" s="369">
        <f>VLOOKUP(A1016,import!A:J,10,0)</f>
        <v>0.73</v>
      </c>
      <c r="K1016" s="257" t="s">
        <v>6950</v>
      </c>
      <c r="L1016" s="257">
        <v>5.337748342E9</v>
      </c>
      <c r="M1016" s="257" t="s">
        <v>286</v>
      </c>
      <c r="N1016" s="257" t="s">
        <v>4760</v>
      </c>
      <c r="O1016" s="257" t="s">
        <v>632</v>
      </c>
      <c r="P1016" s="370" t="str">
        <f>VLOOKUP(A1016,import!A:P,16,0)</f>
        <v>Geleneksel</v>
      </c>
      <c r="Q1016" s="370"/>
      <c r="R1016" s="370" t="b">
        <v>1</v>
      </c>
      <c r="S1016" s="370" t="b">
        <v>0</v>
      </c>
      <c r="T1016" s="301" t="s">
        <v>3679</v>
      </c>
      <c r="U1016" s="301" t="s">
        <v>3723</v>
      </c>
      <c r="V1016" s="301" t="s">
        <v>78</v>
      </c>
      <c r="W1016" s="379"/>
      <c r="X1016" s="371">
        <v>44421.0</v>
      </c>
      <c r="Y1016" s="371">
        <v>44427.0</v>
      </c>
      <c r="Z1016" s="301" t="s">
        <v>4983</v>
      </c>
      <c r="AA1016" s="373" t="s">
        <v>3682</v>
      </c>
      <c r="AB1016" s="374">
        <v>44421.0</v>
      </c>
      <c r="AC1016" s="375"/>
      <c r="AD1016" s="375"/>
      <c r="AE1016" s="92"/>
      <c r="AF1016" s="375"/>
      <c r="AG1016" s="92"/>
      <c r="AH1016" s="375"/>
      <c r="AI1016" s="375"/>
      <c r="AJ1016" s="375"/>
      <c r="AK1016" s="373" t="s">
        <v>3723</v>
      </c>
      <c r="AL1016" s="375"/>
      <c r="AM1016" s="375"/>
      <c r="AN1016" s="375"/>
      <c r="AO1016" s="375"/>
      <c r="AP1016" s="376" t="s">
        <v>3686</v>
      </c>
      <c r="AQ1016" s="375"/>
    </row>
    <row r="1017">
      <c r="A1017" s="257" t="s">
        <v>6951</v>
      </c>
      <c r="B1017" s="257" t="s">
        <v>6952</v>
      </c>
      <c r="C1017" s="257" t="str">
        <f>VLOOKUP(A1017,import!A:J,3,0)</f>
        <v>DOĞRU</v>
      </c>
      <c r="D1017" s="257" t="s">
        <v>3713</v>
      </c>
      <c r="E1017" s="257">
        <f>VLOOKUP(A1017,import!A:J,5,0)</f>
        <v>6619</v>
      </c>
      <c r="F1017" s="257">
        <f>VLOOKUP(A1017,import!A:J,6,0)</f>
        <v>211</v>
      </c>
      <c r="G1017" s="257">
        <f>VLOOKUP(A1017,import!A:J,7,0)</f>
        <v>0</v>
      </c>
      <c r="H1017" s="257">
        <f>VLOOKUP(A1017,import!A:J,8,0)</f>
        <v>33</v>
      </c>
      <c r="I1017" s="257">
        <f>VLOOKUP(A1017,import!A:J,9,0)</f>
        <v>33</v>
      </c>
      <c r="J1017" s="369">
        <f>VLOOKUP(A1017,import!A:J,10,0)</f>
        <v>0</v>
      </c>
      <c r="K1017" s="257" t="s">
        <v>6953</v>
      </c>
      <c r="L1017" s="257">
        <v>3.22239304E9</v>
      </c>
      <c r="M1017" s="257" t="s">
        <v>14</v>
      </c>
      <c r="N1017" s="257" t="s">
        <v>3826</v>
      </c>
      <c r="O1017" s="257" t="s">
        <v>6954</v>
      </c>
      <c r="P1017" s="370" t="str">
        <f>VLOOKUP(A1017,import!A:P,16,0)</f>
        <v>Geleneksel</v>
      </c>
      <c r="Q1017" s="370"/>
      <c r="R1017" s="370" t="b">
        <v>1</v>
      </c>
      <c r="S1017" s="370" t="b">
        <v>1</v>
      </c>
      <c r="T1017" s="379"/>
      <c r="U1017" s="379"/>
      <c r="V1017" s="379"/>
      <c r="W1017" s="301" t="s">
        <v>6955</v>
      </c>
      <c r="X1017" s="381"/>
      <c r="Y1017" s="381"/>
      <c r="Z1017" s="372"/>
      <c r="AA1017" s="373" t="s">
        <v>3682</v>
      </c>
      <c r="AB1017" s="374">
        <v>44390.0</v>
      </c>
      <c r="AC1017" s="373" t="s">
        <v>3682</v>
      </c>
      <c r="AD1017" s="374">
        <v>44459.0</v>
      </c>
      <c r="AE1017" s="92"/>
      <c r="AF1017" s="375"/>
      <c r="AG1017" s="92"/>
      <c r="AH1017" s="375"/>
      <c r="AI1017" s="375"/>
      <c r="AJ1017" s="375"/>
      <c r="AK1017" s="373" t="s">
        <v>111</v>
      </c>
      <c r="AL1017" s="373" t="s">
        <v>2542</v>
      </c>
      <c r="AM1017" s="375"/>
      <c r="AN1017" s="375"/>
      <c r="AO1017" s="375"/>
      <c r="AP1017" s="376" t="s">
        <v>3683</v>
      </c>
      <c r="AQ1017" s="375"/>
    </row>
    <row r="1018">
      <c r="A1018" s="257" t="s">
        <v>6956</v>
      </c>
      <c r="B1018" s="257" t="s">
        <v>6957</v>
      </c>
      <c r="C1018" s="257" t="str">
        <f>VLOOKUP(A1018,import!A:J,3,0)</f>
        <v>DOĞRU</v>
      </c>
      <c r="D1018" s="257" t="s">
        <v>3713</v>
      </c>
      <c r="E1018" s="257">
        <f>VLOOKUP(A1018,import!A:J,5,0)</f>
        <v>8615</v>
      </c>
      <c r="F1018" s="257">
        <f>VLOOKUP(A1018,import!A:J,6,0)</f>
        <v>303</v>
      </c>
      <c r="G1018" s="257">
        <f>VLOOKUP(A1018,import!A:J,7,0)</f>
        <v>0</v>
      </c>
      <c r="H1018" s="257">
        <f>VLOOKUP(A1018,import!A:J,8,0)</f>
        <v>33</v>
      </c>
      <c r="I1018" s="257">
        <f>VLOOKUP(A1018,import!A:J,9,0)</f>
        <v>33</v>
      </c>
      <c r="J1018" s="369">
        <f>VLOOKUP(A1018,import!A:J,10,0)</f>
        <v>0</v>
      </c>
      <c r="K1018" s="257" t="s">
        <v>6953</v>
      </c>
      <c r="L1018" s="257">
        <v>3.222345619E9</v>
      </c>
      <c r="M1018" s="257" t="s">
        <v>14</v>
      </c>
      <c r="N1018" s="257" t="s">
        <v>3733</v>
      </c>
      <c r="O1018" s="257" t="s">
        <v>6958</v>
      </c>
      <c r="P1018" s="370" t="str">
        <f>VLOOKUP(A1018,import!A:P,16,0)</f>
        <v>Geleneksel</v>
      </c>
      <c r="Q1018" s="370"/>
      <c r="R1018" s="370" t="b">
        <v>1</v>
      </c>
      <c r="S1018" s="370" t="b">
        <v>1</v>
      </c>
      <c r="T1018" s="379"/>
      <c r="U1018" s="379"/>
      <c r="V1018" s="379"/>
      <c r="W1018" s="301" t="s">
        <v>6959</v>
      </c>
      <c r="X1018" s="381"/>
      <c r="Y1018" s="381"/>
      <c r="Z1018" s="372"/>
      <c r="AA1018" s="373" t="s">
        <v>3682</v>
      </c>
      <c r="AB1018" s="374">
        <v>44382.0</v>
      </c>
      <c r="AC1018" s="375"/>
      <c r="AD1018" s="375"/>
      <c r="AE1018" s="92"/>
      <c r="AF1018" s="375"/>
      <c r="AG1018" s="92"/>
      <c r="AH1018" s="375"/>
      <c r="AI1018" s="375"/>
      <c r="AJ1018" s="375"/>
      <c r="AK1018" s="373" t="s">
        <v>399</v>
      </c>
      <c r="AL1018" s="375"/>
      <c r="AM1018" s="375"/>
      <c r="AN1018" s="375"/>
      <c r="AO1018" s="375"/>
      <c r="AP1018" s="376" t="s">
        <v>3683</v>
      </c>
      <c r="AQ1018" s="375"/>
    </row>
    <row r="1019">
      <c r="A1019" s="257" t="s">
        <v>3438</v>
      </c>
      <c r="B1019" s="257" t="s">
        <v>3439</v>
      </c>
      <c r="C1019" s="257" t="str">
        <f>VLOOKUP(A1019,import!A:J,3,0)</f>
        <v>DOĞRU</v>
      </c>
      <c r="D1019" s="257" t="s">
        <v>3676</v>
      </c>
      <c r="E1019" s="257">
        <f>VLOOKUP(A1019,import!A:J,5,0)</f>
        <v>932</v>
      </c>
      <c r="F1019" s="257">
        <f>VLOOKUP(A1019,import!A:J,6,0)</f>
        <v>126</v>
      </c>
      <c r="G1019" s="257">
        <f>VLOOKUP(A1019,import!A:J,7,0)</f>
        <v>0</v>
      </c>
      <c r="H1019" s="257">
        <f>VLOOKUP(A1019,import!A:J,8,0)</f>
        <v>22</v>
      </c>
      <c r="I1019" s="257">
        <f>VLOOKUP(A1019,import!A:J,9,0)</f>
        <v>22</v>
      </c>
      <c r="J1019" s="369">
        <f>VLOOKUP(A1019,import!A:J,10,0)</f>
        <v>0</v>
      </c>
      <c r="K1019" s="257" t="s">
        <v>6960</v>
      </c>
      <c r="L1019" s="257">
        <v>3.224293101E9</v>
      </c>
      <c r="M1019" s="257" t="s">
        <v>286</v>
      </c>
      <c r="N1019" s="257" t="s">
        <v>4075</v>
      </c>
      <c r="O1019" s="257" t="s">
        <v>3442</v>
      </c>
      <c r="P1019" s="370" t="str">
        <f>VLOOKUP(A1019,import!A:P,16,0)</f>
        <v>Geleneksel</v>
      </c>
      <c r="Q1019" s="370"/>
      <c r="R1019" s="370" t="b">
        <v>1</v>
      </c>
      <c r="S1019" s="370" t="b">
        <v>0</v>
      </c>
      <c r="T1019" s="301" t="s">
        <v>3710</v>
      </c>
      <c r="U1019" s="301" t="s">
        <v>2192</v>
      </c>
      <c r="V1019" s="387" t="s">
        <v>3331</v>
      </c>
      <c r="W1019" s="301">
        <v>5.416730121E9</v>
      </c>
      <c r="X1019" s="371">
        <v>44628.0</v>
      </c>
      <c r="Y1019" s="371">
        <v>44629.0</v>
      </c>
      <c r="Z1019" s="372"/>
      <c r="AA1019" s="373" t="s">
        <v>3681</v>
      </c>
      <c r="AB1019" s="374">
        <v>44566.0</v>
      </c>
      <c r="AC1019" s="373" t="s">
        <v>3682</v>
      </c>
      <c r="AD1019" s="374">
        <v>44628.0</v>
      </c>
      <c r="AE1019" s="373"/>
      <c r="AF1019" s="374"/>
      <c r="AG1019" s="373"/>
      <c r="AH1019" s="374"/>
      <c r="AI1019" s="375"/>
      <c r="AJ1019" s="375"/>
      <c r="AK1019" s="373" t="s">
        <v>2192</v>
      </c>
      <c r="AL1019" s="373" t="s">
        <v>2192</v>
      </c>
      <c r="AM1019" s="375"/>
      <c r="AN1019" s="373"/>
      <c r="AO1019" s="375"/>
      <c r="AP1019" s="376"/>
      <c r="AQ1019" s="375"/>
    </row>
    <row r="1020">
      <c r="A1020" s="257" t="s">
        <v>6961</v>
      </c>
      <c r="B1020" s="257" t="s">
        <v>6962</v>
      </c>
      <c r="C1020" s="257" t="str">
        <f>VLOOKUP(A1020,import!A:J,3,0)</f>
        <v>DOĞRU</v>
      </c>
      <c r="D1020" s="257" t="s">
        <v>3759</v>
      </c>
      <c r="E1020" s="257">
        <f>VLOOKUP(A1020,import!A:J,5,0)</f>
        <v>2155</v>
      </c>
      <c r="F1020" s="257">
        <f>VLOOKUP(A1020,import!A:J,6,0)</f>
        <v>135</v>
      </c>
      <c r="G1020" s="257">
        <f>VLOOKUP(A1020,import!A:J,7,0)</f>
        <v>0</v>
      </c>
      <c r="H1020" s="257">
        <f>VLOOKUP(A1020,import!A:J,8,0)</f>
        <v>5</v>
      </c>
      <c r="I1020" s="257">
        <f>VLOOKUP(A1020,import!A:J,9,0)</f>
        <v>5</v>
      </c>
      <c r="J1020" s="369">
        <f>VLOOKUP(A1020,import!A:J,10,0)</f>
        <v>0</v>
      </c>
      <c r="K1020" s="257" t="s">
        <v>6963</v>
      </c>
      <c r="L1020" s="257">
        <v>5.326330297E9</v>
      </c>
      <c r="M1020" s="257" t="s">
        <v>286</v>
      </c>
      <c r="N1020" s="257" t="s">
        <v>4263</v>
      </c>
      <c r="O1020" s="257" t="s">
        <v>6964</v>
      </c>
      <c r="P1020" s="370" t="str">
        <f>VLOOKUP(A1020,import!A:P,16,0)</f>
        <v>Geleneksel</v>
      </c>
      <c r="Q1020" s="370"/>
      <c r="R1020" s="370" t="b">
        <v>1</v>
      </c>
      <c r="S1020" s="370" t="b">
        <v>0</v>
      </c>
      <c r="T1020" s="301" t="s">
        <v>3770</v>
      </c>
      <c r="U1020" s="379"/>
      <c r="V1020" s="379"/>
      <c r="W1020" s="301" t="s">
        <v>6965</v>
      </c>
      <c r="X1020" s="381"/>
      <c r="Y1020" s="381"/>
      <c r="Z1020" s="372"/>
      <c r="AA1020" s="373" t="s">
        <v>3448</v>
      </c>
      <c r="AB1020" s="374">
        <v>44386.0</v>
      </c>
      <c r="AC1020" s="373" t="s">
        <v>3448</v>
      </c>
      <c r="AD1020" s="374">
        <v>44414.0</v>
      </c>
      <c r="AE1020" s="373" t="s">
        <v>3682</v>
      </c>
      <c r="AF1020" s="374">
        <v>44436.0</v>
      </c>
      <c r="AG1020" s="373" t="s">
        <v>3448</v>
      </c>
      <c r="AH1020" s="374">
        <v>44450.0</v>
      </c>
      <c r="AI1020" s="373" t="s">
        <v>3448</v>
      </c>
      <c r="AJ1020" s="374">
        <v>44515.0</v>
      </c>
      <c r="AK1020" s="373" t="s">
        <v>111</v>
      </c>
      <c r="AL1020" s="373" t="s">
        <v>3723</v>
      </c>
      <c r="AM1020" s="373" t="s">
        <v>1953</v>
      </c>
      <c r="AN1020" s="373" t="s">
        <v>2542</v>
      </c>
      <c r="AO1020" s="373" t="s">
        <v>2542</v>
      </c>
      <c r="AP1020" s="376" t="s">
        <v>3686</v>
      </c>
      <c r="AQ1020" s="373"/>
    </row>
    <row r="1021">
      <c r="A1021" s="257" t="s">
        <v>2895</v>
      </c>
      <c r="B1021" s="257" t="s">
        <v>2896</v>
      </c>
      <c r="C1021" s="257" t="str">
        <f>VLOOKUP(A1021,import!A:J,3,0)</f>
        <v>DOĞRU</v>
      </c>
      <c r="D1021" s="257" t="s">
        <v>3749</v>
      </c>
      <c r="E1021" s="257">
        <f>VLOOKUP(A1021,import!A:J,5,0)</f>
        <v>473</v>
      </c>
      <c r="F1021" s="257" t="str">
        <f>VLOOKUP(A1021,import!A:J,6,0)</f>
        <v/>
      </c>
      <c r="G1021" s="257">
        <f>VLOOKUP(A1021,import!A:J,7,0)</f>
        <v>0</v>
      </c>
      <c r="H1021" s="257">
        <f>VLOOKUP(A1021,import!A:J,8,0)</f>
        <v>5</v>
      </c>
      <c r="I1021" s="257">
        <f>VLOOKUP(A1021,import!A:J,9,0)</f>
        <v>5</v>
      </c>
      <c r="J1021" s="369">
        <f>VLOOKUP(A1021,import!A:J,10,0)</f>
        <v>0</v>
      </c>
      <c r="K1021" s="257" t="s">
        <v>6966</v>
      </c>
      <c r="L1021" s="257">
        <v>5.520712401E9</v>
      </c>
      <c r="M1021" s="257" t="s">
        <v>286</v>
      </c>
      <c r="N1021" s="257" t="s">
        <v>3688</v>
      </c>
      <c r="O1021" s="257" t="s">
        <v>2898</v>
      </c>
      <c r="P1021" s="370" t="str">
        <f>VLOOKUP(A1021,import!A:P,16,0)</f>
        <v>Geleneksel</v>
      </c>
      <c r="Q1021" s="370"/>
      <c r="R1021" s="370" t="b">
        <v>1</v>
      </c>
      <c r="S1021" s="370" t="b">
        <v>1</v>
      </c>
      <c r="T1021" s="301" t="s">
        <v>3787</v>
      </c>
      <c r="U1021" s="301" t="s">
        <v>2542</v>
      </c>
      <c r="V1021" s="301" t="s">
        <v>78</v>
      </c>
      <c r="W1021" s="301" t="s">
        <v>6967</v>
      </c>
      <c r="X1021" s="371">
        <v>44488.0</v>
      </c>
      <c r="Y1021" s="371">
        <v>44489.0</v>
      </c>
      <c r="Z1021" s="372"/>
      <c r="AA1021" s="373" t="s">
        <v>3682</v>
      </c>
      <c r="AB1021" s="374">
        <v>44487.0</v>
      </c>
      <c r="AC1021" s="373" t="s">
        <v>3682</v>
      </c>
      <c r="AD1021" s="374">
        <v>44488.0</v>
      </c>
      <c r="AE1021" s="373" t="s">
        <v>3682</v>
      </c>
      <c r="AF1021" s="374">
        <v>44510.0</v>
      </c>
      <c r="AG1021" s="373"/>
      <c r="AH1021" s="374"/>
      <c r="AI1021" s="375"/>
      <c r="AJ1021" s="375"/>
      <c r="AK1021" s="373" t="s">
        <v>2542</v>
      </c>
      <c r="AL1021" s="373" t="s">
        <v>2542</v>
      </c>
      <c r="AM1021" s="373" t="s">
        <v>3073</v>
      </c>
      <c r="AN1021" s="373"/>
      <c r="AO1021" s="375"/>
      <c r="AP1021" s="376" t="s">
        <v>3686</v>
      </c>
      <c r="AQ1021" s="375"/>
    </row>
    <row r="1022">
      <c r="A1022" s="257" t="s">
        <v>6968</v>
      </c>
      <c r="B1022" s="257" t="s">
        <v>6969</v>
      </c>
      <c r="C1022" s="257" t="str">
        <f>VLOOKUP(A1022,import!A:J,3,0)</f>
        <v>YANLIŞ</v>
      </c>
      <c r="D1022" s="257" t="s">
        <v>3713</v>
      </c>
      <c r="E1022" s="257">
        <f>VLOOKUP(A1022,import!A:J,5,0)</f>
        <v>3</v>
      </c>
      <c r="F1022" s="257" t="str">
        <f>VLOOKUP(A1022,import!A:J,6,0)</f>
        <v/>
      </c>
      <c r="G1022" s="257">
        <f>VLOOKUP(A1022,import!A:J,7,0)</f>
        <v>0</v>
      </c>
      <c r="H1022" s="257">
        <f>VLOOKUP(A1022,import!A:J,8,0)</f>
        <v>41</v>
      </c>
      <c r="I1022" s="257">
        <f>VLOOKUP(A1022,import!A:J,9,0)</f>
        <v>41</v>
      </c>
      <c r="J1022" s="369">
        <f>VLOOKUP(A1022,import!A:J,10,0)</f>
        <v>0</v>
      </c>
      <c r="K1022" s="257" t="s">
        <v>6970</v>
      </c>
      <c r="L1022" s="257">
        <v>5.545898677E9</v>
      </c>
      <c r="M1022" s="257" t="s">
        <v>286</v>
      </c>
      <c r="N1022" s="257" t="s">
        <v>3737</v>
      </c>
      <c r="O1022" s="257" t="s">
        <v>6971</v>
      </c>
      <c r="P1022" s="370" t="str">
        <f>VLOOKUP(A1022,import!A:P,16,0)</f>
        <v>Geleneksel</v>
      </c>
      <c r="Q1022" s="370"/>
      <c r="R1022" s="370" t="b">
        <v>1</v>
      </c>
      <c r="S1022" s="370" t="b">
        <v>0</v>
      </c>
      <c r="T1022" s="301"/>
      <c r="U1022" s="379"/>
      <c r="V1022" s="379"/>
      <c r="W1022" s="301" t="s">
        <v>6972</v>
      </c>
      <c r="X1022" s="381"/>
      <c r="Y1022" s="381"/>
      <c r="Z1022" s="372"/>
      <c r="AA1022" s="373" t="s">
        <v>3681</v>
      </c>
      <c r="AB1022" s="374">
        <v>44566.0</v>
      </c>
      <c r="AC1022" s="373"/>
      <c r="AD1022" s="374"/>
      <c r="AE1022" s="373"/>
      <c r="AF1022" s="374"/>
      <c r="AG1022" s="373"/>
      <c r="AH1022" s="374"/>
      <c r="AI1022" s="375"/>
      <c r="AJ1022" s="375"/>
      <c r="AK1022" s="373" t="s">
        <v>2192</v>
      </c>
      <c r="AL1022" s="375"/>
      <c r="AM1022" s="375"/>
      <c r="AN1022" s="373"/>
      <c r="AO1022" s="375"/>
      <c r="AP1022" s="376"/>
      <c r="AQ1022" s="375"/>
    </row>
  </sheetData>
  <autoFilter ref="$A$1:$AQ$1022">
    <sortState ref="A1:AQ1022">
      <sortCondition ref="B1:B1022"/>
      <sortCondition descending="1" ref="C1:C1022"/>
    </sortState>
  </autoFilter>
  <customSheetViews>
    <customSheetView guid="{2976BB3C-B907-4AA6-B81A-43E1D180976B}" filter="1" showAutoFilter="1">
      <autoFilter ref="$AA$525:$AO$528"/>
    </customSheetView>
    <customSheetView guid="{4213BEE7-4AA0-44B1-863F-6137CAB06105}" filter="1" showAutoFilter="1">
      <autoFilter ref="$W$393"/>
    </customSheetView>
    <customSheetView guid="{5410FE2D-1311-4B08-BF8F-881059B9DA21}" filter="1" showAutoFilter="1">
      <autoFilter ref="$S$1:$S$811"/>
    </customSheetView>
    <customSheetView guid="{27A232E3-8824-4AE2-8318-CCB30ABFE4D5}" filter="1" showAutoFilter="1">
      <autoFilter ref="$X$211:$X$214"/>
    </customSheetView>
    <customSheetView guid="{4FDC2961-D7EC-4FF9-8F4F-5129BB368356}" filter="1" showAutoFilter="1">
      <autoFilter ref="$AA$697:$AF$704"/>
    </customSheetView>
    <customSheetView guid="{19BADD2F-B6E2-478A-8BDC-EEC4D154DB8B}" filter="1" showAutoFilter="1">
      <autoFilter ref="$A$1:$AO$644">
        <filterColumn colId="25">
          <filters>
            <filter val="Hemen Randevu İstiyorum"/>
          </filters>
        </filterColumn>
        <filterColumn colId="19">
          <filters>
            <filter val="Lokasyon Uzak"/>
            <filter val="Sistemden Çıkmak İstiyor"/>
            <filter val="Dönüş Yapacak"/>
            <filter val="BlackList"/>
            <filter val="Franchise"/>
            <filter val="Randevu Alındı"/>
            <filter val="Devir"/>
            <filter val="Randevu İptal"/>
            <filter val="Yılbaşından Sonra Aranacak"/>
            <filter val="Tadilat Var"/>
            <filter val="Restoran Silindi"/>
            <filter val="Menü Güncellemesi Yapılacak"/>
          </filters>
        </filterColumn>
      </autoFilter>
    </customSheetView>
    <customSheetView guid="{476A6B90-725F-4828-B015-E6F0F8DA0B14}" filter="1" showAutoFilter="1">
      <autoFilter ref="$AA$525:$AO$528"/>
    </customSheetView>
    <customSheetView guid="{A65725CA-D100-488B-AC3F-12566F8E07C2}" filter="1" showAutoFilter="1">
      <autoFilter ref="$AA$512:$AP$520"/>
    </customSheetView>
    <customSheetView guid="{6C9736F0-A0FF-42FE-8999-200C1FBBC997}" filter="1" showAutoFilter="1">
      <autoFilter ref="$W$546:$W$547"/>
    </customSheetView>
    <customSheetView guid="{A539A996-E0E6-4B20-972A-239AF6A0009A}" filter="1" showAutoFilter="1">
      <autoFilter ref="$AA$512:$AP$519"/>
    </customSheetView>
    <customSheetView guid="{2B2E2FEE-86ED-4E0F-8666-74FDD8BFF908}" filter="1" showAutoFilter="1">
      <autoFilter ref="$A$1:$AI$239">
        <filterColumn colId="8">
          <customFilters>
            <customFilter operator="greaterThan" val="35"/>
          </customFilters>
        </filterColumn>
      </autoFilter>
    </customSheetView>
    <customSheetView guid="{CC432EF5-F6C1-4149-A754-702E10D8ACC1}" filter="1" showAutoFilter="1">
      <autoFilter ref="$A$1:$AO$756">
        <filterColumn colId="25">
          <filters>
            <filter val="Hemen Randevu İstiyorum"/>
          </filters>
        </filterColumn>
        <filterColumn colId="2">
          <filters>
            <filter val="DOĞRU"/>
            <filter val="YANLIŞ"/>
          </filters>
        </filterColumn>
      </autoFilter>
    </customSheetView>
    <customSheetView guid="{5ED107F4-9F5C-4F13-902E-5A3336441B29}" filter="1" showAutoFilter="1">
      <autoFilter ref="$AG$490:$AH$491"/>
    </customSheetView>
    <customSheetView guid="{1C0333CE-002F-4943-89D7-7C5DABEBA7C9}" filter="1" showAutoFilter="1">
      <autoFilter ref="$A$1:$AO$814">
        <filterColumn colId="2">
          <filters>
            <filter val="DOĞRU"/>
            <filter val="YANLIŞ"/>
          </filters>
        </filterColumn>
        <filterColumn colId="9">
          <filters>
            <filter val="5%"/>
            <filter val="12%"/>
            <filter val="96%"/>
            <filter val="2%"/>
            <filter val="49%"/>
            <filter val="100%"/>
            <filter val="13%"/>
            <filter val="97%"/>
            <filter val="3%"/>
            <filter val="8%"/>
            <filter val="0%"/>
          </filters>
        </filterColumn>
        <filterColumn colId="18">
          <filters>
            <filter val="TRUE"/>
          </filters>
        </filterColumn>
        <filterColumn colId="19">
          <filters blank="1">
            <filter val="İleride Randevu Alınacak"/>
            <filter val="Ulaşılamadı"/>
            <filter val="Lokasyon Uzak"/>
            <filter val="Sistemden Çıkmak İstiyor"/>
            <filter val="BlackList"/>
            <filter val="Franchise"/>
            <filter val="Başka Şubeden Çekilecek"/>
            <filter val="Devir"/>
            <filter val="Randevu İptal"/>
            <filter val="Yılbaşından Sonra Aranacak"/>
            <filter val="Çekim İstemiyor"/>
            <filter val="Tadilat Var"/>
            <filter val="Restoran Silindi"/>
            <filter val="Menü Güncellemesi Yapılacak"/>
          </filters>
        </filterColumn>
      </autoFilter>
    </customSheetView>
    <customSheetView guid="{7D578A13-1E70-4A1C-A355-8B7185D78A9A}" filter="1" showAutoFilter="1">
      <autoFilter ref="$A$1:$AO$768">
        <filterColumn colId="2">
          <filters>
            <filter val="DOĞRU"/>
            <filter val="YANLIŞ"/>
          </filters>
        </filterColumn>
        <filterColumn colId="9">
          <filters>
            <filter val="95%"/>
            <filter val="83%"/>
            <filter val="9%"/>
            <filter val="5%"/>
            <filter val="16%"/>
            <filter val="48%"/>
            <filter val="68%"/>
            <filter val="96%"/>
            <filter val="72%"/>
            <filter val="2%"/>
            <filter val="100%"/>
            <filter val="89%"/>
            <filter val="77%"/>
            <filter val="97%"/>
            <filter val="73%"/>
            <filter val="3%"/>
            <filter val="18%"/>
            <filter val="66%"/>
            <filter val="30%"/>
            <filter val="70%"/>
            <filter val="90%"/>
            <filter val="4%"/>
            <filter val="0%"/>
          </filters>
        </filterColumn>
        <filterColumn colId="18">
          <filters blank="1">
            <filter val="FALSE"/>
          </filters>
        </filterColumn>
        <filterColumn colId="19">
          <filters>
            <filter val="Lokasyon Uzak"/>
            <filter val="BlackList"/>
            <filter val="Yılbaşından Sonra Aranacak"/>
            <filter val="Çekim İstemiyor"/>
          </filters>
        </filterColumn>
      </autoFilter>
    </customSheetView>
    <customSheetView guid="{B746D7B4-17C8-4F87-8D61-58172F92DF6F}" filter="1" showAutoFilter="1">
      <autoFilter ref="$AG$490:$AH$491"/>
    </customSheetView>
    <customSheetView guid="{AE9162F9-E5A2-4D83-83E2-9B4F45408546}" filter="1" showAutoFilter="1">
      <autoFilter ref="$W$393"/>
    </customSheetView>
    <customSheetView guid="{773E269A-A5CA-4FBC-AB6A-F4385862A005}" filter="1" showAutoFilter="1">
      <autoFilter ref="$AA$771:$AO$775"/>
    </customSheetView>
    <customSheetView guid="{0E5A4C60-BFFC-4249-9DE0-742CE8FAEA29}" filter="1" showAutoFilter="1">
      <autoFilter ref="$X$32:$Y$34"/>
    </customSheetView>
    <customSheetView guid="{3750264B-C1FB-40F8-A9DB-12FC5404A34C}" filter="1" showAutoFilter="1">
      <autoFilter ref="$A$1:$AQ$840">
        <filterColumn colId="15">
          <filters>
            <filter val="Geleneksel"/>
          </filters>
        </filterColumn>
        <filterColumn colId="2">
          <filters>
            <filter val="DOĞRU"/>
            <filter val="YANLIŞ"/>
          </filters>
        </filterColumn>
        <filterColumn colId="9">
          <filters>
            <filter val="5%"/>
            <filter val="52%"/>
            <filter val="2%"/>
            <filter val="49%"/>
            <filter val="13%"/>
            <filter val="97%"/>
            <filter val="3%"/>
            <filter val="0%"/>
          </filters>
        </filterColumn>
      </autoFilter>
    </customSheetView>
    <customSheetView guid="{845BDB86-2576-4895-ABFE-B54168C9EE63}" filter="1" showAutoFilter="1">
      <autoFilter ref="$A$1:$AO$735">
        <filterColumn colId="12">
          <filters>
            <filter val="Çukurova"/>
          </filters>
        </filterColumn>
        <filterColumn colId="2">
          <filters>
            <filter val="DOĞRU"/>
            <filter val="YANLIŞ"/>
          </filters>
        </filterColumn>
        <filterColumn colId="9">
          <filters>
            <filter val="15%"/>
            <filter val="59%"/>
            <filter val="79%"/>
            <filter val="23%"/>
            <filter val="11%"/>
            <filter val="87%"/>
            <filter val="31%"/>
            <filter val="51%"/>
            <filter val="83%"/>
            <filter val="9%"/>
            <filter val="91%"/>
            <filter val="5%"/>
            <filter val="16%"/>
            <filter val="36%"/>
            <filter val="68%"/>
            <filter val="56%"/>
            <filter val="76%"/>
            <filter val="96%"/>
            <filter val="40%"/>
            <filter val="72%"/>
            <filter val="2%"/>
            <filter val="49%"/>
            <filter val="37%"/>
            <filter val="57%"/>
            <filter val="13%"/>
            <filter val="89%"/>
            <filter val="45%"/>
            <filter val="77%"/>
            <filter val="33%"/>
            <filter val="41%"/>
            <filter val="61%"/>
            <filter val="93%"/>
            <filter val="7%"/>
            <filter val="3%"/>
            <filter val="18%"/>
            <filter val="46%"/>
            <filter val="86%"/>
            <filter val="62%"/>
            <filter val="94%"/>
            <filter val="70%"/>
            <filter val="8%"/>
            <filter val="4%"/>
            <filter val="0%"/>
            <filter val="39%"/>
          </filters>
        </filterColumn>
        <filterColumn colId="19">
          <filters>
            <filter val="Lokasyon Uzak"/>
            <filter val="BlackList"/>
            <filter val="Randevu İptal"/>
            <filter val="Yılbaşından Sonra Aranacak"/>
            <filter val="Çekim İstemiyor"/>
            <filter val="Menü Güncellemesi Yapılacak"/>
          </filters>
        </filterColumn>
      </autoFilter>
    </customSheetView>
    <customSheetView guid="{2854AD16-F252-4F1D-8FB7-C5EA7D5CB293}" filter="1" showAutoFilter="1">
      <autoFilter ref="$A$1:$AA$397">
        <filterColumn colId="8">
          <customFilters>
            <customFilter operator="greaterThanOrEqual" val="35"/>
          </customFilters>
        </filterColumn>
        <filterColumn colId="16">
          <filters blank="1"/>
        </filterColumn>
      </autoFilter>
    </customSheetView>
    <customSheetView guid="{069D71DA-61E8-426F-865B-620C7764C2A3}" filter="1" showAutoFilter="1">
      <autoFilter ref="$A$1:$AA$397"/>
    </customSheetView>
    <customSheetView guid="{A8D008E0-5619-4683-8283-FD8530689FE7}" filter="1" showAutoFilter="1">
      <autoFilter ref="$AA$697:$AF$703"/>
    </customSheetView>
  </customSheetViews>
  <conditionalFormatting sqref="C1:C1022">
    <cfRule type="cellIs" dxfId="0" priority="1" operator="equal">
      <formula>"True"</formula>
    </cfRule>
  </conditionalFormatting>
  <conditionalFormatting sqref="C1:C1022">
    <cfRule type="cellIs" dxfId="1" priority="2" operator="equal">
      <formula>"False"</formula>
    </cfRule>
  </conditionalFormatting>
  <conditionalFormatting sqref="J1:J1022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P2:P1022">
    <cfRule type="containsText" dxfId="0" priority="4" operator="containsText" text="Geleneksel">
      <formula>NOT(ISERROR(SEARCH(("Geleneksel"),(P2))))</formula>
    </cfRule>
  </conditionalFormatting>
  <conditionalFormatting sqref="P2:P1022">
    <cfRule type="notContainsText" dxfId="2" priority="5" operator="notContains" text="Geleneksel">
      <formula>ISERROR(SEARCH(("Geleneksel"),(P2)))</formula>
    </cfRule>
  </conditionalFormatting>
  <dataValidations>
    <dataValidation type="list" allowBlank="1" showErrorMessage="1" sqref="AA2:AA1022 AC2:AC1022 AE2:AE1022 AG2:AG1022 AI2:AI1022">
      <formula1>'Durum Parametreler'!$C$21:$C$25</formula1>
    </dataValidation>
    <dataValidation type="list" allowBlank="1" showErrorMessage="1" sqref="T2:T1022">
      <formula1>'Durum Parametreler'!$C$2:$C$19</formula1>
    </dataValidation>
    <dataValidation type="list" allowBlank="1" showErrorMessage="1" sqref="AQ2:AQ1022">
      <formula1>'Durum Parametreler'!$C$28:$C$31</formula1>
    </dataValidation>
    <dataValidation type="list" allowBlank="1" showErrorMessage="1" sqref="Z2:Z1022">
      <formula1>'Durum Parametreler'!$F$10:$F$12</formula1>
    </dataValidation>
    <dataValidation type="list" allowBlank="1" showErrorMessage="1" sqref="U2:U796 U798:U1022">
      <formula1>'Durum Parametreler'!$F$16:$F$50</formula1>
    </dataValidation>
    <dataValidation type="list" allowBlank="1" showErrorMessage="1" sqref="X2:Y13 Y14 X15:Y758 X759 X760:Y933 Y934 X935:Y1022 AB2:AB1022 AD2:AD1022 AF2:AF1022 AH2:AH1022 AJ2:AJ1022">
      <formula1>'Durum Parametreler'!$A$1:$A$700</formula1>
    </dataValidation>
    <dataValidation type="list" allowBlank="1" sqref="V610">
      <formula1>'Durum Parametreler'!$F$2:$F$5</formula1>
    </dataValidation>
    <dataValidation type="list" allowBlank="1" sqref="V2:V6 V8:V40 V42:V75 V77:V109 V111:V157 V159:V161 V163:V174 V176:V206 V208:V250 V252:V309 V311:V320 V322:V333 V336:V345 V347 V350:V363 V365:V376 V378:V419 V421:V445 V449:V471 V474:V509 V511:V514 V516 V518:V544 V546:V558 V560:V567 V569:V599 V601:V608 V611:V615 V618:V619 V621:V631 V633:V638 V640:V641 V644:V646 V648:V655 V658:V683 V685:V713 V716:V729 V731:V748 V750:V751 V753:V759 V761:V807 V809 V811:V837 V839 V841:V847 V849:V867 V869:V882 V884:V916 V918:V926 V928:V931 V933:V936 V938:V947 V949:V971 V973:V977 V979:V986 V988:V993 V995:V996 V998:V1009 V1011:V1018 V1020:V1022">
      <formula1>'Durum Parametreler'!$F$2:$F$5</formula1>
    </dataValidation>
    <dataValidation type="list" allowBlank="1" showErrorMessage="1" sqref="AK2:AO12 AL13:AO13 AK14:AO287 AK288 AM288:AO288 AK289:AO1022">
      <formula1>'Durum Parametreler'!$F$16:$F$40</formula1>
    </dataValidation>
  </dataValidations>
  <hyperlinks>
    <hyperlink r:id="rId2" ref="W811"/>
    <hyperlink r:id="rId3" ref="W903"/>
  </hyperlink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2" max="2" width="27.0"/>
  </cols>
  <sheetData>
    <row r="1">
      <c r="A1" s="423" t="s">
        <v>6973</v>
      </c>
      <c r="B1" s="423" t="s">
        <v>3636</v>
      </c>
      <c r="C1" s="423" t="s">
        <v>6974</v>
      </c>
      <c r="D1" s="424" t="s">
        <v>3638</v>
      </c>
      <c r="E1" s="423" t="s">
        <v>3639</v>
      </c>
      <c r="F1" s="424" t="s">
        <v>6975</v>
      </c>
      <c r="G1" s="425" t="s">
        <v>3641</v>
      </c>
      <c r="H1" s="425" t="s">
        <v>3642</v>
      </c>
      <c r="I1" s="425" t="s">
        <v>3643</v>
      </c>
      <c r="J1" s="426" t="s">
        <v>3644</v>
      </c>
      <c r="K1" s="424" t="s">
        <v>3645</v>
      </c>
      <c r="L1" s="424" t="s">
        <v>3646</v>
      </c>
      <c r="M1" s="424" t="s">
        <v>3647</v>
      </c>
      <c r="N1" s="424" t="s">
        <v>3648</v>
      </c>
      <c r="O1" s="424" t="s">
        <v>8</v>
      </c>
      <c r="P1" s="427" t="s">
        <v>3649</v>
      </c>
      <c r="Q1" s="427" t="s">
        <v>6976</v>
      </c>
    </row>
    <row r="2" hidden="1">
      <c r="A2" s="376" t="s">
        <v>6977</v>
      </c>
      <c r="B2" s="376" t="s">
        <v>6978</v>
      </c>
      <c r="C2" s="428" t="s">
        <v>6979</v>
      </c>
      <c r="D2" s="376" t="s">
        <v>3842</v>
      </c>
      <c r="E2" s="429">
        <v>12446.0</v>
      </c>
      <c r="F2" s="429">
        <v>318.0</v>
      </c>
      <c r="G2" s="429">
        <v>80.0</v>
      </c>
      <c r="H2" s="429">
        <v>1.0</v>
      </c>
      <c r="I2" s="429">
        <v>81.0</v>
      </c>
      <c r="J2" s="430">
        <v>0.99</v>
      </c>
      <c r="K2" s="376" t="s">
        <v>6980</v>
      </c>
      <c r="L2" s="376">
        <v>1.111111111E9</v>
      </c>
      <c r="M2" s="376" t="s">
        <v>286</v>
      </c>
      <c r="N2" s="376" t="s">
        <v>4235</v>
      </c>
      <c r="O2" s="376" t="s">
        <v>6981</v>
      </c>
      <c r="P2" s="376" t="s">
        <v>6982</v>
      </c>
      <c r="Q2" s="16">
        <f>COUNTIF('hedef liste'!A:A,A2)</f>
        <v>0</v>
      </c>
    </row>
    <row r="3" hidden="1">
      <c r="A3" s="376" t="s">
        <v>227</v>
      </c>
      <c r="B3" s="376" t="s">
        <v>228</v>
      </c>
      <c r="C3" s="428" t="s">
        <v>6979</v>
      </c>
      <c r="D3" s="376" t="s">
        <v>3713</v>
      </c>
      <c r="E3" s="429">
        <v>1162.0</v>
      </c>
      <c r="F3" s="429">
        <v>41.0</v>
      </c>
      <c r="G3" s="429">
        <v>3.0</v>
      </c>
      <c r="H3" s="429">
        <v>29.0</v>
      </c>
      <c r="I3" s="429">
        <v>32.0</v>
      </c>
      <c r="J3" s="430">
        <v>0.09</v>
      </c>
      <c r="K3" s="376" t="s">
        <v>5374</v>
      </c>
      <c r="L3" s="376">
        <v>3.222350515E9</v>
      </c>
      <c r="M3" s="376" t="s">
        <v>14</v>
      </c>
      <c r="N3" s="376" t="s">
        <v>3797</v>
      </c>
      <c r="O3" s="376" t="s">
        <v>230</v>
      </c>
      <c r="P3" s="376" t="s">
        <v>3941</v>
      </c>
      <c r="Q3" s="16">
        <f>COUNTIF('hedef liste'!A:A,A3)</f>
        <v>1</v>
      </c>
    </row>
    <row r="4" hidden="1">
      <c r="A4" s="376" t="s">
        <v>121</v>
      </c>
      <c r="B4" s="376" t="s">
        <v>122</v>
      </c>
      <c r="C4" s="428" t="s">
        <v>6979</v>
      </c>
      <c r="D4" s="376" t="s">
        <v>3713</v>
      </c>
      <c r="E4" s="429">
        <v>7339.0</v>
      </c>
      <c r="F4" s="429">
        <v>72.0</v>
      </c>
      <c r="G4" s="429">
        <v>0.0</v>
      </c>
      <c r="H4" s="429">
        <v>28.0</v>
      </c>
      <c r="I4" s="429">
        <v>28.0</v>
      </c>
      <c r="J4" s="430">
        <v>0.0</v>
      </c>
      <c r="K4" s="376" t="s">
        <v>4487</v>
      </c>
      <c r="L4" s="376">
        <v>5.01330607E9</v>
      </c>
      <c r="M4" s="376" t="s">
        <v>14</v>
      </c>
      <c r="N4" s="376" t="s">
        <v>3914</v>
      </c>
      <c r="O4" s="376" t="s">
        <v>125</v>
      </c>
      <c r="P4" s="376" t="s">
        <v>3941</v>
      </c>
      <c r="Q4" s="16">
        <f>COUNTIF('hedef liste'!A:A,A4)</f>
        <v>1</v>
      </c>
    </row>
    <row r="5" hidden="1">
      <c r="A5" s="376" t="s">
        <v>6983</v>
      </c>
      <c r="B5" s="376" t="s">
        <v>6984</v>
      </c>
      <c r="C5" s="428" t="s">
        <v>6979</v>
      </c>
      <c r="D5" s="376" t="s">
        <v>4000</v>
      </c>
      <c r="E5" s="429">
        <v>15024.0</v>
      </c>
      <c r="F5" s="429">
        <v>375.0</v>
      </c>
      <c r="G5" s="429">
        <v>99.0</v>
      </c>
      <c r="H5" s="429">
        <v>0.0</v>
      </c>
      <c r="I5" s="429">
        <v>99.0</v>
      </c>
      <c r="J5" s="430">
        <v>1.0</v>
      </c>
      <c r="K5" s="376" t="s">
        <v>6985</v>
      </c>
      <c r="L5" s="376">
        <v>2.123363575E9</v>
      </c>
      <c r="M5" s="376" t="s">
        <v>14</v>
      </c>
      <c r="N5" s="376" t="s">
        <v>3733</v>
      </c>
      <c r="O5" s="376" t="s">
        <v>6986</v>
      </c>
      <c r="P5" s="376" t="s">
        <v>6982</v>
      </c>
      <c r="Q5" s="16">
        <f>COUNTIF('hedef liste'!A:A,A5)</f>
        <v>0</v>
      </c>
    </row>
    <row r="6" hidden="1">
      <c r="A6" s="376" t="s">
        <v>6987</v>
      </c>
      <c r="B6" s="376" t="s">
        <v>6988</v>
      </c>
      <c r="C6" s="428" t="s">
        <v>6979</v>
      </c>
      <c r="D6" s="376" t="s">
        <v>4000</v>
      </c>
      <c r="E6" s="429">
        <v>15459.0</v>
      </c>
      <c r="F6" s="429">
        <v>472.0</v>
      </c>
      <c r="G6" s="429">
        <v>95.0</v>
      </c>
      <c r="H6" s="429">
        <v>1.0</v>
      </c>
      <c r="I6" s="429">
        <v>96.0</v>
      </c>
      <c r="J6" s="430">
        <v>0.99</v>
      </c>
      <c r="K6" s="376" t="s">
        <v>6985</v>
      </c>
      <c r="L6" s="376">
        <v>2.123363575E9</v>
      </c>
      <c r="M6" s="376" t="s">
        <v>286</v>
      </c>
      <c r="N6" s="376" t="s">
        <v>3737</v>
      </c>
      <c r="O6" s="376" t="s">
        <v>6989</v>
      </c>
      <c r="P6" s="376" t="s">
        <v>6982</v>
      </c>
      <c r="Q6" s="16">
        <f>COUNTIF('hedef liste'!A:A,A6)</f>
        <v>0</v>
      </c>
    </row>
    <row r="7" hidden="1">
      <c r="A7" s="376" t="s">
        <v>6990</v>
      </c>
      <c r="B7" s="376" t="s">
        <v>6991</v>
      </c>
      <c r="C7" s="428" t="s">
        <v>6979</v>
      </c>
      <c r="D7" s="376" t="s">
        <v>4000</v>
      </c>
      <c r="E7" s="429">
        <v>21177.0</v>
      </c>
      <c r="F7" s="429">
        <v>478.0</v>
      </c>
      <c r="G7" s="429">
        <v>99.0</v>
      </c>
      <c r="H7" s="429">
        <v>2.0</v>
      </c>
      <c r="I7" s="429">
        <v>101.0</v>
      </c>
      <c r="J7" s="430">
        <v>0.98</v>
      </c>
      <c r="K7" s="376" t="s">
        <v>6985</v>
      </c>
      <c r="L7" s="376">
        <v>2.123363575E9</v>
      </c>
      <c r="M7" s="376" t="s">
        <v>286</v>
      </c>
      <c r="N7" s="376" t="s">
        <v>3746</v>
      </c>
      <c r="O7" s="376" t="s">
        <v>6992</v>
      </c>
      <c r="P7" s="376" t="s">
        <v>6982</v>
      </c>
      <c r="Q7" s="16">
        <f>COUNTIF('hedef liste'!A:A,A7)</f>
        <v>0</v>
      </c>
    </row>
    <row r="8" hidden="1">
      <c r="A8" s="376" t="s">
        <v>73</v>
      </c>
      <c r="B8" s="376" t="s">
        <v>6993</v>
      </c>
      <c r="C8" s="428" t="s">
        <v>6979</v>
      </c>
      <c r="D8" s="376" t="s">
        <v>3676</v>
      </c>
      <c r="E8" s="429">
        <v>7748.0</v>
      </c>
      <c r="F8" s="429">
        <v>228.0</v>
      </c>
      <c r="G8" s="429">
        <v>0.0</v>
      </c>
      <c r="H8" s="429">
        <v>45.0</v>
      </c>
      <c r="I8" s="429">
        <v>45.0</v>
      </c>
      <c r="J8" s="430">
        <v>0.0</v>
      </c>
      <c r="K8" s="376" t="s">
        <v>4357</v>
      </c>
      <c r="L8" s="376">
        <v>3.222420003E9</v>
      </c>
      <c r="M8" s="376" t="s">
        <v>14</v>
      </c>
      <c r="N8" s="376" t="s">
        <v>3826</v>
      </c>
      <c r="O8" s="376" t="s">
        <v>76</v>
      </c>
      <c r="P8" s="376" t="s">
        <v>3941</v>
      </c>
      <c r="Q8" s="16">
        <f>COUNTIF('hedef liste'!A:A,A8)</f>
        <v>1</v>
      </c>
    </row>
    <row r="9" hidden="1">
      <c r="A9" s="376" t="s">
        <v>6498</v>
      </c>
      <c r="B9" s="376" t="s">
        <v>6499</v>
      </c>
      <c r="C9" s="428" t="s">
        <v>6979</v>
      </c>
      <c r="D9" s="376" t="s">
        <v>4000</v>
      </c>
      <c r="E9" s="429">
        <v>3712.0</v>
      </c>
      <c r="F9" s="429">
        <v>214.0</v>
      </c>
      <c r="G9" s="429">
        <v>0.0</v>
      </c>
      <c r="H9" s="429">
        <v>35.0</v>
      </c>
      <c r="I9" s="429">
        <v>35.0</v>
      </c>
      <c r="J9" s="430">
        <v>0.0</v>
      </c>
      <c r="K9" s="376" t="s">
        <v>6500</v>
      </c>
      <c r="L9" s="376">
        <v>8.507500999E9</v>
      </c>
      <c r="M9" s="376" t="s">
        <v>14</v>
      </c>
      <c r="N9" s="376" t="s">
        <v>3797</v>
      </c>
      <c r="O9" s="376" t="s">
        <v>6501</v>
      </c>
      <c r="P9" s="376" t="s">
        <v>3941</v>
      </c>
      <c r="Q9" s="16">
        <f>COUNTIF('hedef liste'!A:A,A9)</f>
        <v>1</v>
      </c>
    </row>
    <row r="10" hidden="1">
      <c r="A10" s="376" t="s">
        <v>5103</v>
      </c>
      <c r="B10" s="376" t="s">
        <v>5104</v>
      </c>
      <c r="C10" s="428" t="s">
        <v>6979</v>
      </c>
      <c r="D10" s="376" t="s">
        <v>4000</v>
      </c>
      <c r="E10" s="429">
        <v>574.0</v>
      </c>
      <c r="F10" s="429">
        <v>36.0</v>
      </c>
      <c r="G10" s="429">
        <v>6.0</v>
      </c>
      <c r="H10" s="429">
        <v>2.0</v>
      </c>
      <c r="I10" s="429">
        <v>8.0</v>
      </c>
      <c r="J10" s="430">
        <v>0.75</v>
      </c>
      <c r="K10" s="376" t="s">
        <v>5105</v>
      </c>
      <c r="L10" s="376">
        <v>3.224598008E9</v>
      </c>
      <c r="M10" s="376" t="s">
        <v>286</v>
      </c>
      <c r="N10" s="376" t="s">
        <v>3688</v>
      </c>
      <c r="O10" s="376" t="s">
        <v>5106</v>
      </c>
      <c r="P10" s="376" t="s">
        <v>3941</v>
      </c>
      <c r="Q10" s="16">
        <f>COUNTIF('hedef liste'!A:A,A10)</f>
        <v>1</v>
      </c>
    </row>
    <row r="11" hidden="1">
      <c r="A11" s="376" t="s">
        <v>1176</v>
      </c>
      <c r="B11" s="376" t="s">
        <v>1177</v>
      </c>
      <c r="C11" s="428" t="s">
        <v>6979</v>
      </c>
      <c r="D11" s="376" t="s">
        <v>3699</v>
      </c>
      <c r="E11" s="429">
        <v>8566.0</v>
      </c>
      <c r="F11" s="429">
        <v>282.0</v>
      </c>
      <c r="G11" s="429">
        <v>82.0</v>
      </c>
      <c r="H11" s="429">
        <v>27.0</v>
      </c>
      <c r="I11" s="429">
        <v>109.0</v>
      </c>
      <c r="J11" s="430">
        <v>0.75</v>
      </c>
      <c r="K11" s="376" t="s">
        <v>6337</v>
      </c>
      <c r="L11" s="376">
        <v>5.422356939E9</v>
      </c>
      <c r="M11" s="376" t="s">
        <v>14</v>
      </c>
      <c r="N11" s="376" t="s">
        <v>3797</v>
      </c>
      <c r="O11" s="376" t="s">
        <v>1179</v>
      </c>
      <c r="P11" s="376" t="s">
        <v>3941</v>
      </c>
      <c r="Q11" s="16">
        <f>COUNTIF('hedef liste'!A:A,A11)</f>
        <v>1</v>
      </c>
    </row>
    <row r="12" hidden="1">
      <c r="A12" s="376" t="s">
        <v>556</v>
      </c>
      <c r="B12" s="376" t="s">
        <v>557</v>
      </c>
      <c r="C12" s="428" t="s">
        <v>6979</v>
      </c>
      <c r="D12" s="376" t="s">
        <v>3699</v>
      </c>
      <c r="E12" s="429">
        <v>2445.0</v>
      </c>
      <c r="F12" s="429">
        <v>84.0</v>
      </c>
      <c r="G12" s="429">
        <v>27.0</v>
      </c>
      <c r="H12" s="429">
        <v>18.0</v>
      </c>
      <c r="I12" s="429">
        <v>45.0</v>
      </c>
      <c r="J12" s="430">
        <v>0.6</v>
      </c>
      <c r="K12" s="376" t="s">
        <v>3838</v>
      </c>
      <c r="L12" s="376">
        <v>3.222255139E9</v>
      </c>
      <c r="M12" s="376" t="s">
        <v>286</v>
      </c>
      <c r="N12" s="376" t="s">
        <v>3746</v>
      </c>
      <c r="O12" s="376" t="s">
        <v>559</v>
      </c>
      <c r="P12" s="376" t="s">
        <v>3941</v>
      </c>
      <c r="Q12" s="16">
        <f>COUNTIF('hedef liste'!A:A,A12)</f>
        <v>1</v>
      </c>
    </row>
    <row r="13" hidden="1">
      <c r="A13" s="376" t="s">
        <v>6290</v>
      </c>
      <c r="B13" s="376" t="s">
        <v>6994</v>
      </c>
      <c r="C13" s="428" t="s">
        <v>6979</v>
      </c>
      <c r="D13" s="376" t="s">
        <v>3994</v>
      </c>
      <c r="E13" s="429">
        <v>7033.0</v>
      </c>
      <c r="F13" s="429">
        <v>254.0</v>
      </c>
      <c r="G13" s="429">
        <v>10.0</v>
      </c>
      <c r="H13" s="429">
        <v>90.0</v>
      </c>
      <c r="I13" s="429">
        <v>100.0</v>
      </c>
      <c r="J13" s="430">
        <v>0.1</v>
      </c>
      <c r="K13" s="376" t="s">
        <v>6292</v>
      </c>
      <c r="L13" s="376">
        <v>3.228820882E9</v>
      </c>
      <c r="M13" s="376" t="s">
        <v>3707</v>
      </c>
      <c r="N13" s="376" t="s">
        <v>4417</v>
      </c>
      <c r="O13" s="376" t="s">
        <v>6293</v>
      </c>
      <c r="P13" s="376" t="s">
        <v>3941</v>
      </c>
      <c r="Q13" s="16">
        <f>COUNTIF('hedef liste'!A:A,A13)</f>
        <v>1</v>
      </c>
    </row>
    <row r="14" hidden="1">
      <c r="A14" s="376" t="s">
        <v>711</v>
      </c>
      <c r="B14" s="376" t="s">
        <v>712</v>
      </c>
      <c r="C14" s="428" t="s">
        <v>6979</v>
      </c>
      <c r="D14" s="376" t="s">
        <v>3713</v>
      </c>
      <c r="E14" s="429">
        <v>3934.0</v>
      </c>
      <c r="F14" s="429">
        <v>42.0</v>
      </c>
      <c r="G14" s="429">
        <v>18.0</v>
      </c>
      <c r="H14" s="429">
        <v>3.0</v>
      </c>
      <c r="I14" s="429">
        <v>21.0</v>
      </c>
      <c r="J14" s="430">
        <v>0.86</v>
      </c>
      <c r="K14" s="376" t="s">
        <v>5210</v>
      </c>
      <c r="L14" s="376">
        <v>3.22247E9</v>
      </c>
      <c r="M14" s="376" t="s">
        <v>14</v>
      </c>
      <c r="N14" s="376" t="s">
        <v>3826</v>
      </c>
      <c r="O14" s="376" t="s">
        <v>715</v>
      </c>
      <c r="P14" s="376" t="s">
        <v>3941</v>
      </c>
      <c r="Q14" s="16">
        <f>COUNTIF('hedef liste'!A:A,A14)</f>
        <v>1</v>
      </c>
    </row>
    <row r="15" hidden="1">
      <c r="A15" s="376" t="s">
        <v>4311</v>
      </c>
      <c r="B15" s="376" t="s">
        <v>4312</v>
      </c>
      <c r="C15" s="428" t="s">
        <v>6979</v>
      </c>
      <c r="D15" s="376" t="s">
        <v>4000</v>
      </c>
      <c r="E15" s="429">
        <v>4535.0</v>
      </c>
      <c r="F15" s="429">
        <v>185.0</v>
      </c>
      <c r="G15" s="429">
        <v>0.0</v>
      </c>
      <c r="H15" s="429">
        <v>64.0</v>
      </c>
      <c r="I15" s="429">
        <v>64.0</v>
      </c>
      <c r="J15" s="430">
        <v>0.0</v>
      </c>
      <c r="K15" s="376" t="s">
        <v>4313</v>
      </c>
      <c r="L15" s="376">
        <v>8.50939909E9</v>
      </c>
      <c r="M15" s="376" t="s">
        <v>286</v>
      </c>
      <c r="N15" s="376" t="s">
        <v>3855</v>
      </c>
      <c r="O15" s="376" t="s">
        <v>4314</v>
      </c>
      <c r="P15" s="376" t="s">
        <v>3941</v>
      </c>
      <c r="Q15" s="16">
        <f>COUNTIF('hedef liste'!A:A,A15)</f>
        <v>1</v>
      </c>
    </row>
    <row r="16" hidden="1">
      <c r="A16" s="376" t="s">
        <v>4384</v>
      </c>
      <c r="B16" s="376" t="s">
        <v>4385</v>
      </c>
      <c r="C16" s="428" t="s">
        <v>6979</v>
      </c>
      <c r="D16" s="376" t="s">
        <v>3842</v>
      </c>
      <c r="E16" s="429">
        <v>23382.0</v>
      </c>
      <c r="F16" s="429">
        <v>844.0</v>
      </c>
      <c r="G16" s="429">
        <v>14.0</v>
      </c>
      <c r="H16" s="429">
        <v>66.0</v>
      </c>
      <c r="I16" s="429">
        <v>80.0</v>
      </c>
      <c r="J16" s="430">
        <v>0.18</v>
      </c>
      <c r="K16" s="376" t="s">
        <v>4380</v>
      </c>
      <c r="L16" s="376">
        <v>3.223111111E9</v>
      </c>
      <c r="M16" s="376" t="s">
        <v>14</v>
      </c>
      <c r="N16" s="376" t="s">
        <v>3914</v>
      </c>
      <c r="O16" s="376" t="s">
        <v>4386</v>
      </c>
      <c r="P16" s="376" t="s">
        <v>3941</v>
      </c>
      <c r="Q16" s="16">
        <f>COUNTIF('hedef liste'!A:A,A16)</f>
        <v>1</v>
      </c>
    </row>
    <row r="17" hidden="1">
      <c r="A17" s="376" t="s">
        <v>676</v>
      </c>
      <c r="B17" s="376" t="s">
        <v>677</v>
      </c>
      <c r="C17" s="428" t="s">
        <v>6979</v>
      </c>
      <c r="D17" s="376" t="s">
        <v>3907</v>
      </c>
      <c r="E17" s="429">
        <v>3580.0</v>
      </c>
      <c r="F17" s="429">
        <v>93.0</v>
      </c>
      <c r="G17" s="429">
        <v>13.0</v>
      </c>
      <c r="H17" s="429">
        <v>4.0</v>
      </c>
      <c r="I17" s="429">
        <v>17.0</v>
      </c>
      <c r="J17" s="430">
        <v>0.76</v>
      </c>
      <c r="K17" s="376" t="s">
        <v>3903</v>
      </c>
      <c r="L17" s="376">
        <v>5.457719101E9</v>
      </c>
      <c r="M17" s="376" t="s">
        <v>14</v>
      </c>
      <c r="N17" s="376" t="s">
        <v>3733</v>
      </c>
      <c r="O17" s="376" t="s">
        <v>679</v>
      </c>
      <c r="P17" s="376" t="s">
        <v>3941</v>
      </c>
      <c r="Q17" s="16">
        <f>COUNTIF('hedef liste'!A:A,A17)</f>
        <v>1</v>
      </c>
    </row>
    <row r="18" hidden="1">
      <c r="A18" s="376" t="s">
        <v>963</v>
      </c>
      <c r="B18" s="376" t="s">
        <v>964</v>
      </c>
      <c r="C18" s="428" t="s">
        <v>6979</v>
      </c>
      <c r="D18" s="376" t="s">
        <v>3713</v>
      </c>
      <c r="E18" s="429">
        <v>8924.0</v>
      </c>
      <c r="F18" s="429">
        <v>261.0</v>
      </c>
      <c r="G18" s="429">
        <v>0.0</v>
      </c>
      <c r="H18" s="429">
        <v>81.0</v>
      </c>
      <c r="I18" s="429">
        <v>81.0</v>
      </c>
      <c r="J18" s="430">
        <v>0.0</v>
      </c>
      <c r="K18" s="376" t="s">
        <v>5436</v>
      </c>
      <c r="L18" s="376">
        <v>3.22212E9</v>
      </c>
      <c r="M18" s="376" t="s">
        <v>14</v>
      </c>
      <c r="N18" s="376" t="s">
        <v>3797</v>
      </c>
      <c r="O18" s="376" t="s">
        <v>966</v>
      </c>
      <c r="P18" s="376" t="s">
        <v>3941</v>
      </c>
      <c r="Q18" s="16">
        <f>COUNTIF('hedef liste'!A:A,A18)</f>
        <v>1</v>
      </c>
    </row>
    <row r="19" hidden="1">
      <c r="A19" s="376" t="s">
        <v>6131</v>
      </c>
      <c r="B19" s="376" t="s">
        <v>6995</v>
      </c>
      <c r="C19" s="428" t="s">
        <v>6979</v>
      </c>
      <c r="D19" s="376" t="s">
        <v>3994</v>
      </c>
      <c r="E19" s="429">
        <v>369.0</v>
      </c>
      <c r="F19" s="429">
        <v>6.0</v>
      </c>
      <c r="G19" s="429">
        <v>0.0</v>
      </c>
      <c r="H19" s="429">
        <v>45.0</v>
      </c>
      <c r="I19" s="429">
        <v>45.0</v>
      </c>
      <c r="J19" s="430">
        <v>0.0</v>
      </c>
      <c r="K19" s="376" t="s">
        <v>6133</v>
      </c>
      <c r="L19" s="376">
        <v>3.22233323E9</v>
      </c>
      <c r="M19" s="376" t="s">
        <v>14</v>
      </c>
      <c r="N19" s="376" t="s">
        <v>3733</v>
      </c>
      <c r="O19" s="376" t="s">
        <v>6134</v>
      </c>
      <c r="P19" s="376" t="s">
        <v>3941</v>
      </c>
      <c r="Q19" s="16">
        <f>COUNTIF('hedef liste'!A:A,A19)</f>
        <v>1</v>
      </c>
    </row>
    <row r="20" hidden="1">
      <c r="A20" s="376" t="s">
        <v>274</v>
      </c>
      <c r="B20" s="376" t="s">
        <v>275</v>
      </c>
      <c r="C20" s="428" t="s">
        <v>6979</v>
      </c>
      <c r="D20" s="376" t="s">
        <v>3994</v>
      </c>
      <c r="E20" s="429">
        <v>1448.0</v>
      </c>
      <c r="F20" s="429">
        <v>19.0</v>
      </c>
      <c r="G20" s="429">
        <v>24.0</v>
      </c>
      <c r="H20" s="429">
        <v>60.0</v>
      </c>
      <c r="I20" s="429">
        <v>84.0</v>
      </c>
      <c r="J20" s="430">
        <v>0.29</v>
      </c>
      <c r="K20" s="376" t="s">
        <v>6241</v>
      </c>
      <c r="L20" s="376">
        <v>3.222341555E9</v>
      </c>
      <c r="M20" s="376" t="s">
        <v>14</v>
      </c>
      <c r="N20" s="376" t="s">
        <v>3733</v>
      </c>
      <c r="O20" s="376" t="s">
        <v>277</v>
      </c>
      <c r="P20" s="376" t="s">
        <v>3941</v>
      </c>
      <c r="Q20" s="16">
        <f>COUNTIF('hedef liste'!A:A,A20)</f>
        <v>1</v>
      </c>
    </row>
    <row r="21" hidden="1">
      <c r="A21" s="376" t="s">
        <v>2441</v>
      </c>
      <c r="B21" s="376" t="s">
        <v>2442</v>
      </c>
      <c r="C21" s="428" t="s">
        <v>6979</v>
      </c>
      <c r="D21" s="376" t="s">
        <v>3713</v>
      </c>
      <c r="E21" s="429">
        <v>5056.0</v>
      </c>
      <c r="F21" s="429">
        <v>40.0</v>
      </c>
      <c r="G21" s="429">
        <v>15.0</v>
      </c>
      <c r="H21" s="429">
        <v>11.0</v>
      </c>
      <c r="I21" s="429">
        <v>26.0</v>
      </c>
      <c r="J21" s="430">
        <v>0.58</v>
      </c>
      <c r="K21" s="376" t="s">
        <v>6554</v>
      </c>
      <c r="L21" s="376">
        <v>3.222260011E9</v>
      </c>
      <c r="M21" s="376" t="s">
        <v>286</v>
      </c>
      <c r="N21" s="376" t="s">
        <v>3961</v>
      </c>
      <c r="O21" s="376" t="s">
        <v>2444</v>
      </c>
      <c r="P21" s="376" t="s">
        <v>3941</v>
      </c>
      <c r="Q21" s="16">
        <f>COUNTIF('hedef liste'!A:A,A21)</f>
        <v>1</v>
      </c>
    </row>
    <row r="22" hidden="1">
      <c r="A22" s="376" t="s">
        <v>6260</v>
      </c>
      <c r="B22" s="376" t="s">
        <v>6261</v>
      </c>
      <c r="C22" s="428" t="s">
        <v>6979</v>
      </c>
      <c r="D22" s="376" t="s">
        <v>3994</v>
      </c>
      <c r="E22" s="429">
        <v>6891.0</v>
      </c>
      <c r="F22" s="429">
        <v>154.0</v>
      </c>
      <c r="G22" s="429">
        <v>11.0</v>
      </c>
      <c r="H22" s="429">
        <v>84.0</v>
      </c>
      <c r="I22" s="429">
        <v>95.0</v>
      </c>
      <c r="J22" s="430">
        <v>0.12</v>
      </c>
      <c r="K22" s="376" t="s">
        <v>4380</v>
      </c>
      <c r="L22" s="376">
        <v>3.222420303E9</v>
      </c>
      <c r="M22" s="376" t="s">
        <v>14</v>
      </c>
      <c r="N22" s="376" t="s">
        <v>3718</v>
      </c>
      <c r="O22" s="376" t="s">
        <v>6262</v>
      </c>
      <c r="P22" s="376" t="s">
        <v>3941</v>
      </c>
      <c r="Q22" s="16">
        <f>COUNTIF('hedef liste'!A:A,A22)</f>
        <v>1</v>
      </c>
    </row>
    <row r="23" hidden="1">
      <c r="A23" s="376" t="s">
        <v>6286</v>
      </c>
      <c r="B23" s="376" t="s">
        <v>6287</v>
      </c>
      <c r="C23" s="428" t="s">
        <v>6979</v>
      </c>
      <c r="D23" s="376" t="s">
        <v>3994</v>
      </c>
      <c r="E23" s="429">
        <v>7668.0</v>
      </c>
      <c r="F23" s="429">
        <v>290.0</v>
      </c>
      <c r="G23" s="429">
        <v>10.0</v>
      </c>
      <c r="H23" s="429">
        <v>96.0</v>
      </c>
      <c r="I23" s="429">
        <v>106.0</v>
      </c>
      <c r="J23" s="430">
        <v>0.09</v>
      </c>
      <c r="K23" s="376" t="s">
        <v>6271</v>
      </c>
      <c r="L23" s="376">
        <v>3.22220002E9</v>
      </c>
      <c r="M23" s="376" t="s">
        <v>286</v>
      </c>
      <c r="N23" s="376" t="s">
        <v>3754</v>
      </c>
      <c r="O23" s="376" t="s">
        <v>6288</v>
      </c>
      <c r="P23" s="376" t="s">
        <v>3941</v>
      </c>
      <c r="Q23" s="16">
        <f>COUNTIF('hedef liste'!A:A,A23)</f>
        <v>1</v>
      </c>
    </row>
    <row r="24" hidden="1">
      <c r="A24" s="376" t="s">
        <v>4499</v>
      </c>
      <c r="B24" s="376" t="s">
        <v>4500</v>
      </c>
      <c r="C24" s="428" t="s">
        <v>6979</v>
      </c>
      <c r="D24" s="376" t="s">
        <v>3878</v>
      </c>
      <c r="E24" s="429">
        <v>265.0</v>
      </c>
      <c r="F24" s="429">
        <v>15.0</v>
      </c>
      <c r="G24" s="429">
        <v>0.0</v>
      </c>
      <c r="H24" s="429">
        <v>40.0</v>
      </c>
      <c r="I24" s="429">
        <v>40.0</v>
      </c>
      <c r="J24" s="430">
        <v>0.0</v>
      </c>
      <c r="K24" s="376" t="s">
        <v>4501</v>
      </c>
      <c r="L24" s="376">
        <v>5.444581939E9</v>
      </c>
      <c r="M24" s="376" t="s">
        <v>286</v>
      </c>
      <c r="N24" s="376" t="s">
        <v>3737</v>
      </c>
      <c r="O24" s="376" t="s">
        <v>4502</v>
      </c>
      <c r="P24" s="376" t="s">
        <v>3941</v>
      </c>
      <c r="Q24" s="16">
        <f>COUNTIF('hedef liste'!A:A,A24)</f>
        <v>1</v>
      </c>
    </row>
    <row r="25" hidden="1">
      <c r="A25" s="376" t="s">
        <v>4575</v>
      </c>
      <c r="B25" s="376" t="s">
        <v>4576</v>
      </c>
      <c r="C25" s="428" t="s">
        <v>6979</v>
      </c>
      <c r="D25" s="376" t="s">
        <v>3676</v>
      </c>
      <c r="E25" s="429">
        <v>8717.0</v>
      </c>
      <c r="F25" s="429">
        <v>583.0</v>
      </c>
      <c r="G25" s="429">
        <v>0.0</v>
      </c>
      <c r="H25" s="429">
        <v>14.0</v>
      </c>
      <c r="I25" s="429">
        <v>14.0</v>
      </c>
      <c r="J25" s="430">
        <v>0.0</v>
      </c>
      <c r="K25" s="376" t="s">
        <v>4577</v>
      </c>
      <c r="L25" s="376">
        <v>3.222030505E9</v>
      </c>
      <c r="M25" s="376" t="s">
        <v>14</v>
      </c>
      <c r="N25" s="376" t="s">
        <v>3733</v>
      </c>
      <c r="O25" s="376" t="s">
        <v>4578</v>
      </c>
      <c r="P25" s="376" t="s">
        <v>3941</v>
      </c>
      <c r="Q25" s="16">
        <f>COUNTIF('hedef liste'!A:A,A25)</f>
        <v>1</v>
      </c>
    </row>
    <row r="26" hidden="1">
      <c r="A26" s="376" t="s">
        <v>6996</v>
      </c>
      <c r="B26" s="376" t="s">
        <v>6997</v>
      </c>
      <c r="C26" s="428" t="s">
        <v>6979</v>
      </c>
      <c r="D26" s="376" t="s">
        <v>3801</v>
      </c>
      <c r="E26" s="429">
        <v>2696.0</v>
      </c>
      <c r="F26" s="429">
        <v>100.0</v>
      </c>
      <c r="G26" s="429">
        <v>96.0</v>
      </c>
      <c r="H26" s="429">
        <v>4.0</v>
      </c>
      <c r="I26" s="429">
        <v>100.0</v>
      </c>
      <c r="J26" s="430">
        <v>0.96</v>
      </c>
      <c r="K26" s="376" t="s">
        <v>6998</v>
      </c>
      <c r="L26" s="376">
        <v>5.421430201E9</v>
      </c>
      <c r="M26" s="376" t="s">
        <v>286</v>
      </c>
      <c r="N26" s="376" t="s">
        <v>3737</v>
      </c>
      <c r="O26" s="376" t="s">
        <v>6999</v>
      </c>
      <c r="P26" s="376" t="s">
        <v>6982</v>
      </c>
      <c r="Q26" s="16">
        <f>COUNTIF('hedef liste'!A:A,A26)</f>
        <v>0</v>
      </c>
    </row>
    <row r="27" hidden="1">
      <c r="A27" s="376" t="s">
        <v>246</v>
      </c>
      <c r="B27" s="376" t="s">
        <v>247</v>
      </c>
      <c r="C27" s="428" t="s">
        <v>6979</v>
      </c>
      <c r="D27" s="376" t="s">
        <v>3994</v>
      </c>
      <c r="E27" s="429">
        <v>258.0</v>
      </c>
      <c r="F27" s="429">
        <v>3.0</v>
      </c>
      <c r="G27" s="429">
        <v>8.0</v>
      </c>
      <c r="H27" s="429">
        <v>39.0</v>
      </c>
      <c r="I27" s="429">
        <v>47.0</v>
      </c>
      <c r="J27" s="430">
        <v>0.17</v>
      </c>
      <c r="K27" s="376" t="s">
        <v>6241</v>
      </c>
      <c r="L27" s="376">
        <v>3.222341555E9</v>
      </c>
      <c r="M27" s="376" t="s">
        <v>14</v>
      </c>
      <c r="N27" s="376" t="s">
        <v>3797</v>
      </c>
      <c r="O27" s="376" t="s">
        <v>250</v>
      </c>
      <c r="P27" s="376" t="s">
        <v>3941</v>
      </c>
      <c r="Q27" s="16">
        <f>COUNTIF('hedef liste'!A:A,A27)</f>
        <v>1</v>
      </c>
    </row>
    <row r="28" hidden="1">
      <c r="A28" s="376" t="s">
        <v>231</v>
      </c>
      <c r="B28" s="376" t="s">
        <v>7000</v>
      </c>
      <c r="C28" s="428" t="s">
        <v>6979</v>
      </c>
      <c r="D28" s="376" t="s">
        <v>3699</v>
      </c>
      <c r="E28" s="429">
        <v>4777.0</v>
      </c>
      <c r="F28" s="429">
        <v>210.0</v>
      </c>
      <c r="G28" s="429">
        <v>19.0</v>
      </c>
      <c r="H28" s="429">
        <v>47.0</v>
      </c>
      <c r="I28" s="429">
        <v>66.0</v>
      </c>
      <c r="J28" s="430">
        <v>0.29</v>
      </c>
      <c r="K28" s="376" t="s">
        <v>4869</v>
      </c>
      <c r="L28" s="376">
        <v>5.376237336E9</v>
      </c>
      <c r="M28" s="376" t="s">
        <v>14</v>
      </c>
      <c r="N28" s="376" t="s">
        <v>3797</v>
      </c>
      <c r="O28" s="376" t="s">
        <v>235</v>
      </c>
      <c r="P28" s="376" t="s">
        <v>3941</v>
      </c>
      <c r="Q28" s="16">
        <f>COUNTIF('hedef liste'!A:A,A28)</f>
        <v>1</v>
      </c>
    </row>
    <row r="29" hidden="1">
      <c r="A29" s="376" t="s">
        <v>400</v>
      </c>
      <c r="B29" s="376" t="s">
        <v>401</v>
      </c>
      <c r="C29" s="428" t="s">
        <v>6979</v>
      </c>
      <c r="D29" s="376" t="s">
        <v>3713</v>
      </c>
      <c r="E29" s="429">
        <v>5434.0</v>
      </c>
      <c r="F29" s="429">
        <v>131.0</v>
      </c>
      <c r="G29" s="429">
        <v>0.0</v>
      </c>
      <c r="H29" s="429">
        <v>87.0</v>
      </c>
      <c r="I29" s="429">
        <v>87.0</v>
      </c>
      <c r="J29" s="430">
        <v>0.0</v>
      </c>
      <c r="K29" s="376" t="s">
        <v>5914</v>
      </c>
      <c r="L29" s="376">
        <v>5.551653401E9</v>
      </c>
      <c r="M29" s="376" t="s">
        <v>286</v>
      </c>
      <c r="N29" s="376" t="s">
        <v>3855</v>
      </c>
      <c r="O29" s="376" t="s">
        <v>403</v>
      </c>
      <c r="P29" s="376" t="s">
        <v>3941</v>
      </c>
      <c r="Q29" s="16">
        <f>COUNTIF('hedef liste'!A:A,A29)</f>
        <v>1</v>
      </c>
    </row>
    <row r="30" hidden="1">
      <c r="A30" s="376" t="s">
        <v>1087</v>
      </c>
      <c r="B30" s="376" t="s">
        <v>1088</v>
      </c>
      <c r="C30" s="428" t="s">
        <v>6979</v>
      </c>
      <c r="D30" s="376" t="s">
        <v>3676</v>
      </c>
      <c r="E30" s="429">
        <v>5582.0</v>
      </c>
      <c r="F30" s="429">
        <v>281.0</v>
      </c>
      <c r="G30" s="429">
        <v>14.0</v>
      </c>
      <c r="H30" s="429">
        <v>13.0</v>
      </c>
      <c r="I30" s="429">
        <v>27.0</v>
      </c>
      <c r="J30" s="430">
        <v>0.52</v>
      </c>
      <c r="K30" s="376" t="s">
        <v>6709</v>
      </c>
      <c r="L30" s="376">
        <v>3.2221101E9</v>
      </c>
      <c r="M30" s="376" t="s">
        <v>14</v>
      </c>
      <c r="N30" s="376" t="s">
        <v>3733</v>
      </c>
      <c r="O30" s="376" t="s">
        <v>1090</v>
      </c>
      <c r="P30" s="376" t="s">
        <v>3941</v>
      </c>
      <c r="Q30" s="16">
        <f>COUNTIF('hedef liste'!A:A,A30)</f>
        <v>1</v>
      </c>
    </row>
    <row r="31" hidden="1">
      <c r="A31" s="376" t="s">
        <v>7001</v>
      </c>
      <c r="B31" s="376" t="s">
        <v>7002</v>
      </c>
      <c r="C31" s="428" t="s">
        <v>6979</v>
      </c>
      <c r="D31" s="376" t="s">
        <v>3801</v>
      </c>
      <c r="E31" s="429">
        <v>332.0</v>
      </c>
      <c r="F31" s="429">
        <v>64.0</v>
      </c>
      <c r="G31" s="429">
        <v>95.0</v>
      </c>
      <c r="H31" s="429">
        <v>4.0</v>
      </c>
      <c r="I31" s="429">
        <v>99.0</v>
      </c>
      <c r="J31" s="430">
        <v>0.96</v>
      </c>
      <c r="K31" s="376" t="s">
        <v>6998</v>
      </c>
      <c r="L31" s="376">
        <v>5.458631779E9</v>
      </c>
      <c r="M31" s="376" t="s">
        <v>3701</v>
      </c>
      <c r="N31" s="376" t="s">
        <v>3702</v>
      </c>
      <c r="O31" s="376" t="s">
        <v>7003</v>
      </c>
      <c r="P31" s="376" t="s">
        <v>6982</v>
      </c>
      <c r="Q31" s="16">
        <f>COUNTIF('hedef liste'!A:A,A31)</f>
        <v>0</v>
      </c>
    </row>
    <row r="32" hidden="1">
      <c r="A32" s="376" t="s">
        <v>2401</v>
      </c>
      <c r="B32" s="376" t="s">
        <v>7004</v>
      </c>
      <c r="C32" s="428" t="s">
        <v>6979</v>
      </c>
      <c r="D32" s="376" t="s">
        <v>3713</v>
      </c>
      <c r="E32" s="429">
        <v>7170.0</v>
      </c>
      <c r="F32" s="429">
        <v>131.0</v>
      </c>
      <c r="G32" s="429">
        <v>0.0</v>
      </c>
      <c r="H32" s="429">
        <v>29.0</v>
      </c>
      <c r="I32" s="429">
        <v>29.0</v>
      </c>
      <c r="J32" s="430">
        <v>0.0</v>
      </c>
      <c r="K32" s="376" t="s">
        <v>5399</v>
      </c>
      <c r="L32" s="376">
        <v>3.222346444E9</v>
      </c>
      <c r="M32" s="376" t="s">
        <v>14</v>
      </c>
      <c r="N32" s="376" t="s">
        <v>3733</v>
      </c>
      <c r="O32" s="376" t="s">
        <v>2404</v>
      </c>
      <c r="P32" s="376" t="s">
        <v>3941</v>
      </c>
      <c r="Q32" s="16">
        <f>COUNTIF('hedef liste'!A:A,A32)</f>
        <v>1</v>
      </c>
    </row>
    <row r="33" hidden="1">
      <c r="A33" s="376" t="s">
        <v>2491</v>
      </c>
      <c r="B33" s="376" t="s">
        <v>2492</v>
      </c>
      <c r="C33" s="428" t="s">
        <v>6979</v>
      </c>
      <c r="D33" s="376" t="s">
        <v>3676</v>
      </c>
      <c r="E33" s="429">
        <v>8005.0</v>
      </c>
      <c r="F33" s="429">
        <v>229.0</v>
      </c>
      <c r="G33" s="429">
        <v>16.0</v>
      </c>
      <c r="H33" s="429">
        <v>6.0</v>
      </c>
      <c r="I33" s="429">
        <v>22.0</v>
      </c>
      <c r="J33" s="430">
        <v>0.73</v>
      </c>
      <c r="K33" s="376" t="s">
        <v>6194</v>
      </c>
      <c r="L33" s="376">
        <v>3.224320909E9</v>
      </c>
      <c r="M33" s="376" t="s">
        <v>286</v>
      </c>
      <c r="N33" s="376" t="s">
        <v>4217</v>
      </c>
      <c r="O33" s="376" t="s">
        <v>2494</v>
      </c>
      <c r="P33" s="376" t="s">
        <v>3941</v>
      </c>
      <c r="Q33" s="16">
        <f>COUNTIF('hedef liste'!A:A,A33)</f>
        <v>1</v>
      </c>
    </row>
    <row r="34" hidden="1">
      <c r="A34" s="376" t="s">
        <v>7005</v>
      </c>
      <c r="B34" s="376" t="s">
        <v>7006</v>
      </c>
      <c r="C34" s="428" t="s">
        <v>6979</v>
      </c>
      <c r="D34" s="376" t="s">
        <v>3801</v>
      </c>
      <c r="E34" s="429">
        <v>340.0</v>
      </c>
      <c r="F34" s="429">
        <v>38.0</v>
      </c>
      <c r="G34" s="429">
        <v>85.0</v>
      </c>
      <c r="H34" s="429">
        <v>3.0</v>
      </c>
      <c r="I34" s="429">
        <v>88.0</v>
      </c>
      <c r="J34" s="430">
        <v>0.97</v>
      </c>
      <c r="K34" s="376" t="s">
        <v>6998</v>
      </c>
      <c r="L34" s="376">
        <v>5.327929152E9</v>
      </c>
      <c r="M34" s="376" t="s">
        <v>14</v>
      </c>
      <c r="N34" s="376" t="s">
        <v>3826</v>
      </c>
      <c r="O34" s="376" t="s">
        <v>7007</v>
      </c>
      <c r="P34" s="376" t="s">
        <v>6982</v>
      </c>
      <c r="Q34" s="16">
        <f>COUNTIF('hedef liste'!A:A,A34)</f>
        <v>0</v>
      </c>
    </row>
    <row r="35" hidden="1">
      <c r="A35" s="376" t="s">
        <v>2496</v>
      </c>
      <c r="B35" s="376" t="s">
        <v>2497</v>
      </c>
      <c r="C35" s="428" t="s">
        <v>6979</v>
      </c>
      <c r="D35" s="376" t="s">
        <v>3994</v>
      </c>
      <c r="E35" s="429">
        <v>632.0</v>
      </c>
      <c r="F35" s="429">
        <v>39.0</v>
      </c>
      <c r="G35" s="429">
        <v>29.0</v>
      </c>
      <c r="H35" s="429">
        <v>7.0</v>
      </c>
      <c r="I35" s="429">
        <v>36.0</v>
      </c>
      <c r="J35" s="430">
        <v>0.81</v>
      </c>
      <c r="K35" s="376" t="s">
        <v>5550</v>
      </c>
      <c r="L35" s="376">
        <v>3.224226115E9</v>
      </c>
      <c r="M35" s="376" t="s">
        <v>286</v>
      </c>
      <c r="N35" s="376" t="s">
        <v>3688</v>
      </c>
      <c r="O35" s="376" t="s">
        <v>2499</v>
      </c>
      <c r="P35" s="376" t="s">
        <v>3941</v>
      </c>
      <c r="Q35" s="16">
        <f>COUNTIF('hedef liste'!A:A,A35)</f>
        <v>1</v>
      </c>
    </row>
    <row r="36" hidden="1">
      <c r="A36" s="376" t="s">
        <v>51</v>
      </c>
      <c r="B36" s="376" t="s">
        <v>7008</v>
      </c>
      <c r="C36" s="428" t="s">
        <v>6979</v>
      </c>
      <c r="D36" s="376" t="s">
        <v>3676</v>
      </c>
      <c r="E36" s="429">
        <v>39663.0</v>
      </c>
      <c r="F36" s="429">
        <v>1490.0</v>
      </c>
      <c r="G36" s="429">
        <v>7.0</v>
      </c>
      <c r="H36" s="429">
        <v>26.0</v>
      </c>
      <c r="I36" s="429">
        <v>33.0</v>
      </c>
      <c r="J36" s="430">
        <v>0.21</v>
      </c>
      <c r="K36" s="376" t="s">
        <v>3945</v>
      </c>
      <c r="L36" s="376">
        <v>3.227770303E9</v>
      </c>
      <c r="M36" s="376" t="s">
        <v>14</v>
      </c>
      <c r="N36" s="376" t="s">
        <v>3797</v>
      </c>
      <c r="O36" s="376" t="s">
        <v>53</v>
      </c>
      <c r="P36" s="376" t="s">
        <v>3941</v>
      </c>
      <c r="Q36" s="16">
        <f>COUNTIF('hedef liste'!A:A,A36)</f>
        <v>1</v>
      </c>
    </row>
    <row r="37" hidden="1">
      <c r="A37" s="376" t="s">
        <v>5490</v>
      </c>
      <c r="B37" s="376" t="s">
        <v>5491</v>
      </c>
      <c r="C37" s="428" t="s">
        <v>6979</v>
      </c>
      <c r="D37" s="376" t="s">
        <v>3699</v>
      </c>
      <c r="E37" s="429">
        <v>3647.0</v>
      </c>
      <c r="F37" s="429">
        <v>172.0</v>
      </c>
      <c r="G37" s="429">
        <v>7.0</v>
      </c>
      <c r="H37" s="429">
        <v>21.0</v>
      </c>
      <c r="I37" s="429">
        <v>28.0</v>
      </c>
      <c r="J37" s="430">
        <v>0.25</v>
      </c>
      <c r="K37" s="376" t="s">
        <v>5492</v>
      </c>
      <c r="L37" s="376">
        <v>5.359770301E9</v>
      </c>
      <c r="M37" s="376" t="s">
        <v>14</v>
      </c>
      <c r="N37" s="376" t="s">
        <v>3718</v>
      </c>
      <c r="O37" s="376" t="s">
        <v>5493</v>
      </c>
      <c r="P37" s="376" t="s">
        <v>3941</v>
      </c>
      <c r="Q37" s="16">
        <f>COUNTIF('hedef liste'!A:A,A37)</f>
        <v>1</v>
      </c>
    </row>
    <row r="38" hidden="1">
      <c r="A38" s="376" t="s">
        <v>7009</v>
      </c>
      <c r="B38" s="376" t="s">
        <v>7010</v>
      </c>
      <c r="C38" s="428" t="s">
        <v>7011</v>
      </c>
      <c r="D38" s="376" t="s">
        <v>3801</v>
      </c>
      <c r="E38" s="429">
        <v>193.0</v>
      </c>
      <c r="F38" s="431"/>
      <c r="G38" s="429">
        <v>60.0</v>
      </c>
      <c r="H38" s="429">
        <v>4.0</v>
      </c>
      <c r="I38" s="429">
        <v>64.0</v>
      </c>
      <c r="J38" s="430">
        <v>0.94</v>
      </c>
      <c r="K38" s="376" t="s">
        <v>6998</v>
      </c>
      <c r="L38" s="376">
        <v>5.443500301E9</v>
      </c>
      <c r="M38" s="376" t="s">
        <v>3707</v>
      </c>
      <c r="N38" s="376" t="s">
        <v>3715</v>
      </c>
      <c r="O38" s="376" t="s">
        <v>7012</v>
      </c>
      <c r="P38" s="376" t="s">
        <v>6982</v>
      </c>
      <c r="Q38" s="16">
        <f>COUNTIF('hedef liste'!A:A,A38)</f>
        <v>0</v>
      </c>
    </row>
    <row r="39" hidden="1">
      <c r="A39" s="376" t="s">
        <v>7013</v>
      </c>
      <c r="B39" s="376" t="s">
        <v>7014</v>
      </c>
      <c r="C39" s="428" t="s">
        <v>6979</v>
      </c>
      <c r="D39" s="376" t="s">
        <v>3801</v>
      </c>
      <c r="E39" s="429">
        <v>1492.0</v>
      </c>
      <c r="F39" s="429">
        <v>30.0</v>
      </c>
      <c r="G39" s="429">
        <v>102.0</v>
      </c>
      <c r="H39" s="429">
        <v>4.0</v>
      </c>
      <c r="I39" s="429">
        <v>106.0</v>
      </c>
      <c r="J39" s="430">
        <v>0.96</v>
      </c>
      <c r="K39" s="376" t="s">
        <v>6998</v>
      </c>
      <c r="L39" s="376">
        <v>5.050156992E9</v>
      </c>
      <c r="M39" s="376" t="s">
        <v>286</v>
      </c>
      <c r="N39" s="376" t="s">
        <v>3980</v>
      </c>
      <c r="O39" s="376" t="s">
        <v>7015</v>
      </c>
      <c r="P39" s="376" t="s">
        <v>6982</v>
      </c>
      <c r="Q39" s="16">
        <f>COUNTIF('hedef liste'!A:A,A39)</f>
        <v>0</v>
      </c>
    </row>
    <row r="40" hidden="1">
      <c r="A40" s="376" t="s">
        <v>7016</v>
      </c>
      <c r="B40" s="376" t="s">
        <v>7017</v>
      </c>
      <c r="C40" s="428" t="s">
        <v>6979</v>
      </c>
      <c r="D40" s="376" t="s">
        <v>3801</v>
      </c>
      <c r="E40" s="429">
        <v>1178.0</v>
      </c>
      <c r="F40" s="429">
        <v>39.0</v>
      </c>
      <c r="G40" s="429">
        <v>50.0</v>
      </c>
      <c r="H40" s="429">
        <v>3.0</v>
      </c>
      <c r="I40" s="429">
        <v>53.0</v>
      </c>
      <c r="J40" s="430">
        <v>0.94</v>
      </c>
      <c r="K40" s="376" t="s">
        <v>6998</v>
      </c>
      <c r="L40" s="376">
        <v>5.34226529E9</v>
      </c>
      <c r="M40" s="376" t="s">
        <v>286</v>
      </c>
      <c r="N40" s="376" t="s">
        <v>7018</v>
      </c>
      <c r="O40" s="376" t="s">
        <v>7019</v>
      </c>
      <c r="P40" s="376" t="s">
        <v>6982</v>
      </c>
      <c r="Q40" s="16">
        <f>COUNTIF('hedef liste'!A:A,A40)</f>
        <v>0</v>
      </c>
    </row>
    <row r="41" hidden="1">
      <c r="A41" s="376" t="s">
        <v>7020</v>
      </c>
      <c r="B41" s="376" t="s">
        <v>7021</v>
      </c>
      <c r="C41" s="428" t="s">
        <v>6979</v>
      </c>
      <c r="D41" s="376" t="s">
        <v>3801</v>
      </c>
      <c r="E41" s="429">
        <v>1105.0</v>
      </c>
      <c r="F41" s="429">
        <v>45.0</v>
      </c>
      <c r="G41" s="429">
        <v>76.0</v>
      </c>
      <c r="H41" s="429">
        <v>2.0</v>
      </c>
      <c r="I41" s="429">
        <v>78.0</v>
      </c>
      <c r="J41" s="430">
        <v>0.97</v>
      </c>
      <c r="K41" s="376" t="s">
        <v>6998</v>
      </c>
      <c r="L41" s="376">
        <v>5.418214826E9</v>
      </c>
      <c r="M41" s="376" t="s">
        <v>14</v>
      </c>
      <c r="N41" s="376" t="s">
        <v>3678</v>
      </c>
      <c r="O41" s="376" t="s">
        <v>7022</v>
      </c>
      <c r="P41" s="376" t="s">
        <v>6982</v>
      </c>
      <c r="Q41" s="16">
        <f>COUNTIF('hedef liste'!A:A,A41)</f>
        <v>0</v>
      </c>
    </row>
    <row r="42" hidden="1">
      <c r="A42" s="376" t="s">
        <v>1386</v>
      </c>
      <c r="B42" s="376" t="s">
        <v>7023</v>
      </c>
      <c r="C42" s="428" t="s">
        <v>6979</v>
      </c>
      <c r="D42" s="376" t="s">
        <v>3713</v>
      </c>
      <c r="E42" s="429">
        <v>4029.0</v>
      </c>
      <c r="F42" s="429">
        <v>35.0</v>
      </c>
      <c r="G42" s="429">
        <v>0.0</v>
      </c>
      <c r="H42" s="429">
        <v>75.0</v>
      </c>
      <c r="I42" s="429">
        <v>75.0</v>
      </c>
      <c r="J42" s="430">
        <v>0.0</v>
      </c>
      <c r="K42" s="376" t="s">
        <v>3732</v>
      </c>
      <c r="L42" s="376">
        <v>3.224546565E9</v>
      </c>
      <c r="M42" s="376" t="s">
        <v>286</v>
      </c>
      <c r="N42" s="376" t="s">
        <v>3737</v>
      </c>
      <c r="O42" s="376" t="s">
        <v>1391</v>
      </c>
      <c r="P42" s="376" t="s">
        <v>3941</v>
      </c>
      <c r="Q42" s="16">
        <f>COUNTIF('hedef liste'!A:A,A42)</f>
        <v>1</v>
      </c>
    </row>
    <row r="43" hidden="1">
      <c r="A43" s="376" t="s">
        <v>7024</v>
      </c>
      <c r="B43" s="376" t="s">
        <v>7025</v>
      </c>
      <c r="C43" s="428" t="s">
        <v>6979</v>
      </c>
      <c r="D43" s="376" t="s">
        <v>3801</v>
      </c>
      <c r="E43" s="429">
        <v>1075.0</v>
      </c>
      <c r="F43" s="429">
        <v>105.0</v>
      </c>
      <c r="G43" s="429">
        <v>39.0</v>
      </c>
      <c r="H43" s="429">
        <v>3.0</v>
      </c>
      <c r="I43" s="429">
        <v>42.0</v>
      </c>
      <c r="J43" s="430">
        <v>0.93</v>
      </c>
      <c r="K43" s="376" t="s">
        <v>6998</v>
      </c>
      <c r="L43" s="376">
        <v>5.449660405E9</v>
      </c>
      <c r="M43" s="376" t="s">
        <v>14</v>
      </c>
      <c r="N43" s="376" t="s">
        <v>3733</v>
      </c>
      <c r="O43" s="376" t="s">
        <v>7026</v>
      </c>
      <c r="P43" s="376" t="s">
        <v>6982</v>
      </c>
      <c r="Q43" s="16">
        <f>COUNTIF('hedef liste'!A:A,A43)</f>
        <v>0</v>
      </c>
    </row>
    <row r="44" hidden="1">
      <c r="A44" s="376" t="s">
        <v>7027</v>
      </c>
      <c r="B44" s="376" t="s">
        <v>7028</v>
      </c>
      <c r="C44" s="428" t="s">
        <v>6979</v>
      </c>
      <c r="D44" s="376" t="s">
        <v>3801</v>
      </c>
      <c r="E44" s="429">
        <v>3465.0</v>
      </c>
      <c r="F44" s="429">
        <v>74.0</v>
      </c>
      <c r="G44" s="429">
        <v>51.0</v>
      </c>
      <c r="H44" s="429">
        <v>3.0</v>
      </c>
      <c r="I44" s="429">
        <v>54.0</v>
      </c>
      <c r="J44" s="430">
        <v>0.94</v>
      </c>
      <c r="K44" s="376" t="s">
        <v>6998</v>
      </c>
      <c r="L44" s="376">
        <v>5.052112286E9</v>
      </c>
      <c r="M44" s="376" t="s">
        <v>3707</v>
      </c>
      <c r="N44" s="376" t="s">
        <v>3708</v>
      </c>
      <c r="O44" s="376" t="s">
        <v>7029</v>
      </c>
      <c r="P44" s="376" t="s">
        <v>6982</v>
      </c>
      <c r="Q44" s="16">
        <f>COUNTIF('hedef liste'!A:A,A44)</f>
        <v>0</v>
      </c>
    </row>
    <row r="45" hidden="1">
      <c r="A45" s="376" t="s">
        <v>7030</v>
      </c>
      <c r="B45" s="376" t="s">
        <v>7031</v>
      </c>
      <c r="C45" s="428" t="s">
        <v>6979</v>
      </c>
      <c r="D45" s="376" t="s">
        <v>3801</v>
      </c>
      <c r="E45" s="429">
        <v>10054.0</v>
      </c>
      <c r="F45" s="429">
        <v>351.0</v>
      </c>
      <c r="G45" s="429">
        <v>99.0</v>
      </c>
      <c r="H45" s="429">
        <v>11.0</v>
      </c>
      <c r="I45" s="429">
        <v>110.0</v>
      </c>
      <c r="J45" s="430">
        <v>0.9</v>
      </c>
      <c r="K45" s="376" t="s">
        <v>6998</v>
      </c>
      <c r="L45" s="376">
        <v>3.223290655E9</v>
      </c>
      <c r="M45" s="376" t="s">
        <v>286</v>
      </c>
      <c r="N45" s="376" t="s">
        <v>3782</v>
      </c>
      <c r="O45" s="376" t="s">
        <v>7032</v>
      </c>
      <c r="P45" s="376" t="s">
        <v>6982</v>
      </c>
      <c r="Q45" s="16">
        <f>COUNTIF('hedef liste'!A:A,A45)</f>
        <v>0</v>
      </c>
    </row>
    <row r="46" hidden="1">
      <c r="A46" s="376" t="s">
        <v>7033</v>
      </c>
      <c r="B46" s="376" t="s">
        <v>7034</v>
      </c>
      <c r="C46" s="428" t="s">
        <v>6979</v>
      </c>
      <c r="D46" s="376" t="s">
        <v>3801</v>
      </c>
      <c r="E46" s="429">
        <v>3463.0</v>
      </c>
      <c r="F46" s="429">
        <v>76.0</v>
      </c>
      <c r="G46" s="429">
        <v>70.0</v>
      </c>
      <c r="H46" s="429">
        <v>6.0</v>
      </c>
      <c r="I46" s="429">
        <v>76.0</v>
      </c>
      <c r="J46" s="430">
        <v>0.92</v>
      </c>
      <c r="K46" s="376" t="s">
        <v>6998</v>
      </c>
      <c r="L46" s="376">
        <v>5.366098062E9</v>
      </c>
      <c r="M46" s="376" t="s">
        <v>14</v>
      </c>
      <c r="N46" s="376" t="s">
        <v>3767</v>
      </c>
      <c r="O46" s="376" t="s">
        <v>7035</v>
      </c>
      <c r="P46" s="376" t="s">
        <v>6982</v>
      </c>
      <c r="Q46" s="16">
        <f>COUNTIF('hedef liste'!A:A,A46)</f>
        <v>0</v>
      </c>
    </row>
    <row r="47" hidden="1">
      <c r="A47" s="376" t="s">
        <v>7036</v>
      </c>
      <c r="B47" s="376" t="s">
        <v>7037</v>
      </c>
      <c r="C47" s="428" t="s">
        <v>6979</v>
      </c>
      <c r="D47" s="376" t="s">
        <v>3801</v>
      </c>
      <c r="E47" s="429">
        <v>3590.0</v>
      </c>
      <c r="F47" s="429">
        <v>154.0</v>
      </c>
      <c r="G47" s="429">
        <v>66.0</v>
      </c>
      <c r="H47" s="429">
        <v>6.0</v>
      </c>
      <c r="I47" s="429">
        <v>72.0</v>
      </c>
      <c r="J47" s="430">
        <v>0.92</v>
      </c>
      <c r="K47" s="376" t="s">
        <v>6998</v>
      </c>
      <c r="L47" s="376">
        <v>5.528384922E9</v>
      </c>
      <c r="M47" s="376" t="s">
        <v>14</v>
      </c>
      <c r="N47" s="376" t="s">
        <v>3935</v>
      </c>
      <c r="O47" s="376" t="s">
        <v>7038</v>
      </c>
      <c r="P47" s="376" t="s">
        <v>6982</v>
      </c>
      <c r="Q47" s="16">
        <f>COUNTIF('hedef liste'!A:A,A47)</f>
        <v>0</v>
      </c>
    </row>
    <row r="48" hidden="1">
      <c r="A48" s="376" t="s">
        <v>3881</v>
      </c>
      <c r="B48" s="376" t="s">
        <v>7039</v>
      </c>
      <c r="C48" s="428" t="s">
        <v>7011</v>
      </c>
      <c r="D48" s="376" t="s">
        <v>3883</v>
      </c>
      <c r="E48" s="429">
        <v>84.0</v>
      </c>
      <c r="F48" s="431"/>
      <c r="G48" s="429">
        <v>47.0</v>
      </c>
      <c r="H48" s="429">
        <v>18.0</v>
      </c>
      <c r="I48" s="429">
        <v>65.0</v>
      </c>
      <c r="J48" s="430">
        <v>0.72</v>
      </c>
      <c r="K48" s="376" t="s">
        <v>3884</v>
      </c>
      <c r="L48" s="376">
        <v>5.447420101E9</v>
      </c>
      <c r="M48" s="376" t="s">
        <v>14</v>
      </c>
      <c r="N48" s="376" t="s">
        <v>3733</v>
      </c>
      <c r="O48" s="376" t="s">
        <v>7040</v>
      </c>
      <c r="P48" s="376" t="s">
        <v>3941</v>
      </c>
      <c r="Q48" s="16">
        <f>COUNTIF('hedef liste'!A:A,A48)</f>
        <v>1</v>
      </c>
    </row>
    <row r="49" hidden="1">
      <c r="A49" s="376" t="s">
        <v>1069</v>
      </c>
      <c r="B49" s="376" t="s">
        <v>7041</v>
      </c>
      <c r="C49" s="428" t="s">
        <v>6979</v>
      </c>
      <c r="D49" s="376" t="s">
        <v>3912</v>
      </c>
      <c r="E49" s="429">
        <v>3554.0</v>
      </c>
      <c r="F49" s="429">
        <v>114.0</v>
      </c>
      <c r="G49" s="429">
        <v>16.0</v>
      </c>
      <c r="H49" s="429">
        <v>12.0</v>
      </c>
      <c r="I49" s="429">
        <v>28.0</v>
      </c>
      <c r="J49" s="430">
        <v>0.57</v>
      </c>
      <c r="K49" s="376" t="s">
        <v>6895</v>
      </c>
      <c r="L49" s="376">
        <v>3.22235009E9</v>
      </c>
      <c r="M49" s="376" t="s">
        <v>14</v>
      </c>
      <c r="N49" s="376" t="s">
        <v>3797</v>
      </c>
      <c r="O49" s="376" t="s">
        <v>1072</v>
      </c>
      <c r="P49" s="376" t="s">
        <v>3941</v>
      </c>
      <c r="Q49" s="16">
        <f>COUNTIF('hedef liste'!A:A,A49)</f>
        <v>1</v>
      </c>
    </row>
    <row r="50" hidden="1">
      <c r="A50" s="376" t="s">
        <v>60</v>
      </c>
      <c r="B50" s="376" t="s">
        <v>61</v>
      </c>
      <c r="C50" s="428" t="s">
        <v>6979</v>
      </c>
      <c r="D50" s="376" t="s">
        <v>3713</v>
      </c>
      <c r="E50" s="429">
        <v>5492.0</v>
      </c>
      <c r="F50" s="429">
        <v>181.0</v>
      </c>
      <c r="G50" s="429">
        <v>35.0</v>
      </c>
      <c r="H50" s="429">
        <v>16.0</v>
      </c>
      <c r="I50" s="429">
        <v>51.0</v>
      </c>
      <c r="J50" s="430">
        <v>0.69</v>
      </c>
      <c r="K50" s="376" t="s">
        <v>4479</v>
      </c>
      <c r="L50" s="376">
        <v>3.222328486E9</v>
      </c>
      <c r="M50" s="376" t="s">
        <v>14</v>
      </c>
      <c r="N50" s="376" t="s">
        <v>3797</v>
      </c>
      <c r="O50" s="376" t="s">
        <v>63</v>
      </c>
      <c r="P50" s="376" t="s">
        <v>3941</v>
      </c>
      <c r="Q50" s="16">
        <f>COUNTIF('hedef liste'!A:A,A50)</f>
        <v>1</v>
      </c>
    </row>
    <row r="51" hidden="1">
      <c r="A51" s="376" t="s">
        <v>6730</v>
      </c>
      <c r="B51" s="376" t="s">
        <v>6731</v>
      </c>
      <c r="C51" s="428" t="s">
        <v>6979</v>
      </c>
      <c r="D51" s="376" t="s">
        <v>3878</v>
      </c>
      <c r="E51" s="429">
        <v>459.0</v>
      </c>
      <c r="F51" s="429">
        <v>35.0</v>
      </c>
      <c r="G51" s="429">
        <v>0.0</v>
      </c>
      <c r="H51" s="429">
        <v>88.0</v>
      </c>
      <c r="I51" s="429">
        <v>88.0</v>
      </c>
      <c r="J51" s="430">
        <v>0.0</v>
      </c>
      <c r="K51" s="376" t="s">
        <v>6732</v>
      </c>
      <c r="L51" s="376">
        <v>3.224546354E9</v>
      </c>
      <c r="M51" s="376" t="s">
        <v>286</v>
      </c>
      <c r="N51" s="376" t="s">
        <v>3806</v>
      </c>
      <c r="O51" s="376" t="s">
        <v>6733</v>
      </c>
      <c r="P51" s="376" t="s">
        <v>3941</v>
      </c>
      <c r="Q51" s="16">
        <f>COUNTIF('hedef liste'!A:A,A51)</f>
        <v>1</v>
      </c>
    </row>
    <row r="52" hidden="1">
      <c r="A52" s="376" t="s">
        <v>28</v>
      </c>
      <c r="B52" s="376" t="s">
        <v>7042</v>
      </c>
      <c r="C52" s="428" t="s">
        <v>6979</v>
      </c>
      <c r="D52" s="376" t="s">
        <v>3676</v>
      </c>
      <c r="E52" s="429">
        <v>18194.0</v>
      </c>
      <c r="F52" s="429">
        <v>570.0</v>
      </c>
      <c r="G52" s="429">
        <v>27.0</v>
      </c>
      <c r="H52" s="429">
        <v>7.0</v>
      </c>
      <c r="I52" s="429">
        <v>34.0</v>
      </c>
      <c r="J52" s="430">
        <v>0.79</v>
      </c>
      <c r="K52" s="376" t="s">
        <v>4933</v>
      </c>
      <c r="L52" s="376">
        <v>3.222398595E9</v>
      </c>
      <c r="M52" s="376" t="s">
        <v>14</v>
      </c>
      <c r="N52" s="376" t="s">
        <v>3718</v>
      </c>
      <c r="O52" s="376" t="s">
        <v>33</v>
      </c>
      <c r="P52" s="376" t="s">
        <v>3941</v>
      </c>
      <c r="Q52" s="16">
        <f>COUNTIF('hedef liste'!A:A,A52)</f>
        <v>1</v>
      </c>
    </row>
    <row r="53" hidden="1">
      <c r="A53" s="376" t="s">
        <v>591</v>
      </c>
      <c r="B53" s="376" t="s">
        <v>592</v>
      </c>
      <c r="C53" s="428" t="s">
        <v>6979</v>
      </c>
      <c r="D53" s="376" t="s">
        <v>3749</v>
      </c>
      <c r="E53" s="429">
        <v>3459.0</v>
      </c>
      <c r="F53" s="429">
        <v>153.0</v>
      </c>
      <c r="G53" s="429">
        <v>0.0</v>
      </c>
      <c r="H53" s="429">
        <v>32.0</v>
      </c>
      <c r="I53" s="429">
        <v>32.0</v>
      </c>
      <c r="J53" s="430">
        <v>0.0</v>
      </c>
      <c r="K53" s="376" t="s">
        <v>4064</v>
      </c>
      <c r="L53" s="376">
        <v>3.222264654E9</v>
      </c>
      <c r="M53" s="376" t="s">
        <v>286</v>
      </c>
      <c r="N53" s="376" t="s">
        <v>3961</v>
      </c>
      <c r="O53" s="376" t="s">
        <v>594</v>
      </c>
      <c r="P53" s="376" t="s">
        <v>3941</v>
      </c>
      <c r="Q53" s="16">
        <f>COUNTIF('hedef liste'!A:A,A53)</f>
        <v>1</v>
      </c>
    </row>
    <row r="54" hidden="1">
      <c r="A54" s="376" t="s">
        <v>4388</v>
      </c>
      <c r="B54" s="376" t="s">
        <v>4389</v>
      </c>
      <c r="C54" s="428" t="s">
        <v>6979</v>
      </c>
      <c r="D54" s="376" t="s">
        <v>3842</v>
      </c>
      <c r="E54" s="429">
        <v>20663.0</v>
      </c>
      <c r="F54" s="429">
        <v>795.0</v>
      </c>
      <c r="G54" s="429">
        <v>26.0</v>
      </c>
      <c r="H54" s="429">
        <v>41.0</v>
      </c>
      <c r="I54" s="429">
        <v>67.0</v>
      </c>
      <c r="J54" s="430">
        <v>0.39</v>
      </c>
      <c r="K54" s="376" t="s">
        <v>4390</v>
      </c>
      <c r="L54" s="376">
        <v>5.528720303E9</v>
      </c>
      <c r="M54" s="376" t="s">
        <v>286</v>
      </c>
      <c r="N54" s="376" t="s">
        <v>3746</v>
      </c>
      <c r="O54" s="376" t="s">
        <v>4391</v>
      </c>
      <c r="P54" s="376" t="s">
        <v>3941</v>
      </c>
      <c r="Q54" s="16">
        <f>COUNTIF('hedef liste'!A:A,A54)</f>
        <v>1</v>
      </c>
    </row>
    <row r="55" hidden="1">
      <c r="A55" s="376" t="s">
        <v>6351</v>
      </c>
      <c r="B55" s="376" t="s">
        <v>6352</v>
      </c>
      <c r="C55" s="428" t="s">
        <v>7011</v>
      </c>
      <c r="D55" s="376" t="s">
        <v>4000</v>
      </c>
      <c r="E55" s="429">
        <v>3692.0</v>
      </c>
      <c r="F55" s="431"/>
      <c r="G55" s="429">
        <v>13.0</v>
      </c>
      <c r="H55" s="429">
        <v>23.0</v>
      </c>
      <c r="I55" s="429">
        <v>36.0</v>
      </c>
      <c r="J55" s="430">
        <v>0.36</v>
      </c>
      <c r="K55" s="376" t="s">
        <v>3919</v>
      </c>
      <c r="L55" s="376">
        <v>5.424757623E9</v>
      </c>
      <c r="M55" s="376" t="s">
        <v>286</v>
      </c>
      <c r="N55" s="376" t="s">
        <v>3737</v>
      </c>
      <c r="O55" s="376" t="s">
        <v>3920</v>
      </c>
      <c r="P55" s="376" t="s">
        <v>3941</v>
      </c>
      <c r="Q55" s="16">
        <f>COUNTIF('hedef liste'!A:A,A55)</f>
        <v>1</v>
      </c>
    </row>
    <row r="56" hidden="1">
      <c r="A56" s="376" t="s">
        <v>3917</v>
      </c>
      <c r="B56" s="376" t="s">
        <v>3918</v>
      </c>
      <c r="C56" s="428" t="s">
        <v>7011</v>
      </c>
      <c r="D56" s="376" t="s">
        <v>3842</v>
      </c>
      <c r="E56" s="429">
        <v>471.0</v>
      </c>
      <c r="F56" s="431"/>
      <c r="G56" s="429">
        <v>2.0</v>
      </c>
      <c r="H56" s="429">
        <v>8.0</v>
      </c>
      <c r="I56" s="429">
        <v>10.0</v>
      </c>
      <c r="J56" s="430">
        <v>0.2</v>
      </c>
      <c r="K56" s="376" t="s">
        <v>3919</v>
      </c>
      <c r="L56" s="376">
        <v>5.413808788E9</v>
      </c>
      <c r="M56" s="376" t="s">
        <v>286</v>
      </c>
      <c r="N56" s="376" t="s">
        <v>3737</v>
      </c>
      <c r="O56" s="376" t="s">
        <v>3920</v>
      </c>
      <c r="P56" s="376" t="s">
        <v>3941</v>
      </c>
      <c r="Q56" s="16">
        <f>COUNTIF('hedef liste'!A:A,A56)</f>
        <v>1</v>
      </c>
    </row>
    <row r="57" hidden="1">
      <c r="A57" s="376" t="s">
        <v>5361</v>
      </c>
      <c r="B57" s="376" t="s">
        <v>5362</v>
      </c>
      <c r="C57" s="428" t="s">
        <v>6979</v>
      </c>
      <c r="D57" s="376" t="s">
        <v>3699</v>
      </c>
      <c r="E57" s="429">
        <v>1291.0</v>
      </c>
      <c r="F57" s="429">
        <v>38.0</v>
      </c>
      <c r="G57" s="429">
        <v>8.0</v>
      </c>
      <c r="H57" s="429">
        <v>9.0</v>
      </c>
      <c r="I57" s="429">
        <v>17.0</v>
      </c>
      <c r="J57" s="430">
        <v>0.47</v>
      </c>
      <c r="K57" s="376" t="s">
        <v>5363</v>
      </c>
      <c r="L57" s="376">
        <v>3.2236539E9</v>
      </c>
      <c r="M57" s="376" t="s">
        <v>286</v>
      </c>
      <c r="N57" s="376" t="s">
        <v>5364</v>
      </c>
      <c r="O57" s="376" t="s">
        <v>5365</v>
      </c>
      <c r="P57" s="376" t="s">
        <v>3941</v>
      </c>
      <c r="Q57" s="16">
        <f>COUNTIF('hedef liste'!A:A,A57)</f>
        <v>1</v>
      </c>
    </row>
    <row r="58" hidden="1">
      <c r="A58" s="376" t="s">
        <v>2009</v>
      </c>
      <c r="B58" s="376" t="s">
        <v>2010</v>
      </c>
      <c r="C58" s="428" t="s">
        <v>6979</v>
      </c>
      <c r="D58" s="376" t="s">
        <v>3994</v>
      </c>
      <c r="E58" s="429">
        <v>2132.0</v>
      </c>
      <c r="F58" s="429">
        <v>29.0</v>
      </c>
      <c r="G58" s="429">
        <v>47.0</v>
      </c>
      <c r="H58" s="429">
        <v>45.0</v>
      </c>
      <c r="I58" s="429">
        <v>92.0</v>
      </c>
      <c r="J58" s="430">
        <v>0.51</v>
      </c>
      <c r="K58" s="376" t="s">
        <v>6213</v>
      </c>
      <c r="L58" s="376">
        <v>3.229994929E9</v>
      </c>
      <c r="M58" s="376" t="s">
        <v>286</v>
      </c>
      <c r="N58" s="376" t="s">
        <v>3855</v>
      </c>
      <c r="O58" s="376" t="s">
        <v>2012</v>
      </c>
      <c r="P58" s="376" t="s">
        <v>3941</v>
      </c>
      <c r="Q58" s="16">
        <f>COUNTIF('hedef liste'!A:A,A58)</f>
        <v>1</v>
      </c>
    </row>
    <row r="59" hidden="1">
      <c r="A59" s="376" t="s">
        <v>452</v>
      </c>
      <c r="B59" s="376" t="s">
        <v>453</v>
      </c>
      <c r="C59" s="428" t="s">
        <v>6979</v>
      </c>
      <c r="D59" s="376" t="s">
        <v>3699</v>
      </c>
      <c r="E59" s="429">
        <v>5156.0</v>
      </c>
      <c r="F59" s="429">
        <v>376.0</v>
      </c>
      <c r="G59" s="429">
        <v>42.0</v>
      </c>
      <c r="H59" s="429">
        <v>28.0</v>
      </c>
      <c r="I59" s="429">
        <v>70.0</v>
      </c>
      <c r="J59" s="430">
        <v>0.6</v>
      </c>
      <c r="K59" s="376" t="s">
        <v>6112</v>
      </c>
      <c r="L59" s="376">
        <v>5.377605905E9</v>
      </c>
      <c r="M59" s="376" t="s">
        <v>286</v>
      </c>
      <c r="N59" s="376" t="s">
        <v>3688</v>
      </c>
      <c r="O59" s="376" t="s">
        <v>2038</v>
      </c>
      <c r="P59" s="376" t="s">
        <v>3941</v>
      </c>
      <c r="Q59" s="16">
        <f>COUNTIF('hedef liste'!A:A,A59)</f>
        <v>1</v>
      </c>
    </row>
    <row r="60" hidden="1">
      <c r="A60" s="376" t="s">
        <v>968</v>
      </c>
      <c r="B60" s="376" t="s">
        <v>969</v>
      </c>
      <c r="C60" s="428" t="s">
        <v>6979</v>
      </c>
      <c r="D60" s="376" t="s">
        <v>3907</v>
      </c>
      <c r="E60" s="429">
        <v>982.0</v>
      </c>
      <c r="F60" s="429">
        <v>35.0</v>
      </c>
      <c r="G60" s="429">
        <v>46.0</v>
      </c>
      <c r="H60" s="429">
        <v>15.0</v>
      </c>
      <c r="I60" s="429">
        <v>61.0</v>
      </c>
      <c r="J60" s="430">
        <v>0.75</v>
      </c>
      <c r="K60" s="376" t="s">
        <v>3871</v>
      </c>
      <c r="L60" s="376">
        <v>3.224540407E9</v>
      </c>
      <c r="M60" s="376" t="s">
        <v>14</v>
      </c>
      <c r="N60" s="376" t="s">
        <v>3797</v>
      </c>
      <c r="O60" s="376" t="s">
        <v>971</v>
      </c>
      <c r="P60" s="376" t="s">
        <v>3941</v>
      </c>
      <c r="Q60" s="16">
        <f>COUNTIF('hedef liste'!A:A,A60)</f>
        <v>1</v>
      </c>
    </row>
    <row r="61" hidden="1">
      <c r="A61" s="376" t="s">
        <v>68</v>
      </c>
      <c r="B61" s="376" t="s">
        <v>69</v>
      </c>
      <c r="C61" s="428" t="s">
        <v>6979</v>
      </c>
      <c r="D61" s="376" t="s">
        <v>3699</v>
      </c>
      <c r="E61" s="429">
        <v>2656.0</v>
      </c>
      <c r="F61" s="429">
        <v>27.0</v>
      </c>
      <c r="G61" s="429">
        <v>53.0</v>
      </c>
      <c r="H61" s="429">
        <v>39.0</v>
      </c>
      <c r="I61" s="429">
        <v>92.0</v>
      </c>
      <c r="J61" s="430">
        <v>0.58</v>
      </c>
      <c r="K61" s="376" t="s">
        <v>6739</v>
      </c>
      <c r="L61" s="376">
        <v>3.222660044E9</v>
      </c>
      <c r="M61" s="376" t="s">
        <v>14</v>
      </c>
      <c r="N61" s="376" t="s">
        <v>3678</v>
      </c>
      <c r="O61" s="376" t="s">
        <v>72</v>
      </c>
      <c r="P61" s="376" t="s">
        <v>3941</v>
      </c>
      <c r="Q61" s="16">
        <f>COUNTIF('hedef liste'!A:A,A61)</f>
        <v>1</v>
      </c>
    </row>
    <row r="62" hidden="1">
      <c r="A62" s="376" t="s">
        <v>270</v>
      </c>
      <c r="B62" s="376" t="s">
        <v>271</v>
      </c>
      <c r="C62" s="428" t="s">
        <v>6979</v>
      </c>
      <c r="D62" s="376" t="s">
        <v>3699</v>
      </c>
      <c r="E62" s="429">
        <v>3619.0</v>
      </c>
      <c r="F62" s="429">
        <v>115.0</v>
      </c>
      <c r="G62" s="429">
        <v>16.0</v>
      </c>
      <c r="H62" s="429">
        <v>18.0</v>
      </c>
      <c r="I62" s="429">
        <v>34.0</v>
      </c>
      <c r="J62" s="430">
        <v>0.47</v>
      </c>
      <c r="K62" s="376" t="s">
        <v>5236</v>
      </c>
      <c r="L62" s="376">
        <v>5.414060124E9</v>
      </c>
      <c r="M62" s="376" t="s">
        <v>14</v>
      </c>
      <c r="N62" s="376" t="s">
        <v>3733</v>
      </c>
      <c r="O62" s="376" t="s">
        <v>273</v>
      </c>
      <c r="P62" s="376" t="s">
        <v>3941</v>
      </c>
      <c r="Q62" s="16">
        <f>COUNTIF('hedef liste'!A:A,A62)</f>
        <v>1</v>
      </c>
    </row>
    <row r="63" hidden="1">
      <c r="A63" s="376" t="s">
        <v>6264</v>
      </c>
      <c r="B63" s="376" t="s">
        <v>6265</v>
      </c>
      <c r="C63" s="428" t="s">
        <v>6979</v>
      </c>
      <c r="D63" s="376" t="s">
        <v>3994</v>
      </c>
      <c r="E63" s="429">
        <v>8199.0</v>
      </c>
      <c r="F63" s="429">
        <v>270.0</v>
      </c>
      <c r="G63" s="429">
        <v>10.0</v>
      </c>
      <c r="H63" s="429">
        <v>92.0</v>
      </c>
      <c r="I63" s="429">
        <v>102.0</v>
      </c>
      <c r="J63" s="430">
        <v>0.1</v>
      </c>
      <c r="K63" s="376" t="s">
        <v>6266</v>
      </c>
      <c r="L63" s="376">
        <v>3.222564848E9</v>
      </c>
      <c r="M63" s="376" t="s">
        <v>14</v>
      </c>
      <c r="N63" s="376" t="s">
        <v>3678</v>
      </c>
      <c r="O63" s="376" t="s">
        <v>6267</v>
      </c>
      <c r="P63" s="376" t="s">
        <v>3941</v>
      </c>
      <c r="Q63" s="16">
        <f>COUNTIF('hedef liste'!A:A,A63)</f>
        <v>1</v>
      </c>
    </row>
    <row r="64" hidden="1">
      <c r="A64" s="376" t="s">
        <v>7043</v>
      </c>
      <c r="B64" s="376" t="s">
        <v>7044</v>
      </c>
      <c r="C64" s="428" t="s">
        <v>6979</v>
      </c>
      <c r="D64" s="376" t="s">
        <v>4000</v>
      </c>
      <c r="E64" s="429">
        <v>15653.0</v>
      </c>
      <c r="F64" s="429">
        <v>455.0</v>
      </c>
      <c r="G64" s="429">
        <v>96.0</v>
      </c>
      <c r="H64" s="429">
        <v>1.0</v>
      </c>
      <c r="I64" s="429">
        <v>97.0</v>
      </c>
      <c r="J64" s="430">
        <v>0.99</v>
      </c>
      <c r="K64" s="376" t="s">
        <v>6985</v>
      </c>
      <c r="L64" s="376">
        <v>2.123363575E9</v>
      </c>
      <c r="M64" s="376" t="s">
        <v>14</v>
      </c>
      <c r="N64" s="376" t="s">
        <v>3718</v>
      </c>
      <c r="O64" s="376" t="s">
        <v>7045</v>
      </c>
      <c r="P64" s="376" t="s">
        <v>6982</v>
      </c>
      <c r="Q64" s="16">
        <f>COUNTIF('hedef liste'!A:A,A64)</f>
        <v>0</v>
      </c>
    </row>
    <row r="65" hidden="1">
      <c r="A65" s="376" t="s">
        <v>522</v>
      </c>
      <c r="B65" s="376" t="s">
        <v>523</v>
      </c>
      <c r="C65" s="428" t="s">
        <v>7011</v>
      </c>
      <c r="D65" s="376" t="s">
        <v>3878</v>
      </c>
      <c r="E65" s="429">
        <v>425.0</v>
      </c>
      <c r="F65" s="431"/>
      <c r="G65" s="429">
        <v>0.0</v>
      </c>
      <c r="H65" s="429">
        <v>38.0</v>
      </c>
      <c r="I65" s="429">
        <v>38.0</v>
      </c>
      <c r="J65" s="430">
        <v>0.0</v>
      </c>
      <c r="K65" s="376" t="s">
        <v>6476</v>
      </c>
      <c r="L65" s="376">
        <v>5.418034133E9</v>
      </c>
      <c r="M65" s="376" t="s">
        <v>286</v>
      </c>
      <c r="N65" s="376" t="s">
        <v>3688</v>
      </c>
      <c r="O65" s="376" t="s">
        <v>525</v>
      </c>
      <c r="P65" s="376" t="s">
        <v>3941</v>
      </c>
      <c r="Q65" s="16">
        <f>COUNTIF('hedef liste'!A:A,A65)</f>
        <v>1</v>
      </c>
    </row>
    <row r="66" hidden="1">
      <c r="A66" s="376" t="s">
        <v>6485</v>
      </c>
      <c r="B66" s="376" t="s">
        <v>6486</v>
      </c>
      <c r="C66" s="428" t="s">
        <v>6979</v>
      </c>
      <c r="D66" s="376" t="s">
        <v>4000</v>
      </c>
      <c r="E66" s="429">
        <v>2850.0</v>
      </c>
      <c r="F66" s="429">
        <v>105.0</v>
      </c>
      <c r="G66" s="429">
        <v>0.0</v>
      </c>
      <c r="H66" s="429">
        <v>40.0</v>
      </c>
      <c r="I66" s="429">
        <v>40.0</v>
      </c>
      <c r="J66" s="430">
        <v>0.0</v>
      </c>
      <c r="K66" s="376" t="s">
        <v>6487</v>
      </c>
      <c r="L66" s="376">
        <v>8.507500999E9</v>
      </c>
      <c r="M66" s="376" t="s">
        <v>14</v>
      </c>
      <c r="N66" s="376" t="s">
        <v>3733</v>
      </c>
      <c r="O66" s="376" t="s">
        <v>6488</v>
      </c>
      <c r="P66" s="376" t="s">
        <v>3941</v>
      </c>
      <c r="Q66" s="16">
        <f>COUNTIF('hedef liste'!A:A,A66)</f>
        <v>1</v>
      </c>
    </row>
    <row r="67" hidden="1">
      <c r="A67" s="376" t="s">
        <v>6494</v>
      </c>
      <c r="B67" s="376" t="s">
        <v>6495</v>
      </c>
      <c r="C67" s="428" t="s">
        <v>6979</v>
      </c>
      <c r="D67" s="376" t="s">
        <v>4000</v>
      </c>
      <c r="E67" s="429">
        <v>4088.0</v>
      </c>
      <c r="F67" s="429">
        <v>33.0</v>
      </c>
      <c r="G67" s="429">
        <v>0.0</v>
      </c>
      <c r="H67" s="429">
        <v>42.0</v>
      </c>
      <c r="I67" s="429">
        <v>42.0</v>
      </c>
      <c r="J67" s="430">
        <v>0.0</v>
      </c>
      <c r="K67" s="376" t="s">
        <v>6496</v>
      </c>
      <c r="L67" s="376">
        <v>8.507500999E9</v>
      </c>
      <c r="M67" s="376" t="s">
        <v>286</v>
      </c>
      <c r="N67" s="376" t="s">
        <v>3855</v>
      </c>
      <c r="O67" s="376" t="s">
        <v>7046</v>
      </c>
      <c r="P67" s="376" t="s">
        <v>3941</v>
      </c>
      <c r="Q67" s="16">
        <f>COUNTIF('hedef liste'!A:A,A67)</f>
        <v>1</v>
      </c>
    </row>
    <row r="68" hidden="1">
      <c r="A68" s="376" t="s">
        <v>6251</v>
      </c>
      <c r="B68" s="376" t="s">
        <v>6252</v>
      </c>
      <c r="C68" s="428" t="s">
        <v>6979</v>
      </c>
      <c r="D68" s="376" t="s">
        <v>3994</v>
      </c>
      <c r="E68" s="429">
        <v>12307.0</v>
      </c>
      <c r="F68" s="429">
        <v>630.0</v>
      </c>
      <c r="G68" s="429">
        <v>10.0</v>
      </c>
      <c r="H68" s="429">
        <v>84.0</v>
      </c>
      <c r="I68" s="429">
        <v>94.0</v>
      </c>
      <c r="J68" s="430">
        <v>0.11</v>
      </c>
      <c r="K68" s="376" t="s">
        <v>6253</v>
      </c>
      <c r="L68" s="376">
        <v>3.22770007E9</v>
      </c>
      <c r="M68" s="376" t="s">
        <v>14</v>
      </c>
      <c r="N68" s="376" t="s">
        <v>3767</v>
      </c>
      <c r="O68" s="376" t="s">
        <v>6254</v>
      </c>
      <c r="P68" s="376" t="s">
        <v>3941</v>
      </c>
      <c r="Q68" s="16">
        <f>COUNTIF('hedef liste'!A:A,A68)</f>
        <v>1</v>
      </c>
    </row>
    <row r="69" hidden="1">
      <c r="A69" s="376" t="s">
        <v>6753</v>
      </c>
      <c r="B69" s="376" t="s">
        <v>6754</v>
      </c>
      <c r="C69" s="428" t="s">
        <v>6979</v>
      </c>
      <c r="D69" s="376" t="s">
        <v>3713</v>
      </c>
      <c r="E69" s="429">
        <v>64.0</v>
      </c>
      <c r="F69" s="431"/>
      <c r="G69" s="429">
        <v>0.0</v>
      </c>
      <c r="H69" s="429">
        <v>37.0</v>
      </c>
      <c r="I69" s="429">
        <v>37.0</v>
      </c>
      <c r="J69" s="430">
        <v>0.0</v>
      </c>
      <c r="K69" s="376" t="s">
        <v>6755</v>
      </c>
      <c r="L69" s="376">
        <v>3.226063224E9</v>
      </c>
      <c r="M69" s="376" t="s">
        <v>286</v>
      </c>
      <c r="N69" s="376" t="s">
        <v>3688</v>
      </c>
      <c r="O69" s="376" t="s">
        <v>6756</v>
      </c>
      <c r="P69" s="376" t="s">
        <v>3941</v>
      </c>
      <c r="Q69" s="16">
        <f>COUNTIF('hedef liste'!A:A,A69)</f>
        <v>1</v>
      </c>
    </row>
    <row r="70" hidden="1">
      <c r="A70" s="376" t="s">
        <v>2714</v>
      </c>
      <c r="B70" s="376" t="s">
        <v>2715</v>
      </c>
      <c r="C70" s="428" t="s">
        <v>7011</v>
      </c>
      <c r="D70" s="376" t="s">
        <v>4000</v>
      </c>
      <c r="E70" s="429">
        <v>424.0</v>
      </c>
      <c r="F70" s="431"/>
      <c r="G70" s="429">
        <v>19.0</v>
      </c>
      <c r="H70" s="429">
        <v>23.0</v>
      </c>
      <c r="I70" s="429">
        <v>42.0</v>
      </c>
      <c r="J70" s="430">
        <v>0.45</v>
      </c>
      <c r="K70" s="376" t="s">
        <v>5053</v>
      </c>
      <c r="L70" s="376">
        <v>5.30037203E9</v>
      </c>
      <c r="M70" s="376" t="s">
        <v>286</v>
      </c>
      <c r="N70" s="376" t="s">
        <v>3855</v>
      </c>
      <c r="O70" s="376" t="s">
        <v>2718</v>
      </c>
      <c r="P70" s="376" t="s">
        <v>3941</v>
      </c>
      <c r="Q70" s="16">
        <f>COUNTIF('hedef liste'!A:A,A70)</f>
        <v>1</v>
      </c>
    </row>
    <row r="71" hidden="1">
      <c r="A71" s="376" t="s">
        <v>1032</v>
      </c>
      <c r="B71" s="376" t="s">
        <v>1033</v>
      </c>
      <c r="C71" s="428" t="s">
        <v>6979</v>
      </c>
      <c r="D71" s="376" t="s">
        <v>3749</v>
      </c>
      <c r="E71" s="429">
        <v>4060.0</v>
      </c>
      <c r="F71" s="429">
        <v>143.0</v>
      </c>
      <c r="G71" s="429">
        <v>37.0</v>
      </c>
      <c r="H71" s="429">
        <v>3.0</v>
      </c>
      <c r="I71" s="429">
        <v>40.0</v>
      </c>
      <c r="J71" s="430">
        <v>0.93</v>
      </c>
      <c r="K71" s="376" t="s">
        <v>4047</v>
      </c>
      <c r="L71" s="376">
        <v>3.222480025E9</v>
      </c>
      <c r="M71" s="376" t="s">
        <v>14</v>
      </c>
      <c r="N71" s="376" t="s">
        <v>3826</v>
      </c>
      <c r="O71" s="376" t="s">
        <v>1035</v>
      </c>
      <c r="P71" s="376" t="s">
        <v>3941</v>
      </c>
      <c r="Q71" s="16">
        <f>COUNTIF('hedef liste'!A:A,A71)</f>
        <v>1</v>
      </c>
    </row>
    <row r="72" hidden="1">
      <c r="A72" s="376" t="s">
        <v>5505</v>
      </c>
      <c r="B72" s="376" t="s">
        <v>5506</v>
      </c>
      <c r="C72" s="428" t="s">
        <v>6979</v>
      </c>
      <c r="D72" s="376" t="s">
        <v>3699</v>
      </c>
      <c r="E72" s="429">
        <v>5549.0</v>
      </c>
      <c r="F72" s="429">
        <v>171.0</v>
      </c>
      <c r="G72" s="429">
        <v>12.0</v>
      </c>
      <c r="H72" s="429">
        <v>11.0</v>
      </c>
      <c r="I72" s="429">
        <v>23.0</v>
      </c>
      <c r="J72" s="430">
        <v>0.52</v>
      </c>
      <c r="K72" s="376" t="s">
        <v>5496</v>
      </c>
      <c r="L72" s="376">
        <v>5.559659089E9</v>
      </c>
      <c r="M72" s="376" t="s">
        <v>286</v>
      </c>
      <c r="N72" s="376" t="s">
        <v>3754</v>
      </c>
      <c r="O72" s="376" t="s">
        <v>5507</v>
      </c>
      <c r="P72" s="376" t="s">
        <v>3941</v>
      </c>
      <c r="Q72" s="16">
        <f>COUNTIF('hedef liste'!A:A,A72)</f>
        <v>1</v>
      </c>
    </row>
    <row r="73" hidden="1">
      <c r="A73" s="376" t="s">
        <v>5509</v>
      </c>
      <c r="B73" s="376" t="s">
        <v>5510</v>
      </c>
      <c r="C73" s="428" t="s">
        <v>6979</v>
      </c>
      <c r="D73" s="376" t="s">
        <v>3699</v>
      </c>
      <c r="E73" s="429">
        <v>5651.0</v>
      </c>
      <c r="F73" s="429">
        <v>174.0</v>
      </c>
      <c r="G73" s="429">
        <v>9.0</v>
      </c>
      <c r="H73" s="429">
        <v>18.0</v>
      </c>
      <c r="I73" s="429">
        <v>27.0</v>
      </c>
      <c r="J73" s="430">
        <v>0.33</v>
      </c>
      <c r="K73" s="376" t="s">
        <v>5496</v>
      </c>
      <c r="L73" s="376">
        <v>5.334157275E9</v>
      </c>
      <c r="M73" s="376" t="s">
        <v>286</v>
      </c>
      <c r="N73" s="376" t="s">
        <v>3769</v>
      </c>
      <c r="O73" s="376" t="s">
        <v>5511</v>
      </c>
      <c r="P73" s="376" t="s">
        <v>3941</v>
      </c>
      <c r="Q73" s="16">
        <f>COUNTIF('hedef liste'!A:A,A73)</f>
        <v>1</v>
      </c>
    </row>
    <row r="74" hidden="1">
      <c r="A74" s="376" t="s">
        <v>127</v>
      </c>
      <c r="B74" s="376" t="s">
        <v>7047</v>
      </c>
      <c r="C74" s="428" t="s">
        <v>6979</v>
      </c>
      <c r="D74" s="376" t="s">
        <v>6863</v>
      </c>
      <c r="E74" s="429">
        <v>3874.0</v>
      </c>
      <c r="F74" s="429">
        <v>249.0</v>
      </c>
      <c r="G74" s="429">
        <v>23.0</v>
      </c>
      <c r="H74" s="429">
        <v>4.0</v>
      </c>
      <c r="I74" s="429">
        <v>27.0</v>
      </c>
      <c r="J74" s="430">
        <v>0.85</v>
      </c>
      <c r="K74" s="376" t="s">
        <v>4821</v>
      </c>
      <c r="L74" s="376">
        <v>3.229995465E9</v>
      </c>
      <c r="M74" s="376" t="s">
        <v>14</v>
      </c>
      <c r="N74" s="376" t="s">
        <v>3914</v>
      </c>
      <c r="O74" s="376" t="s">
        <v>130</v>
      </c>
      <c r="P74" s="376" t="s">
        <v>3941</v>
      </c>
      <c r="Q74" s="16">
        <f>COUNTIF('hedef liste'!A:A,A74)</f>
        <v>1</v>
      </c>
    </row>
    <row r="75" hidden="1">
      <c r="A75" s="376" t="s">
        <v>4531</v>
      </c>
      <c r="B75" s="376" t="s">
        <v>4532</v>
      </c>
      <c r="C75" s="428" t="s">
        <v>6979</v>
      </c>
      <c r="D75" s="376" t="s">
        <v>3690</v>
      </c>
      <c r="E75" s="429">
        <v>632.0</v>
      </c>
      <c r="F75" s="429">
        <v>10.0</v>
      </c>
      <c r="G75" s="429">
        <v>0.0</v>
      </c>
      <c r="H75" s="429">
        <v>21.0</v>
      </c>
      <c r="I75" s="429">
        <v>21.0</v>
      </c>
      <c r="J75" s="430">
        <v>0.0</v>
      </c>
      <c r="K75" s="376" t="s">
        <v>4533</v>
      </c>
      <c r="L75" s="376">
        <v>5.412402012E9</v>
      </c>
      <c r="M75" s="376" t="s">
        <v>14</v>
      </c>
      <c r="N75" s="376" t="s">
        <v>3797</v>
      </c>
      <c r="O75" s="376" t="s">
        <v>4534</v>
      </c>
      <c r="P75" s="376" t="s">
        <v>3941</v>
      </c>
      <c r="Q75" s="16">
        <f>COUNTIF('hedef liste'!A:A,A75)</f>
        <v>1</v>
      </c>
    </row>
    <row r="76" hidden="1">
      <c r="A76" s="376" t="s">
        <v>4320</v>
      </c>
      <c r="B76" s="376" t="s">
        <v>4321</v>
      </c>
      <c r="C76" s="428" t="s">
        <v>6979</v>
      </c>
      <c r="D76" s="376" t="s">
        <v>4000</v>
      </c>
      <c r="E76" s="429">
        <v>2799.0</v>
      </c>
      <c r="F76" s="429">
        <v>73.0</v>
      </c>
      <c r="G76" s="429">
        <v>0.0</v>
      </c>
      <c r="H76" s="429">
        <v>93.0</v>
      </c>
      <c r="I76" s="429">
        <v>93.0</v>
      </c>
      <c r="J76" s="430">
        <v>0.0</v>
      </c>
      <c r="K76" s="376" t="s">
        <v>4322</v>
      </c>
      <c r="L76" s="376">
        <v>4441466.0</v>
      </c>
      <c r="M76" s="376" t="s">
        <v>286</v>
      </c>
      <c r="N76" s="376" t="s">
        <v>3855</v>
      </c>
      <c r="O76" s="376" t="s">
        <v>4323</v>
      </c>
      <c r="P76" s="376" t="s">
        <v>3941</v>
      </c>
      <c r="Q76" s="16">
        <f>COUNTIF('hedef liste'!A:A,A76)</f>
        <v>1</v>
      </c>
    </row>
    <row r="77" hidden="1">
      <c r="A77" s="376" t="s">
        <v>7048</v>
      </c>
      <c r="B77" s="376" t="s">
        <v>7049</v>
      </c>
      <c r="C77" s="428" t="s">
        <v>6979</v>
      </c>
      <c r="D77" s="376" t="s">
        <v>3801</v>
      </c>
      <c r="E77" s="429">
        <v>1424.0</v>
      </c>
      <c r="F77" s="429">
        <v>59.0</v>
      </c>
      <c r="G77" s="429">
        <v>64.0</v>
      </c>
      <c r="H77" s="429">
        <v>7.0</v>
      </c>
      <c r="I77" s="429">
        <v>71.0</v>
      </c>
      <c r="J77" s="430">
        <v>0.9</v>
      </c>
      <c r="K77" s="376" t="s">
        <v>6998</v>
      </c>
      <c r="L77" s="376">
        <v>5.541499914E9</v>
      </c>
      <c r="M77" s="376" t="s">
        <v>3692</v>
      </c>
      <c r="N77" s="376" t="s">
        <v>7050</v>
      </c>
      <c r="O77" s="376" t="s">
        <v>7051</v>
      </c>
      <c r="P77" s="376" t="s">
        <v>6982</v>
      </c>
      <c r="Q77" s="16">
        <f>COUNTIF('hedef liste'!A:A,A77)</f>
        <v>0</v>
      </c>
    </row>
    <row r="78" hidden="1">
      <c r="A78" s="376" t="s">
        <v>7052</v>
      </c>
      <c r="B78" s="376" t="s">
        <v>7053</v>
      </c>
      <c r="C78" s="428" t="s">
        <v>6979</v>
      </c>
      <c r="D78" s="376" t="s">
        <v>3801</v>
      </c>
      <c r="E78" s="429">
        <v>860.0</v>
      </c>
      <c r="F78" s="429">
        <v>59.0</v>
      </c>
      <c r="G78" s="429">
        <v>72.0</v>
      </c>
      <c r="H78" s="429">
        <v>5.0</v>
      </c>
      <c r="I78" s="429">
        <v>77.0</v>
      </c>
      <c r="J78" s="430">
        <v>0.94</v>
      </c>
      <c r="K78" s="376" t="s">
        <v>6998</v>
      </c>
      <c r="L78" s="376">
        <v>5.309911792E9</v>
      </c>
      <c r="M78" s="376" t="s">
        <v>14</v>
      </c>
      <c r="N78" s="376" t="s">
        <v>3914</v>
      </c>
      <c r="O78" s="376" t="s">
        <v>7054</v>
      </c>
      <c r="P78" s="376" t="s">
        <v>6982</v>
      </c>
      <c r="Q78" s="16">
        <f>COUNTIF('hedef liste'!A:A,A78)</f>
        <v>0</v>
      </c>
    </row>
    <row r="79" hidden="1">
      <c r="A79" s="376" t="s">
        <v>7055</v>
      </c>
      <c r="B79" s="376" t="s">
        <v>7056</v>
      </c>
      <c r="C79" s="428" t="s">
        <v>6979</v>
      </c>
      <c r="D79" s="376" t="s">
        <v>3801</v>
      </c>
      <c r="E79" s="429">
        <v>5703.0</v>
      </c>
      <c r="F79" s="429">
        <v>142.0</v>
      </c>
      <c r="G79" s="429">
        <v>50.0</v>
      </c>
      <c r="H79" s="429">
        <v>3.0</v>
      </c>
      <c r="I79" s="429">
        <v>53.0</v>
      </c>
      <c r="J79" s="430">
        <v>0.94</v>
      </c>
      <c r="K79" s="376" t="s">
        <v>6998</v>
      </c>
      <c r="L79" s="376">
        <v>5.3319171E9</v>
      </c>
      <c r="M79" s="376" t="s">
        <v>14</v>
      </c>
      <c r="N79" s="376" t="s">
        <v>3797</v>
      </c>
      <c r="O79" s="376" t="s">
        <v>7057</v>
      </c>
      <c r="P79" s="376" t="s">
        <v>6982</v>
      </c>
      <c r="Q79" s="16">
        <f>COUNTIF('hedef liste'!A:A,A79)</f>
        <v>0</v>
      </c>
    </row>
    <row r="80" hidden="1">
      <c r="A80" s="376" t="s">
        <v>7058</v>
      </c>
      <c r="B80" s="376" t="s">
        <v>7059</v>
      </c>
      <c r="C80" s="428" t="s">
        <v>6979</v>
      </c>
      <c r="D80" s="376" t="s">
        <v>3801</v>
      </c>
      <c r="E80" s="429">
        <v>1580.0</v>
      </c>
      <c r="F80" s="429">
        <v>63.0</v>
      </c>
      <c r="G80" s="429">
        <v>52.0</v>
      </c>
      <c r="H80" s="429">
        <v>2.0</v>
      </c>
      <c r="I80" s="429">
        <v>54.0</v>
      </c>
      <c r="J80" s="430">
        <v>0.96</v>
      </c>
      <c r="K80" s="376" t="s">
        <v>6998</v>
      </c>
      <c r="L80" s="376">
        <v>5.368810465E9</v>
      </c>
      <c r="M80" s="376" t="s">
        <v>3692</v>
      </c>
      <c r="N80" s="376" t="s">
        <v>4447</v>
      </c>
      <c r="O80" s="376" t="s">
        <v>7060</v>
      </c>
      <c r="P80" s="376" t="s">
        <v>6982</v>
      </c>
      <c r="Q80" s="16">
        <f>COUNTIF('hedef liste'!A:A,A80)</f>
        <v>0</v>
      </c>
    </row>
    <row r="81" hidden="1">
      <c r="A81" s="376" t="s">
        <v>7061</v>
      </c>
      <c r="B81" s="376" t="s">
        <v>7062</v>
      </c>
      <c r="C81" s="428" t="s">
        <v>6979</v>
      </c>
      <c r="D81" s="376" t="s">
        <v>3801</v>
      </c>
      <c r="E81" s="429">
        <v>2196.0</v>
      </c>
      <c r="F81" s="429">
        <v>61.0</v>
      </c>
      <c r="G81" s="429">
        <v>63.0</v>
      </c>
      <c r="H81" s="429">
        <v>3.0</v>
      </c>
      <c r="I81" s="429">
        <v>66.0</v>
      </c>
      <c r="J81" s="430">
        <v>0.95</v>
      </c>
      <c r="K81" s="376" t="s">
        <v>6998</v>
      </c>
      <c r="L81" s="376">
        <v>5.35221158E9</v>
      </c>
      <c r="M81" s="376" t="s">
        <v>3707</v>
      </c>
      <c r="N81" s="376" t="s">
        <v>4176</v>
      </c>
      <c r="O81" s="376" t="s">
        <v>7063</v>
      </c>
      <c r="P81" s="376" t="s">
        <v>6982</v>
      </c>
      <c r="Q81" s="16">
        <f>COUNTIF('hedef liste'!A:A,A81)</f>
        <v>0</v>
      </c>
    </row>
    <row r="82" hidden="1">
      <c r="A82" s="376" t="s">
        <v>6126</v>
      </c>
      <c r="B82" s="376" t="s">
        <v>6127</v>
      </c>
      <c r="C82" s="428" t="s">
        <v>6979</v>
      </c>
      <c r="D82" s="376" t="s">
        <v>3878</v>
      </c>
      <c r="E82" s="429">
        <v>1673.0</v>
      </c>
      <c r="F82" s="429">
        <v>79.0</v>
      </c>
      <c r="G82" s="429">
        <v>0.0</v>
      </c>
      <c r="H82" s="429">
        <v>74.0</v>
      </c>
      <c r="I82" s="429">
        <v>74.0</v>
      </c>
      <c r="J82" s="430">
        <v>0.0</v>
      </c>
      <c r="K82" s="376" t="s">
        <v>6128</v>
      </c>
      <c r="L82" s="376">
        <v>3.222441014E9</v>
      </c>
      <c r="M82" s="376" t="s">
        <v>286</v>
      </c>
      <c r="N82" s="376" t="s">
        <v>3737</v>
      </c>
      <c r="O82" s="376" t="s">
        <v>6129</v>
      </c>
      <c r="P82" s="376" t="s">
        <v>3941</v>
      </c>
      <c r="Q82" s="16">
        <f>COUNTIF('hedef liste'!A:A,A82)</f>
        <v>1</v>
      </c>
    </row>
    <row r="83" hidden="1">
      <c r="A83" s="376" t="s">
        <v>2118</v>
      </c>
      <c r="B83" s="376" t="s">
        <v>7064</v>
      </c>
      <c r="C83" s="428" t="s">
        <v>6979</v>
      </c>
      <c r="D83" s="376" t="s">
        <v>3676</v>
      </c>
      <c r="E83" s="429">
        <v>615.0</v>
      </c>
      <c r="F83" s="429">
        <v>11.0</v>
      </c>
      <c r="G83" s="429">
        <v>10.0</v>
      </c>
      <c r="H83" s="429">
        <v>54.0</v>
      </c>
      <c r="I83" s="429">
        <v>64.0</v>
      </c>
      <c r="J83" s="430">
        <v>0.16</v>
      </c>
      <c r="K83" s="376" t="s">
        <v>3989</v>
      </c>
      <c r="L83" s="376">
        <v>3.22458606E9</v>
      </c>
      <c r="M83" s="376" t="s">
        <v>286</v>
      </c>
      <c r="N83" s="376" t="s">
        <v>3806</v>
      </c>
      <c r="O83" s="376" t="s">
        <v>3990</v>
      </c>
      <c r="P83" s="376" t="s">
        <v>3941</v>
      </c>
      <c r="Q83" s="16">
        <f>COUNTIF('hedef liste'!A:A,A83)</f>
        <v>1</v>
      </c>
    </row>
    <row r="84" hidden="1">
      <c r="A84" s="376" t="s">
        <v>166</v>
      </c>
      <c r="B84" s="376" t="s">
        <v>167</v>
      </c>
      <c r="C84" s="428" t="s">
        <v>6979</v>
      </c>
      <c r="D84" s="376" t="s">
        <v>3699</v>
      </c>
      <c r="E84" s="429">
        <v>303.0</v>
      </c>
      <c r="F84" s="429">
        <v>9.0</v>
      </c>
      <c r="G84" s="429">
        <v>22.0</v>
      </c>
      <c r="H84" s="429">
        <v>12.0</v>
      </c>
      <c r="I84" s="429">
        <v>34.0</v>
      </c>
      <c r="J84" s="430">
        <v>0.65</v>
      </c>
      <c r="K84" s="376" t="s">
        <v>6584</v>
      </c>
      <c r="L84" s="376">
        <v>3.222326677E9</v>
      </c>
      <c r="M84" s="376" t="s">
        <v>14</v>
      </c>
      <c r="N84" s="376" t="s">
        <v>3733</v>
      </c>
      <c r="O84" s="376" t="s">
        <v>170</v>
      </c>
      <c r="P84" s="376" t="s">
        <v>3941</v>
      </c>
      <c r="Q84" s="16">
        <f>COUNTIF('hedef liste'!A:A,A84)</f>
        <v>1</v>
      </c>
    </row>
    <row r="85" hidden="1">
      <c r="A85" s="376" t="s">
        <v>4279</v>
      </c>
      <c r="B85" s="376" t="s">
        <v>4280</v>
      </c>
      <c r="C85" s="428" t="s">
        <v>6979</v>
      </c>
      <c r="D85" s="376" t="s">
        <v>3699</v>
      </c>
      <c r="E85" s="429">
        <v>2024.0</v>
      </c>
      <c r="F85" s="429">
        <v>70.0</v>
      </c>
      <c r="G85" s="429">
        <v>57.0</v>
      </c>
      <c r="H85" s="429">
        <v>19.0</v>
      </c>
      <c r="I85" s="429">
        <v>76.0</v>
      </c>
      <c r="J85" s="430">
        <v>0.75</v>
      </c>
      <c r="K85" s="376" t="s">
        <v>4281</v>
      </c>
      <c r="L85" s="376">
        <v>3.224593555E9</v>
      </c>
      <c r="M85" s="376" t="s">
        <v>286</v>
      </c>
      <c r="N85" s="376" t="s">
        <v>3688</v>
      </c>
      <c r="O85" s="376" t="s">
        <v>4282</v>
      </c>
      <c r="P85" s="376" t="s">
        <v>3941</v>
      </c>
      <c r="Q85" s="16">
        <f>COUNTIF('hedef liste'!A:A,A85)</f>
        <v>1</v>
      </c>
    </row>
    <row r="86" hidden="1">
      <c r="A86" s="376" t="s">
        <v>496</v>
      </c>
      <c r="B86" s="376" t="s">
        <v>497</v>
      </c>
      <c r="C86" s="428" t="s">
        <v>6979</v>
      </c>
      <c r="D86" s="376" t="s">
        <v>3713</v>
      </c>
      <c r="E86" s="429">
        <v>2362.0</v>
      </c>
      <c r="F86" s="429">
        <v>35.0</v>
      </c>
      <c r="G86" s="429">
        <v>6.0</v>
      </c>
      <c r="H86" s="429">
        <v>18.0</v>
      </c>
      <c r="I86" s="429">
        <v>24.0</v>
      </c>
      <c r="J86" s="430">
        <v>0.25</v>
      </c>
      <c r="K86" s="376" t="s">
        <v>6597</v>
      </c>
      <c r="L86" s="376">
        <v>3.22261417E9</v>
      </c>
      <c r="M86" s="376" t="s">
        <v>14</v>
      </c>
      <c r="N86" s="376" t="s">
        <v>3767</v>
      </c>
      <c r="O86" s="376" t="s">
        <v>500</v>
      </c>
      <c r="P86" s="376" t="s">
        <v>3941</v>
      </c>
      <c r="Q86" s="16">
        <f>COUNTIF('hedef liste'!A:A,A86)</f>
        <v>1</v>
      </c>
    </row>
    <row r="87" hidden="1">
      <c r="A87" s="376" t="s">
        <v>7065</v>
      </c>
      <c r="B87" s="376" t="s">
        <v>7066</v>
      </c>
      <c r="C87" s="428" t="s">
        <v>6979</v>
      </c>
      <c r="D87" s="376" t="s">
        <v>3801</v>
      </c>
      <c r="E87" s="429">
        <v>763.0</v>
      </c>
      <c r="F87" s="429">
        <v>24.0</v>
      </c>
      <c r="G87" s="429">
        <v>97.0</v>
      </c>
      <c r="H87" s="429">
        <v>5.0</v>
      </c>
      <c r="I87" s="429">
        <v>102.0</v>
      </c>
      <c r="J87" s="430">
        <v>0.95</v>
      </c>
      <c r="K87" s="376" t="s">
        <v>6998</v>
      </c>
      <c r="L87" s="376">
        <v>5.348768548E9</v>
      </c>
      <c r="M87" s="376" t="s">
        <v>3707</v>
      </c>
      <c r="N87" s="376" t="s">
        <v>6923</v>
      </c>
      <c r="O87" s="376" t="s">
        <v>7067</v>
      </c>
      <c r="P87" s="376" t="s">
        <v>6982</v>
      </c>
      <c r="Q87" s="16">
        <f>COUNTIF('hedef liste'!A:A,A87)</f>
        <v>0</v>
      </c>
    </row>
    <row r="88" hidden="1">
      <c r="A88" s="376" t="s">
        <v>6366</v>
      </c>
      <c r="B88" s="376" t="s">
        <v>6367</v>
      </c>
      <c r="C88" s="428" t="s">
        <v>6979</v>
      </c>
      <c r="D88" s="376" t="s">
        <v>3878</v>
      </c>
      <c r="E88" s="429">
        <v>319.0</v>
      </c>
      <c r="F88" s="429">
        <v>12.0</v>
      </c>
      <c r="G88" s="429">
        <v>0.0</v>
      </c>
      <c r="H88" s="429">
        <v>80.0</v>
      </c>
      <c r="I88" s="429">
        <v>80.0</v>
      </c>
      <c r="J88" s="430">
        <v>0.0</v>
      </c>
      <c r="K88" s="376" t="s">
        <v>6368</v>
      </c>
      <c r="L88" s="376">
        <v>3.224540124E9</v>
      </c>
      <c r="M88" s="376" t="s">
        <v>286</v>
      </c>
      <c r="N88" s="376" t="s">
        <v>3806</v>
      </c>
      <c r="O88" s="376" t="s">
        <v>6369</v>
      </c>
      <c r="P88" s="376" t="s">
        <v>3941</v>
      </c>
      <c r="Q88" s="16">
        <f>COUNTIF('hedef liste'!A:A,A88)</f>
        <v>1</v>
      </c>
    </row>
    <row r="89" hidden="1">
      <c r="A89" s="376" t="s">
        <v>2176</v>
      </c>
      <c r="B89" s="376" t="s">
        <v>2177</v>
      </c>
      <c r="C89" s="428" t="s">
        <v>6979</v>
      </c>
      <c r="D89" s="376" t="s">
        <v>3801</v>
      </c>
      <c r="E89" s="429">
        <v>2223.0</v>
      </c>
      <c r="F89" s="429">
        <v>15.0</v>
      </c>
      <c r="G89" s="429">
        <v>9.0</v>
      </c>
      <c r="H89" s="429">
        <v>2.0</v>
      </c>
      <c r="I89" s="429">
        <v>11.0</v>
      </c>
      <c r="J89" s="430">
        <v>0.82</v>
      </c>
      <c r="K89" s="376" t="s">
        <v>3805</v>
      </c>
      <c r="L89" s="376">
        <v>5.49512194E9</v>
      </c>
      <c r="M89" s="376" t="s">
        <v>286</v>
      </c>
      <c r="N89" s="376" t="s">
        <v>3806</v>
      </c>
      <c r="O89" s="376" t="s">
        <v>2180</v>
      </c>
      <c r="P89" s="376" t="s">
        <v>3941</v>
      </c>
      <c r="Q89" s="16">
        <f>COUNTIF('hedef liste'!A:A,A89)</f>
        <v>1</v>
      </c>
    </row>
    <row r="90" hidden="1">
      <c r="A90" s="376" t="s">
        <v>98</v>
      </c>
      <c r="B90" s="376" t="s">
        <v>99</v>
      </c>
      <c r="C90" s="428" t="s">
        <v>6979</v>
      </c>
      <c r="D90" s="376" t="s">
        <v>3759</v>
      </c>
      <c r="E90" s="429">
        <v>2459.0</v>
      </c>
      <c r="F90" s="429">
        <v>81.0</v>
      </c>
      <c r="G90" s="429">
        <v>7.0</v>
      </c>
      <c r="H90" s="429">
        <v>2.0</v>
      </c>
      <c r="I90" s="429">
        <v>9.0</v>
      </c>
      <c r="J90" s="430">
        <v>0.78</v>
      </c>
      <c r="K90" s="376" t="s">
        <v>4289</v>
      </c>
      <c r="L90" s="376">
        <v>3.222563356E9</v>
      </c>
      <c r="M90" s="376" t="s">
        <v>14</v>
      </c>
      <c r="N90" s="376" t="s">
        <v>3678</v>
      </c>
      <c r="O90" s="376" t="s">
        <v>101</v>
      </c>
      <c r="P90" s="376" t="s">
        <v>3941</v>
      </c>
      <c r="Q90" s="16">
        <f>COUNTIF('hedef liste'!A:A,A90)</f>
        <v>1</v>
      </c>
    </row>
    <row r="91" hidden="1">
      <c r="A91" s="376" t="s">
        <v>1474</v>
      </c>
      <c r="B91" s="376" t="s">
        <v>1475</v>
      </c>
      <c r="C91" s="428" t="s">
        <v>6979</v>
      </c>
      <c r="D91" s="376" t="s">
        <v>3676</v>
      </c>
      <c r="E91" s="429">
        <v>2535.0</v>
      </c>
      <c r="F91" s="429">
        <v>110.0</v>
      </c>
      <c r="G91" s="429">
        <v>0.0</v>
      </c>
      <c r="H91" s="429">
        <v>30.0</v>
      </c>
      <c r="I91" s="429">
        <v>30.0</v>
      </c>
      <c r="J91" s="430">
        <v>0.0</v>
      </c>
      <c r="K91" s="376" t="s">
        <v>5017</v>
      </c>
      <c r="L91" s="376">
        <v>3.223212022E9</v>
      </c>
      <c r="M91" s="376" t="s">
        <v>3707</v>
      </c>
      <c r="N91" s="376" t="s">
        <v>4176</v>
      </c>
      <c r="O91" s="376" t="s">
        <v>1479</v>
      </c>
      <c r="P91" s="376" t="s">
        <v>3941</v>
      </c>
      <c r="Q91" s="16">
        <f>COUNTIF('hedef liste'!A:A,A91)</f>
        <v>1</v>
      </c>
    </row>
    <row r="92" hidden="1">
      <c r="A92" s="376" t="s">
        <v>137</v>
      </c>
      <c r="B92" s="376" t="s">
        <v>138</v>
      </c>
      <c r="C92" s="428" t="s">
        <v>6979</v>
      </c>
      <c r="D92" s="376" t="s">
        <v>3699</v>
      </c>
      <c r="E92" s="429">
        <v>1437.0</v>
      </c>
      <c r="F92" s="429">
        <v>76.0</v>
      </c>
      <c r="G92" s="429">
        <v>92.0</v>
      </c>
      <c r="H92" s="429">
        <v>18.0</v>
      </c>
      <c r="I92" s="429">
        <v>110.0</v>
      </c>
      <c r="J92" s="430">
        <v>0.84</v>
      </c>
      <c r="K92" s="376" t="s">
        <v>5264</v>
      </c>
      <c r="L92" s="376">
        <v>5.558657375E9</v>
      </c>
      <c r="M92" s="376" t="s">
        <v>14</v>
      </c>
      <c r="N92" s="376" t="s">
        <v>3797</v>
      </c>
      <c r="O92" s="376" t="s">
        <v>140</v>
      </c>
      <c r="P92" s="376" t="s">
        <v>3941</v>
      </c>
      <c r="Q92" s="16">
        <f>COUNTIF('hedef liste'!A:A,A92)</f>
        <v>1</v>
      </c>
    </row>
    <row r="93" hidden="1">
      <c r="A93" s="376" t="s">
        <v>4715</v>
      </c>
      <c r="B93" s="376" t="s">
        <v>4716</v>
      </c>
      <c r="C93" s="428" t="s">
        <v>6979</v>
      </c>
      <c r="D93" s="376" t="s">
        <v>3676</v>
      </c>
      <c r="E93" s="429">
        <v>835.0</v>
      </c>
      <c r="F93" s="429">
        <v>60.0</v>
      </c>
      <c r="G93" s="429">
        <v>0.0</v>
      </c>
      <c r="H93" s="429">
        <v>25.0</v>
      </c>
      <c r="I93" s="429">
        <v>25.0</v>
      </c>
      <c r="J93" s="430">
        <v>0.0</v>
      </c>
      <c r="K93" s="376" t="s">
        <v>4717</v>
      </c>
      <c r="L93" s="376">
        <v>5.384908098E9</v>
      </c>
      <c r="M93" s="376" t="s">
        <v>286</v>
      </c>
      <c r="N93" s="376" t="s">
        <v>3806</v>
      </c>
      <c r="O93" s="376" t="s">
        <v>4718</v>
      </c>
      <c r="P93" s="376" t="s">
        <v>3941</v>
      </c>
      <c r="Q93" s="16">
        <f>COUNTIF('hedef liste'!A:A,A93)</f>
        <v>1</v>
      </c>
    </row>
    <row r="94" hidden="1">
      <c r="A94" s="376" t="s">
        <v>1501</v>
      </c>
      <c r="B94" s="376" t="s">
        <v>7068</v>
      </c>
      <c r="C94" s="428" t="s">
        <v>6979</v>
      </c>
      <c r="D94" s="376" t="s">
        <v>3713</v>
      </c>
      <c r="E94" s="429">
        <v>130.0</v>
      </c>
      <c r="F94" s="431"/>
      <c r="G94" s="429">
        <v>22.0</v>
      </c>
      <c r="H94" s="429">
        <v>11.0</v>
      </c>
      <c r="I94" s="429">
        <v>33.0</v>
      </c>
      <c r="J94" s="430">
        <v>0.67</v>
      </c>
      <c r="K94" s="376" t="s">
        <v>5442</v>
      </c>
      <c r="L94" s="376">
        <v>5.413527217E9</v>
      </c>
      <c r="M94" s="376" t="s">
        <v>3707</v>
      </c>
      <c r="N94" s="376" t="s">
        <v>5130</v>
      </c>
      <c r="O94" s="376" t="s">
        <v>1504</v>
      </c>
      <c r="P94" s="376" t="s">
        <v>3941</v>
      </c>
      <c r="Q94" s="16">
        <f>COUNTIF('hedef liste'!A:A,A94)</f>
        <v>1</v>
      </c>
    </row>
    <row r="95" hidden="1">
      <c r="A95" s="376" t="s">
        <v>4608</v>
      </c>
      <c r="B95" s="376" t="s">
        <v>4609</v>
      </c>
      <c r="C95" s="428" t="s">
        <v>6979</v>
      </c>
      <c r="D95" s="376" t="s">
        <v>3801</v>
      </c>
      <c r="E95" s="429">
        <v>1019.0</v>
      </c>
      <c r="F95" s="429">
        <v>19.0</v>
      </c>
      <c r="G95" s="429">
        <v>11.0</v>
      </c>
      <c r="H95" s="429">
        <v>3.0</v>
      </c>
      <c r="I95" s="429">
        <v>14.0</v>
      </c>
      <c r="J95" s="430">
        <v>0.79</v>
      </c>
      <c r="K95" s="376" t="s">
        <v>4610</v>
      </c>
      <c r="L95" s="376">
        <v>5.4222401E9</v>
      </c>
      <c r="M95" s="376" t="s">
        <v>286</v>
      </c>
      <c r="N95" s="376" t="s">
        <v>4263</v>
      </c>
      <c r="O95" s="376" t="s">
        <v>4611</v>
      </c>
      <c r="P95" s="376" t="s">
        <v>3941</v>
      </c>
      <c r="Q95" s="16">
        <f>COUNTIF('hedef liste'!A:A,A95)</f>
        <v>1</v>
      </c>
    </row>
    <row r="96" hidden="1">
      <c r="A96" s="376" t="s">
        <v>565</v>
      </c>
      <c r="B96" s="376" t="s">
        <v>566</v>
      </c>
      <c r="C96" s="428" t="s">
        <v>6979</v>
      </c>
      <c r="D96" s="376" t="s">
        <v>3801</v>
      </c>
      <c r="E96" s="429">
        <v>7704.0</v>
      </c>
      <c r="F96" s="429">
        <v>225.0</v>
      </c>
      <c r="G96" s="429">
        <v>28.0</v>
      </c>
      <c r="H96" s="429">
        <v>9.0</v>
      </c>
      <c r="I96" s="429">
        <v>37.0</v>
      </c>
      <c r="J96" s="430">
        <v>0.76</v>
      </c>
      <c r="K96" s="376" t="s">
        <v>4645</v>
      </c>
      <c r="L96" s="376">
        <v>5.449273756E9</v>
      </c>
      <c r="M96" s="376" t="s">
        <v>286</v>
      </c>
      <c r="N96" s="376" t="s">
        <v>3746</v>
      </c>
      <c r="O96" s="376" t="s">
        <v>570</v>
      </c>
      <c r="P96" s="376" t="s">
        <v>3941</v>
      </c>
      <c r="Q96" s="16">
        <f>COUNTIF('hedef liste'!A:A,A96)</f>
        <v>1</v>
      </c>
    </row>
    <row r="97" hidden="1">
      <c r="A97" s="376" t="s">
        <v>1868</v>
      </c>
      <c r="B97" s="376" t="s">
        <v>7069</v>
      </c>
      <c r="C97" s="428" t="s">
        <v>6979</v>
      </c>
      <c r="D97" s="376" t="s">
        <v>3676</v>
      </c>
      <c r="E97" s="429">
        <v>2517.0</v>
      </c>
      <c r="F97" s="429">
        <v>33.0</v>
      </c>
      <c r="G97" s="429">
        <v>35.0</v>
      </c>
      <c r="H97" s="429">
        <v>12.0</v>
      </c>
      <c r="I97" s="429">
        <v>47.0</v>
      </c>
      <c r="J97" s="430">
        <v>0.74</v>
      </c>
      <c r="K97" s="376" t="s">
        <v>5250</v>
      </c>
      <c r="L97" s="376">
        <v>5.436299111E9</v>
      </c>
      <c r="M97" s="376" t="s">
        <v>286</v>
      </c>
      <c r="N97" s="376" t="s">
        <v>5251</v>
      </c>
      <c r="O97" s="376" t="s">
        <v>1872</v>
      </c>
      <c r="P97" s="376" t="s">
        <v>3941</v>
      </c>
      <c r="Q97" s="16">
        <f>COUNTIF('hedef liste'!A:A,A97)</f>
        <v>1</v>
      </c>
    </row>
    <row r="98" hidden="1">
      <c r="A98" s="376" t="s">
        <v>6230</v>
      </c>
      <c r="B98" s="376" t="s">
        <v>6231</v>
      </c>
      <c r="C98" s="428" t="s">
        <v>6979</v>
      </c>
      <c r="D98" s="376" t="s">
        <v>3994</v>
      </c>
      <c r="E98" s="429">
        <v>1418.0</v>
      </c>
      <c r="F98" s="429">
        <v>57.0</v>
      </c>
      <c r="G98" s="429">
        <v>0.0</v>
      </c>
      <c r="H98" s="429">
        <v>55.0</v>
      </c>
      <c r="I98" s="429">
        <v>55.0</v>
      </c>
      <c r="J98" s="430">
        <v>0.0</v>
      </c>
      <c r="K98" s="376" t="s">
        <v>6232</v>
      </c>
      <c r="L98" s="376">
        <v>3.229991445E9</v>
      </c>
      <c r="M98" s="376" t="s">
        <v>286</v>
      </c>
      <c r="N98" s="376" t="s">
        <v>3855</v>
      </c>
      <c r="O98" s="376" t="s">
        <v>4002</v>
      </c>
      <c r="P98" s="376" t="s">
        <v>3941</v>
      </c>
      <c r="Q98" s="16">
        <f>COUNTIF('hedef liste'!A:A,A98)</f>
        <v>1</v>
      </c>
    </row>
    <row r="99" hidden="1">
      <c r="A99" s="376" t="s">
        <v>343</v>
      </c>
      <c r="B99" s="376" t="s">
        <v>344</v>
      </c>
      <c r="C99" s="428" t="s">
        <v>6979</v>
      </c>
      <c r="D99" s="376" t="s">
        <v>3699</v>
      </c>
      <c r="E99" s="432">
        <v>735.0</v>
      </c>
      <c r="F99" s="429">
        <v>46.0</v>
      </c>
      <c r="G99" s="429">
        <v>0.0</v>
      </c>
      <c r="H99" s="429">
        <v>20.0</v>
      </c>
      <c r="I99" s="429">
        <v>20.0</v>
      </c>
      <c r="J99" s="430">
        <v>0.0</v>
      </c>
      <c r="K99" s="376" t="s">
        <v>5377</v>
      </c>
      <c r="L99" s="376">
        <v>5.334704014E9</v>
      </c>
      <c r="M99" s="376" t="s">
        <v>14</v>
      </c>
      <c r="N99" s="376" t="s">
        <v>3733</v>
      </c>
      <c r="O99" s="376" t="s">
        <v>346</v>
      </c>
      <c r="P99" s="376" t="s">
        <v>3941</v>
      </c>
      <c r="Q99" s="16">
        <f>COUNTIF('hedef liste'!A:A,A99)</f>
        <v>1</v>
      </c>
    </row>
    <row r="100" hidden="1">
      <c r="A100" s="376" t="s">
        <v>6148</v>
      </c>
      <c r="B100" s="376" t="s">
        <v>6149</v>
      </c>
      <c r="C100" s="428" t="s">
        <v>6979</v>
      </c>
      <c r="D100" s="376" t="s">
        <v>3994</v>
      </c>
      <c r="E100" s="429">
        <v>294.0</v>
      </c>
      <c r="F100" s="429">
        <v>5.0</v>
      </c>
      <c r="G100" s="429">
        <v>0.0</v>
      </c>
      <c r="H100" s="429">
        <v>89.0</v>
      </c>
      <c r="I100" s="429">
        <v>89.0</v>
      </c>
      <c r="J100" s="430">
        <v>0.0</v>
      </c>
      <c r="K100" s="376" t="s">
        <v>6145</v>
      </c>
      <c r="L100" s="376">
        <v>3.222611121E9</v>
      </c>
      <c r="M100" s="376" t="s">
        <v>286</v>
      </c>
      <c r="N100" s="376" t="s">
        <v>3855</v>
      </c>
      <c r="O100" s="376" t="s">
        <v>6146</v>
      </c>
      <c r="P100" s="376" t="s">
        <v>3941</v>
      </c>
      <c r="Q100" s="16">
        <f>COUNTIF('hedef liste'!A:A,A100)</f>
        <v>1</v>
      </c>
    </row>
    <row r="101" hidden="1">
      <c r="A101" s="376" t="s">
        <v>5801</v>
      </c>
      <c r="B101" s="376" t="s">
        <v>5802</v>
      </c>
      <c r="C101" s="428" t="s">
        <v>6979</v>
      </c>
      <c r="D101" s="376" t="s">
        <v>3759</v>
      </c>
      <c r="E101" s="429">
        <v>965.0</v>
      </c>
      <c r="F101" s="429">
        <v>34.0</v>
      </c>
      <c r="G101" s="429">
        <v>0.0</v>
      </c>
      <c r="H101" s="429">
        <v>7.0</v>
      </c>
      <c r="I101" s="429">
        <v>7.0</v>
      </c>
      <c r="J101" s="430">
        <v>0.0</v>
      </c>
      <c r="K101" s="376" t="s">
        <v>5803</v>
      </c>
      <c r="L101" s="376">
        <v>5.380940127E9</v>
      </c>
      <c r="M101" s="376" t="s">
        <v>286</v>
      </c>
      <c r="N101" s="376" t="s">
        <v>3980</v>
      </c>
      <c r="O101" s="376" t="s">
        <v>5804</v>
      </c>
      <c r="P101" s="376" t="s">
        <v>3941</v>
      </c>
      <c r="Q101" s="16">
        <f>COUNTIF('hedef liste'!A:A,A101)</f>
        <v>1</v>
      </c>
    </row>
    <row r="102" hidden="1">
      <c r="A102" s="376" t="s">
        <v>7070</v>
      </c>
      <c r="B102" s="376" t="s">
        <v>7071</v>
      </c>
      <c r="C102" s="428" t="s">
        <v>6979</v>
      </c>
      <c r="D102" s="376" t="s">
        <v>3801</v>
      </c>
      <c r="E102" s="429">
        <v>2878.0</v>
      </c>
      <c r="F102" s="429">
        <v>51.0</v>
      </c>
      <c r="G102" s="429">
        <v>34.0</v>
      </c>
      <c r="H102" s="429">
        <v>3.0</v>
      </c>
      <c r="I102" s="429">
        <v>37.0</v>
      </c>
      <c r="J102" s="430">
        <v>0.92</v>
      </c>
      <c r="K102" s="376" t="s">
        <v>6998</v>
      </c>
      <c r="L102" s="376">
        <v>5.51944981E9</v>
      </c>
      <c r="M102" s="376" t="s">
        <v>286</v>
      </c>
      <c r="N102" s="376" t="s">
        <v>3855</v>
      </c>
      <c r="O102" s="376" t="s">
        <v>7072</v>
      </c>
      <c r="P102" s="376" t="s">
        <v>6982</v>
      </c>
      <c r="Q102" s="16">
        <f>COUNTIF('hedef liste'!A:A,A102)</f>
        <v>0</v>
      </c>
    </row>
    <row r="103" hidden="1">
      <c r="A103" s="376" t="s">
        <v>7073</v>
      </c>
      <c r="B103" s="376" t="s">
        <v>7074</v>
      </c>
      <c r="C103" s="428" t="s">
        <v>6979</v>
      </c>
      <c r="D103" s="376" t="s">
        <v>3801</v>
      </c>
      <c r="E103" s="429">
        <v>1516.0</v>
      </c>
      <c r="F103" s="429">
        <v>47.0</v>
      </c>
      <c r="G103" s="429">
        <v>37.0</v>
      </c>
      <c r="H103" s="429">
        <v>3.0</v>
      </c>
      <c r="I103" s="429">
        <v>40.0</v>
      </c>
      <c r="J103" s="430">
        <v>0.93</v>
      </c>
      <c r="K103" s="376" t="s">
        <v>6998</v>
      </c>
      <c r="L103" s="376">
        <v>5.074712125E9</v>
      </c>
      <c r="M103" s="376" t="s">
        <v>286</v>
      </c>
      <c r="N103" s="376" t="s">
        <v>3688</v>
      </c>
      <c r="O103" s="376" t="s">
        <v>7075</v>
      </c>
      <c r="P103" s="376" t="s">
        <v>6982</v>
      </c>
      <c r="Q103" s="16">
        <f>COUNTIF('hedef liste'!A:A,A103)</f>
        <v>0</v>
      </c>
    </row>
    <row r="104" hidden="1">
      <c r="A104" s="376" t="s">
        <v>7076</v>
      </c>
      <c r="B104" s="376" t="s">
        <v>7077</v>
      </c>
      <c r="C104" s="428" t="s">
        <v>6979</v>
      </c>
      <c r="D104" s="376" t="s">
        <v>3801</v>
      </c>
      <c r="E104" s="429">
        <v>3220.0</v>
      </c>
      <c r="F104" s="429">
        <v>104.0</v>
      </c>
      <c r="G104" s="429">
        <v>89.0</v>
      </c>
      <c r="H104" s="429">
        <v>6.0</v>
      </c>
      <c r="I104" s="429">
        <v>95.0</v>
      </c>
      <c r="J104" s="430">
        <v>0.94</v>
      </c>
      <c r="K104" s="376" t="s">
        <v>6998</v>
      </c>
      <c r="L104" s="376">
        <v>5.342920882E9</v>
      </c>
      <c r="M104" s="376" t="s">
        <v>286</v>
      </c>
      <c r="N104" s="376" t="s">
        <v>5904</v>
      </c>
      <c r="O104" s="376" t="s">
        <v>7078</v>
      </c>
      <c r="P104" s="376" t="s">
        <v>6982</v>
      </c>
      <c r="Q104" s="16">
        <f>COUNTIF('hedef liste'!A:A,A104)</f>
        <v>0</v>
      </c>
    </row>
    <row r="105" hidden="1">
      <c r="A105" s="376" t="s">
        <v>85</v>
      </c>
      <c r="B105" s="376" t="s">
        <v>7079</v>
      </c>
      <c r="C105" s="428" t="s">
        <v>6979</v>
      </c>
      <c r="D105" s="376" t="s">
        <v>4000</v>
      </c>
      <c r="E105" s="429">
        <v>10472.0</v>
      </c>
      <c r="F105" s="429">
        <v>278.0</v>
      </c>
      <c r="G105" s="429">
        <v>10.0</v>
      </c>
      <c r="H105" s="429">
        <v>21.0</v>
      </c>
      <c r="I105" s="429">
        <v>31.0</v>
      </c>
      <c r="J105" s="430">
        <v>0.32</v>
      </c>
      <c r="K105" s="376" t="s">
        <v>4171</v>
      </c>
      <c r="L105" s="376">
        <v>3.222349404E9</v>
      </c>
      <c r="M105" s="376" t="s">
        <v>14</v>
      </c>
      <c r="N105" s="376" t="s">
        <v>3797</v>
      </c>
      <c r="O105" s="376" t="s">
        <v>89</v>
      </c>
      <c r="P105" s="376" t="s">
        <v>3941</v>
      </c>
      <c r="Q105" s="16">
        <f>COUNTIF('hedef liste'!A:A,A105)</f>
        <v>1</v>
      </c>
    </row>
    <row r="106" hidden="1">
      <c r="A106" s="376" t="s">
        <v>2387</v>
      </c>
      <c r="B106" s="376" t="s">
        <v>2388</v>
      </c>
      <c r="C106" s="428" t="s">
        <v>6979</v>
      </c>
      <c r="D106" s="376" t="s">
        <v>3713</v>
      </c>
      <c r="E106" s="429">
        <v>3057.0</v>
      </c>
      <c r="F106" s="429">
        <v>65.0</v>
      </c>
      <c r="G106" s="429">
        <v>5.0</v>
      </c>
      <c r="H106" s="429">
        <v>18.0</v>
      </c>
      <c r="I106" s="429">
        <v>23.0</v>
      </c>
      <c r="J106" s="430">
        <v>0.22</v>
      </c>
      <c r="K106" s="376" t="s">
        <v>4251</v>
      </c>
      <c r="L106" s="376">
        <v>3.222615959E9</v>
      </c>
      <c r="M106" s="376" t="s">
        <v>286</v>
      </c>
      <c r="N106" s="376" t="s">
        <v>3746</v>
      </c>
      <c r="O106" s="376" t="s">
        <v>2390</v>
      </c>
      <c r="P106" s="376" t="s">
        <v>3941</v>
      </c>
      <c r="Q106" s="16">
        <f>COUNTIF('hedef liste'!A:A,A106)</f>
        <v>1</v>
      </c>
    </row>
    <row r="107" hidden="1">
      <c r="A107" s="376" t="s">
        <v>4806</v>
      </c>
      <c r="B107" s="376" t="s">
        <v>4807</v>
      </c>
      <c r="C107" s="428" t="s">
        <v>7011</v>
      </c>
      <c r="D107" s="376" t="s">
        <v>3878</v>
      </c>
      <c r="E107" s="429">
        <v>342.0</v>
      </c>
      <c r="F107" s="431"/>
      <c r="G107" s="429">
        <v>6.0</v>
      </c>
      <c r="H107" s="429">
        <v>20.0</v>
      </c>
      <c r="I107" s="429">
        <v>26.0</v>
      </c>
      <c r="J107" s="430">
        <v>0.23</v>
      </c>
      <c r="K107" s="376" t="s">
        <v>4808</v>
      </c>
      <c r="L107" s="376">
        <v>3.229998498E9</v>
      </c>
      <c r="M107" s="376" t="s">
        <v>14</v>
      </c>
      <c r="N107" s="376" t="s">
        <v>3914</v>
      </c>
      <c r="O107" s="376" t="s">
        <v>4809</v>
      </c>
      <c r="P107" s="376" t="s">
        <v>3941</v>
      </c>
      <c r="Q107" s="16">
        <f>COUNTIF('hedef liste'!A:A,A107)</f>
        <v>1</v>
      </c>
    </row>
    <row r="108" hidden="1">
      <c r="A108" s="376" t="s">
        <v>2956</v>
      </c>
      <c r="B108" s="376" t="s">
        <v>2957</v>
      </c>
      <c r="C108" s="428" t="s">
        <v>6979</v>
      </c>
      <c r="D108" s="376" t="s">
        <v>3699</v>
      </c>
      <c r="E108" s="429">
        <v>1315.0</v>
      </c>
      <c r="F108" s="429">
        <v>69.0</v>
      </c>
      <c r="G108" s="429">
        <v>19.0</v>
      </c>
      <c r="H108" s="429">
        <v>31.0</v>
      </c>
      <c r="I108" s="429">
        <v>50.0</v>
      </c>
      <c r="J108" s="430">
        <v>0.38</v>
      </c>
      <c r="K108" s="376" t="s">
        <v>6585</v>
      </c>
      <c r="L108" s="376">
        <v>3.222326688E9</v>
      </c>
      <c r="M108" s="376" t="s">
        <v>3692</v>
      </c>
      <c r="N108" s="376" t="s">
        <v>3869</v>
      </c>
      <c r="O108" s="376" t="s">
        <v>2959</v>
      </c>
      <c r="P108" s="376" t="s">
        <v>3941</v>
      </c>
      <c r="Q108" s="16">
        <f>COUNTIF('hedef liste'!A:A,A108)</f>
        <v>1</v>
      </c>
    </row>
    <row r="109" hidden="1">
      <c r="A109" s="376" t="s">
        <v>575</v>
      </c>
      <c r="B109" s="376" t="s">
        <v>576</v>
      </c>
      <c r="C109" s="428" t="s">
        <v>6979</v>
      </c>
      <c r="D109" s="376" t="s">
        <v>3699</v>
      </c>
      <c r="E109" s="429">
        <v>1209.0</v>
      </c>
      <c r="F109" s="429">
        <v>24.0</v>
      </c>
      <c r="G109" s="429">
        <v>11.0</v>
      </c>
      <c r="H109" s="429">
        <v>35.0</v>
      </c>
      <c r="I109" s="429">
        <v>46.0</v>
      </c>
      <c r="J109" s="430">
        <v>0.24</v>
      </c>
      <c r="K109" s="376" t="s">
        <v>6586</v>
      </c>
      <c r="L109" s="376">
        <v>3.222394877E9</v>
      </c>
      <c r="M109" s="376" t="s">
        <v>14</v>
      </c>
      <c r="N109" s="376" t="s">
        <v>3718</v>
      </c>
      <c r="O109" s="376" t="s">
        <v>2171</v>
      </c>
      <c r="P109" s="376" t="s">
        <v>3941</v>
      </c>
      <c r="Q109" s="16">
        <f>COUNTIF('hedef liste'!A:A,A109)</f>
        <v>1</v>
      </c>
    </row>
    <row r="110" hidden="1">
      <c r="A110" s="376" t="s">
        <v>846</v>
      </c>
      <c r="B110" s="376" t="s">
        <v>847</v>
      </c>
      <c r="C110" s="428" t="s">
        <v>6979</v>
      </c>
      <c r="D110" s="376" t="s">
        <v>3676</v>
      </c>
      <c r="E110" s="429">
        <v>2655.0</v>
      </c>
      <c r="F110" s="429">
        <v>156.0</v>
      </c>
      <c r="G110" s="429">
        <v>23.0</v>
      </c>
      <c r="H110" s="429">
        <v>4.0</v>
      </c>
      <c r="I110" s="429">
        <v>27.0</v>
      </c>
      <c r="J110" s="430">
        <v>0.85</v>
      </c>
      <c r="K110" s="376" t="s">
        <v>5317</v>
      </c>
      <c r="L110" s="376">
        <v>3.222256988E9</v>
      </c>
      <c r="M110" s="376" t="s">
        <v>286</v>
      </c>
      <c r="N110" s="376" t="s">
        <v>3782</v>
      </c>
      <c r="O110" s="376" t="s">
        <v>849</v>
      </c>
      <c r="P110" s="376" t="s">
        <v>3941</v>
      </c>
      <c r="Q110" s="16">
        <f>COUNTIF('hedef liste'!A:A,A110)</f>
        <v>1</v>
      </c>
    </row>
    <row r="111" hidden="1">
      <c r="A111" s="376" t="s">
        <v>378</v>
      </c>
      <c r="B111" s="376" t="s">
        <v>379</v>
      </c>
      <c r="C111" s="428" t="s">
        <v>6979</v>
      </c>
      <c r="D111" s="376" t="s">
        <v>3676</v>
      </c>
      <c r="E111" s="429">
        <v>3488.0</v>
      </c>
      <c r="F111" s="429">
        <v>166.0</v>
      </c>
      <c r="G111" s="429">
        <v>18.0</v>
      </c>
      <c r="H111" s="429">
        <v>11.0</v>
      </c>
      <c r="I111" s="429">
        <v>29.0</v>
      </c>
      <c r="J111" s="430">
        <v>0.62</v>
      </c>
      <c r="K111" s="376" t="s">
        <v>4826</v>
      </c>
      <c r="L111" s="376">
        <v>3.22232103E9</v>
      </c>
      <c r="M111" s="376" t="s">
        <v>14</v>
      </c>
      <c r="N111" s="376" t="s">
        <v>3767</v>
      </c>
      <c r="O111" s="376" t="s">
        <v>4827</v>
      </c>
      <c r="P111" s="376" t="s">
        <v>3941</v>
      </c>
      <c r="Q111" s="16">
        <f>COUNTIF('hedef liste'!A:A,A111)</f>
        <v>1</v>
      </c>
    </row>
    <row r="112" hidden="1">
      <c r="A112" s="376" t="s">
        <v>6303</v>
      </c>
      <c r="B112" s="376" t="s">
        <v>6304</v>
      </c>
      <c r="C112" s="428" t="s">
        <v>7011</v>
      </c>
      <c r="D112" s="376" t="s">
        <v>3994</v>
      </c>
      <c r="E112" s="429">
        <v>1251.0</v>
      </c>
      <c r="F112" s="431"/>
      <c r="G112" s="429">
        <v>0.0</v>
      </c>
      <c r="H112" s="429">
        <v>18.0</v>
      </c>
      <c r="I112" s="429">
        <v>18.0</v>
      </c>
      <c r="J112" s="430">
        <v>0.0</v>
      </c>
      <c r="K112" s="376" t="s">
        <v>6305</v>
      </c>
      <c r="L112" s="376">
        <v>8.502269928E9</v>
      </c>
      <c r="M112" s="376" t="s">
        <v>286</v>
      </c>
      <c r="N112" s="376" t="s">
        <v>3737</v>
      </c>
      <c r="O112" s="376" t="s">
        <v>6306</v>
      </c>
      <c r="P112" s="376" t="s">
        <v>3941</v>
      </c>
      <c r="Q112" s="16">
        <f>COUNTIF('hedef liste'!A:A,A112)</f>
        <v>1</v>
      </c>
    </row>
    <row r="113" hidden="1">
      <c r="A113" s="376" t="s">
        <v>1958</v>
      </c>
      <c r="B113" s="376" t="s">
        <v>1959</v>
      </c>
      <c r="C113" s="428" t="s">
        <v>6979</v>
      </c>
      <c r="D113" s="376" t="s">
        <v>3801</v>
      </c>
      <c r="E113" s="429">
        <v>1671.0</v>
      </c>
      <c r="F113" s="429">
        <v>128.0</v>
      </c>
      <c r="G113" s="429">
        <v>18.0</v>
      </c>
      <c r="H113" s="429">
        <v>3.0</v>
      </c>
      <c r="I113" s="429">
        <v>21.0</v>
      </c>
      <c r="J113" s="430">
        <v>0.86</v>
      </c>
      <c r="K113" s="376" t="s">
        <v>4601</v>
      </c>
      <c r="L113" s="376">
        <v>3.229995252E9</v>
      </c>
      <c r="M113" s="376" t="s">
        <v>14</v>
      </c>
      <c r="N113" s="376" t="s">
        <v>3914</v>
      </c>
      <c r="O113" s="376" t="s">
        <v>1962</v>
      </c>
      <c r="P113" s="376" t="s">
        <v>3941</v>
      </c>
      <c r="Q113" s="16">
        <f>COUNTIF('hedef liste'!A:A,A113)</f>
        <v>1</v>
      </c>
    </row>
    <row r="114" hidden="1">
      <c r="A114" s="376" t="s">
        <v>5575</v>
      </c>
      <c r="B114" s="376" t="s">
        <v>5576</v>
      </c>
      <c r="C114" s="428" t="s">
        <v>6979</v>
      </c>
      <c r="D114" s="376" t="s">
        <v>3759</v>
      </c>
      <c r="E114" s="429">
        <v>3176.0</v>
      </c>
      <c r="F114" s="429">
        <v>129.0</v>
      </c>
      <c r="G114" s="429">
        <v>7.0</v>
      </c>
      <c r="H114" s="429">
        <v>5.0</v>
      </c>
      <c r="I114" s="429">
        <v>12.0</v>
      </c>
      <c r="J114" s="430">
        <v>0.58</v>
      </c>
      <c r="K114" s="376" t="s">
        <v>5577</v>
      </c>
      <c r="L114" s="376">
        <v>3.222617878E9</v>
      </c>
      <c r="M114" s="376" t="s">
        <v>286</v>
      </c>
      <c r="N114" s="376" t="s">
        <v>3746</v>
      </c>
      <c r="O114" s="376" t="s">
        <v>5578</v>
      </c>
      <c r="P114" s="376" t="s">
        <v>3941</v>
      </c>
      <c r="Q114" s="16">
        <f>COUNTIF('hedef liste'!A:A,A114)</f>
        <v>1</v>
      </c>
    </row>
    <row r="115" hidden="1">
      <c r="A115" s="376" t="s">
        <v>2631</v>
      </c>
      <c r="B115" s="376" t="s">
        <v>2632</v>
      </c>
      <c r="C115" s="428" t="s">
        <v>6979</v>
      </c>
      <c r="D115" s="376" t="s">
        <v>3699</v>
      </c>
      <c r="E115" s="429">
        <v>1737.0</v>
      </c>
      <c r="F115" s="429">
        <v>113.0</v>
      </c>
      <c r="G115" s="429">
        <v>7.0</v>
      </c>
      <c r="H115" s="429">
        <v>75.0</v>
      </c>
      <c r="I115" s="429">
        <v>82.0</v>
      </c>
      <c r="J115" s="430">
        <v>0.09</v>
      </c>
      <c r="K115" s="376" t="s">
        <v>4940</v>
      </c>
      <c r="L115" s="376">
        <v>5.422480666E9</v>
      </c>
      <c r="M115" s="376" t="s">
        <v>14</v>
      </c>
      <c r="N115" s="376" t="s">
        <v>3826</v>
      </c>
      <c r="O115" s="376" t="s">
        <v>2635</v>
      </c>
      <c r="P115" s="376" t="s">
        <v>3941</v>
      </c>
      <c r="Q115" s="16">
        <f>COUNTIF('hedef liste'!A:A,A115)</f>
        <v>1</v>
      </c>
    </row>
    <row r="116" hidden="1">
      <c r="A116" s="376" t="s">
        <v>530</v>
      </c>
      <c r="B116" s="376" t="s">
        <v>531</v>
      </c>
      <c r="C116" s="428" t="s">
        <v>6979</v>
      </c>
      <c r="D116" s="376" t="s">
        <v>3699</v>
      </c>
      <c r="E116" s="429">
        <v>563.0</v>
      </c>
      <c r="F116" s="429">
        <v>17.0</v>
      </c>
      <c r="G116" s="429">
        <v>21.0</v>
      </c>
      <c r="H116" s="429">
        <v>15.0</v>
      </c>
      <c r="I116" s="429">
        <v>36.0</v>
      </c>
      <c r="J116" s="430">
        <v>0.58</v>
      </c>
      <c r="K116" s="376" t="s">
        <v>6939</v>
      </c>
      <c r="L116" s="376">
        <v>3.224578465E9</v>
      </c>
      <c r="M116" s="376" t="s">
        <v>286</v>
      </c>
      <c r="N116" s="376" t="s">
        <v>3737</v>
      </c>
      <c r="O116" s="376" t="s">
        <v>533</v>
      </c>
      <c r="P116" s="376" t="s">
        <v>3941</v>
      </c>
      <c r="Q116" s="16">
        <f>COUNTIF('hedef liste'!A:A,A116)</f>
        <v>1</v>
      </c>
    </row>
    <row r="117" hidden="1">
      <c r="A117" s="376" t="s">
        <v>4097</v>
      </c>
      <c r="B117" s="376" t="s">
        <v>4098</v>
      </c>
      <c r="C117" s="428" t="s">
        <v>7011</v>
      </c>
      <c r="D117" s="376" t="s">
        <v>3699</v>
      </c>
      <c r="E117" s="429">
        <v>198.0</v>
      </c>
      <c r="F117" s="431"/>
      <c r="G117" s="429">
        <v>0.0</v>
      </c>
      <c r="H117" s="429">
        <v>76.0</v>
      </c>
      <c r="I117" s="429">
        <v>76.0</v>
      </c>
      <c r="J117" s="430">
        <v>0.0</v>
      </c>
      <c r="K117" s="376" t="s">
        <v>4099</v>
      </c>
      <c r="L117" s="376">
        <v>5.462396066E9</v>
      </c>
      <c r="M117" s="376" t="s">
        <v>14</v>
      </c>
      <c r="N117" s="376" t="s">
        <v>3797</v>
      </c>
      <c r="O117" s="376" t="s">
        <v>4100</v>
      </c>
      <c r="P117" s="376" t="s">
        <v>3941</v>
      </c>
      <c r="Q117" s="16">
        <f>COUNTIF('hedef liste'!A:A,A117)</f>
        <v>1</v>
      </c>
    </row>
    <row r="118" hidden="1">
      <c r="A118" s="376" t="s">
        <v>1459</v>
      </c>
      <c r="B118" s="376" t="s">
        <v>1460</v>
      </c>
      <c r="C118" s="428" t="s">
        <v>6979</v>
      </c>
      <c r="D118" s="376" t="s">
        <v>3713</v>
      </c>
      <c r="E118" s="429">
        <v>4395.0</v>
      </c>
      <c r="F118" s="429">
        <v>233.0</v>
      </c>
      <c r="G118" s="429">
        <v>19.0</v>
      </c>
      <c r="H118" s="429">
        <v>6.0</v>
      </c>
      <c r="I118" s="429">
        <v>25.0</v>
      </c>
      <c r="J118" s="430">
        <v>0.76</v>
      </c>
      <c r="K118" s="376" t="s">
        <v>6318</v>
      </c>
      <c r="L118" s="376">
        <v>5.321562395E9</v>
      </c>
      <c r="M118" s="376" t="s">
        <v>3707</v>
      </c>
      <c r="N118" s="376" t="s">
        <v>4570</v>
      </c>
      <c r="O118" s="376" t="s">
        <v>6319</v>
      </c>
      <c r="P118" s="376" t="s">
        <v>3941</v>
      </c>
      <c r="Q118" s="16">
        <f>COUNTIF('hedef liste'!A:A,A118)</f>
        <v>1</v>
      </c>
    </row>
    <row r="119" hidden="1">
      <c r="A119" s="376" t="s">
        <v>1363</v>
      </c>
      <c r="B119" s="376" t="s">
        <v>1364</v>
      </c>
      <c r="C119" s="428" t="s">
        <v>6979</v>
      </c>
      <c r="D119" s="376" t="s">
        <v>4000</v>
      </c>
      <c r="E119" s="429">
        <v>1261.0</v>
      </c>
      <c r="F119" s="429">
        <v>48.0</v>
      </c>
      <c r="G119" s="429">
        <v>5.0</v>
      </c>
      <c r="H119" s="429">
        <v>121.0</v>
      </c>
      <c r="I119" s="429">
        <v>126.0</v>
      </c>
      <c r="J119" s="430">
        <v>0.04</v>
      </c>
      <c r="K119" s="376" t="s">
        <v>4962</v>
      </c>
      <c r="L119" s="376">
        <v>3.224570065E9</v>
      </c>
      <c r="M119" s="376" t="s">
        <v>286</v>
      </c>
      <c r="N119" s="376" t="s">
        <v>3806</v>
      </c>
      <c r="O119" s="376" t="s">
        <v>1366</v>
      </c>
      <c r="P119" s="376" t="s">
        <v>3941</v>
      </c>
      <c r="Q119" s="16">
        <f>COUNTIF('hedef liste'!A:A,A119)</f>
        <v>1</v>
      </c>
    </row>
    <row r="120" hidden="1">
      <c r="A120" s="376" t="s">
        <v>5834</v>
      </c>
      <c r="B120" s="376" t="s">
        <v>5835</v>
      </c>
      <c r="C120" s="428" t="s">
        <v>6979</v>
      </c>
      <c r="D120" s="376" t="s">
        <v>3994</v>
      </c>
      <c r="E120" s="429">
        <v>2120.0</v>
      </c>
      <c r="F120" s="429">
        <v>41.0</v>
      </c>
      <c r="G120" s="429">
        <v>0.0</v>
      </c>
      <c r="H120" s="429">
        <v>125.0</v>
      </c>
      <c r="I120" s="429">
        <v>125.0</v>
      </c>
      <c r="J120" s="430">
        <v>0.0</v>
      </c>
      <c r="K120" s="376" t="s">
        <v>5836</v>
      </c>
      <c r="L120" s="376">
        <v>3.22454022E9</v>
      </c>
      <c r="M120" s="376" t="s">
        <v>286</v>
      </c>
      <c r="N120" s="376" t="s">
        <v>3737</v>
      </c>
      <c r="O120" s="376" t="s">
        <v>5837</v>
      </c>
      <c r="P120" s="376" t="s">
        <v>3941</v>
      </c>
      <c r="Q120" s="16">
        <f>COUNTIF('hedef liste'!A:A,A120)</f>
        <v>1</v>
      </c>
    </row>
    <row r="121" hidden="1">
      <c r="A121" s="376" t="s">
        <v>5729</v>
      </c>
      <c r="B121" s="376" t="s">
        <v>5730</v>
      </c>
      <c r="C121" s="428" t="s">
        <v>6979</v>
      </c>
      <c r="D121" s="376" t="s">
        <v>3801</v>
      </c>
      <c r="E121" s="429">
        <v>840.0</v>
      </c>
      <c r="F121" s="429">
        <v>25.0</v>
      </c>
      <c r="G121" s="429">
        <v>15.0</v>
      </c>
      <c r="H121" s="429">
        <v>11.0</v>
      </c>
      <c r="I121" s="429">
        <v>26.0</v>
      </c>
      <c r="J121" s="430">
        <v>0.58</v>
      </c>
      <c r="K121" s="376" t="s">
        <v>5731</v>
      </c>
      <c r="L121" s="376">
        <v>5.072637673E9</v>
      </c>
      <c r="M121" s="376" t="s">
        <v>286</v>
      </c>
      <c r="N121" s="376" t="s">
        <v>3855</v>
      </c>
      <c r="O121" s="376" t="s">
        <v>5732</v>
      </c>
      <c r="P121" s="376" t="s">
        <v>3941</v>
      </c>
      <c r="Q121" s="16">
        <f>COUNTIF('hedef liste'!A:A,A121)</f>
        <v>1</v>
      </c>
    </row>
    <row r="122" hidden="1">
      <c r="A122" s="376" t="s">
        <v>1787</v>
      </c>
      <c r="B122" s="376" t="s">
        <v>1788</v>
      </c>
      <c r="C122" s="428" t="s">
        <v>6979</v>
      </c>
      <c r="D122" s="376" t="s">
        <v>3994</v>
      </c>
      <c r="E122" s="429">
        <v>3228.0</v>
      </c>
      <c r="F122" s="429">
        <v>112.0</v>
      </c>
      <c r="G122" s="429">
        <v>32.0</v>
      </c>
      <c r="H122" s="429">
        <v>121.0</v>
      </c>
      <c r="I122" s="429">
        <v>153.0</v>
      </c>
      <c r="J122" s="430">
        <v>0.21</v>
      </c>
      <c r="K122" s="376" t="s">
        <v>4393</v>
      </c>
      <c r="L122" s="376">
        <v>3.225025555E9</v>
      </c>
      <c r="M122" s="376" t="s">
        <v>3692</v>
      </c>
      <c r="N122" s="376" t="s">
        <v>7080</v>
      </c>
      <c r="O122" s="376" t="s">
        <v>1791</v>
      </c>
      <c r="P122" s="376" t="s">
        <v>3941</v>
      </c>
      <c r="Q122" s="16">
        <f>COUNTIF('hedef liste'!A:A,A122)</f>
        <v>1</v>
      </c>
    </row>
    <row r="123" hidden="1">
      <c r="A123" s="376" t="s">
        <v>4724</v>
      </c>
      <c r="B123" s="376" t="s">
        <v>4725</v>
      </c>
      <c r="C123" s="428" t="s">
        <v>7011</v>
      </c>
      <c r="D123" s="376" t="s">
        <v>3699</v>
      </c>
      <c r="F123" s="431"/>
      <c r="G123" s="429">
        <v>0.0</v>
      </c>
      <c r="H123" s="429">
        <v>112.0</v>
      </c>
      <c r="I123" s="429">
        <v>112.0</v>
      </c>
      <c r="J123" s="430">
        <v>0.0</v>
      </c>
      <c r="K123" s="376" t="s">
        <v>4726</v>
      </c>
      <c r="L123" s="376">
        <v>5.323997992E9</v>
      </c>
      <c r="M123" s="376" t="s">
        <v>286</v>
      </c>
      <c r="N123" s="376" t="s">
        <v>3855</v>
      </c>
      <c r="O123" s="376" t="s">
        <v>4727</v>
      </c>
      <c r="P123" s="376" t="s">
        <v>3941</v>
      </c>
      <c r="Q123" s="16">
        <f>COUNTIF('hedef liste'!A:A,A123)</f>
        <v>1</v>
      </c>
    </row>
    <row r="124" hidden="1">
      <c r="A124" s="376" t="s">
        <v>4145</v>
      </c>
      <c r="B124" s="376" t="s">
        <v>7081</v>
      </c>
      <c r="C124" s="428" t="s">
        <v>6979</v>
      </c>
      <c r="D124" s="376" t="s">
        <v>3801</v>
      </c>
      <c r="E124" s="429">
        <v>539.0</v>
      </c>
      <c r="F124" s="429">
        <v>37.0</v>
      </c>
      <c r="G124" s="429">
        <v>7.0</v>
      </c>
      <c r="H124" s="429">
        <v>5.0</v>
      </c>
      <c r="I124" s="429">
        <v>12.0</v>
      </c>
      <c r="J124" s="430">
        <v>0.58</v>
      </c>
      <c r="K124" s="376" t="s">
        <v>4147</v>
      </c>
      <c r="L124" s="376">
        <v>5.352295989E9</v>
      </c>
      <c r="M124" s="376" t="s">
        <v>14</v>
      </c>
      <c r="N124" s="376" t="s">
        <v>3767</v>
      </c>
      <c r="O124" s="376" t="s">
        <v>4148</v>
      </c>
      <c r="P124" s="376" t="s">
        <v>3941</v>
      </c>
      <c r="Q124" s="16">
        <f>COUNTIF('hedef liste'!A:A,A124)</f>
        <v>1</v>
      </c>
    </row>
    <row r="125" hidden="1">
      <c r="A125" s="376" t="s">
        <v>6961</v>
      </c>
      <c r="B125" s="376" t="s">
        <v>7082</v>
      </c>
      <c r="C125" s="428" t="s">
        <v>6979</v>
      </c>
      <c r="D125" s="376" t="s">
        <v>3759</v>
      </c>
      <c r="E125" s="429">
        <v>2155.0</v>
      </c>
      <c r="F125" s="429">
        <v>135.0</v>
      </c>
      <c r="G125" s="429">
        <v>0.0</v>
      </c>
      <c r="H125" s="429">
        <v>5.0</v>
      </c>
      <c r="I125" s="429">
        <v>5.0</v>
      </c>
      <c r="J125" s="430">
        <v>0.0</v>
      </c>
      <c r="K125" s="376" t="s">
        <v>6963</v>
      </c>
      <c r="L125" s="376">
        <v>3.224575317E9</v>
      </c>
      <c r="M125" s="376" t="s">
        <v>286</v>
      </c>
      <c r="N125" s="376" t="s">
        <v>4550</v>
      </c>
      <c r="O125" s="376" t="s">
        <v>6964</v>
      </c>
      <c r="P125" s="376" t="s">
        <v>3941</v>
      </c>
      <c r="Q125" s="16">
        <f>COUNTIF('hedef liste'!A:A,A125)</f>
        <v>1</v>
      </c>
    </row>
    <row r="126" hidden="1">
      <c r="A126" s="376" t="s">
        <v>6387</v>
      </c>
      <c r="B126" s="376" t="s">
        <v>7083</v>
      </c>
      <c r="C126" s="428" t="s">
        <v>6979</v>
      </c>
      <c r="D126" s="376" t="s">
        <v>4000</v>
      </c>
      <c r="E126" s="429">
        <v>1679.0</v>
      </c>
      <c r="F126" s="429">
        <v>81.0</v>
      </c>
      <c r="G126" s="429">
        <v>0.0</v>
      </c>
      <c r="H126" s="429">
        <v>59.0</v>
      </c>
      <c r="I126" s="429">
        <v>59.0</v>
      </c>
      <c r="J126" s="430">
        <v>0.0</v>
      </c>
      <c r="K126" s="376" t="s">
        <v>6389</v>
      </c>
      <c r="L126" s="376">
        <v>3.226128686E9</v>
      </c>
      <c r="M126" s="376" t="s">
        <v>3701</v>
      </c>
      <c r="N126" s="376" t="s">
        <v>4176</v>
      </c>
      <c r="O126" s="376" t="s">
        <v>6390</v>
      </c>
      <c r="P126" s="376" t="s">
        <v>3941</v>
      </c>
      <c r="Q126" s="16">
        <f>COUNTIF('hedef liste'!A:A,A126)</f>
        <v>1</v>
      </c>
    </row>
    <row r="127" hidden="1">
      <c r="A127" s="376" t="s">
        <v>428</v>
      </c>
      <c r="B127" s="376" t="s">
        <v>429</v>
      </c>
      <c r="C127" s="428" t="s">
        <v>6979</v>
      </c>
      <c r="D127" s="376" t="s">
        <v>3676</v>
      </c>
      <c r="E127" s="429">
        <v>4983.0</v>
      </c>
      <c r="F127" s="429">
        <v>209.0</v>
      </c>
      <c r="G127" s="429">
        <v>11.0</v>
      </c>
      <c r="H127" s="429">
        <v>9.0</v>
      </c>
      <c r="I127" s="429">
        <v>20.0</v>
      </c>
      <c r="J127" s="430">
        <v>0.55</v>
      </c>
      <c r="K127" s="376" t="s">
        <v>5263</v>
      </c>
      <c r="L127" s="376">
        <v>3.222483828E9</v>
      </c>
      <c r="M127" s="376" t="s">
        <v>14</v>
      </c>
      <c r="N127" s="376" t="s">
        <v>3935</v>
      </c>
      <c r="O127" s="376" t="s">
        <v>431</v>
      </c>
      <c r="P127" s="376" t="s">
        <v>3941</v>
      </c>
      <c r="Q127" s="16">
        <f>COUNTIF('hedef liste'!A:A,A127)</f>
        <v>1</v>
      </c>
    </row>
    <row r="128" hidden="1">
      <c r="A128" s="376" t="s">
        <v>2820</v>
      </c>
      <c r="B128" s="376" t="s">
        <v>2821</v>
      </c>
      <c r="C128" s="428" t="s">
        <v>6979</v>
      </c>
      <c r="D128" s="376" t="s">
        <v>3713</v>
      </c>
      <c r="E128" s="429">
        <v>2174.0</v>
      </c>
      <c r="F128" s="429">
        <v>66.0</v>
      </c>
      <c r="G128" s="429">
        <v>0.0</v>
      </c>
      <c r="H128" s="429">
        <v>29.0</v>
      </c>
      <c r="I128" s="429">
        <v>29.0</v>
      </c>
      <c r="J128" s="430">
        <v>0.0</v>
      </c>
      <c r="K128" s="376" t="s">
        <v>3825</v>
      </c>
      <c r="L128" s="376">
        <v>3.228020818E9</v>
      </c>
      <c r="M128" s="376" t="s">
        <v>14</v>
      </c>
      <c r="N128" s="376" t="s">
        <v>3826</v>
      </c>
      <c r="O128" s="376" t="s">
        <v>2823</v>
      </c>
      <c r="P128" s="376" t="s">
        <v>3941</v>
      </c>
      <c r="Q128" s="16">
        <f>COUNTIF('hedef liste'!A:A,A128)</f>
        <v>1</v>
      </c>
    </row>
    <row r="129" hidden="1">
      <c r="A129" s="376" t="s">
        <v>337</v>
      </c>
      <c r="B129" s="376" t="s">
        <v>338</v>
      </c>
      <c r="C129" s="428" t="s">
        <v>6979</v>
      </c>
      <c r="D129" s="376" t="s">
        <v>3713</v>
      </c>
      <c r="E129" s="429">
        <v>2552.0</v>
      </c>
      <c r="F129" s="429">
        <v>42.0</v>
      </c>
      <c r="G129" s="429">
        <v>8.0</v>
      </c>
      <c r="H129" s="429">
        <v>26.0</v>
      </c>
      <c r="I129" s="429">
        <v>34.0</v>
      </c>
      <c r="J129" s="430">
        <v>0.24</v>
      </c>
      <c r="K129" s="376" t="s">
        <v>4085</v>
      </c>
      <c r="L129" s="376">
        <v>5.075052939E9</v>
      </c>
      <c r="M129" s="376" t="s">
        <v>286</v>
      </c>
      <c r="N129" s="376" t="s">
        <v>4086</v>
      </c>
      <c r="O129" s="376" t="s">
        <v>341</v>
      </c>
      <c r="P129" s="376" t="s">
        <v>3941</v>
      </c>
      <c r="Q129" s="16">
        <f>COUNTIF('hedef liste'!A:A,A129)</f>
        <v>1</v>
      </c>
    </row>
    <row r="130" hidden="1">
      <c r="A130" s="376" t="s">
        <v>803</v>
      </c>
      <c r="B130" s="376" t="s">
        <v>804</v>
      </c>
      <c r="C130" s="428" t="s">
        <v>6979</v>
      </c>
      <c r="D130" s="376" t="s">
        <v>3676</v>
      </c>
      <c r="E130" s="429">
        <v>335.0</v>
      </c>
      <c r="F130" s="429">
        <v>14.0</v>
      </c>
      <c r="G130" s="429">
        <v>13.0</v>
      </c>
      <c r="H130" s="429">
        <v>42.0</v>
      </c>
      <c r="I130" s="429">
        <v>55.0</v>
      </c>
      <c r="J130" s="430">
        <v>0.24</v>
      </c>
      <c r="K130" s="376" t="s">
        <v>5075</v>
      </c>
      <c r="L130" s="376">
        <v>5.330917639E9</v>
      </c>
      <c r="M130" s="376" t="s">
        <v>14</v>
      </c>
      <c r="N130" s="376" t="s">
        <v>3826</v>
      </c>
      <c r="O130" s="376" t="s">
        <v>806</v>
      </c>
      <c r="P130" s="376" t="s">
        <v>3941</v>
      </c>
      <c r="Q130" s="16">
        <f>COUNTIF('hedef liste'!A:A,A130)</f>
        <v>1</v>
      </c>
    </row>
    <row r="131" hidden="1">
      <c r="A131" s="376" t="s">
        <v>6138</v>
      </c>
      <c r="B131" s="376" t="s">
        <v>7084</v>
      </c>
      <c r="C131" s="428" t="s">
        <v>7011</v>
      </c>
      <c r="D131" s="376" t="s">
        <v>3842</v>
      </c>
      <c r="E131" s="429">
        <v>2339.0</v>
      </c>
      <c r="F131" s="431"/>
      <c r="G131" s="429">
        <v>0.0</v>
      </c>
      <c r="H131" s="429">
        <v>39.0</v>
      </c>
      <c r="I131" s="429">
        <v>39.0</v>
      </c>
      <c r="J131" s="430">
        <v>0.0</v>
      </c>
      <c r="K131" s="376" t="s">
        <v>6140</v>
      </c>
      <c r="L131" s="376">
        <v>3.225030252E9</v>
      </c>
      <c r="M131" s="376" t="s">
        <v>286</v>
      </c>
      <c r="N131" s="376" t="s">
        <v>3746</v>
      </c>
      <c r="O131" s="376" t="s">
        <v>6141</v>
      </c>
      <c r="P131" s="376" t="s">
        <v>3941</v>
      </c>
      <c r="Q131" s="16">
        <f>COUNTIF('hedef liste'!A:A,A131)</f>
        <v>1</v>
      </c>
    </row>
    <row r="132" hidden="1">
      <c r="A132" s="376" t="s">
        <v>2072</v>
      </c>
      <c r="B132" s="376" t="s">
        <v>7085</v>
      </c>
      <c r="C132" s="428" t="s">
        <v>6979</v>
      </c>
      <c r="D132" s="376" t="s">
        <v>3713</v>
      </c>
      <c r="E132" s="429">
        <v>1664.0</v>
      </c>
      <c r="F132" s="429">
        <v>62.0</v>
      </c>
      <c r="G132" s="429">
        <v>10.0</v>
      </c>
      <c r="H132" s="429">
        <v>1.0</v>
      </c>
      <c r="I132" s="429">
        <v>11.0</v>
      </c>
      <c r="J132" s="430">
        <v>0.91</v>
      </c>
      <c r="K132" s="376" t="s">
        <v>3720</v>
      </c>
      <c r="L132" s="376">
        <v>5.454013058E9</v>
      </c>
      <c r="M132" s="376" t="s">
        <v>3692</v>
      </c>
      <c r="N132" s="376" t="s">
        <v>3721</v>
      </c>
      <c r="O132" s="376" t="s">
        <v>2075</v>
      </c>
      <c r="P132" s="376" t="s">
        <v>3941</v>
      </c>
      <c r="Q132" s="16">
        <f>COUNTIF('hedef liste'!A:A,A132)</f>
        <v>1</v>
      </c>
    </row>
    <row r="133" hidden="1">
      <c r="A133" s="376" t="s">
        <v>2983</v>
      </c>
      <c r="B133" s="376" t="s">
        <v>7086</v>
      </c>
      <c r="C133" s="428" t="s">
        <v>6979</v>
      </c>
      <c r="D133" s="376" t="s">
        <v>4092</v>
      </c>
      <c r="E133" s="429">
        <v>1528.0</v>
      </c>
      <c r="F133" s="429">
        <v>14.0</v>
      </c>
      <c r="G133" s="429">
        <v>7.0</v>
      </c>
      <c r="H133" s="429">
        <v>2.0</v>
      </c>
      <c r="I133" s="429">
        <v>9.0</v>
      </c>
      <c r="J133" s="430">
        <v>0.78</v>
      </c>
      <c r="K133" s="376" t="s">
        <v>4369</v>
      </c>
      <c r="L133" s="376">
        <v>5.433483411E9</v>
      </c>
      <c r="M133" s="376" t="s">
        <v>14</v>
      </c>
      <c r="N133" s="376" t="s">
        <v>3797</v>
      </c>
      <c r="O133" s="376" t="s">
        <v>4370</v>
      </c>
      <c r="P133" s="376" t="s">
        <v>3941</v>
      </c>
      <c r="Q133" s="16">
        <f>COUNTIF('hedef liste'!A:A,A133)</f>
        <v>1</v>
      </c>
    </row>
    <row r="134" hidden="1">
      <c r="A134" s="376" t="s">
        <v>2739</v>
      </c>
      <c r="B134" s="376" t="s">
        <v>2740</v>
      </c>
      <c r="C134" s="428" t="s">
        <v>6979</v>
      </c>
      <c r="D134" s="376" t="s">
        <v>3713</v>
      </c>
      <c r="E134" s="429">
        <v>1925.0</v>
      </c>
      <c r="F134" s="429">
        <v>47.0</v>
      </c>
      <c r="G134" s="429">
        <v>7.0</v>
      </c>
      <c r="H134" s="429">
        <v>32.0</v>
      </c>
      <c r="I134" s="429">
        <v>39.0</v>
      </c>
      <c r="J134" s="430">
        <v>0.18</v>
      </c>
      <c r="K134" s="376" t="s">
        <v>6058</v>
      </c>
      <c r="L134" s="376">
        <v>5.373832396E9</v>
      </c>
      <c r="M134" s="376" t="s">
        <v>14</v>
      </c>
      <c r="N134" s="376" t="s">
        <v>3767</v>
      </c>
      <c r="O134" s="376" t="s">
        <v>2742</v>
      </c>
      <c r="P134" s="376" t="s">
        <v>3941</v>
      </c>
      <c r="Q134" s="16">
        <f>COUNTIF('hedef liste'!A:A,A134)</f>
        <v>1</v>
      </c>
    </row>
    <row r="135" hidden="1">
      <c r="A135" s="376" t="s">
        <v>7087</v>
      </c>
      <c r="B135" s="376" t="s">
        <v>7088</v>
      </c>
      <c r="C135" s="428" t="s">
        <v>7011</v>
      </c>
      <c r="D135" s="376" t="s">
        <v>4907</v>
      </c>
      <c r="E135" s="431"/>
      <c r="F135" s="431"/>
      <c r="G135" s="429">
        <v>96.0</v>
      </c>
      <c r="H135" s="429">
        <v>2.0</v>
      </c>
      <c r="I135" s="429">
        <v>98.0</v>
      </c>
      <c r="J135" s="430">
        <v>0.98</v>
      </c>
      <c r="K135" s="376" t="s">
        <v>7089</v>
      </c>
      <c r="L135" s="376">
        <v>3.222710457E9</v>
      </c>
      <c r="M135" s="376" t="s">
        <v>286</v>
      </c>
      <c r="N135" s="376" t="s">
        <v>4235</v>
      </c>
      <c r="O135" s="376" t="s">
        <v>7090</v>
      </c>
      <c r="P135" s="376" t="s">
        <v>6982</v>
      </c>
      <c r="Q135" s="16">
        <f>COUNTIF('hedef liste'!A:A,A135)</f>
        <v>0</v>
      </c>
    </row>
    <row r="136" hidden="1">
      <c r="A136" s="376" t="s">
        <v>513</v>
      </c>
      <c r="B136" s="376" t="s">
        <v>514</v>
      </c>
      <c r="C136" s="428" t="s">
        <v>6979</v>
      </c>
      <c r="D136" s="376" t="s">
        <v>3749</v>
      </c>
      <c r="E136" s="429">
        <v>3055.0</v>
      </c>
      <c r="F136" s="429">
        <v>86.0</v>
      </c>
      <c r="G136" s="429">
        <v>13.0</v>
      </c>
      <c r="H136" s="429">
        <v>42.0</v>
      </c>
      <c r="I136" s="429">
        <v>55.0</v>
      </c>
      <c r="J136" s="430">
        <v>0.24</v>
      </c>
      <c r="K136" s="376" t="s">
        <v>4749</v>
      </c>
      <c r="L136" s="376">
        <v>3.228880809E9</v>
      </c>
      <c r="M136" s="376" t="s">
        <v>286</v>
      </c>
      <c r="N136" s="376" t="s">
        <v>3737</v>
      </c>
      <c r="O136" s="376" t="s">
        <v>516</v>
      </c>
      <c r="P136" s="376" t="s">
        <v>3941</v>
      </c>
      <c r="Q136" s="16">
        <f>COUNTIF('hedef liste'!A:A,A136)</f>
        <v>1</v>
      </c>
    </row>
    <row r="137" hidden="1">
      <c r="A137" s="376" t="s">
        <v>1417</v>
      </c>
      <c r="B137" s="376" t="s">
        <v>1418</v>
      </c>
      <c r="C137" s="428" t="s">
        <v>6979</v>
      </c>
      <c r="D137" s="376" t="s">
        <v>3907</v>
      </c>
      <c r="E137" s="429">
        <v>59.0</v>
      </c>
      <c r="F137" s="431"/>
      <c r="G137" s="429">
        <v>3.0</v>
      </c>
      <c r="H137" s="429">
        <v>2.0</v>
      </c>
      <c r="I137" s="429">
        <v>5.0</v>
      </c>
      <c r="J137" s="430">
        <v>0.6</v>
      </c>
      <c r="K137" s="376" t="s">
        <v>4880</v>
      </c>
      <c r="L137" s="376">
        <v>5.535913791E9</v>
      </c>
      <c r="M137" s="376" t="s">
        <v>286</v>
      </c>
      <c r="N137" s="376" t="s">
        <v>3855</v>
      </c>
      <c r="O137" s="376" t="s">
        <v>1421</v>
      </c>
      <c r="P137" s="376" t="s">
        <v>3941</v>
      </c>
      <c r="Q137" s="16">
        <f>COUNTIF('hedef liste'!A:A,A137)</f>
        <v>1</v>
      </c>
    </row>
    <row r="138" hidden="1">
      <c r="A138" s="376" t="s">
        <v>3873</v>
      </c>
      <c r="B138" s="376" t="s">
        <v>3874</v>
      </c>
      <c r="C138" s="428" t="s">
        <v>6979</v>
      </c>
      <c r="D138" s="376" t="s">
        <v>3713</v>
      </c>
      <c r="E138" s="429">
        <v>1077.0</v>
      </c>
      <c r="F138" s="429">
        <v>10.0</v>
      </c>
      <c r="G138" s="429">
        <v>0.0</v>
      </c>
      <c r="H138" s="429">
        <v>32.0</v>
      </c>
      <c r="I138" s="429">
        <v>32.0</v>
      </c>
      <c r="J138" s="430">
        <v>0.0</v>
      </c>
      <c r="K138" s="376" t="s">
        <v>3875</v>
      </c>
      <c r="L138" s="376">
        <v>3.222613589E9</v>
      </c>
      <c r="M138" s="376" t="s">
        <v>286</v>
      </c>
      <c r="N138" s="376" t="s">
        <v>3769</v>
      </c>
      <c r="O138" s="376" t="s">
        <v>3876</v>
      </c>
      <c r="P138" s="376" t="s">
        <v>3941</v>
      </c>
      <c r="Q138" s="16">
        <f>COUNTIF('hedef liste'!A:A,A138)</f>
        <v>1</v>
      </c>
    </row>
    <row r="139" hidden="1">
      <c r="A139" s="376" t="s">
        <v>1464</v>
      </c>
      <c r="B139" s="376" t="s">
        <v>1465</v>
      </c>
      <c r="C139" s="428" t="s">
        <v>6979</v>
      </c>
      <c r="D139" s="376" t="s">
        <v>3713</v>
      </c>
      <c r="E139" s="429">
        <v>2532.0</v>
      </c>
      <c r="F139" s="429">
        <v>80.0</v>
      </c>
      <c r="G139" s="429">
        <v>24.0</v>
      </c>
      <c r="H139" s="429">
        <v>1.0</v>
      </c>
      <c r="I139" s="429">
        <v>25.0</v>
      </c>
      <c r="J139" s="430">
        <v>0.96</v>
      </c>
      <c r="K139" s="376" t="s">
        <v>4877</v>
      </c>
      <c r="L139" s="376">
        <v>3.223463617E9</v>
      </c>
      <c r="M139" s="376" t="s">
        <v>3707</v>
      </c>
      <c r="N139" s="376" t="s">
        <v>4432</v>
      </c>
      <c r="O139" s="376" t="s">
        <v>1468</v>
      </c>
      <c r="P139" s="376" t="s">
        <v>3941</v>
      </c>
      <c r="Q139" s="16">
        <f>COUNTIF('hedef liste'!A:A,A139)</f>
        <v>1</v>
      </c>
    </row>
    <row r="140" hidden="1">
      <c r="A140" s="376" t="s">
        <v>3237</v>
      </c>
      <c r="B140" s="376" t="s">
        <v>3238</v>
      </c>
      <c r="C140" s="428" t="s">
        <v>6979</v>
      </c>
      <c r="D140" s="376" t="s">
        <v>3759</v>
      </c>
      <c r="E140" s="429">
        <v>1917.0</v>
      </c>
      <c r="F140" s="429">
        <v>77.0</v>
      </c>
      <c r="G140" s="429">
        <v>0.0</v>
      </c>
      <c r="H140" s="429">
        <v>34.0</v>
      </c>
      <c r="I140" s="429">
        <v>34.0</v>
      </c>
      <c r="J140" s="430">
        <v>0.0</v>
      </c>
      <c r="K140" s="376" t="s">
        <v>4219</v>
      </c>
      <c r="L140" s="376">
        <v>3.22234303E9</v>
      </c>
      <c r="M140" s="376" t="s">
        <v>14</v>
      </c>
      <c r="N140" s="376" t="s">
        <v>3797</v>
      </c>
      <c r="O140" s="376" t="s">
        <v>4220</v>
      </c>
      <c r="P140" s="376" t="s">
        <v>3941</v>
      </c>
      <c r="Q140" s="16">
        <f>COUNTIF('hedef liste'!A:A,A140)</f>
        <v>1</v>
      </c>
    </row>
    <row r="141" hidden="1">
      <c r="A141" s="376" t="s">
        <v>6741</v>
      </c>
      <c r="B141" s="376" t="s">
        <v>7091</v>
      </c>
      <c r="C141" s="428" t="s">
        <v>6979</v>
      </c>
      <c r="D141" s="376" t="s">
        <v>3690</v>
      </c>
      <c r="E141" s="429">
        <v>769.0</v>
      </c>
      <c r="F141" s="429">
        <v>10.0</v>
      </c>
      <c r="G141" s="429">
        <v>3.0</v>
      </c>
      <c r="H141" s="429">
        <v>5.0</v>
      </c>
      <c r="I141" s="429">
        <v>8.0</v>
      </c>
      <c r="J141" s="430">
        <v>0.38</v>
      </c>
      <c r="K141" s="376" t="s">
        <v>6743</v>
      </c>
      <c r="L141" s="376">
        <v>5.541792047E9</v>
      </c>
      <c r="M141" s="376" t="s">
        <v>286</v>
      </c>
      <c r="N141" s="376" t="s">
        <v>3754</v>
      </c>
      <c r="O141" s="376" t="s">
        <v>6744</v>
      </c>
      <c r="P141" s="376" t="s">
        <v>3941</v>
      </c>
      <c r="Q141" s="16">
        <f>COUNTIF('hedef liste'!A:A,A141)</f>
        <v>1</v>
      </c>
    </row>
    <row r="142" hidden="1">
      <c r="A142" s="376" t="s">
        <v>6246</v>
      </c>
      <c r="B142" s="376" t="s">
        <v>6247</v>
      </c>
      <c r="C142" s="428" t="s">
        <v>6979</v>
      </c>
      <c r="D142" s="376" t="s">
        <v>3994</v>
      </c>
      <c r="E142" s="429">
        <v>6003.0</v>
      </c>
      <c r="F142" s="429">
        <v>164.0</v>
      </c>
      <c r="G142" s="429">
        <v>9.0</v>
      </c>
      <c r="H142" s="429">
        <v>89.0</v>
      </c>
      <c r="I142" s="429">
        <v>98.0</v>
      </c>
      <c r="J142" s="430">
        <v>0.09</v>
      </c>
      <c r="K142" s="376" t="s">
        <v>6248</v>
      </c>
      <c r="L142" s="376">
        <v>3.228810111E9</v>
      </c>
      <c r="M142" s="376" t="s">
        <v>14</v>
      </c>
      <c r="N142" s="376" t="s">
        <v>3826</v>
      </c>
      <c r="O142" s="376" t="s">
        <v>6249</v>
      </c>
      <c r="P142" s="376" t="s">
        <v>3941</v>
      </c>
      <c r="Q142" s="16">
        <f>COUNTIF('hedef liste'!A:A,A142)</f>
        <v>1</v>
      </c>
    </row>
    <row r="143" hidden="1">
      <c r="A143" s="376" t="s">
        <v>3532</v>
      </c>
      <c r="B143" s="376" t="s">
        <v>7092</v>
      </c>
      <c r="C143" s="428" t="s">
        <v>6979</v>
      </c>
      <c r="D143" s="376" t="s">
        <v>3676</v>
      </c>
      <c r="E143" s="429">
        <v>6465.0</v>
      </c>
      <c r="F143" s="429">
        <v>254.0</v>
      </c>
      <c r="G143" s="429">
        <v>0.0</v>
      </c>
      <c r="H143" s="429">
        <v>38.0</v>
      </c>
      <c r="I143" s="429">
        <v>38.0</v>
      </c>
      <c r="J143" s="430">
        <v>0.0</v>
      </c>
      <c r="K143" s="376" t="s">
        <v>6701</v>
      </c>
      <c r="L143" s="376">
        <v>3.222354114E9</v>
      </c>
      <c r="M143" s="376" t="s">
        <v>14</v>
      </c>
      <c r="N143" s="376" t="s">
        <v>3767</v>
      </c>
      <c r="O143" s="376" t="s">
        <v>3535</v>
      </c>
      <c r="P143" s="376" t="s">
        <v>3941</v>
      </c>
      <c r="Q143" s="16">
        <f>COUNTIF('hedef liste'!A:A,A143)</f>
        <v>1</v>
      </c>
    </row>
    <row r="144" hidden="1">
      <c r="A144" s="376" t="s">
        <v>5339</v>
      </c>
      <c r="B144" s="376" t="s">
        <v>5340</v>
      </c>
      <c r="C144" s="428" t="s">
        <v>6979</v>
      </c>
      <c r="D144" s="376" t="s">
        <v>3713</v>
      </c>
      <c r="E144" s="429">
        <v>1800.0</v>
      </c>
      <c r="F144" s="429">
        <v>64.0</v>
      </c>
      <c r="G144" s="429">
        <v>0.0</v>
      </c>
      <c r="H144" s="429">
        <v>30.0</v>
      </c>
      <c r="I144" s="429">
        <v>30.0</v>
      </c>
      <c r="J144" s="430">
        <v>0.0</v>
      </c>
      <c r="K144" s="376" t="s">
        <v>5341</v>
      </c>
      <c r="L144" s="376">
        <v>5.35602973E9</v>
      </c>
      <c r="M144" s="376" t="s">
        <v>3707</v>
      </c>
      <c r="N144" s="376" t="s">
        <v>5342</v>
      </c>
      <c r="O144" s="376" t="s">
        <v>5343</v>
      </c>
      <c r="P144" s="376" t="s">
        <v>3941</v>
      </c>
      <c r="Q144" s="16">
        <f>COUNTIF('hedef liste'!A:A,A144)</f>
        <v>1</v>
      </c>
    </row>
    <row r="145" hidden="1">
      <c r="A145" s="376" t="s">
        <v>161</v>
      </c>
      <c r="B145" s="376" t="s">
        <v>162</v>
      </c>
      <c r="C145" s="428" t="s">
        <v>6979</v>
      </c>
      <c r="D145" s="376" t="s">
        <v>3994</v>
      </c>
      <c r="E145" s="429">
        <v>5101.0</v>
      </c>
      <c r="F145" s="429">
        <v>208.0</v>
      </c>
      <c r="G145" s="429">
        <v>0.0</v>
      </c>
      <c r="H145" s="429">
        <v>162.0</v>
      </c>
      <c r="I145" s="429">
        <v>162.0</v>
      </c>
      <c r="J145" s="430">
        <v>0.0</v>
      </c>
      <c r="K145" s="376" t="s">
        <v>6228</v>
      </c>
      <c r="L145" s="376">
        <v>3.229994049E9</v>
      </c>
      <c r="M145" s="376" t="s">
        <v>14</v>
      </c>
      <c r="N145" s="376" t="s">
        <v>3767</v>
      </c>
      <c r="O145" s="376" t="s">
        <v>164</v>
      </c>
      <c r="P145" s="376" t="s">
        <v>3941</v>
      </c>
      <c r="Q145" s="16">
        <f>COUNTIF('hedef liste'!A:A,A145)</f>
        <v>1</v>
      </c>
    </row>
    <row r="146" hidden="1">
      <c r="A146" s="376" t="s">
        <v>7093</v>
      </c>
      <c r="B146" s="376" t="s">
        <v>7094</v>
      </c>
      <c r="C146" s="428" t="s">
        <v>6979</v>
      </c>
      <c r="D146" s="376" t="s">
        <v>3994</v>
      </c>
      <c r="E146" s="429">
        <v>9303.0</v>
      </c>
      <c r="F146" s="429">
        <v>386.0</v>
      </c>
      <c r="G146" s="429">
        <v>98.0</v>
      </c>
      <c r="H146" s="429">
        <v>3.0</v>
      </c>
      <c r="I146" s="429">
        <v>101.0</v>
      </c>
      <c r="J146" s="430">
        <v>0.97</v>
      </c>
      <c r="K146" s="376" t="s">
        <v>7095</v>
      </c>
      <c r="L146" s="376">
        <v>3.225038912E9</v>
      </c>
      <c r="M146" s="376" t="s">
        <v>286</v>
      </c>
      <c r="N146" s="376" t="s">
        <v>3688</v>
      </c>
      <c r="O146" s="376" t="s">
        <v>7096</v>
      </c>
      <c r="P146" s="376" t="s">
        <v>6982</v>
      </c>
      <c r="Q146" s="16">
        <f>COUNTIF('hedef liste'!A:A,A146)</f>
        <v>0</v>
      </c>
    </row>
    <row r="147" hidden="1">
      <c r="A147" s="376" t="s">
        <v>5891</v>
      </c>
      <c r="B147" s="376" t="s">
        <v>7097</v>
      </c>
      <c r="C147" s="428" t="s">
        <v>6979</v>
      </c>
      <c r="D147" s="376" t="s">
        <v>3713</v>
      </c>
      <c r="E147" s="429">
        <v>2563.0</v>
      </c>
      <c r="F147" s="429">
        <v>20.0</v>
      </c>
      <c r="G147" s="429">
        <v>0.0</v>
      </c>
      <c r="H147" s="429">
        <v>39.0</v>
      </c>
      <c r="I147" s="429">
        <v>39.0</v>
      </c>
      <c r="J147" s="430">
        <v>0.0</v>
      </c>
      <c r="K147" s="376" t="s">
        <v>5893</v>
      </c>
      <c r="L147" s="376">
        <v>3.222391705E9</v>
      </c>
      <c r="M147" s="376" t="s">
        <v>14</v>
      </c>
      <c r="N147" s="376" t="s">
        <v>3935</v>
      </c>
      <c r="O147" s="376" t="s">
        <v>5894</v>
      </c>
      <c r="P147" s="376" t="s">
        <v>3941</v>
      </c>
      <c r="Q147" s="16">
        <f>COUNTIF('hedef liste'!A:A,A147)</f>
        <v>1</v>
      </c>
    </row>
    <row r="148" hidden="1">
      <c r="A148" s="376" t="s">
        <v>6300</v>
      </c>
      <c r="B148" s="376" t="s">
        <v>6301</v>
      </c>
      <c r="C148" s="428" t="s">
        <v>6979</v>
      </c>
      <c r="D148" s="376" t="s">
        <v>3994</v>
      </c>
      <c r="E148" s="429">
        <v>1229.0</v>
      </c>
      <c r="F148" s="429">
        <v>64.0</v>
      </c>
      <c r="G148" s="429">
        <v>0.0</v>
      </c>
      <c r="H148" s="429">
        <v>44.0</v>
      </c>
      <c r="I148" s="429">
        <v>44.0</v>
      </c>
      <c r="J148" s="430">
        <v>0.0</v>
      </c>
      <c r="K148" s="376" t="s">
        <v>4322</v>
      </c>
      <c r="L148" s="376">
        <v>5.323653169E9</v>
      </c>
      <c r="M148" s="376" t="s">
        <v>286</v>
      </c>
      <c r="N148" s="376" t="s">
        <v>3855</v>
      </c>
      <c r="O148" s="376" t="s">
        <v>4323</v>
      </c>
      <c r="P148" s="376" t="s">
        <v>3941</v>
      </c>
      <c r="Q148" s="16">
        <f>COUNTIF('hedef liste'!A:A,A148)</f>
        <v>1</v>
      </c>
    </row>
    <row r="149" hidden="1">
      <c r="A149" s="376" t="s">
        <v>2877</v>
      </c>
      <c r="B149" s="376" t="s">
        <v>2878</v>
      </c>
      <c r="C149" s="428" t="s">
        <v>6979</v>
      </c>
      <c r="D149" s="376" t="s">
        <v>3699</v>
      </c>
      <c r="E149" s="429">
        <v>544.0</v>
      </c>
      <c r="F149" s="429">
        <v>52.0</v>
      </c>
      <c r="G149" s="429">
        <v>7.0</v>
      </c>
      <c r="H149" s="429">
        <v>1.0</v>
      </c>
      <c r="I149" s="429">
        <v>8.0</v>
      </c>
      <c r="J149" s="430">
        <v>0.88</v>
      </c>
      <c r="K149" s="376" t="s">
        <v>4674</v>
      </c>
      <c r="L149" s="376">
        <v>5.414119713E9</v>
      </c>
      <c r="M149" s="376" t="s">
        <v>14</v>
      </c>
      <c r="N149" s="376" t="s">
        <v>3718</v>
      </c>
      <c r="O149" s="376" t="s">
        <v>2880</v>
      </c>
      <c r="P149" s="376" t="s">
        <v>3941</v>
      </c>
      <c r="Q149" s="16">
        <f>COUNTIF('hedef liste'!A:A,A149)</f>
        <v>1</v>
      </c>
    </row>
    <row r="150" hidden="1">
      <c r="A150" s="376" t="s">
        <v>633</v>
      </c>
      <c r="B150" s="376" t="s">
        <v>634</v>
      </c>
      <c r="C150" s="428" t="s">
        <v>6979</v>
      </c>
      <c r="D150" s="376" t="s">
        <v>4000</v>
      </c>
      <c r="E150" s="429">
        <v>931.0</v>
      </c>
      <c r="F150" s="429">
        <v>13.0</v>
      </c>
      <c r="G150" s="429">
        <v>19.0</v>
      </c>
      <c r="H150" s="429">
        <v>14.0</v>
      </c>
      <c r="I150" s="429">
        <v>33.0</v>
      </c>
      <c r="J150" s="430">
        <v>0.58</v>
      </c>
      <c r="K150" s="376" t="s">
        <v>4754</v>
      </c>
      <c r="L150" s="376">
        <v>5.3021107E9</v>
      </c>
      <c r="M150" s="376" t="s">
        <v>286</v>
      </c>
      <c r="N150" s="376" t="s">
        <v>4451</v>
      </c>
      <c r="O150" s="376" t="s">
        <v>637</v>
      </c>
      <c r="P150" s="376" t="s">
        <v>3941</v>
      </c>
      <c r="Q150" s="16">
        <f>COUNTIF('hedef liste'!A:A,A150)</f>
        <v>1</v>
      </c>
    </row>
    <row r="151" hidden="1">
      <c r="A151" s="376" t="s">
        <v>456</v>
      </c>
      <c r="B151" s="376" t="s">
        <v>457</v>
      </c>
      <c r="C151" s="428" t="s">
        <v>6979</v>
      </c>
      <c r="D151" s="376" t="s">
        <v>3759</v>
      </c>
      <c r="E151" s="429">
        <v>858.0</v>
      </c>
      <c r="F151" s="429">
        <v>31.0</v>
      </c>
      <c r="G151" s="429">
        <v>2.0</v>
      </c>
      <c r="H151" s="429">
        <v>3.0</v>
      </c>
      <c r="I151" s="429">
        <v>5.0</v>
      </c>
      <c r="J151" s="430">
        <v>0.4</v>
      </c>
      <c r="K151" s="376" t="s">
        <v>6478</v>
      </c>
      <c r="L151" s="376">
        <v>5.436342653E9</v>
      </c>
      <c r="M151" s="376" t="s">
        <v>286</v>
      </c>
      <c r="N151" s="376" t="s">
        <v>3754</v>
      </c>
      <c r="O151" s="376" t="s">
        <v>460</v>
      </c>
      <c r="P151" s="376" t="s">
        <v>3941</v>
      </c>
      <c r="Q151" s="16">
        <f>COUNTIF('hedef liste'!A:A,A151)</f>
        <v>1</v>
      </c>
    </row>
    <row r="152" hidden="1">
      <c r="A152" s="376" t="s">
        <v>2583</v>
      </c>
      <c r="B152" s="376" t="s">
        <v>2584</v>
      </c>
      <c r="C152" s="428" t="s">
        <v>6979</v>
      </c>
      <c r="D152" s="376" t="s">
        <v>3713</v>
      </c>
      <c r="E152" s="429">
        <v>2109.0</v>
      </c>
      <c r="F152" s="429">
        <v>80.0</v>
      </c>
      <c r="G152" s="429">
        <v>11.0</v>
      </c>
      <c r="H152" s="429">
        <v>36.0</v>
      </c>
      <c r="I152" s="429">
        <v>47.0</v>
      </c>
      <c r="J152" s="430">
        <v>0.23</v>
      </c>
      <c r="K152" s="376" t="s">
        <v>4074</v>
      </c>
      <c r="L152" s="376">
        <v>5.337730238E9</v>
      </c>
      <c r="M152" s="376" t="s">
        <v>286</v>
      </c>
      <c r="N152" s="376" t="s">
        <v>4075</v>
      </c>
      <c r="O152" s="376" t="s">
        <v>2587</v>
      </c>
      <c r="P152" s="376" t="s">
        <v>3941</v>
      </c>
      <c r="Q152" s="16">
        <f>COUNTIF('hedef liste'!A:A,A152)</f>
        <v>1</v>
      </c>
    </row>
    <row r="153" hidden="1">
      <c r="A153" s="376" t="s">
        <v>6079</v>
      </c>
      <c r="B153" s="376" t="s">
        <v>6080</v>
      </c>
      <c r="C153" s="428" t="s">
        <v>6979</v>
      </c>
      <c r="D153" s="376" t="s">
        <v>3759</v>
      </c>
      <c r="E153" s="429">
        <v>1465.0</v>
      </c>
      <c r="F153" s="429">
        <v>65.0</v>
      </c>
      <c r="G153" s="429">
        <v>3.0</v>
      </c>
      <c r="H153" s="429">
        <v>8.0</v>
      </c>
      <c r="I153" s="429">
        <v>11.0</v>
      </c>
      <c r="J153" s="430">
        <v>0.27</v>
      </c>
      <c r="K153" s="376" t="s">
        <v>6078</v>
      </c>
      <c r="L153" s="376">
        <v>3.2236504E9</v>
      </c>
      <c r="M153" s="376" t="s">
        <v>286</v>
      </c>
      <c r="N153" s="376" t="s">
        <v>4260</v>
      </c>
      <c r="O153" s="376" t="s">
        <v>6081</v>
      </c>
      <c r="P153" s="376" t="s">
        <v>3941</v>
      </c>
      <c r="Q153" s="16">
        <f>COUNTIF('hedef liste'!A:A,A153)</f>
        <v>1</v>
      </c>
    </row>
    <row r="154" hidden="1">
      <c r="A154" s="376" t="s">
        <v>5908</v>
      </c>
      <c r="B154" s="376" t="s">
        <v>7098</v>
      </c>
      <c r="C154" s="428" t="s">
        <v>6979</v>
      </c>
      <c r="D154" s="376" t="s">
        <v>3994</v>
      </c>
      <c r="E154" s="429">
        <v>3511.0</v>
      </c>
      <c r="F154" s="429">
        <v>202.0</v>
      </c>
      <c r="G154" s="429">
        <v>12.0</v>
      </c>
      <c r="H154" s="429">
        <v>57.0</v>
      </c>
      <c r="I154" s="429">
        <v>69.0</v>
      </c>
      <c r="J154" s="430">
        <v>0.17</v>
      </c>
      <c r="K154" s="376" t="s">
        <v>5903</v>
      </c>
      <c r="L154" s="376">
        <v>3.222480545E9</v>
      </c>
      <c r="M154" s="376" t="s">
        <v>14</v>
      </c>
      <c r="N154" s="376" t="s">
        <v>3935</v>
      </c>
      <c r="O154" s="376" t="s">
        <v>5910</v>
      </c>
      <c r="P154" s="376" t="s">
        <v>3941</v>
      </c>
      <c r="Q154" s="16">
        <f>COUNTIF('hedef liste'!A:A,A154)</f>
        <v>1</v>
      </c>
    </row>
    <row r="155" hidden="1">
      <c r="A155" s="376" t="s">
        <v>1291</v>
      </c>
      <c r="B155" s="376" t="s">
        <v>7099</v>
      </c>
      <c r="C155" s="428" t="s">
        <v>6979</v>
      </c>
      <c r="D155" s="376" t="s">
        <v>3994</v>
      </c>
      <c r="E155" s="429">
        <v>2103.0</v>
      </c>
      <c r="F155" s="429">
        <v>85.0</v>
      </c>
      <c r="G155" s="429">
        <v>33.0</v>
      </c>
      <c r="H155" s="429">
        <v>90.0</v>
      </c>
      <c r="I155" s="429">
        <v>123.0</v>
      </c>
      <c r="J155" s="430">
        <v>0.27</v>
      </c>
      <c r="K155" s="376" t="s">
        <v>5903</v>
      </c>
      <c r="L155" s="376">
        <v>5.309594547E9</v>
      </c>
      <c r="M155" s="376" t="s">
        <v>14</v>
      </c>
      <c r="N155" s="376" t="s">
        <v>3797</v>
      </c>
      <c r="O155" s="376" t="s">
        <v>1294</v>
      </c>
      <c r="P155" s="376" t="s">
        <v>3941</v>
      </c>
      <c r="Q155" s="16">
        <f>COUNTIF('hedef liste'!A:A,A155)</f>
        <v>1</v>
      </c>
    </row>
    <row r="156" hidden="1">
      <c r="A156" s="376" t="s">
        <v>5276</v>
      </c>
      <c r="B156" s="376" t="s">
        <v>7100</v>
      </c>
      <c r="C156" s="428" t="s">
        <v>6979</v>
      </c>
      <c r="D156" s="376" t="s">
        <v>3713</v>
      </c>
      <c r="E156" s="429">
        <v>1274.0</v>
      </c>
      <c r="F156" s="429">
        <v>66.0</v>
      </c>
      <c r="G156" s="429">
        <v>0.0</v>
      </c>
      <c r="H156" s="429">
        <v>59.0</v>
      </c>
      <c r="I156" s="429">
        <v>59.0</v>
      </c>
      <c r="J156" s="430">
        <v>0.0</v>
      </c>
      <c r="K156" s="376" t="s">
        <v>5278</v>
      </c>
      <c r="L156" s="376">
        <v>5.446560801E9</v>
      </c>
      <c r="M156" s="376" t="s">
        <v>286</v>
      </c>
      <c r="N156" s="376" t="s">
        <v>3754</v>
      </c>
      <c r="O156" s="376" t="s">
        <v>5279</v>
      </c>
      <c r="P156" s="376" t="s">
        <v>3941</v>
      </c>
      <c r="Q156" s="16">
        <f>COUNTIF('hedef liste'!A:A,A156)</f>
        <v>1</v>
      </c>
    </row>
    <row r="157" hidden="1">
      <c r="A157" s="376" t="s">
        <v>324</v>
      </c>
      <c r="B157" s="376" t="s">
        <v>325</v>
      </c>
      <c r="C157" s="428" t="s">
        <v>6979</v>
      </c>
      <c r="D157" s="376" t="s">
        <v>3713</v>
      </c>
      <c r="E157" s="429">
        <v>1315.0</v>
      </c>
      <c r="F157" s="429">
        <v>41.0</v>
      </c>
      <c r="G157" s="429">
        <v>13.0</v>
      </c>
      <c r="H157" s="429">
        <v>8.0</v>
      </c>
      <c r="I157" s="429">
        <v>21.0</v>
      </c>
      <c r="J157" s="430">
        <v>0.62</v>
      </c>
      <c r="K157" s="376" t="s">
        <v>4864</v>
      </c>
      <c r="L157" s="376">
        <v>5.447491034E9</v>
      </c>
      <c r="M157" s="376" t="s">
        <v>286</v>
      </c>
      <c r="N157" s="376" t="s">
        <v>3764</v>
      </c>
      <c r="O157" s="376" t="s">
        <v>4865</v>
      </c>
      <c r="P157" s="376" t="s">
        <v>3941</v>
      </c>
      <c r="Q157" s="16">
        <f>COUNTIF('hedef liste'!A:A,A157)</f>
        <v>1</v>
      </c>
    </row>
    <row r="158" hidden="1">
      <c r="A158" s="376" t="s">
        <v>2975</v>
      </c>
      <c r="B158" s="376" t="s">
        <v>2976</v>
      </c>
      <c r="C158" s="428" t="s">
        <v>6979</v>
      </c>
      <c r="D158" s="376" t="s">
        <v>3749</v>
      </c>
      <c r="E158" s="429">
        <v>2002.0</v>
      </c>
      <c r="F158" s="429">
        <v>58.0</v>
      </c>
      <c r="G158" s="429">
        <v>21.0</v>
      </c>
      <c r="H158" s="429">
        <v>37.0</v>
      </c>
      <c r="I158" s="429">
        <v>58.0</v>
      </c>
      <c r="J158" s="430">
        <v>0.36</v>
      </c>
      <c r="K158" s="376" t="s">
        <v>5228</v>
      </c>
      <c r="L158" s="376">
        <v>3.22457882E9</v>
      </c>
      <c r="M158" s="376" t="s">
        <v>286</v>
      </c>
      <c r="N158" s="376" t="s">
        <v>3806</v>
      </c>
      <c r="O158" s="376" t="s">
        <v>5229</v>
      </c>
      <c r="P158" s="376" t="s">
        <v>3941</v>
      </c>
      <c r="Q158" s="16">
        <f>COUNTIF('hedef liste'!A:A,A158)</f>
        <v>1</v>
      </c>
    </row>
    <row r="159" hidden="1">
      <c r="A159" s="376" t="s">
        <v>3062</v>
      </c>
      <c r="B159" s="376" t="s">
        <v>3063</v>
      </c>
      <c r="C159" s="428" t="s">
        <v>6979</v>
      </c>
      <c r="D159" s="376" t="s">
        <v>4000</v>
      </c>
      <c r="E159" s="429">
        <v>3886.0</v>
      </c>
      <c r="F159" s="429">
        <v>147.0</v>
      </c>
      <c r="G159" s="429">
        <v>20.0</v>
      </c>
      <c r="H159" s="429">
        <v>46.0</v>
      </c>
      <c r="I159" s="429">
        <v>66.0</v>
      </c>
      <c r="J159" s="430">
        <v>0.3</v>
      </c>
      <c r="K159" s="376" t="s">
        <v>4211</v>
      </c>
      <c r="L159" s="376">
        <v>5.49199919E9</v>
      </c>
      <c r="M159" s="376" t="s">
        <v>286</v>
      </c>
      <c r="N159" s="376" t="s">
        <v>3855</v>
      </c>
      <c r="O159" s="376" t="s">
        <v>3066</v>
      </c>
      <c r="P159" s="376" t="s">
        <v>3941</v>
      </c>
      <c r="Q159" s="16">
        <f>COUNTIF('hedef liste'!A:A,A159)</f>
        <v>1</v>
      </c>
    </row>
    <row r="160" hidden="1">
      <c r="A160" s="376" t="s">
        <v>6401</v>
      </c>
      <c r="B160" s="376" t="s">
        <v>6402</v>
      </c>
      <c r="C160" s="428" t="s">
        <v>6979</v>
      </c>
      <c r="D160" s="376" t="s">
        <v>3676</v>
      </c>
      <c r="E160" s="429">
        <v>1147.0</v>
      </c>
      <c r="F160" s="429">
        <v>28.0</v>
      </c>
      <c r="G160" s="429">
        <v>0.0</v>
      </c>
      <c r="H160" s="429">
        <v>19.0</v>
      </c>
      <c r="I160" s="429">
        <v>19.0</v>
      </c>
      <c r="J160" s="430">
        <v>0.0</v>
      </c>
      <c r="K160" s="376" t="s">
        <v>6403</v>
      </c>
      <c r="L160" s="376">
        <v>5.533023271E9</v>
      </c>
      <c r="M160" s="376" t="s">
        <v>286</v>
      </c>
      <c r="N160" s="376" t="s">
        <v>3737</v>
      </c>
      <c r="O160" s="376" t="s">
        <v>6404</v>
      </c>
      <c r="P160" s="376" t="s">
        <v>3941</v>
      </c>
      <c r="Q160" s="16">
        <f>COUNTIF('hedef liste'!A:A,A160)</f>
        <v>1</v>
      </c>
    </row>
    <row r="161" hidden="1">
      <c r="A161" s="376" t="s">
        <v>4582</v>
      </c>
      <c r="B161" s="376" t="s">
        <v>4583</v>
      </c>
      <c r="C161" s="428" t="s">
        <v>6979</v>
      </c>
      <c r="D161" s="376" t="s">
        <v>3801</v>
      </c>
      <c r="E161" s="429">
        <v>998.0</v>
      </c>
      <c r="F161" s="429">
        <v>32.0</v>
      </c>
      <c r="G161" s="429">
        <v>8.0</v>
      </c>
      <c r="H161" s="429">
        <v>14.0</v>
      </c>
      <c r="I161" s="429">
        <v>22.0</v>
      </c>
      <c r="J161" s="430">
        <v>0.36</v>
      </c>
      <c r="K161" s="376" t="s">
        <v>4584</v>
      </c>
      <c r="L161" s="376">
        <v>5.464493179E9</v>
      </c>
      <c r="M161" s="376" t="s">
        <v>14</v>
      </c>
      <c r="N161" s="376" t="s">
        <v>3733</v>
      </c>
      <c r="O161" s="376" t="s">
        <v>4585</v>
      </c>
      <c r="P161" s="376" t="s">
        <v>3941</v>
      </c>
      <c r="Q161" s="16">
        <f>COUNTIF('hedef liste'!A:A,A161)</f>
        <v>1</v>
      </c>
    </row>
    <row r="162" hidden="1">
      <c r="A162" s="376" t="s">
        <v>333</v>
      </c>
      <c r="B162" s="376" t="s">
        <v>334</v>
      </c>
      <c r="C162" s="428" t="s">
        <v>6979</v>
      </c>
      <c r="D162" s="376" t="s">
        <v>3699</v>
      </c>
      <c r="E162" s="429">
        <v>1636.0</v>
      </c>
      <c r="F162" s="429">
        <v>5.0</v>
      </c>
      <c r="G162" s="429">
        <v>19.0</v>
      </c>
      <c r="H162" s="429">
        <v>4.0</v>
      </c>
      <c r="I162" s="429">
        <v>23.0</v>
      </c>
      <c r="J162" s="430">
        <v>0.83</v>
      </c>
      <c r="K162" s="376" t="s">
        <v>5395</v>
      </c>
      <c r="L162" s="376">
        <v>3.222420029E9</v>
      </c>
      <c r="M162" s="376" t="s">
        <v>286</v>
      </c>
      <c r="N162" s="376" t="s">
        <v>3764</v>
      </c>
      <c r="O162" s="376" t="s">
        <v>336</v>
      </c>
      <c r="P162" s="376" t="s">
        <v>3941</v>
      </c>
      <c r="Q162" s="16">
        <f>COUNTIF('hedef liste'!A:A,A162)</f>
        <v>1</v>
      </c>
    </row>
    <row r="163" hidden="1">
      <c r="A163" s="376" t="s">
        <v>2262</v>
      </c>
      <c r="B163" s="376" t="s">
        <v>2263</v>
      </c>
      <c r="C163" s="428" t="s">
        <v>6979</v>
      </c>
      <c r="D163" s="376" t="s">
        <v>4572</v>
      </c>
      <c r="E163" s="429">
        <v>3142.0</v>
      </c>
      <c r="F163" s="429">
        <v>123.0</v>
      </c>
      <c r="G163" s="429">
        <v>16.0</v>
      </c>
      <c r="H163" s="429">
        <v>14.0</v>
      </c>
      <c r="I163" s="429">
        <v>30.0</v>
      </c>
      <c r="J163" s="430">
        <v>0.53</v>
      </c>
      <c r="K163" s="376" t="s">
        <v>4573</v>
      </c>
      <c r="L163" s="376">
        <v>5.075938347E9</v>
      </c>
      <c r="M163" s="376" t="s">
        <v>286</v>
      </c>
      <c r="N163" s="376" t="s">
        <v>3806</v>
      </c>
      <c r="O163" s="376" t="s">
        <v>2265</v>
      </c>
      <c r="P163" s="376" t="s">
        <v>3941</v>
      </c>
      <c r="Q163" s="16">
        <f>COUNTIF('hedef liste'!A:A,A163)</f>
        <v>1</v>
      </c>
    </row>
    <row r="164" hidden="1">
      <c r="A164" s="376" t="s">
        <v>1245</v>
      </c>
      <c r="B164" s="376" t="s">
        <v>1246</v>
      </c>
      <c r="C164" s="428" t="s">
        <v>6979</v>
      </c>
      <c r="D164" s="376" t="s">
        <v>3749</v>
      </c>
      <c r="E164" s="429">
        <v>953.0</v>
      </c>
      <c r="F164" s="429">
        <v>11.0</v>
      </c>
      <c r="G164" s="429">
        <v>10.0</v>
      </c>
      <c r="H164" s="429">
        <v>6.0</v>
      </c>
      <c r="I164" s="429">
        <v>16.0</v>
      </c>
      <c r="J164" s="430">
        <v>0.63</v>
      </c>
      <c r="K164" s="376" t="s">
        <v>3750</v>
      </c>
      <c r="L164" s="376">
        <v>5.539373685E9</v>
      </c>
      <c r="M164" s="376" t="s">
        <v>286</v>
      </c>
      <c r="N164" s="376" t="s">
        <v>3751</v>
      </c>
      <c r="O164" s="376" t="s">
        <v>1249</v>
      </c>
      <c r="P164" s="376" t="s">
        <v>3941</v>
      </c>
      <c r="Q164" s="16">
        <f>COUNTIF('hedef liste'!A:A,A164)</f>
        <v>1</v>
      </c>
    </row>
    <row r="165" hidden="1">
      <c r="A165" s="376" t="s">
        <v>4851</v>
      </c>
      <c r="B165" s="376" t="s">
        <v>4852</v>
      </c>
      <c r="C165" s="428" t="s">
        <v>6979</v>
      </c>
      <c r="D165" s="376" t="s">
        <v>3713</v>
      </c>
      <c r="E165" s="429">
        <v>311.0</v>
      </c>
      <c r="F165" s="429">
        <v>10.0</v>
      </c>
      <c r="G165" s="429">
        <v>0.0</v>
      </c>
      <c r="H165" s="429">
        <v>26.0</v>
      </c>
      <c r="I165" s="429">
        <v>26.0</v>
      </c>
      <c r="J165" s="430">
        <v>0.0</v>
      </c>
      <c r="K165" s="376" t="s">
        <v>4853</v>
      </c>
      <c r="L165" s="376">
        <v>5.422211671E9</v>
      </c>
      <c r="M165" s="376" t="s">
        <v>14</v>
      </c>
      <c r="N165" s="376" t="s">
        <v>3797</v>
      </c>
      <c r="O165" s="376" t="s">
        <v>4854</v>
      </c>
      <c r="P165" s="376" t="s">
        <v>3941</v>
      </c>
      <c r="Q165" s="16">
        <f>COUNTIF('hedef liste'!A:A,A165)</f>
        <v>1</v>
      </c>
    </row>
    <row r="166" hidden="1">
      <c r="A166" s="376" t="s">
        <v>4201</v>
      </c>
      <c r="B166" s="376" t="s">
        <v>4202</v>
      </c>
      <c r="C166" s="428" t="s">
        <v>6979</v>
      </c>
      <c r="D166" s="376" t="s">
        <v>3713</v>
      </c>
      <c r="E166" s="429">
        <v>7163.0</v>
      </c>
      <c r="F166" s="429">
        <v>270.0</v>
      </c>
      <c r="G166" s="429">
        <v>0.0</v>
      </c>
      <c r="H166" s="429">
        <v>75.0</v>
      </c>
      <c r="I166" s="429">
        <v>75.0</v>
      </c>
      <c r="J166" s="430">
        <v>0.0</v>
      </c>
      <c r="K166" s="376" t="s">
        <v>4203</v>
      </c>
      <c r="L166" s="376">
        <v>3.222344387E9</v>
      </c>
      <c r="M166" s="376" t="s">
        <v>14</v>
      </c>
      <c r="N166" s="376" t="s">
        <v>3797</v>
      </c>
      <c r="O166" s="376" t="s">
        <v>4204</v>
      </c>
      <c r="P166" s="376" t="s">
        <v>3941</v>
      </c>
      <c r="Q166" s="16">
        <f>COUNTIF('hedef liste'!A:A,A166)</f>
        <v>1</v>
      </c>
    </row>
    <row r="167" hidden="1">
      <c r="A167" s="376" t="s">
        <v>1992</v>
      </c>
      <c r="B167" s="376" t="s">
        <v>1993</v>
      </c>
      <c r="C167" s="428" t="s">
        <v>6979</v>
      </c>
      <c r="D167" s="376" t="s">
        <v>3759</v>
      </c>
      <c r="E167" s="429">
        <v>2546.0</v>
      </c>
      <c r="F167" s="429">
        <v>57.0</v>
      </c>
      <c r="G167" s="429">
        <v>13.0</v>
      </c>
      <c r="H167" s="429">
        <v>11.0</v>
      </c>
      <c r="I167" s="429">
        <v>24.0</v>
      </c>
      <c r="J167" s="430">
        <v>0.54</v>
      </c>
      <c r="K167" s="376" t="s">
        <v>6078</v>
      </c>
      <c r="L167" s="376">
        <v>3.222310085E9</v>
      </c>
      <c r="M167" s="376" t="s">
        <v>14</v>
      </c>
      <c r="N167" s="376" t="s">
        <v>3826</v>
      </c>
      <c r="O167" s="376" t="s">
        <v>1995</v>
      </c>
      <c r="P167" s="376" t="s">
        <v>3941</v>
      </c>
      <c r="Q167" s="16">
        <f>COUNTIF('hedef liste'!A:A,A167)</f>
        <v>1</v>
      </c>
    </row>
    <row r="168" hidden="1">
      <c r="A168" s="376" t="s">
        <v>4206</v>
      </c>
      <c r="B168" s="376" t="s">
        <v>4207</v>
      </c>
      <c r="C168" s="428" t="s">
        <v>6979</v>
      </c>
      <c r="D168" s="376" t="s">
        <v>3713</v>
      </c>
      <c r="E168" s="429">
        <v>17677.0</v>
      </c>
      <c r="F168" s="429">
        <v>537.0</v>
      </c>
      <c r="G168" s="429">
        <v>0.0</v>
      </c>
      <c r="H168" s="429">
        <v>65.0</v>
      </c>
      <c r="I168" s="429">
        <v>65.0</v>
      </c>
      <c r="J168" s="430">
        <v>0.0</v>
      </c>
      <c r="K168" s="376" t="s">
        <v>4208</v>
      </c>
      <c r="L168" s="376">
        <v>5.075380606E9</v>
      </c>
      <c r="M168" s="376" t="s">
        <v>14</v>
      </c>
      <c r="N168" s="376" t="s">
        <v>3678</v>
      </c>
      <c r="O168" s="376" t="s">
        <v>4209</v>
      </c>
      <c r="P168" s="376" t="s">
        <v>3941</v>
      </c>
      <c r="Q168" s="16">
        <f>COUNTIF('hedef liste'!A:A,A168)</f>
        <v>1</v>
      </c>
    </row>
    <row r="169" hidden="1">
      <c r="A169" s="376" t="s">
        <v>3958</v>
      </c>
      <c r="B169" s="376" t="s">
        <v>3959</v>
      </c>
      <c r="C169" s="428" t="s">
        <v>6979</v>
      </c>
      <c r="D169" s="376" t="s">
        <v>3676</v>
      </c>
      <c r="E169" s="429">
        <v>20614.0</v>
      </c>
      <c r="F169" s="429">
        <v>1110.0</v>
      </c>
      <c r="G169" s="429">
        <v>0.0</v>
      </c>
      <c r="H169" s="429">
        <v>25.0</v>
      </c>
      <c r="I169" s="429">
        <v>25.0</v>
      </c>
      <c r="J169" s="430">
        <v>0.0</v>
      </c>
      <c r="K169" s="376" t="s">
        <v>3960</v>
      </c>
      <c r="L169" s="376">
        <v>3.222283535E9</v>
      </c>
      <c r="M169" s="376" t="s">
        <v>286</v>
      </c>
      <c r="N169" s="376" t="s">
        <v>3961</v>
      </c>
      <c r="O169" s="376" t="s">
        <v>3962</v>
      </c>
      <c r="P169" s="376" t="s">
        <v>3941</v>
      </c>
      <c r="Q169" s="16">
        <f>COUNTIF('hedef liste'!A:A,A169)</f>
        <v>1</v>
      </c>
    </row>
    <row r="170" hidden="1">
      <c r="A170" s="376" t="s">
        <v>1236</v>
      </c>
      <c r="B170" s="376" t="s">
        <v>1237</v>
      </c>
      <c r="C170" s="428" t="s">
        <v>6979</v>
      </c>
      <c r="D170" s="376" t="s">
        <v>3676</v>
      </c>
      <c r="E170" s="429">
        <v>19750.0</v>
      </c>
      <c r="F170" s="429">
        <v>409.0</v>
      </c>
      <c r="G170" s="429">
        <v>21.0</v>
      </c>
      <c r="H170" s="429">
        <v>4.0</v>
      </c>
      <c r="I170" s="429">
        <v>25.0</v>
      </c>
      <c r="J170" s="430">
        <v>0.84</v>
      </c>
      <c r="K170" s="376" t="s">
        <v>3955</v>
      </c>
      <c r="L170" s="376">
        <v>3.222614242E9</v>
      </c>
      <c r="M170" s="376" t="s">
        <v>286</v>
      </c>
      <c r="N170" s="376" t="s">
        <v>3855</v>
      </c>
      <c r="O170" s="376" t="s">
        <v>1239</v>
      </c>
      <c r="P170" s="376" t="s">
        <v>3941</v>
      </c>
      <c r="Q170" s="16">
        <f>COUNTIF('hedef liste'!A:A,A170)</f>
        <v>1</v>
      </c>
    </row>
    <row r="171" hidden="1">
      <c r="A171" s="376" t="s">
        <v>4909</v>
      </c>
      <c r="B171" s="376" t="s">
        <v>4910</v>
      </c>
      <c r="C171" s="428" t="s">
        <v>6979</v>
      </c>
      <c r="D171" s="376" t="s">
        <v>3878</v>
      </c>
      <c r="E171" s="429">
        <v>566.0</v>
      </c>
      <c r="F171" s="429">
        <v>29.0</v>
      </c>
      <c r="G171" s="429">
        <v>0.0</v>
      </c>
      <c r="H171" s="429">
        <v>60.0</v>
      </c>
      <c r="I171" s="429">
        <v>60.0</v>
      </c>
      <c r="J171" s="430">
        <v>0.0</v>
      </c>
      <c r="K171" s="376" t="s">
        <v>4908</v>
      </c>
      <c r="L171" s="376">
        <v>3.229990121E9</v>
      </c>
      <c r="M171" s="376" t="s">
        <v>286</v>
      </c>
      <c r="N171" s="376" t="s">
        <v>3688</v>
      </c>
      <c r="O171" s="376" t="s">
        <v>4911</v>
      </c>
      <c r="P171" s="376" t="s">
        <v>3941</v>
      </c>
      <c r="Q171" s="16">
        <f>COUNTIF('hedef liste'!A:A,A171)</f>
        <v>1</v>
      </c>
    </row>
    <row r="172" hidden="1">
      <c r="A172" s="376" t="s">
        <v>2250</v>
      </c>
      <c r="B172" s="376" t="s">
        <v>7101</v>
      </c>
      <c r="C172" s="428" t="s">
        <v>6979</v>
      </c>
      <c r="D172" s="376" t="s">
        <v>3713</v>
      </c>
      <c r="E172" s="429">
        <v>808.0</v>
      </c>
      <c r="F172" s="429">
        <v>27.0</v>
      </c>
      <c r="G172" s="429">
        <v>5.0</v>
      </c>
      <c r="H172" s="429">
        <v>29.0</v>
      </c>
      <c r="I172" s="429">
        <v>34.0</v>
      </c>
      <c r="J172" s="430">
        <v>0.15</v>
      </c>
      <c r="K172" s="376" t="s">
        <v>5090</v>
      </c>
      <c r="L172" s="376">
        <v>3.22233091E9</v>
      </c>
      <c r="M172" s="376" t="s">
        <v>14</v>
      </c>
      <c r="N172" s="376" t="s">
        <v>3733</v>
      </c>
      <c r="O172" s="376" t="s">
        <v>2253</v>
      </c>
      <c r="P172" s="376" t="s">
        <v>3941</v>
      </c>
      <c r="Q172" s="16">
        <f>COUNTIF('hedef liste'!A:A,A172)</f>
        <v>1</v>
      </c>
    </row>
    <row r="173" hidden="1">
      <c r="A173" s="376" t="s">
        <v>2329</v>
      </c>
      <c r="B173" s="376" t="s">
        <v>2330</v>
      </c>
      <c r="C173" s="428" t="s">
        <v>6979</v>
      </c>
      <c r="D173" s="376" t="s">
        <v>3713</v>
      </c>
      <c r="E173" s="429">
        <v>4713.0</v>
      </c>
      <c r="F173" s="429">
        <v>198.0</v>
      </c>
      <c r="G173" s="429">
        <v>14.0</v>
      </c>
      <c r="H173" s="429">
        <v>17.0</v>
      </c>
      <c r="I173" s="429">
        <v>31.0</v>
      </c>
      <c r="J173" s="430">
        <v>0.45</v>
      </c>
      <c r="K173" s="376" t="s">
        <v>4067</v>
      </c>
      <c r="L173" s="376">
        <v>5.32782292E9</v>
      </c>
      <c r="M173" s="376" t="s">
        <v>3692</v>
      </c>
      <c r="N173" s="376" t="s">
        <v>3721</v>
      </c>
      <c r="O173" s="376" t="s">
        <v>2332</v>
      </c>
      <c r="P173" s="376" t="s">
        <v>3941</v>
      </c>
      <c r="Q173" s="16">
        <f>COUNTIF('hedef liste'!A:A,A173)</f>
        <v>1</v>
      </c>
    </row>
    <row r="174" hidden="1">
      <c r="A174" s="376" t="s">
        <v>4421</v>
      </c>
      <c r="B174" s="376" t="s">
        <v>4422</v>
      </c>
      <c r="C174" s="428" t="s">
        <v>6979</v>
      </c>
      <c r="D174" s="376" t="s">
        <v>4000</v>
      </c>
      <c r="E174" s="429">
        <v>2317.0</v>
      </c>
      <c r="F174" s="429">
        <v>92.0</v>
      </c>
      <c r="G174" s="429">
        <v>0.0</v>
      </c>
      <c r="H174" s="429">
        <v>21.0</v>
      </c>
      <c r="I174" s="429">
        <v>21.0</v>
      </c>
      <c r="J174" s="430">
        <v>0.0</v>
      </c>
      <c r="K174" s="376" t="s">
        <v>4423</v>
      </c>
      <c r="L174" s="376">
        <v>5.439091982E9</v>
      </c>
      <c r="M174" s="376" t="s">
        <v>286</v>
      </c>
      <c r="N174" s="376" t="s">
        <v>3737</v>
      </c>
      <c r="O174" s="376" t="s">
        <v>4424</v>
      </c>
      <c r="P174" s="376" t="s">
        <v>3941</v>
      </c>
      <c r="Q174" s="16">
        <f>COUNTIF('hedef liste'!A:A,A174)</f>
        <v>1</v>
      </c>
    </row>
    <row r="175" hidden="1">
      <c r="A175" s="376" t="s">
        <v>7102</v>
      </c>
      <c r="B175" s="376" t="s">
        <v>7103</v>
      </c>
      <c r="C175" s="428" t="s">
        <v>7011</v>
      </c>
      <c r="D175" s="376" t="s">
        <v>4907</v>
      </c>
      <c r="E175" s="429">
        <v>766.0</v>
      </c>
      <c r="F175" s="431"/>
      <c r="G175" s="429">
        <v>97.0</v>
      </c>
      <c r="H175" s="429">
        <v>2.0</v>
      </c>
      <c r="I175" s="429">
        <v>99.0</v>
      </c>
      <c r="J175" s="430">
        <v>0.98</v>
      </c>
      <c r="K175" s="376" t="s">
        <v>7089</v>
      </c>
      <c r="L175" s="376">
        <v>3.222710457E9</v>
      </c>
      <c r="M175" s="376" t="s">
        <v>286</v>
      </c>
      <c r="N175" s="376" t="s">
        <v>4235</v>
      </c>
      <c r="O175" s="376" t="s">
        <v>7104</v>
      </c>
      <c r="P175" s="376" t="s">
        <v>6982</v>
      </c>
      <c r="Q175" s="16">
        <f>COUNTIF('hedef liste'!A:A,A175)</f>
        <v>0</v>
      </c>
    </row>
    <row r="176" hidden="1">
      <c r="A176" s="376" t="s">
        <v>7105</v>
      </c>
      <c r="B176" s="376" t="s">
        <v>7106</v>
      </c>
      <c r="C176" s="428" t="s">
        <v>7011</v>
      </c>
      <c r="D176" s="376" t="s">
        <v>4907</v>
      </c>
      <c r="E176" s="429">
        <v>1520.0</v>
      </c>
      <c r="F176" s="431"/>
      <c r="G176" s="429">
        <v>107.0</v>
      </c>
      <c r="H176" s="429">
        <v>2.0</v>
      </c>
      <c r="I176" s="429">
        <v>109.0</v>
      </c>
      <c r="J176" s="430">
        <v>0.98</v>
      </c>
      <c r="K176" s="376" t="s">
        <v>7089</v>
      </c>
      <c r="L176" s="376">
        <v>3.223333347E9</v>
      </c>
      <c r="M176" s="376" t="s">
        <v>3707</v>
      </c>
      <c r="N176" s="376" t="s">
        <v>5245</v>
      </c>
      <c r="O176" s="376" t="s">
        <v>7107</v>
      </c>
      <c r="P176" s="376" t="s">
        <v>6982</v>
      </c>
      <c r="Q176" s="16">
        <f>COUNTIF('hedef liste'!A:A,A176)</f>
        <v>0</v>
      </c>
    </row>
    <row r="177" hidden="1">
      <c r="A177" s="376" t="s">
        <v>4516</v>
      </c>
      <c r="B177" s="376" t="s">
        <v>7108</v>
      </c>
      <c r="C177" s="428" t="s">
        <v>6979</v>
      </c>
      <c r="D177" s="376" t="s">
        <v>3699</v>
      </c>
      <c r="E177" s="429">
        <v>2466.0</v>
      </c>
      <c r="F177" s="429">
        <v>93.0</v>
      </c>
      <c r="G177" s="429">
        <v>0.0</v>
      </c>
      <c r="H177" s="429">
        <v>65.0</v>
      </c>
      <c r="I177" s="429">
        <v>65.0</v>
      </c>
      <c r="J177" s="430">
        <v>0.0</v>
      </c>
      <c r="K177" s="376" t="s">
        <v>4518</v>
      </c>
      <c r="L177" s="376">
        <v>3.222250224E9</v>
      </c>
      <c r="M177" s="376" t="s">
        <v>286</v>
      </c>
      <c r="N177" s="376" t="s">
        <v>3754</v>
      </c>
      <c r="O177" s="376" t="s">
        <v>4519</v>
      </c>
      <c r="P177" s="376" t="s">
        <v>3941</v>
      </c>
      <c r="Q177" s="16">
        <f>COUNTIF('hedef liste'!A:A,A177)</f>
        <v>1</v>
      </c>
    </row>
    <row r="178" hidden="1">
      <c r="A178" s="376" t="s">
        <v>6507</v>
      </c>
      <c r="B178" s="376" t="s">
        <v>6508</v>
      </c>
      <c r="C178" s="428" t="s">
        <v>6979</v>
      </c>
      <c r="D178" s="376" t="s">
        <v>4907</v>
      </c>
      <c r="E178" s="429">
        <v>102.0</v>
      </c>
      <c r="F178" s="429">
        <v>2.0</v>
      </c>
      <c r="G178" s="429">
        <v>22.0</v>
      </c>
      <c r="H178" s="429">
        <v>2.0</v>
      </c>
      <c r="I178" s="429">
        <v>24.0</v>
      </c>
      <c r="J178" s="430">
        <v>0.92</v>
      </c>
      <c r="K178" s="376" t="s">
        <v>6509</v>
      </c>
      <c r="L178" s="376">
        <v>5.306556215E9</v>
      </c>
      <c r="M178" s="376" t="s">
        <v>286</v>
      </c>
      <c r="N178" s="376" t="s">
        <v>3737</v>
      </c>
      <c r="O178" s="376" t="s">
        <v>6510</v>
      </c>
      <c r="P178" s="376" t="s">
        <v>3941</v>
      </c>
      <c r="Q178" s="16">
        <f>COUNTIF('hedef liste'!A:A,A178)</f>
        <v>1</v>
      </c>
    </row>
    <row r="179" hidden="1">
      <c r="A179" s="376" t="s">
        <v>7109</v>
      </c>
      <c r="B179" s="376" t="s">
        <v>7110</v>
      </c>
      <c r="C179" s="428" t="s">
        <v>6979</v>
      </c>
      <c r="D179" s="376" t="s">
        <v>4000</v>
      </c>
      <c r="E179" s="429">
        <v>9966.0</v>
      </c>
      <c r="F179" s="429">
        <v>387.0</v>
      </c>
      <c r="G179" s="429">
        <v>166.0</v>
      </c>
      <c r="H179" s="429">
        <v>0.0</v>
      </c>
      <c r="I179" s="429">
        <v>166.0</v>
      </c>
      <c r="J179" s="430">
        <v>1.0</v>
      </c>
      <c r="K179" s="376" t="s">
        <v>7111</v>
      </c>
      <c r="L179" s="376">
        <v>9.999999999E9</v>
      </c>
      <c r="M179" s="376" t="s">
        <v>14</v>
      </c>
      <c r="N179" s="376" t="s">
        <v>3797</v>
      </c>
      <c r="O179" s="376" t="s">
        <v>7112</v>
      </c>
      <c r="P179" s="376" t="s">
        <v>6982</v>
      </c>
      <c r="Q179" s="16">
        <f>COUNTIF('hedef liste'!A:A,A179)</f>
        <v>0</v>
      </c>
    </row>
    <row r="180" hidden="1">
      <c r="A180" s="376" t="s">
        <v>7113</v>
      </c>
      <c r="B180" s="376" t="s">
        <v>7114</v>
      </c>
      <c r="C180" s="428" t="s">
        <v>6979</v>
      </c>
      <c r="D180" s="376" t="s">
        <v>3801</v>
      </c>
      <c r="E180" s="429">
        <v>2710.0</v>
      </c>
      <c r="F180" s="429">
        <v>108.0</v>
      </c>
      <c r="G180" s="429">
        <v>65.0</v>
      </c>
      <c r="H180" s="429">
        <v>3.0</v>
      </c>
      <c r="I180" s="429">
        <v>68.0</v>
      </c>
      <c r="J180" s="430">
        <v>0.96</v>
      </c>
      <c r="K180" s="376" t="s">
        <v>6998</v>
      </c>
      <c r="L180" s="376">
        <v>5.305456789E9</v>
      </c>
      <c r="M180" s="376" t="s">
        <v>286</v>
      </c>
      <c r="N180" s="376" t="s">
        <v>4550</v>
      </c>
      <c r="O180" s="376" t="s">
        <v>7115</v>
      </c>
      <c r="P180" s="376" t="s">
        <v>6982</v>
      </c>
      <c r="Q180" s="16">
        <f>COUNTIF('hedef liste'!A:A,A180)</f>
        <v>0</v>
      </c>
    </row>
    <row r="181" hidden="1">
      <c r="A181" s="376" t="s">
        <v>5584</v>
      </c>
      <c r="B181" s="376" t="s">
        <v>5585</v>
      </c>
      <c r="C181" s="428" t="s">
        <v>7011</v>
      </c>
      <c r="D181" s="376" t="s">
        <v>3690</v>
      </c>
      <c r="E181" s="429">
        <v>707.0</v>
      </c>
      <c r="F181" s="431"/>
      <c r="G181" s="429">
        <v>0.0</v>
      </c>
      <c r="H181" s="429">
        <v>14.0</v>
      </c>
      <c r="I181" s="429">
        <v>14.0</v>
      </c>
      <c r="J181" s="430">
        <v>0.0</v>
      </c>
      <c r="K181" s="376" t="s">
        <v>5586</v>
      </c>
      <c r="L181" s="376">
        <v>3.229994267E9</v>
      </c>
      <c r="M181" s="376" t="s">
        <v>14</v>
      </c>
      <c r="N181" s="376" t="s">
        <v>3914</v>
      </c>
      <c r="O181" s="376" t="s">
        <v>5587</v>
      </c>
      <c r="P181" s="376" t="s">
        <v>3941</v>
      </c>
      <c r="Q181" s="16">
        <f>COUNTIF('hedef liste'!A:A,A181)</f>
        <v>1</v>
      </c>
    </row>
    <row r="182" hidden="1">
      <c r="A182" s="376" t="s">
        <v>4426</v>
      </c>
      <c r="B182" s="376" t="s">
        <v>4427</v>
      </c>
      <c r="C182" s="428" t="s">
        <v>6979</v>
      </c>
      <c r="D182" s="376" t="s">
        <v>3994</v>
      </c>
      <c r="E182" s="429">
        <v>106.0</v>
      </c>
      <c r="F182" s="429">
        <v>6.0</v>
      </c>
      <c r="G182" s="429">
        <v>0.0</v>
      </c>
      <c r="H182" s="429">
        <v>41.0</v>
      </c>
      <c r="I182" s="429">
        <v>41.0</v>
      </c>
      <c r="J182" s="430">
        <v>0.0</v>
      </c>
      <c r="K182" s="376" t="s">
        <v>4428</v>
      </c>
      <c r="L182" s="376">
        <v>3.224576565E9</v>
      </c>
      <c r="M182" s="376" t="s">
        <v>286</v>
      </c>
      <c r="N182" s="376" t="s">
        <v>3737</v>
      </c>
      <c r="O182" s="376" t="s">
        <v>4429</v>
      </c>
      <c r="P182" s="376" t="s">
        <v>3941</v>
      </c>
      <c r="Q182" s="16">
        <f>COUNTIF('hedef liste'!A:A,A182)</f>
        <v>1</v>
      </c>
    </row>
    <row r="183" hidden="1">
      <c r="A183" s="376" t="s">
        <v>152</v>
      </c>
      <c r="B183" s="376" t="s">
        <v>153</v>
      </c>
      <c r="C183" s="428" t="s">
        <v>6979</v>
      </c>
      <c r="D183" s="376" t="s">
        <v>3801</v>
      </c>
      <c r="E183" s="429">
        <v>2063.0</v>
      </c>
      <c r="F183" s="429">
        <v>27.0</v>
      </c>
      <c r="G183" s="429">
        <v>9.0</v>
      </c>
      <c r="H183" s="429">
        <v>24.0</v>
      </c>
      <c r="I183" s="429">
        <v>33.0</v>
      </c>
      <c r="J183" s="430">
        <v>0.27</v>
      </c>
      <c r="K183" s="376" t="s">
        <v>4584</v>
      </c>
      <c r="L183" s="376">
        <v>5.464493179E9</v>
      </c>
      <c r="M183" s="376" t="s">
        <v>14</v>
      </c>
      <c r="N183" s="376" t="s">
        <v>3767</v>
      </c>
      <c r="O183" s="376" t="s">
        <v>155</v>
      </c>
      <c r="P183" s="376" t="s">
        <v>3941</v>
      </c>
      <c r="Q183" s="16">
        <f>COUNTIF('hedef liste'!A:A,A183)</f>
        <v>1</v>
      </c>
    </row>
    <row r="184" hidden="1">
      <c r="A184" s="376" t="s">
        <v>4197</v>
      </c>
      <c r="B184" s="376" t="s">
        <v>4198</v>
      </c>
      <c r="C184" s="428" t="s">
        <v>6979</v>
      </c>
      <c r="D184" s="376" t="s">
        <v>3713</v>
      </c>
      <c r="E184" s="429">
        <v>4756.0</v>
      </c>
      <c r="F184" s="429">
        <v>123.0</v>
      </c>
      <c r="G184" s="429">
        <v>0.0</v>
      </c>
      <c r="H184" s="429">
        <v>55.0</v>
      </c>
      <c r="I184" s="429">
        <v>55.0</v>
      </c>
      <c r="J184" s="430">
        <v>0.0</v>
      </c>
      <c r="K184" s="376">
        <v>5.468810203E9</v>
      </c>
      <c r="L184" s="376">
        <v>3.22235586E9</v>
      </c>
      <c r="M184" s="376" t="s">
        <v>14</v>
      </c>
      <c r="N184" s="376" t="s">
        <v>3733</v>
      </c>
      <c r="O184" s="376" t="s">
        <v>4199</v>
      </c>
      <c r="P184" s="376" t="s">
        <v>3941</v>
      </c>
      <c r="Q184" s="16">
        <f>COUNTIF('hedef liste'!A:A,A184)</f>
        <v>1</v>
      </c>
    </row>
    <row r="185" hidden="1">
      <c r="A185" s="376" t="s">
        <v>132</v>
      </c>
      <c r="B185" s="376" t="s">
        <v>133</v>
      </c>
      <c r="C185" s="428" t="s">
        <v>6979</v>
      </c>
      <c r="D185" s="376" t="s">
        <v>3759</v>
      </c>
      <c r="E185" s="429">
        <v>5959.0</v>
      </c>
      <c r="F185" s="429">
        <v>194.0</v>
      </c>
      <c r="G185" s="429">
        <v>19.0</v>
      </c>
      <c r="H185" s="429">
        <v>18.0</v>
      </c>
      <c r="I185" s="429">
        <v>37.0</v>
      </c>
      <c r="J185" s="430">
        <v>0.51</v>
      </c>
      <c r="K185" s="376" t="s">
        <v>6083</v>
      </c>
      <c r="L185" s="376">
        <v>3.222310085E9</v>
      </c>
      <c r="M185" s="376" t="s">
        <v>14</v>
      </c>
      <c r="N185" s="376" t="s">
        <v>3767</v>
      </c>
      <c r="O185" s="376" t="s">
        <v>136</v>
      </c>
      <c r="P185" s="376" t="s">
        <v>3941</v>
      </c>
      <c r="Q185" s="16">
        <f>COUNTIF('hedef liste'!A:A,A185)</f>
        <v>1</v>
      </c>
    </row>
    <row r="186" hidden="1">
      <c r="A186" s="376" t="s">
        <v>5564</v>
      </c>
      <c r="B186" s="376" t="s">
        <v>7116</v>
      </c>
      <c r="C186" s="428" t="s">
        <v>6979</v>
      </c>
      <c r="D186" s="376" t="s">
        <v>3759</v>
      </c>
      <c r="E186" s="429">
        <v>1487.0</v>
      </c>
      <c r="F186" s="429">
        <v>62.0</v>
      </c>
      <c r="G186" s="429">
        <v>4.0</v>
      </c>
      <c r="H186" s="429">
        <v>6.0</v>
      </c>
      <c r="I186" s="429">
        <v>10.0</v>
      </c>
      <c r="J186" s="430">
        <v>0.4</v>
      </c>
      <c r="K186" s="376" t="s">
        <v>5566</v>
      </c>
      <c r="L186" s="376">
        <v>3.22248507E9</v>
      </c>
      <c r="M186" s="376" t="s">
        <v>14</v>
      </c>
      <c r="N186" s="376" t="s">
        <v>3718</v>
      </c>
      <c r="O186" s="376" t="s">
        <v>5567</v>
      </c>
      <c r="P186" s="376" t="s">
        <v>3941</v>
      </c>
      <c r="Q186" s="16">
        <f>COUNTIF('hedef liste'!A:A,A186)</f>
        <v>1</v>
      </c>
    </row>
    <row r="187" hidden="1">
      <c r="A187" s="376" t="s">
        <v>1720</v>
      </c>
      <c r="B187" s="376" t="s">
        <v>1721</v>
      </c>
      <c r="C187" s="428" t="s">
        <v>6979</v>
      </c>
      <c r="D187" s="376" t="s">
        <v>3676</v>
      </c>
      <c r="E187" s="429">
        <v>4734.0</v>
      </c>
      <c r="F187" s="429">
        <v>51.0</v>
      </c>
      <c r="G187" s="429">
        <v>8.0</v>
      </c>
      <c r="H187" s="429">
        <v>1.0</v>
      </c>
      <c r="I187" s="429">
        <v>9.0</v>
      </c>
      <c r="J187" s="430">
        <v>0.89</v>
      </c>
      <c r="K187" s="376" t="s">
        <v>6657</v>
      </c>
      <c r="L187" s="376">
        <v>5.3833085E9</v>
      </c>
      <c r="M187" s="376" t="s">
        <v>286</v>
      </c>
      <c r="N187" s="376" t="s">
        <v>4451</v>
      </c>
      <c r="O187" s="376" t="s">
        <v>1724</v>
      </c>
      <c r="P187" s="376" t="s">
        <v>3941</v>
      </c>
      <c r="Q187" s="16">
        <f>COUNTIF('hedef liste'!A:A,A187)</f>
        <v>1</v>
      </c>
    </row>
    <row r="188" hidden="1">
      <c r="A188" s="376" t="s">
        <v>4140</v>
      </c>
      <c r="B188" s="376" t="s">
        <v>4141</v>
      </c>
      <c r="C188" s="428" t="s">
        <v>6979</v>
      </c>
      <c r="D188" s="376" t="s">
        <v>3801</v>
      </c>
      <c r="E188" s="429">
        <v>988.0</v>
      </c>
      <c r="F188" s="429">
        <v>33.0</v>
      </c>
      <c r="G188" s="429">
        <v>6.0</v>
      </c>
      <c r="H188" s="429">
        <v>7.0</v>
      </c>
      <c r="I188" s="429">
        <v>13.0</v>
      </c>
      <c r="J188" s="430">
        <v>0.46</v>
      </c>
      <c r="K188" s="376" t="s">
        <v>4142</v>
      </c>
      <c r="L188" s="376">
        <v>5.414034497E9</v>
      </c>
      <c r="M188" s="376" t="s">
        <v>286</v>
      </c>
      <c r="N188" s="376" t="s">
        <v>5012</v>
      </c>
      <c r="O188" s="376" t="s">
        <v>4144</v>
      </c>
      <c r="P188" s="376" t="s">
        <v>3941</v>
      </c>
      <c r="Q188" s="16">
        <f>COUNTIF('hedef liste'!A:A,A188)</f>
        <v>1</v>
      </c>
    </row>
    <row r="189" hidden="1">
      <c r="A189" s="376" t="s">
        <v>5724</v>
      </c>
      <c r="B189" s="376" t="s">
        <v>5725</v>
      </c>
      <c r="C189" s="428" t="s">
        <v>6979</v>
      </c>
      <c r="D189" s="376" t="s">
        <v>3801</v>
      </c>
      <c r="E189" s="429">
        <v>1264.0</v>
      </c>
      <c r="F189" s="429">
        <v>46.0</v>
      </c>
      <c r="G189" s="429">
        <v>7.0</v>
      </c>
      <c r="H189" s="429">
        <v>10.0</v>
      </c>
      <c r="I189" s="429">
        <v>17.0</v>
      </c>
      <c r="J189" s="430">
        <v>0.41</v>
      </c>
      <c r="K189" s="376" t="s">
        <v>5726</v>
      </c>
      <c r="L189" s="376">
        <v>5.458193024E9</v>
      </c>
      <c r="M189" s="376" t="s">
        <v>286</v>
      </c>
      <c r="N189" s="376" t="s">
        <v>5727</v>
      </c>
      <c r="O189" s="376" t="s">
        <v>5728</v>
      </c>
      <c r="P189" s="376" t="s">
        <v>3941</v>
      </c>
      <c r="Q189" s="16">
        <f>COUNTIF('hedef liste'!A:A,A189)</f>
        <v>1</v>
      </c>
    </row>
    <row r="190" hidden="1">
      <c r="A190" s="376" t="s">
        <v>5797</v>
      </c>
      <c r="B190" s="376" t="s">
        <v>5798</v>
      </c>
      <c r="C190" s="428" t="s">
        <v>6979</v>
      </c>
      <c r="D190" s="376" t="s">
        <v>3759</v>
      </c>
      <c r="E190" s="429">
        <v>678.0</v>
      </c>
      <c r="F190" s="429">
        <v>25.0</v>
      </c>
      <c r="G190" s="429">
        <v>0.0</v>
      </c>
      <c r="H190" s="429">
        <v>11.0</v>
      </c>
      <c r="I190" s="429">
        <v>11.0</v>
      </c>
      <c r="J190" s="430">
        <v>0.0</v>
      </c>
      <c r="K190" s="376" t="s">
        <v>3784</v>
      </c>
      <c r="L190" s="376">
        <v>5.339340127E9</v>
      </c>
      <c r="M190" s="376" t="s">
        <v>14</v>
      </c>
      <c r="N190" s="376" t="s">
        <v>3733</v>
      </c>
      <c r="O190" s="376" t="s">
        <v>5799</v>
      </c>
      <c r="P190" s="376" t="s">
        <v>3941</v>
      </c>
      <c r="Q190" s="16">
        <f>COUNTIF('hedef liste'!A:A,A190)</f>
        <v>1</v>
      </c>
    </row>
    <row r="191" hidden="1">
      <c r="A191" s="376" t="s">
        <v>94</v>
      </c>
      <c r="B191" s="376" t="s">
        <v>95</v>
      </c>
      <c r="C191" s="428" t="s">
        <v>6979</v>
      </c>
      <c r="D191" s="376" t="s">
        <v>3759</v>
      </c>
      <c r="E191" s="429">
        <v>5310.0</v>
      </c>
      <c r="F191" s="429">
        <v>229.0</v>
      </c>
      <c r="G191" s="429">
        <v>3.0</v>
      </c>
      <c r="H191" s="429">
        <v>9.0</v>
      </c>
      <c r="I191" s="429">
        <v>12.0</v>
      </c>
      <c r="J191" s="430">
        <v>0.25</v>
      </c>
      <c r="K191" s="376" t="s">
        <v>5570</v>
      </c>
      <c r="L191" s="376">
        <v>3.222568885E9</v>
      </c>
      <c r="M191" s="376" t="s">
        <v>14</v>
      </c>
      <c r="N191" s="376" t="s">
        <v>3678</v>
      </c>
      <c r="O191" s="376" t="s">
        <v>97</v>
      </c>
      <c r="P191" s="376" t="s">
        <v>3941</v>
      </c>
      <c r="Q191" s="16">
        <f>COUNTIF('hedef liste'!A:A,A191)</f>
        <v>1</v>
      </c>
    </row>
    <row r="192" hidden="1">
      <c r="A192" s="376" t="s">
        <v>1834</v>
      </c>
      <c r="B192" s="376" t="s">
        <v>1835</v>
      </c>
      <c r="C192" s="428" t="s">
        <v>6979</v>
      </c>
      <c r="D192" s="376" t="s">
        <v>3676</v>
      </c>
      <c r="E192" s="429">
        <v>3846.0</v>
      </c>
      <c r="F192" s="429">
        <v>188.0</v>
      </c>
      <c r="G192" s="429">
        <v>19.0</v>
      </c>
      <c r="H192" s="429">
        <v>0.0</v>
      </c>
      <c r="I192" s="429">
        <v>19.0</v>
      </c>
      <c r="J192" s="430">
        <v>1.0</v>
      </c>
      <c r="K192" s="376" t="s">
        <v>3794</v>
      </c>
      <c r="L192" s="376">
        <v>5.382822213E9</v>
      </c>
      <c r="M192" s="376" t="s">
        <v>286</v>
      </c>
      <c r="N192" s="376" t="s">
        <v>3795</v>
      </c>
      <c r="O192" s="376" t="s">
        <v>1838</v>
      </c>
      <c r="P192" s="376" t="s">
        <v>3941</v>
      </c>
      <c r="Q192" s="16">
        <f>COUNTIF('hedef liste'!A:A,A192)</f>
        <v>1</v>
      </c>
    </row>
    <row r="193" hidden="1">
      <c r="A193" s="376" t="s">
        <v>602</v>
      </c>
      <c r="B193" s="376" t="s">
        <v>603</v>
      </c>
      <c r="C193" s="428" t="s">
        <v>6979</v>
      </c>
      <c r="D193" s="376" t="s">
        <v>3699</v>
      </c>
      <c r="E193" s="429">
        <v>350.0</v>
      </c>
      <c r="F193" s="431"/>
      <c r="G193" s="429">
        <v>37.0</v>
      </c>
      <c r="H193" s="429">
        <v>3.0</v>
      </c>
      <c r="I193" s="429">
        <v>40.0</v>
      </c>
      <c r="J193" s="430">
        <v>0.93</v>
      </c>
      <c r="K193" s="376" t="s">
        <v>5596</v>
      </c>
      <c r="L193" s="376">
        <v>5.359771817E9</v>
      </c>
      <c r="M193" s="376" t="s">
        <v>14</v>
      </c>
      <c r="N193" s="376" t="s">
        <v>3767</v>
      </c>
      <c r="O193" s="376" t="s">
        <v>5597</v>
      </c>
      <c r="P193" s="376" t="s">
        <v>3941</v>
      </c>
      <c r="Q193" s="16">
        <f>COUNTIF('hedef liste'!A:A,A193)</f>
        <v>1</v>
      </c>
    </row>
    <row r="194" hidden="1">
      <c r="A194" s="376" t="s">
        <v>141</v>
      </c>
      <c r="B194" s="376" t="s">
        <v>7117</v>
      </c>
      <c r="C194" s="428" t="s">
        <v>6979</v>
      </c>
      <c r="D194" s="376" t="s">
        <v>3759</v>
      </c>
      <c r="E194" s="429">
        <v>4446.0</v>
      </c>
      <c r="F194" s="429">
        <v>209.0</v>
      </c>
      <c r="G194" s="429">
        <v>0.0</v>
      </c>
      <c r="H194" s="429">
        <v>7.0</v>
      </c>
      <c r="I194" s="429">
        <v>7.0</v>
      </c>
      <c r="J194" s="430">
        <v>0.0</v>
      </c>
      <c r="K194" s="376" t="s">
        <v>5569</v>
      </c>
      <c r="L194" s="376">
        <v>3.222352028E9</v>
      </c>
      <c r="M194" s="376" t="s">
        <v>14</v>
      </c>
      <c r="N194" s="376" t="s">
        <v>3767</v>
      </c>
      <c r="O194" s="376" t="s">
        <v>144</v>
      </c>
      <c r="P194" s="376" t="s">
        <v>3941</v>
      </c>
      <c r="Q194" s="16">
        <f>COUNTIF('hedef liste'!A:A,A194)</f>
        <v>1</v>
      </c>
    </row>
    <row r="195" hidden="1">
      <c r="A195" s="376" t="s">
        <v>370</v>
      </c>
      <c r="B195" s="376" t="s">
        <v>7118</v>
      </c>
      <c r="C195" s="428" t="s">
        <v>6979</v>
      </c>
      <c r="D195" s="376" t="s">
        <v>3907</v>
      </c>
      <c r="E195" s="429">
        <v>1982.0</v>
      </c>
      <c r="F195" s="429">
        <v>43.0</v>
      </c>
      <c r="G195" s="429">
        <v>34.0</v>
      </c>
      <c r="H195" s="429">
        <v>31.0</v>
      </c>
      <c r="I195" s="429">
        <v>65.0</v>
      </c>
      <c r="J195" s="430">
        <v>0.52</v>
      </c>
      <c r="K195" s="376" t="s">
        <v>4703</v>
      </c>
      <c r="L195" s="376">
        <v>3.222613008E9</v>
      </c>
      <c r="M195" s="376" t="s">
        <v>286</v>
      </c>
      <c r="N195" s="376" t="s">
        <v>3855</v>
      </c>
      <c r="O195" s="376" t="s">
        <v>373</v>
      </c>
      <c r="P195" s="376" t="s">
        <v>3941</v>
      </c>
      <c r="Q195" s="16">
        <f>COUNTIF('hedef liste'!A:A,A195)</f>
        <v>1</v>
      </c>
    </row>
    <row r="196" hidden="1">
      <c r="A196" s="376" t="s">
        <v>4178</v>
      </c>
      <c r="B196" s="376" t="s">
        <v>7119</v>
      </c>
      <c r="C196" s="428" t="s">
        <v>6979</v>
      </c>
      <c r="D196" s="376" t="s">
        <v>3676</v>
      </c>
      <c r="E196" s="429">
        <v>123.0</v>
      </c>
      <c r="F196" s="429">
        <v>27.0</v>
      </c>
      <c r="G196" s="429">
        <v>0.0</v>
      </c>
      <c r="H196" s="429">
        <v>102.0</v>
      </c>
      <c r="I196" s="429">
        <v>102.0</v>
      </c>
      <c r="J196" s="430">
        <v>0.0</v>
      </c>
      <c r="K196" s="376" t="s">
        <v>4180</v>
      </c>
      <c r="L196" s="376">
        <v>5.327656584E9</v>
      </c>
      <c r="M196" s="376" t="s">
        <v>286</v>
      </c>
      <c r="N196" s="376" t="s">
        <v>3746</v>
      </c>
      <c r="O196" s="376" t="s">
        <v>7120</v>
      </c>
      <c r="P196" s="376" t="s">
        <v>3941</v>
      </c>
      <c r="Q196" s="16">
        <f>COUNTIF('hedef liste'!A:A,A196)</f>
        <v>1</v>
      </c>
    </row>
    <row r="197" hidden="1">
      <c r="A197" s="376" t="s">
        <v>447</v>
      </c>
      <c r="B197" s="376" t="s">
        <v>448</v>
      </c>
      <c r="C197" s="428" t="s">
        <v>6979</v>
      </c>
      <c r="D197" s="376" t="s">
        <v>3994</v>
      </c>
      <c r="E197" s="429">
        <v>499.0</v>
      </c>
      <c r="F197" s="429">
        <v>10.0</v>
      </c>
      <c r="G197" s="429">
        <v>15.0</v>
      </c>
      <c r="H197" s="429">
        <v>27.0</v>
      </c>
      <c r="I197" s="429">
        <v>42.0</v>
      </c>
      <c r="J197" s="430">
        <v>0.36</v>
      </c>
      <c r="K197" s="376" t="s">
        <v>5912</v>
      </c>
      <c r="L197" s="376">
        <v>5.336676645E9</v>
      </c>
      <c r="M197" s="376" t="s">
        <v>286</v>
      </c>
      <c r="N197" s="376" t="s">
        <v>3688</v>
      </c>
      <c r="O197" s="376" t="s">
        <v>451</v>
      </c>
      <c r="P197" s="376" t="s">
        <v>3941</v>
      </c>
      <c r="Q197" s="16">
        <f>COUNTIF('hedef liste'!A:A,A197)</f>
        <v>1</v>
      </c>
    </row>
    <row r="198" hidden="1">
      <c r="A198" s="376" t="s">
        <v>2502</v>
      </c>
      <c r="B198" s="376" t="s">
        <v>2503</v>
      </c>
      <c r="C198" s="428" t="s">
        <v>6979</v>
      </c>
      <c r="D198" s="376" t="s">
        <v>3699</v>
      </c>
      <c r="E198" s="429">
        <v>887.0</v>
      </c>
      <c r="F198" s="431"/>
      <c r="G198" s="429">
        <v>11.0</v>
      </c>
      <c r="H198" s="429">
        <v>28.0</v>
      </c>
      <c r="I198" s="429">
        <v>39.0</v>
      </c>
      <c r="J198" s="430">
        <v>0.28</v>
      </c>
      <c r="K198" s="376" t="s">
        <v>6362</v>
      </c>
      <c r="L198" s="376">
        <v>5.360341469E9</v>
      </c>
      <c r="M198" s="376" t="s">
        <v>14</v>
      </c>
      <c r="N198" s="376" t="s">
        <v>3678</v>
      </c>
      <c r="O198" s="376" t="s">
        <v>2505</v>
      </c>
      <c r="P198" s="376" t="s">
        <v>3941</v>
      </c>
      <c r="Q198" s="16">
        <f>COUNTIF('hedef liste'!A:A,A198)</f>
        <v>1</v>
      </c>
    </row>
    <row r="199" hidden="1">
      <c r="A199" s="376" t="s">
        <v>4191</v>
      </c>
      <c r="B199" s="376" t="s">
        <v>4192</v>
      </c>
      <c r="C199" s="428" t="s">
        <v>6979</v>
      </c>
      <c r="D199" s="376" t="s">
        <v>3713</v>
      </c>
      <c r="E199" s="429">
        <v>513.0</v>
      </c>
      <c r="F199" s="429">
        <v>37.0</v>
      </c>
      <c r="G199" s="429">
        <v>0.0</v>
      </c>
      <c r="H199" s="429">
        <v>46.0</v>
      </c>
      <c r="I199" s="429">
        <v>46.0</v>
      </c>
      <c r="J199" s="430">
        <v>0.0</v>
      </c>
      <c r="K199" s="376" t="s">
        <v>4193</v>
      </c>
      <c r="L199" s="376">
        <v>3.222566162E9</v>
      </c>
      <c r="M199" s="376" t="s">
        <v>14</v>
      </c>
      <c r="N199" s="376" t="s">
        <v>4194</v>
      </c>
      <c r="O199" s="376" t="s">
        <v>4195</v>
      </c>
      <c r="P199" s="376" t="s">
        <v>3941</v>
      </c>
      <c r="Q199" s="16">
        <f>COUNTIF('hedef liste'!A:A,A199)</f>
        <v>1</v>
      </c>
    </row>
    <row r="200" hidden="1">
      <c r="A200" s="376" t="s">
        <v>3730</v>
      </c>
      <c r="B200" s="376" t="s">
        <v>7121</v>
      </c>
      <c r="C200" s="428" t="s">
        <v>7011</v>
      </c>
      <c r="D200" s="376" t="s">
        <v>3713</v>
      </c>
      <c r="E200" s="429">
        <v>459.0</v>
      </c>
      <c r="F200" s="431"/>
      <c r="G200" s="429">
        <v>0.0</v>
      </c>
      <c r="H200" s="429">
        <v>49.0</v>
      </c>
      <c r="I200" s="429">
        <v>49.0</v>
      </c>
      <c r="J200" s="430">
        <v>0.0</v>
      </c>
      <c r="K200" s="376" t="s">
        <v>3732</v>
      </c>
      <c r="L200" s="376">
        <v>3.222322225E9</v>
      </c>
      <c r="M200" s="376" t="s">
        <v>14</v>
      </c>
      <c r="N200" s="376" t="s">
        <v>3733</v>
      </c>
      <c r="O200" s="376" t="s">
        <v>3734</v>
      </c>
      <c r="P200" s="376" t="s">
        <v>3941</v>
      </c>
      <c r="Q200" s="16">
        <f>COUNTIF('hedef liste'!A:A,A200)</f>
        <v>1</v>
      </c>
    </row>
    <row r="201" hidden="1">
      <c r="A201" s="376" t="s">
        <v>505</v>
      </c>
      <c r="B201" s="376" t="s">
        <v>7122</v>
      </c>
      <c r="C201" s="428" t="s">
        <v>6979</v>
      </c>
      <c r="D201" s="376" t="s">
        <v>3994</v>
      </c>
      <c r="E201" s="429">
        <v>789.0</v>
      </c>
      <c r="F201" s="429">
        <v>37.0</v>
      </c>
      <c r="G201" s="429">
        <v>6.0</v>
      </c>
      <c r="H201" s="429">
        <v>63.0</v>
      </c>
      <c r="I201" s="429">
        <v>69.0</v>
      </c>
      <c r="J201" s="430">
        <v>0.09</v>
      </c>
      <c r="K201" s="376" t="s">
        <v>4970</v>
      </c>
      <c r="L201" s="376">
        <v>3.229992212E9</v>
      </c>
      <c r="M201" s="376" t="s">
        <v>286</v>
      </c>
      <c r="N201" s="376" t="s">
        <v>3737</v>
      </c>
      <c r="O201" s="376" t="s">
        <v>508</v>
      </c>
      <c r="P201" s="376" t="s">
        <v>3941</v>
      </c>
      <c r="Q201" s="16">
        <f>COUNTIF('hedef liste'!A:A,A201)</f>
        <v>1</v>
      </c>
    </row>
    <row r="202" hidden="1">
      <c r="A202" s="376" t="s">
        <v>4729</v>
      </c>
      <c r="B202" s="376" t="s">
        <v>4730</v>
      </c>
      <c r="C202" s="428" t="s">
        <v>7011</v>
      </c>
      <c r="D202" s="376" t="s">
        <v>3699</v>
      </c>
      <c r="F202" s="431"/>
      <c r="G202" s="429">
        <v>0.0</v>
      </c>
      <c r="H202" s="429">
        <v>112.0</v>
      </c>
      <c r="I202" s="429">
        <v>112.0</v>
      </c>
      <c r="J202" s="430">
        <v>0.0</v>
      </c>
      <c r="K202" s="376" t="s">
        <v>4726</v>
      </c>
      <c r="L202" s="376">
        <v>5.323997992E9</v>
      </c>
      <c r="M202" s="376" t="s">
        <v>286</v>
      </c>
      <c r="N202" s="376" t="s">
        <v>3746</v>
      </c>
      <c r="O202" s="376" t="s">
        <v>4731</v>
      </c>
      <c r="P202" s="376" t="s">
        <v>3941</v>
      </c>
      <c r="Q202" s="16">
        <f>COUNTIF('hedef liste'!A:A,A202)</f>
        <v>1</v>
      </c>
    </row>
    <row r="203" hidden="1">
      <c r="A203" s="376" t="s">
        <v>5171</v>
      </c>
      <c r="B203" s="376" t="s">
        <v>5172</v>
      </c>
      <c r="C203" s="428" t="s">
        <v>6979</v>
      </c>
      <c r="D203" s="376" t="s">
        <v>3713</v>
      </c>
      <c r="E203" s="429">
        <v>493.0</v>
      </c>
      <c r="F203" s="429">
        <v>17.0</v>
      </c>
      <c r="G203" s="429">
        <v>0.0</v>
      </c>
      <c r="H203" s="429">
        <v>13.0</v>
      </c>
      <c r="I203" s="429">
        <v>13.0</v>
      </c>
      <c r="J203" s="430">
        <v>0.0</v>
      </c>
      <c r="K203" s="376" t="s">
        <v>5173</v>
      </c>
      <c r="L203" s="376">
        <v>3.2250314E9</v>
      </c>
      <c r="M203" s="376" t="s">
        <v>3692</v>
      </c>
      <c r="N203" s="376" t="s">
        <v>3721</v>
      </c>
      <c r="O203" s="376" t="s">
        <v>5174</v>
      </c>
      <c r="P203" s="376" t="s">
        <v>3941</v>
      </c>
      <c r="Q203" s="16">
        <f>COUNTIF('hedef liste'!A:A,A203)</f>
        <v>1</v>
      </c>
    </row>
    <row r="204" hidden="1">
      <c r="A204" s="376" t="s">
        <v>7123</v>
      </c>
      <c r="B204" s="376" t="s">
        <v>7124</v>
      </c>
      <c r="C204" s="428" t="s">
        <v>6979</v>
      </c>
      <c r="D204" s="376" t="s">
        <v>4907</v>
      </c>
      <c r="E204" s="429">
        <v>4465.0</v>
      </c>
      <c r="F204" s="429">
        <v>177.0</v>
      </c>
      <c r="G204" s="429">
        <v>80.0</v>
      </c>
      <c r="H204" s="429">
        <v>2.0</v>
      </c>
      <c r="I204" s="429">
        <v>82.0</v>
      </c>
      <c r="J204" s="430">
        <v>0.98</v>
      </c>
      <c r="K204" s="376" t="s">
        <v>7089</v>
      </c>
      <c r="L204" s="376">
        <v>8.509697946E9</v>
      </c>
      <c r="M204" s="376" t="s">
        <v>14</v>
      </c>
      <c r="N204" s="376" t="s">
        <v>3733</v>
      </c>
      <c r="O204" s="376" t="s">
        <v>7125</v>
      </c>
      <c r="P204" s="376" t="s">
        <v>6982</v>
      </c>
      <c r="Q204" s="16">
        <f>COUNTIF('hedef liste'!A:A,A204)</f>
        <v>0</v>
      </c>
    </row>
    <row r="205" hidden="1">
      <c r="A205" s="376" t="s">
        <v>2507</v>
      </c>
      <c r="B205" s="376" t="s">
        <v>2508</v>
      </c>
      <c r="C205" s="428" t="s">
        <v>6979</v>
      </c>
      <c r="D205" s="376" t="s">
        <v>3676</v>
      </c>
      <c r="E205" s="429">
        <v>801.0</v>
      </c>
      <c r="F205" s="429">
        <v>32.0</v>
      </c>
      <c r="G205" s="429">
        <v>16.0</v>
      </c>
      <c r="H205" s="429">
        <v>16.0</v>
      </c>
      <c r="I205" s="429">
        <v>32.0</v>
      </c>
      <c r="J205" s="430">
        <v>0.5</v>
      </c>
      <c r="K205" s="376" t="s">
        <v>6308</v>
      </c>
      <c r="L205" s="376">
        <v>5.384527498E9</v>
      </c>
      <c r="M205" s="376" t="s">
        <v>14</v>
      </c>
      <c r="N205" s="376" t="s">
        <v>3935</v>
      </c>
      <c r="O205" s="376" t="s">
        <v>2510</v>
      </c>
      <c r="P205" s="376" t="s">
        <v>3941</v>
      </c>
      <c r="Q205" s="16">
        <f>COUNTIF('hedef liste'!A:A,A205)</f>
        <v>1</v>
      </c>
    </row>
    <row r="206" hidden="1">
      <c r="A206" s="376" t="s">
        <v>6435</v>
      </c>
      <c r="B206" s="376" t="s">
        <v>7126</v>
      </c>
      <c r="C206" s="428" t="s">
        <v>6979</v>
      </c>
      <c r="D206" s="376" t="s">
        <v>3912</v>
      </c>
      <c r="E206" s="432">
        <v>413.0</v>
      </c>
      <c r="F206" s="429">
        <v>21.0</v>
      </c>
      <c r="G206" s="429">
        <v>0.0</v>
      </c>
      <c r="H206" s="429">
        <v>18.0</v>
      </c>
      <c r="I206" s="429">
        <v>18.0</v>
      </c>
      <c r="J206" s="430">
        <v>0.0</v>
      </c>
      <c r="K206" s="376" t="s">
        <v>6437</v>
      </c>
      <c r="L206" s="376">
        <v>5.38297934E9</v>
      </c>
      <c r="M206" s="376" t="s">
        <v>286</v>
      </c>
      <c r="N206" s="376" t="s">
        <v>5137</v>
      </c>
      <c r="O206" s="376" t="s">
        <v>6439</v>
      </c>
      <c r="P206" s="376" t="s">
        <v>3941</v>
      </c>
      <c r="Q206" s="16">
        <f>COUNTIF('hedef liste'!A:A,A206)</f>
        <v>1</v>
      </c>
    </row>
    <row r="207" hidden="1">
      <c r="A207" s="376" t="s">
        <v>830</v>
      </c>
      <c r="B207" s="376" t="s">
        <v>831</v>
      </c>
      <c r="C207" s="428" t="s">
        <v>6979</v>
      </c>
      <c r="D207" s="376" t="s">
        <v>4572</v>
      </c>
      <c r="E207" s="429">
        <v>9955.0</v>
      </c>
      <c r="F207" s="429">
        <v>510.0</v>
      </c>
      <c r="G207" s="429">
        <v>9.0</v>
      </c>
      <c r="H207" s="429">
        <v>44.0</v>
      </c>
      <c r="I207" s="429">
        <v>53.0</v>
      </c>
      <c r="J207" s="430">
        <v>0.17</v>
      </c>
      <c r="K207" s="376" t="s">
        <v>4894</v>
      </c>
      <c r="L207" s="376">
        <v>5.342473198E9</v>
      </c>
      <c r="M207" s="376" t="s">
        <v>14</v>
      </c>
      <c r="N207" s="376" t="s">
        <v>3935</v>
      </c>
      <c r="O207" s="376" t="s">
        <v>833</v>
      </c>
      <c r="P207" s="376" t="s">
        <v>3941</v>
      </c>
      <c r="Q207" s="16">
        <f>COUNTIF('hedef liste'!A:A,A207)</f>
        <v>1</v>
      </c>
    </row>
    <row r="208" hidden="1">
      <c r="A208" s="376" t="s">
        <v>534</v>
      </c>
      <c r="B208" s="376" t="s">
        <v>535</v>
      </c>
      <c r="C208" s="428" t="s">
        <v>6979</v>
      </c>
      <c r="D208" s="376" t="s">
        <v>3801</v>
      </c>
      <c r="E208" s="429">
        <v>3138.0</v>
      </c>
      <c r="F208" s="429">
        <v>126.0</v>
      </c>
      <c r="G208" s="429">
        <v>13.0</v>
      </c>
      <c r="H208" s="429">
        <v>4.0</v>
      </c>
      <c r="I208" s="429">
        <v>17.0</v>
      </c>
      <c r="J208" s="430">
        <v>0.76</v>
      </c>
      <c r="K208" s="376" t="s">
        <v>6532</v>
      </c>
      <c r="L208" s="376">
        <v>3.224585453E9</v>
      </c>
      <c r="M208" s="376" t="s">
        <v>286</v>
      </c>
      <c r="N208" s="376" t="s">
        <v>3688</v>
      </c>
      <c r="O208" s="376" t="s">
        <v>537</v>
      </c>
      <c r="P208" s="376" t="s">
        <v>3941</v>
      </c>
      <c r="Q208" s="16">
        <f>COUNTIF('hedef liste'!A:A,A208)</f>
        <v>1</v>
      </c>
    </row>
    <row r="209" hidden="1">
      <c r="A209" s="376" t="s">
        <v>17</v>
      </c>
      <c r="B209" s="376" t="s">
        <v>18</v>
      </c>
      <c r="C209" s="428" t="s">
        <v>6979</v>
      </c>
      <c r="D209" s="376" t="s">
        <v>4000</v>
      </c>
      <c r="E209" s="429">
        <v>4119.0</v>
      </c>
      <c r="F209" s="429">
        <v>112.0</v>
      </c>
      <c r="G209" s="429">
        <v>20.0</v>
      </c>
      <c r="H209" s="429">
        <v>46.0</v>
      </c>
      <c r="I209" s="429">
        <v>66.0</v>
      </c>
      <c r="J209" s="430">
        <v>0.3</v>
      </c>
      <c r="K209" s="376" t="s">
        <v>4211</v>
      </c>
      <c r="L209" s="376">
        <v>5.426752656E9</v>
      </c>
      <c r="M209" s="376" t="s">
        <v>14</v>
      </c>
      <c r="N209" s="376" t="s">
        <v>3797</v>
      </c>
      <c r="O209" s="376" t="s">
        <v>7127</v>
      </c>
      <c r="P209" s="376" t="s">
        <v>3941</v>
      </c>
      <c r="Q209" s="16">
        <f>COUNTIF('hedef liste'!A:A,A209)</f>
        <v>1</v>
      </c>
    </row>
    <row r="210" hidden="1">
      <c r="A210" s="376" t="s">
        <v>4688</v>
      </c>
      <c r="B210" s="376" t="s">
        <v>4689</v>
      </c>
      <c r="C210" s="428" t="s">
        <v>6979</v>
      </c>
      <c r="D210" s="376" t="s">
        <v>3676</v>
      </c>
      <c r="E210" s="429">
        <v>1756.0</v>
      </c>
      <c r="F210" s="429">
        <v>49.0</v>
      </c>
      <c r="G210" s="429">
        <v>0.0</v>
      </c>
      <c r="H210" s="429">
        <v>41.0</v>
      </c>
      <c r="I210" s="429">
        <v>41.0</v>
      </c>
      <c r="J210" s="430">
        <v>0.0</v>
      </c>
      <c r="K210" s="376" t="s">
        <v>4690</v>
      </c>
      <c r="L210" s="376">
        <v>5.32540434E9</v>
      </c>
      <c r="M210" s="376" t="s">
        <v>14</v>
      </c>
      <c r="N210" s="376" t="s">
        <v>3797</v>
      </c>
      <c r="O210" s="376" t="s">
        <v>4691</v>
      </c>
      <c r="P210" s="376" t="s">
        <v>3941</v>
      </c>
      <c r="Q210" s="16">
        <f>COUNTIF('hedef liste'!A:A,A210)</f>
        <v>1</v>
      </c>
    </row>
    <row r="211" hidden="1">
      <c r="A211" s="376" t="s">
        <v>3811</v>
      </c>
      <c r="B211" s="376" t="s">
        <v>7128</v>
      </c>
      <c r="C211" s="428" t="s">
        <v>6979</v>
      </c>
      <c r="D211" s="376" t="s">
        <v>3801</v>
      </c>
      <c r="E211" s="429">
        <v>1637.0</v>
      </c>
      <c r="F211" s="429">
        <v>59.0</v>
      </c>
      <c r="G211" s="429">
        <v>8.0</v>
      </c>
      <c r="H211" s="429">
        <v>1.0</v>
      </c>
      <c r="I211" s="429">
        <v>9.0</v>
      </c>
      <c r="J211" s="430">
        <v>0.89</v>
      </c>
      <c r="K211" s="376" t="s">
        <v>3813</v>
      </c>
      <c r="L211" s="376">
        <v>5.377484554E9</v>
      </c>
      <c r="M211" s="376" t="s">
        <v>3814</v>
      </c>
      <c r="N211" s="376" t="s">
        <v>3815</v>
      </c>
      <c r="O211" s="376" t="s">
        <v>3816</v>
      </c>
      <c r="P211" s="376" t="s">
        <v>3941</v>
      </c>
      <c r="Q211" s="16">
        <f>COUNTIF('hedef liste'!A:A,A211)</f>
        <v>1</v>
      </c>
    </row>
    <row r="212" hidden="1">
      <c r="A212" s="376" t="s">
        <v>5720</v>
      </c>
      <c r="B212" s="376" t="s">
        <v>5721</v>
      </c>
      <c r="C212" s="428" t="s">
        <v>6979</v>
      </c>
      <c r="D212" s="376" t="s">
        <v>3801</v>
      </c>
      <c r="E212" s="429">
        <v>528.0</v>
      </c>
      <c r="F212" s="429">
        <v>15.0</v>
      </c>
      <c r="G212" s="429">
        <v>10.0</v>
      </c>
      <c r="H212" s="429">
        <v>7.0</v>
      </c>
      <c r="I212" s="429">
        <v>17.0</v>
      </c>
      <c r="J212" s="430">
        <v>0.59</v>
      </c>
      <c r="K212" s="376" t="s">
        <v>5722</v>
      </c>
      <c r="L212" s="376">
        <v>5.510426968E9</v>
      </c>
      <c r="M212" s="376" t="s">
        <v>286</v>
      </c>
      <c r="N212" s="376" t="s">
        <v>3782</v>
      </c>
      <c r="O212" s="376" t="s">
        <v>5723</v>
      </c>
      <c r="P212" s="376" t="s">
        <v>3941</v>
      </c>
      <c r="Q212" s="16">
        <f>COUNTIF('hedef liste'!A:A,A212)</f>
        <v>1</v>
      </c>
    </row>
    <row r="213" hidden="1">
      <c r="A213" s="376" t="s">
        <v>7129</v>
      </c>
      <c r="B213" s="376" t="s">
        <v>7130</v>
      </c>
      <c r="C213" s="428" t="s">
        <v>6979</v>
      </c>
      <c r="D213" s="376" t="s">
        <v>3801</v>
      </c>
      <c r="E213" s="429">
        <v>484.0</v>
      </c>
      <c r="F213" s="429">
        <v>17.0</v>
      </c>
      <c r="G213" s="429">
        <v>65.0</v>
      </c>
      <c r="H213" s="429">
        <v>6.0</v>
      </c>
      <c r="I213" s="429">
        <v>71.0</v>
      </c>
      <c r="J213" s="430">
        <v>0.92</v>
      </c>
      <c r="K213" s="376" t="s">
        <v>6998</v>
      </c>
      <c r="L213" s="376">
        <v>5.384332101E9</v>
      </c>
      <c r="M213" s="376" t="s">
        <v>286</v>
      </c>
      <c r="N213" s="376" t="s">
        <v>3764</v>
      </c>
      <c r="O213" s="376" t="s">
        <v>7131</v>
      </c>
      <c r="P213" s="376" t="s">
        <v>6982</v>
      </c>
      <c r="Q213" s="16">
        <f>COUNTIF('hedef liste'!A:A,A213)</f>
        <v>0</v>
      </c>
    </row>
    <row r="214" hidden="1">
      <c r="A214" s="376" t="s">
        <v>571</v>
      </c>
      <c r="B214" s="376" t="s">
        <v>7132</v>
      </c>
      <c r="C214" s="428" t="s">
        <v>6979</v>
      </c>
      <c r="D214" s="376" t="s">
        <v>3676</v>
      </c>
      <c r="E214" s="429">
        <v>6397.0</v>
      </c>
      <c r="F214" s="429">
        <v>239.0</v>
      </c>
      <c r="G214" s="429">
        <v>4.0</v>
      </c>
      <c r="H214" s="429">
        <v>2.0</v>
      </c>
      <c r="I214" s="429">
        <v>6.0</v>
      </c>
      <c r="J214" s="430">
        <v>0.67</v>
      </c>
      <c r="K214" s="376" t="s">
        <v>6310</v>
      </c>
      <c r="L214" s="376">
        <v>5.07445459E9</v>
      </c>
      <c r="M214" s="376" t="s">
        <v>14</v>
      </c>
      <c r="N214" s="376" t="s">
        <v>3767</v>
      </c>
      <c r="O214" s="376" t="s">
        <v>574</v>
      </c>
      <c r="P214" s="376" t="s">
        <v>3941</v>
      </c>
      <c r="Q214" s="16">
        <f>COUNTIF('hedef liste'!A:A,A214)</f>
        <v>1</v>
      </c>
    </row>
    <row r="215" hidden="1">
      <c r="A215" s="376" t="s">
        <v>2999</v>
      </c>
      <c r="B215" s="376" t="s">
        <v>3000</v>
      </c>
      <c r="C215" s="428" t="s">
        <v>6979</v>
      </c>
      <c r="D215" s="376" t="s">
        <v>3994</v>
      </c>
      <c r="E215" s="429">
        <v>2538.0</v>
      </c>
      <c r="F215" s="429">
        <v>96.0</v>
      </c>
      <c r="G215" s="429">
        <v>9.0</v>
      </c>
      <c r="H215" s="429">
        <v>81.0</v>
      </c>
      <c r="I215" s="429">
        <v>90.0</v>
      </c>
      <c r="J215" s="430">
        <v>0.1</v>
      </c>
      <c r="K215" s="376" t="s">
        <v>6244</v>
      </c>
      <c r="L215" s="376">
        <v>3.222710181E9</v>
      </c>
      <c r="M215" s="376" t="s">
        <v>286</v>
      </c>
      <c r="N215" s="376" t="s">
        <v>4235</v>
      </c>
      <c r="O215" s="376" t="s">
        <v>3003</v>
      </c>
      <c r="P215" s="376" t="s">
        <v>3941</v>
      </c>
      <c r="Q215" s="16">
        <f>COUNTIF('hedef liste'!A:A,A215)</f>
        <v>1</v>
      </c>
    </row>
    <row r="216" hidden="1">
      <c r="A216" s="376" t="s">
        <v>6417</v>
      </c>
      <c r="B216" s="376" t="s">
        <v>7133</v>
      </c>
      <c r="C216" s="428" t="s">
        <v>6979</v>
      </c>
      <c r="D216" s="376" t="s">
        <v>3699</v>
      </c>
      <c r="E216" s="429">
        <v>1656.0</v>
      </c>
      <c r="F216" s="429">
        <v>39.0</v>
      </c>
      <c r="G216" s="429">
        <v>4.0</v>
      </c>
      <c r="H216" s="429">
        <v>5.0</v>
      </c>
      <c r="I216" s="429">
        <v>9.0</v>
      </c>
      <c r="J216" s="430">
        <v>0.44</v>
      </c>
      <c r="K216" s="376" t="s">
        <v>6413</v>
      </c>
      <c r="L216" s="376">
        <v>3.222310892E9</v>
      </c>
      <c r="M216" s="376" t="s">
        <v>14</v>
      </c>
      <c r="N216" s="376" t="s">
        <v>3767</v>
      </c>
      <c r="O216" s="376" t="s">
        <v>6419</v>
      </c>
      <c r="P216" s="376" t="s">
        <v>3941</v>
      </c>
      <c r="Q216" s="16">
        <f>COUNTIF('hedef liste'!A:A,A216)</f>
        <v>1</v>
      </c>
    </row>
    <row r="217" hidden="1">
      <c r="A217" s="376" t="s">
        <v>7134</v>
      </c>
      <c r="B217" s="376" t="s">
        <v>7135</v>
      </c>
      <c r="C217" s="428" t="s">
        <v>6979</v>
      </c>
      <c r="D217" s="376" t="s">
        <v>3801</v>
      </c>
      <c r="E217" s="429">
        <v>2389.0</v>
      </c>
      <c r="F217" s="429">
        <v>95.0</v>
      </c>
      <c r="G217" s="429">
        <v>90.0</v>
      </c>
      <c r="H217" s="429">
        <v>3.0</v>
      </c>
      <c r="I217" s="429">
        <v>93.0</v>
      </c>
      <c r="J217" s="430">
        <v>0.97</v>
      </c>
      <c r="K217" s="376" t="s">
        <v>6998</v>
      </c>
      <c r="L217" s="376">
        <v>3.223246538E9</v>
      </c>
      <c r="M217" s="376" t="s">
        <v>14</v>
      </c>
      <c r="N217" s="376" t="s">
        <v>3767</v>
      </c>
      <c r="O217" s="376" t="s">
        <v>7136</v>
      </c>
      <c r="P217" s="376" t="s">
        <v>6982</v>
      </c>
      <c r="Q217" s="16">
        <f>COUNTIF('hedef liste'!A:A,A217)</f>
        <v>0</v>
      </c>
    </row>
    <row r="218" hidden="1">
      <c r="A218" s="376" t="s">
        <v>1948</v>
      </c>
      <c r="B218" s="376" t="s">
        <v>7137</v>
      </c>
      <c r="C218" s="428" t="s">
        <v>6979</v>
      </c>
      <c r="D218" s="376" t="s">
        <v>3676</v>
      </c>
      <c r="E218" s="429">
        <v>5129.0</v>
      </c>
      <c r="F218" s="429">
        <v>135.0</v>
      </c>
      <c r="G218" s="429">
        <v>13.0</v>
      </c>
      <c r="H218" s="429">
        <v>4.0</v>
      </c>
      <c r="I218" s="429">
        <v>17.0</v>
      </c>
      <c r="J218" s="430">
        <v>0.76</v>
      </c>
      <c r="K218" s="376" t="s">
        <v>5247</v>
      </c>
      <c r="L218" s="376">
        <v>5.531013688E9</v>
      </c>
      <c r="M218" s="376" t="s">
        <v>286</v>
      </c>
      <c r="N218" s="376" t="s">
        <v>5844</v>
      </c>
      <c r="O218" s="376" t="s">
        <v>1952</v>
      </c>
      <c r="P218" s="376" t="s">
        <v>3941</v>
      </c>
      <c r="Q218" s="16">
        <f>COUNTIF('hedef liste'!A:A,A218)</f>
        <v>1</v>
      </c>
    </row>
    <row r="219" hidden="1">
      <c r="A219" s="376" t="s">
        <v>7138</v>
      </c>
      <c r="B219" s="376" t="s">
        <v>7139</v>
      </c>
      <c r="C219" s="428" t="s">
        <v>6979</v>
      </c>
      <c r="D219" s="376" t="s">
        <v>4000</v>
      </c>
      <c r="E219" s="429">
        <v>21187.0</v>
      </c>
      <c r="F219" s="429">
        <v>833.0</v>
      </c>
      <c r="G219" s="429">
        <v>164.0</v>
      </c>
      <c r="H219" s="429">
        <v>0.0</v>
      </c>
      <c r="I219" s="429">
        <v>164.0</v>
      </c>
      <c r="J219" s="430">
        <v>1.0</v>
      </c>
      <c r="K219" s="376" t="s">
        <v>7111</v>
      </c>
      <c r="L219" s="376">
        <v>9.999999999E9</v>
      </c>
      <c r="M219" s="376" t="s">
        <v>286</v>
      </c>
      <c r="N219" s="376" t="s">
        <v>3754</v>
      </c>
      <c r="O219" s="376" t="s">
        <v>7140</v>
      </c>
      <c r="P219" s="376" t="s">
        <v>6982</v>
      </c>
      <c r="Q219" s="16">
        <f>COUNTIF('hedef liste'!A:A,A219)</f>
        <v>0</v>
      </c>
    </row>
    <row r="220" hidden="1">
      <c r="A220" s="376" t="s">
        <v>34</v>
      </c>
      <c r="B220" s="376" t="s">
        <v>7141</v>
      </c>
      <c r="C220" s="428" t="s">
        <v>6979</v>
      </c>
      <c r="D220" s="376" t="s">
        <v>3676</v>
      </c>
      <c r="E220" s="429">
        <v>3668.0</v>
      </c>
      <c r="F220" s="429">
        <v>92.0</v>
      </c>
      <c r="G220" s="429">
        <v>19.0</v>
      </c>
      <c r="H220" s="429">
        <v>19.0</v>
      </c>
      <c r="I220" s="429">
        <v>38.0</v>
      </c>
      <c r="J220" s="430">
        <v>0.5</v>
      </c>
      <c r="K220" s="376" t="s">
        <v>3934</v>
      </c>
      <c r="L220" s="376">
        <v>3.229995014E9</v>
      </c>
      <c r="M220" s="376" t="s">
        <v>14</v>
      </c>
      <c r="N220" s="376" t="s">
        <v>3935</v>
      </c>
      <c r="O220" s="376" t="s">
        <v>39</v>
      </c>
      <c r="P220" s="376" t="s">
        <v>3941</v>
      </c>
      <c r="Q220" s="16">
        <f>COUNTIF('hedef liste'!A:A,A220)</f>
        <v>1</v>
      </c>
    </row>
    <row r="221" hidden="1">
      <c r="A221" s="376" t="s">
        <v>1642</v>
      </c>
      <c r="B221" s="376" t="s">
        <v>7142</v>
      </c>
      <c r="C221" s="428" t="s">
        <v>6979</v>
      </c>
      <c r="D221" s="376" t="s">
        <v>3842</v>
      </c>
      <c r="E221" s="429">
        <v>688.0</v>
      </c>
      <c r="F221" s="429">
        <v>26.0</v>
      </c>
      <c r="G221" s="429">
        <v>0.0</v>
      </c>
      <c r="H221" s="429">
        <v>17.0</v>
      </c>
      <c r="I221" s="429">
        <v>17.0</v>
      </c>
      <c r="J221" s="430">
        <v>0.0</v>
      </c>
      <c r="K221" s="376" t="s">
        <v>3896</v>
      </c>
      <c r="L221" s="376">
        <v>5.360669364E9</v>
      </c>
      <c r="M221" s="376" t="s">
        <v>3692</v>
      </c>
      <c r="N221" s="376" t="s">
        <v>3721</v>
      </c>
      <c r="O221" s="376" t="s">
        <v>1645</v>
      </c>
      <c r="P221" s="376" t="s">
        <v>3941</v>
      </c>
      <c r="Q221" s="16">
        <f>COUNTIF('hedef liste'!A:A,A221)</f>
        <v>1</v>
      </c>
    </row>
    <row r="222" hidden="1">
      <c r="A222" s="376" t="s">
        <v>7143</v>
      </c>
      <c r="B222" s="376" t="s">
        <v>7144</v>
      </c>
      <c r="C222" s="428" t="s">
        <v>7011</v>
      </c>
      <c r="D222" s="376" t="s">
        <v>4907</v>
      </c>
      <c r="E222" s="429">
        <v>1164.0</v>
      </c>
      <c r="F222" s="431"/>
      <c r="G222" s="429">
        <v>76.0</v>
      </c>
      <c r="H222" s="429">
        <v>2.0</v>
      </c>
      <c r="I222" s="429">
        <v>78.0</v>
      </c>
      <c r="J222" s="430">
        <v>0.97</v>
      </c>
      <c r="K222" s="376" t="s">
        <v>7089</v>
      </c>
      <c r="L222" s="376">
        <v>3.222312797E9</v>
      </c>
      <c r="M222" s="376" t="s">
        <v>14</v>
      </c>
      <c r="N222" s="376" t="s">
        <v>3797</v>
      </c>
      <c r="O222" s="376" t="s">
        <v>7145</v>
      </c>
      <c r="P222" s="376" t="s">
        <v>6982</v>
      </c>
      <c r="Q222" s="16">
        <f>COUNTIF('hedef liste'!A:A,A222)</f>
        <v>0</v>
      </c>
    </row>
    <row r="223" hidden="1">
      <c r="A223" s="376" t="s">
        <v>352</v>
      </c>
      <c r="B223" s="376" t="s">
        <v>353</v>
      </c>
      <c r="C223" s="428" t="s">
        <v>6979</v>
      </c>
      <c r="D223" s="376" t="s">
        <v>3676</v>
      </c>
      <c r="E223" s="429">
        <v>848.0</v>
      </c>
      <c r="F223" s="429">
        <v>99.0</v>
      </c>
      <c r="G223" s="429">
        <v>10.0</v>
      </c>
      <c r="H223" s="429">
        <v>3.0</v>
      </c>
      <c r="I223" s="429">
        <v>13.0</v>
      </c>
      <c r="J223" s="430">
        <v>0.77</v>
      </c>
      <c r="K223" s="376" t="s">
        <v>4032</v>
      </c>
      <c r="L223" s="376">
        <v>5.32737764E9</v>
      </c>
      <c r="M223" s="376" t="s">
        <v>14</v>
      </c>
      <c r="N223" s="376" t="s">
        <v>3797</v>
      </c>
      <c r="O223" s="376" t="s">
        <v>355</v>
      </c>
      <c r="P223" s="376" t="s">
        <v>3941</v>
      </c>
      <c r="Q223" s="16">
        <f>COUNTIF('hedef liste'!A:A,A223)</f>
        <v>1</v>
      </c>
    </row>
    <row r="224" hidden="1">
      <c r="A224" s="376" t="s">
        <v>7146</v>
      </c>
      <c r="B224" s="376" t="s">
        <v>7147</v>
      </c>
      <c r="C224" s="428" t="s">
        <v>7011</v>
      </c>
      <c r="D224" s="376" t="s">
        <v>3883</v>
      </c>
      <c r="E224" s="429">
        <v>39.0</v>
      </c>
      <c r="F224" s="431"/>
      <c r="G224" s="429">
        <v>46.0</v>
      </c>
      <c r="H224" s="429">
        <v>9.0</v>
      </c>
      <c r="I224" s="429">
        <v>55.0</v>
      </c>
      <c r="J224" s="430">
        <v>0.84</v>
      </c>
      <c r="K224" s="376" t="s">
        <v>7148</v>
      </c>
      <c r="L224" s="376">
        <v>5.538520799E9</v>
      </c>
      <c r="M224" s="376" t="s">
        <v>286</v>
      </c>
      <c r="N224" s="376" t="s">
        <v>4235</v>
      </c>
      <c r="O224" s="376" t="s">
        <v>7149</v>
      </c>
      <c r="P224" s="376" t="s">
        <v>6982</v>
      </c>
      <c r="Q224" s="16">
        <f>COUNTIF('hedef liste'!A:A,A224)</f>
        <v>0</v>
      </c>
    </row>
    <row r="225" hidden="1">
      <c r="A225" s="376" t="s">
        <v>2239</v>
      </c>
      <c r="B225" s="376" t="s">
        <v>7150</v>
      </c>
      <c r="C225" s="428" t="s">
        <v>6979</v>
      </c>
      <c r="D225" s="376" t="s">
        <v>3713</v>
      </c>
      <c r="E225" s="429">
        <v>831.0</v>
      </c>
      <c r="F225" s="429">
        <v>35.0</v>
      </c>
      <c r="G225" s="429">
        <v>17.0</v>
      </c>
      <c r="H225" s="429">
        <v>12.0</v>
      </c>
      <c r="I225" s="429">
        <v>29.0</v>
      </c>
      <c r="J225" s="430">
        <v>0.59</v>
      </c>
      <c r="K225" s="376" t="s">
        <v>6563</v>
      </c>
      <c r="L225" s="376">
        <v>5.300710995E9</v>
      </c>
      <c r="M225" s="376" t="s">
        <v>286</v>
      </c>
      <c r="N225" s="376" t="s">
        <v>3782</v>
      </c>
      <c r="O225" s="376" t="s">
        <v>2242</v>
      </c>
      <c r="P225" s="376" t="s">
        <v>3941</v>
      </c>
      <c r="Q225" s="16">
        <f>COUNTIF('hedef liste'!A:A,A225)</f>
        <v>1</v>
      </c>
    </row>
    <row r="226" hidden="1">
      <c r="A226" s="376" t="s">
        <v>2362</v>
      </c>
      <c r="B226" s="376" t="s">
        <v>2363</v>
      </c>
      <c r="C226" s="428" t="s">
        <v>6979</v>
      </c>
      <c r="D226" s="376" t="s">
        <v>3713</v>
      </c>
      <c r="E226" s="429">
        <v>1505.0</v>
      </c>
      <c r="F226" s="429">
        <v>22.0</v>
      </c>
      <c r="G226" s="429">
        <v>17.0</v>
      </c>
      <c r="H226" s="429">
        <v>5.0</v>
      </c>
      <c r="I226" s="429">
        <v>22.0</v>
      </c>
      <c r="J226" s="430">
        <v>0.77</v>
      </c>
      <c r="K226" s="376" t="s">
        <v>5211</v>
      </c>
      <c r="L226" s="376">
        <v>3.222259798E9</v>
      </c>
      <c r="M226" s="376" t="s">
        <v>286</v>
      </c>
      <c r="N226" s="376" t="s">
        <v>3961</v>
      </c>
      <c r="O226" s="376" t="s">
        <v>2365</v>
      </c>
      <c r="P226" s="376" t="s">
        <v>3941</v>
      </c>
      <c r="Q226" s="16">
        <f>COUNTIF('hedef liste'!A:A,A226)</f>
        <v>1</v>
      </c>
    </row>
    <row r="227" hidden="1">
      <c r="A227" s="376" t="s">
        <v>611</v>
      </c>
      <c r="B227" s="376" t="s">
        <v>612</v>
      </c>
      <c r="C227" s="428" t="s">
        <v>6979</v>
      </c>
      <c r="D227" s="376" t="s">
        <v>4000</v>
      </c>
      <c r="E227" s="429">
        <v>1543.0</v>
      </c>
      <c r="F227" s="429">
        <v>72.0</v>
      </c>
      <c r="G227" s="429">
        <v>44.0</v>
      </c>
      <c r="H227" s="429">
        <v>16.0</v>
      </c>
      <c r="I227" s="429">
        <v>60.0</v>
      </c>
      <c r="J227" s="430">
        <v>0.73</v>
      </c>
      <c r="K227" s="376" t="s">
        <v>5666</v>
      </c>
      <c r="L227" s="376">
        <v>3.22211001E9</v>
      </c>
      <c r="M227" s="376" t="s">
        <v>14</v>
      </c>
      <c r="N227" s="376" t="s">
        <v>3797</v>
      </c>
      <c r="O227" s="376" t="s">
        <v>7151</v>
      </c>
      <c r="P227" s="376" t="s">
        <v>3941</v>
      </c>
      <c r="Q227" s="16">
        <f>COUNTIF('hedef liste'!A:A,A227)</f>
        <v>1</v>
      </c>
    </row>
    <row r="228" hidden="1">
      <c r="A228" s="376" t="s">
        <v>762</v>
      </c>
      <c r="B228" s="376" t="s">
        <v>7152</v>
      </c>
      <c r="C228" s="428" t="s">
        <v>6979</v>
      </c>
      <c r="D228" s="376" t="s">
        <v>3676</v>
      </c>
      <c r="E228" s="429">
        <v>18733.0</v>
      </c>
      <c r="F228" s="429">
        <v>1317.0</v>
      </c>
      <c r="G228" s="429">
        <v>5.0</v>
      </c>
      <c r="H228" s="429">
        <v>1.0</v>
      </c>
      <c r="I228" s="429">
        <v>6.0</v>
      </c>
      <c r="J228" s="430">
        <v>0.83</v>
      </c>
      <c r="K228" s="376" t="s">
        <v>4925</v>
      </c>
      <c r="L228" s="376">
        <v>3.222248082E9</v>
      </c>
      <c r="M228" s="376" t="s">
        <v>286</v>
      </c>
      <c r="N228" s="376" t="s">
        <v>3754</v>
      </c>
      <c r="O228" s="376" t="s">
        <v>765</v>
      </c>
      <c r="P228" s="376" t="s">
        <v>3941</v>
      </c>
      <c r="Q228" s="16">
        <f>COUNTIF('hedef liste'!A:A,A228)</f>
        <v>1</v>
      </c>
    </row>
    <row r="229" hidden="1">
      <c r="A229" s="376" t="s">
        <v>2588</v>
      </c>
      <c r="B229" s="376" t="s">
        <v>2589</v>
      </c>
      <c r="C229" s="428" t="s">
        <v>6979</v>
      </c>
      <c r="D229" s="376" t="s">
        <v>3713</v>
      </c>
      <c r="E229" s="429">
        <v>5992.0</v>
      </c>
      <c r="F229" s="429">
        <v>225.0</v>
      </c>
      <c r="G229" s="429">
        <v>24.0</v>
      </c>
      <c r="H229" s="429">
        <v>3.0</v>
      </c>
      <c r="I229" s="429">
        <v>27.0</v>
      </c>
      <c r="J229" s="430">
        <v>0.89</v>
      </c>
      <c r="K229" s="376" t="s">
        <v>4900</v>
      </c>
      <c r="L229" s="376">
        <v>3.22281E9</v>
      </c>
      <c r="M229" s="376" t="s">
        <v>286</v>
      </c>
      <c r="N229" s="376" t="s">
        <v>3754</v>
      </c>
      <c r="O229" s="376" t="s">
        <v>2591</v>
      </c>
      <c r="P229" s="376" t="s">
        <v>3941</v>
      </c>
      <c r="Q229" s="16">
        <f>COUNTIF('hedef liste'!A:A,A229)</f>
        <v>1</v>
      </c>
    </row>
    <row r="230" hidden="1">
      <c r="A230" s="376" t="s">
        <v>23</v>
      </c>
      <c r="B230" s="376" t="s">
        <v>7153</v>
      </c>
      <c r="C230" s="428" t="s">
        <v>6979</v>
      </c>
      <c r="D230" s="376" t="s">
        <v>3676</v>
      </c>
      <c r="E230" s="429">
        <v>4742.0</v>
      </c>
      <c r="F230" s="429">
        <v>210.0</v>
      </c>
      <c r="G230" s="429">
        <v>9.0</v>
      </c>
      <c r="H230" s="429">
        <v>9.0</v>
      </c>
      <c r="I230" s="429">
        <v>18.0</v>
      </c>
      <c r="J230" s="430">
        <v>0.5</v>
      </c>
      <c r="K230" s="376" t="s">
        <v>5223</v>
      </c>
      <c r="L230" s="376">
        <v>3.225029966E9</v>
      </c>
      <c r="M230" s="376" t="s">
        <v>14</v>
      </c>
      <c r="N230" s="376" t="s">
        <v>3678</v>
      </c>
      <c r="O230" s="376" t="s">
        <v>5224</v>
      </c>
      <c r="P230" s="376" t="s">
        <v>3941</v>
      </c>
      <c r="Q230" s="16">
        <f>COUNTIF('hedef liste'!A:A,A230)</f>
        <v>1</v>
      </c>
    </row>
    <row r="231" hidden="1">
      <c r="A231" s="376" t="s">
        <v>6203</v>
      </c>
      <c r="B231" s="376" t="s">
        <v>7154</v>
      </c>
      <c r="C231" s="428" t="s">
        <v>6979</v>
      </c>
      <c r="D231" s="376" t="s">
        <v>3994</v>
      </c>
      <c r="E231" s="429">
        <v>1140.0</v>
      </c>
      <c r="F231" s="429">
        <v>55.0</v>
      </c>
      <c r="G231" s="429">
        <v>0.0</v>
      </c>
      <c r="H231" s="429">
        <v>16.0</v>
      </c>
      <c r="I231" s="429">
        <v>16.0</v>
      </c>
      <c r="J231" s="430">
        <v>0.0</v>
      </c>
      <c r="K231" s="376" t="s">
        <v>6205</v>
      </c>
      <c r="L231" s="376">
        <v>3.22234809E9</v>
      </c>
      <c r="M231" s="376" t="s">
        <v>14</v>
      </c>
      <c r="N231" s="376" t="s">
        <v>3767</v>
      </c>
      <c r="O231" s="376" t="s">
        <v>6206</v>
      </c>
      <c r="P231" s="376" t="s">
        <v>3941</v>
      </c>
      <c r="Q231" s="16">
        <f>COUNTIF('hedef liste'!A:A,A231)</f>
        <v>1</v>
      </c>
    </row>
    <row r="232" hidden="1">
      <c r="A232" s="376" t="s">
        <v>4698</v>
      </c>
      <c r="B232" s="376" t="s">
        <v>4699</v>
      </c>
      <c r="C232" s="428" t="s">
        <v>6979</v>
      </c>
      <c r="D232" s="376" t="s">
        <v>3713</v>
      </c>
      <c r="E232" s="429">
        <v>6596.0</v>
      </c>
      <c r="F232" s="429">
        <v>288.0</v>
      </c>
      <c r="G232" s="429">
        <v>0.0</v>
      </c>
      <c r="H232" s="429">
        <v>42.0</v>
      </c>
      <c r="I232" s="429">
        <v>42.0</v>
      </c>
      <c r="J232" s="430">
        <v>0.0</v>
      </c>
      <c r="K232" s="376" t="s">
        <v>4700</v>
      </c>
      <c r="L232" s="376">
        <v>3.223271701E9</v>
      </c>
      <c r="M232" s="376" t="s">
        <v>3707</v>
      </c>
      <c r="N232" s="376" t="s">
        <v>6447</v>
      </c>
      <c r="O232" s="376" t="s">
        <v>4701</v>
      </c>
      <c r="P232" s="376" t="s">
        <v>3941</v>
      </c>
      <c r="Q232" s="16">
        <f>COUNTIF('hedef liste'!A:A,A232)</f>
        <v>1</v>
      </c>
    </row>
    <row r="233" hidden="1">
      <c r="A233" s="376" t="s">
        <v>4978</v>
      </c>
      <c r="B233" s="376" t="s">
        <v>4979</v>
      </c>
      <c r="C233" s="428" t="s">
        <v>6979</v>
      </c>
      <c r="D233" s="376" t="s">
        <v>3699</v>
      </c>
      <c r="E233" s="429">
        <v>1241.0</v>
      </c>
      <c r="F233" s="429">
        <v>15.0</v>
      </c>
      <c r="G233" s="429">
        <v>0.0</v>
      </c>
      <c r="H233" s="429">
        <v>14.0</v>
      </c>
      <c r="I233" s="429">
        <v>14.0</v>
      </c>
      <c r="J233" s="430">
        <v>0.0</v>
      </c>
      <c r="K233" s="376" t="s">
        <v>4980</v>
      </c>
      <c r="L233" s="376">
        <v>5.549507094E9</v>
      </c>
      <c r="M233" s="376" t="s">
        <v>14</v>
      </c>
      <c r="N233" s="376" t="s">
        <v>3797</v>
      </c>
      <c r="O233" s="376" t="s">
        <v>4981</v>
      </c>
      <c r="P233" s="376" t="s">
        <v>3941</v>
      </c>
      <c r="Q233" s="16">
        <f>COUNTIF('hedef liste'!A:A,A233)</f>
        <v>1</v>
      </c>
    </row>
    <row r="234" hidden="1">
      <c r="A234" s="376" t="s">
        <v>7155</v>
      </c>
      <c r="B234" s="376" t="s">
        <v>7156</v>
      </c>
      <c r="C234" s="428" t="s">
        <v>7011</v>
      </c>
      <c r="D234" s="376" t="s">
        <v>4907</v>
      </c>
      <c r="E234" s="429">
        <v>1017.0</v>
      </c>
      <c r="F234" s="431"/>
      <c r="G234" s="429">
        <v>91.0</v>
      </c>
      <c r="H234" s="429">
        <v>2.0</v>
      </c>
      <c r="I234" s="429">
        <v>93.0</v>
      </c>
      <c r="J234" s="430">
        <v>0.98</v>
      </c>
      <c r="K234" s="376" t="s">
        <v>7089</v>
      </c>
      <c r="L234" s="376">
        <v>3.225030188E9</v>
      </c>
      <c r="M234" s="376" t="s">
        <v>286</v>
      </c>
      <c r="N234" s="376" t="s">
        <v>3737</v>
      </c>
      <c r="O234" s="376" t="s">
        <v>7157</v>
      </c>
      <c r="P234" s="376" t="s">
        <v>6982</v>
      </c>
      <c r="Q234" s="16">
        <f>COUNTIF('hedef liste'!A:A,A234)</f>
        <v>0</v>
      </c>
    </row>
    <row r="235" hidden="1">
      <c r="A235" s="376" t="s">
        <v>6490</v>
      </c>
      <c r="B235" s="376" t="s">
        <v>6491</v>
      </c>
      <c r="C235" s="428" t="s">
        <v>6979</v>
      </c>
      <c r="D235" s="376" t="s">
        <v>4000</v>
      </c>
      <c r="E235" s="429">
        <v>2796.0</v>
      </c>
      <c r="F235" s="429">
        <v>98.0</v>
      </c>
      <c r="G235" s="429">
        <v>1.0</v>
      </c>
      <c r="H235" s="429">
        <v>32.0</v>
      </c>
      <c r="I235" s="429">
        <v>33.0</v>
      </c>
      <c r="J235" s="430">
        <v>0.03</v>
      </c>
      <c r="K235" s="376" t="s">
        <v>6492</v>
      </c>
      <c r="L235" s="376">
        <v>5.417750999E9</v>
      </c>
      <c r="M235" s="376" t="s">
        <v>286</v>
      </c>
      <c r="N235" s="376" t="s">
        <v>3737</v>
      </c>
      <c r="O235" s="376" t="s">
        <v>2473</v>
      </c>
      <c r="P235" s="376" t="s">
        <v>3941</v>
      </c>
      <c r="Q235" s="16">
        <f>COUNTIF('hedef liste'!A:A,A235)</f>
        <v>1</v>
      </c>
    </row>
    <row r="236" hidden="1">
      <c r="A236" s="376" t="s">
        <v>560</v>
      </c>
      <c r="B236" s="376" t="s">
        <v>7158</v>
      </c>
      <c r="C236" s="428" t="s">
        <v>6979</v>
      </c>
      <c r="D236" s="376" t="s">
        <v>3699</v>
      </c>
      <c r="E236" s="429">
        <v>3003.0</v>
      </c>
      <c r="F236" s="429">
        <v>71.0</v>
      </c>
      <c r="G236" s="429">
        <v>18.0</v>
      </c>
      <c r="H236" s="429">
        <v>11.0</v>
      </c>
      <c r="I236" s="429">
        <v>29.0</v>
      </c>
      <c r="J236" s="430">
        <v>0.62</v>
      </c>
      <c r="K236" s="376" t="s">
        <v>5443</v>
      </c>
      <c r="L236" s="376">
        <v>5.344147928E9</v>
      </c>
      <c r="M236" s="376" t="s">
        <v>286</v>
      </c>
      <c r="N236" s="376" t="s">
        <v>3746</v>
      </c>
      <c r="O236" s="376" t="s">
        <v>5444</v>
      </c>
      <c r="P236" s="376" t="s">
        <v>3941</v>
      </c>
      <c r="Q236" s="16">
        <f>COUNTIF('hedef liste'!A:A,A236)</f>
        <v>1</v>
      </c>
    </row>
    <row r="237" hidden="1">
      <c r="A237" s="376" t="s">
        <v>303</v>
      </c>
      <c r="B237" s="376" t="s">
        <v>304</v>
      </c>
      <c r="C237" s="428" t="s">
        <v>6979</v>
      </c>
      <c r="D237" s="376" t="s">
        <v>4124</v>
      </c>
      <c r="E237" s="429">
        <v>711.0</v>
      </c>
      <c r="F237" s="429">
        <v>34.0</v>
      </c>
      <c r="G237" s="429">
        <v>16.0</v>
      </c>
      <c r="H237" s="429">
        <v>6.0</v>
      </c>
      <c r="I237" s="429">
        <v>22.0</v>
      </c>
      <c r="J237" s="430">
        <v>0.73</v>
      </c>
      <c r="K237" s="376" t="s">
        <v>4434</v>
      </c>
      <c r="L237" s="376">
        <v>3.22458252E9</v>
      </c>
      <c r="M237" s="376" t="s">
        <v>286</v>
      </c>
      <c r="N237" s="376" t="s">
        <v>3737</v>
      </c>
      <c r="O237" s="376" t="s">
        <v>307</v>
      </c>
      <c r="P237" s="376" t="s">
        <v>3941</v>
      </c>
      <c r="Q237" s="16">
        <f>COUNTIF('hedef liste'!A:A,A237)</f>
        <v>1</v>
      </c>
    </row>
    <row r="238" hidden="1">
      <c r="A238" s="376" t="s">
        <v>436</v>
      </c>
      <c r="B238" s="376" t="s">
        <v>437</v>
      </c>
      <c r="C238" s="428" t="s">
        <v>6979</v>
      </c>
      <c r="D238" s="376" t="s">
        <v>3842</v>
      </c>
      <c r="E238" s="429">
        <v>1299.0</v>
      </c>
      <c r="F238" s="429">
        <v>78.0</v>
      </c>
      <c r="G238" s="429">
        <v>16.0</v>
      </c>
      <c r="H238" s="429">
        <v>23.0</v>
      </c>
      <c r="I238" s="429">
        <v>39.0</v>
      </c>
      <c r="J238" s="430">
        <v>0.41</v>
      </c>
      <c r="K238" s="376" t="s">
        <v>4968</v>
      </c>
      <c r="L238" s="376">
        <v>3.224592058E9</v>
      </c>
      <c r="M238" s="376" t="s">
        <v>286</v>
      </c>
      <c r="N238" s="376" t="s">
        <v>3688</v>
      </c>
      <c r="O238" s="376" t="s">
        <v>4969</v>
      </c>
      <c r="P238" s="376" t="s">
        <v>3941</v>
      </c>
      <c r="Q238" s="16">
        <f>COUNTIF('hedef liste'!A:A,A238)</f>
        <v>1</v>
      </c>
    </row>
    <row r="239" hidden="1">
      <c r="A239" s="376" t="s">
        <v>171</v>
      </c>
      <c r="B239" s="376" t="s">
        <v>6392</v>
      </c>
      <c r="C239" s="428" t="s">
        <v>6979</v>
      </c>
      <c r="D239" s="376" t="s">
        <v>3699</v>
      </c>
      <c r="E239" s="429">
        <v>267.0</v>
      </c>
      <c r="F239" s="429">
        <v>16.0</v>
      </c>
      <c r="G239" s="429">
        <v>0.0</v>
      </c>
      <c r="H239" s="429">
        <v>36.0</v>
      </c>
      <c r="I239" s="429">
        <v>36.0</v>
      </c>
      <c r="J239" s="430">
        <v>0.0</v>
      </c>
      <c r="K239" s="376" t="s">
        <v>6393</v>
      </c>
      <c r="L239" s="376">
        <v>5.331503801E9</v>
      </c>
      <c r="M239" s="376" t="s">
        <v>14</v>
      </c>
      <c r="N239" s="376" t="s">
        <v>3797</v>
      </c>
      <c r="O239" s="376" t="s">
        <v>174</v>
      </c>
      <c r="P239" s="376" t="s">
        <v>3941</v>
      </c>
      <c r="Q239" s="16">
        <f>COUNTIF('hedef liste'!A:A,A239)</f>
        <v>1</v>
      </c>
    </row>
    <row r="240" hidden="1">
      <c r="A240" s="376" t="s">
        <v>583</v>
      </c>
      <c r="B240" s="376" t="s">
        <v>584</v>
      </c>
      <c r="C240" s="428" t="s">
        <v>6979</v>
      </c>
      <c r="D240" s="376" t="s">
        <v>3883</v>
      </c>
      <c r="E240" s="429">
        <v>1942.0</v>
      </c>
      <c r="F240" s="429">
        <v>28.0</v>
      </c>
      <c r="G240" s="429">
        <v>11.0</v>
      </c>
      <c r="H240" s="429">
        <v>26.0</v>
      </c>
      <c r="I240" s="429">
        <v>37.0</v>
      </c>
      <c r="J240" s="430">
        <v>0.3</v>
      </c>
      <c r="K240" s="376" t="s">
        <v>5527</v>
      </c>
      <c r="L240" s="376">
        <v>5.523561544E9</v>
      </c>
      <c r="M240" s="376" t="s">
        <v>286</v>
      </c>
      <c r="N240" s="376" t="s">
        <v>3961</v>
      </c>
      <c r="O240" s="376" t="s">
        <v>587</v>
      </c>
      <c r="P240" s="376" t="s">
        <v>3941</v>
      </c>
      <c r="Q240" s="16">
        <f>COUNTIF('hedef liste'!A:A,A240)</f>
        <v>1</v>
      </c>
    </row>
    <row r="241" hidden="1">
      <c r="A241" s="376" t="s">
        <v>5560</v>
      </c>
      <c r="B241" s="376" t="s">
        <v>7159</v>
      </c>
      <c r="C241" s="428" t="s">
        <v>6979</v>
      </c>
      <c r="D241" s="376" t="s">
        <v>3759</v>
      </c>
      <c r="E241" s="429">
        <v>4668.0</v>
      </c>
      <c r="F241" s="429">
        <v>235.0</v>
      </c>
      <c r="G241" s="429">
        <v>5.0</v>
      </c>
      <c r="H241" s="429">
        <v>3.0</v>
      </c>
      <c r="I241" s="429">
        <v>8.0</v>
      </c>
      <c r="J241" s="430">
        <v>0.63</v>
      </c>
      <c r="K241" s="376" t="s">
        <v>5562</v>
      </c>
      <c r="L241" s="376">
        <v>3.225028888E9</v>
      </c>
      <c r="M241" s="376" t="s">
        <v>286</v>
      </c>
      <c r="N241" s="376" t="s">
        <v>4217</v>
      </c>
      <c r="O241" s="376" t="s">
        <v>5563</v>
      </c>
      <c r="P241" s="376" t="s">
        <v>3941</v>
      </c>
      <c r="Q241" s="16">
        <f>COUNTIF('hedef liste'!A:A,A241)</f>
        <v>1</v>
      </c>
    </row>
    <row r="242" hidden="1">
      <c r="A242" s="376" t="s">
        <v>7160</v>
      </c>
      <c r="B242" s="376" t="s">
        <v>7161</v>
      </c>
      <c r="C242" s="428" t="s">
        <v>6979</v>
      </c>
      <c r="D242" s="376" t="s">
        <v>4907</v>
      </c>
      <c r="E242" s="429">
        <v>3091.0</v>
      </c>
      <c r="F242" s="429">
        <v>168.0</v>
      </c>
      <c r="G242" s="429">
        <v>228.0</v>
      </c>
      <c r="H242" s="429">
        <v>2.0</v>
      </c>
      <c r="I242" s="429">
        <v>230.0</v>
      </c>
      <c r="J242" s="430">
        <v>0.99</v>
      </c>
      <c r="K242" s="376" t="s">
        <v>7162</v>
      </c>
      <c r="L242" s="376">
        <v>3.224577772E9</v>
      </c>
      <c r="M242" s="376" t="s">
        <v>286</v>
      </c>
      <c r="N242" s="376" t="s">
        <v>3688</v>
      </c>
      <c r="O242" s="376" t="s">
        <v>7163</v>
      </c>
      <c r="P242" s="376" t="s">
        <v>6982</v>
      </c>
      <c r="Q242" s="16">
        <f>COUNTIF('hedef liste'!A:A,A242)</f>
        <v>0</v>
      </c>
    </row>
    <row r="243" hidden="1">
      <c r="A243" s="376" t="s">
        <v>7164</v>
      </c>
      <c r="B243" s="376" t="s">
        <v>7165</v>
      </c>
      <c r="C243" s="428" t="s">
        <v>6979</v>
      </c>
      <c r="D243" s="376" t="s">
        <v>4907</v>
      </c>
      <c r="E243" s="429">
        <v>414.0</v>
      </c>
      <c r="F243" s="429">
        <v>62.0</v>
      </c>
      <c r="G243" s="429">
        <v>214.0</v>
      </c>
      <c r="H243" s="429">
        <v>2.0</v>
      </c>
      <c r="I243" s="429">
        <v>216.0</v>
      </c>
      <c r="J243" s="430">
        <v>0.99</v>
      </c>
      <c r="K243" s="376" t="s">
        <v>7162</v>
      </c>
      <c r="L243" s="376">
        <v>3.22460403E9</v>
      </c>
      <c r="M243" s="376" t="s">
        <v>3707</v>
      </c>
      <c r="N243" s="376" t="s">
        <v>5245</v>
      </c>
      <c r="O243" s="376" t="s">
        <v>7166</v>
      </c>
      <c r="P243" s="376" t="s">
        <v>6982</v>
      </c>
      <c r="Q243" s="16">
        <f>COUNTIF('hedef liste'!A:A,A243)</f>
        <v>0</v>
      </c>
    </row>
    <row r="244" hidden="1">
      <c r="A244" s="376" t="s">
        <v>7167</v>
      </c>
      <c r="B244" s="376" t="s">
        <v>7168</v>
      </c>
      <c r="C244" s="428" t="s">
        <v>6979</v>
      </c>
      <c r="D244" s="376" t="s">
        <v>4000</v>
      </c>
      <c r="E244" s="429">
        <v>12677.0</v>
      </c>
      <c r="F244" s="429">
        <v>458.0</v>
      </c>
      <c r="G244" s="429">
        <v>164.0</v>
      </c>
      <c r="H244" s="429">
        <v>0.0</v>
      </c>
      <c r="I244" s="429">
        <v>164.0</v>
      </c>
      <c r="J244" s="430">
        <v>1.0</v>
      </c>
      <c r="K244" s="376" t="s">
        <v>7111</v>
      </c>
      <c r="L244" s="376">
        <v>9.999999999E9</v>
      </c>
      <c r="M244" s="376" t="s">
        <v>3707</v>
      </c>
      <c r="N244" s="376" t="s">
        <v>5130</v>
      </c>
      <c r="O244" s="376" t="s">
        <v>7169</v>
      </c>
      <c r="P244" s="376" t="s">
        <v>6982</v>
      </c>
      <c r="Q244" s="16">
        <f>COUNTIF('hedef liste'!A:A,A244)</f>
        <v>0</v>
      </c>
    </row>
    <row r="245" hidden="1">
      <c r="A245" s="376" t="s">
        <v>7170</v>
      </c>
      <c r="B245" s="376" t="s">
        <v>7171</v>
      </c>
      <c r="C245" s="428" t="s">
        <v>6979</v>
      </c>
      <c r="D245" s="376" t="s">
        <v>4000</v>
      </c>
      <c r="E245" s="429">
        <v>17308.0</v>
      </c>
      <c r="F245" s="429">
        <v>658.0</v>
      </c>
      <c r="G245" s="429">
        <v>166.0</v>
      </c>
      <c r="H245" s="429">
        <v>0.0</v>
      </c>
      <c r="I245" s="429">
        <v>166.0</v>
      </c>
      <c r="J245" s="430">
        <v>1.0</v>
      </c>
      <c r="K245" s="376" t="s">
        <v>7111</v>
      </c>
      <c r="L245" s="376">
        <v>9.999999999E9</v>
      </c>
      <c r="M245" s="376" t="s">
        <v>286</v>
      </c>
      <c r="N245" s="376" t="s">
        <v>3688</v>
      </c>
      <c r="O245" s="376" t="s">
        <v>7172</v>
      </c>
      <c r="P245" s="376" t="s">
        <v>6982</v>
      </c>
      <c r="Q245" s="16">
        <f>COUNTIF('hedef liste'!A:A,A245)</f>
        <v>0</v>
      </c>
    </row>
    <row r="246" hidden="1">
      <c r="A246" s="376" t="s">
        <v>7173</v>
      </c>
      <c r="B246" s="376" t="s">
        <v>7174</v>
      </c>
      <c r="C246" s="428" t="s">
        <v>6979</v>
      </c>
      <c r="D246" s="376" t="s">
        <v>4000</v>
      </c>
      <c r="E246" s="429">
        <v>8663.0</v>
      </c>
      <c r="F246" s="429">
        <v>417.0</v>
      </c>
      <c r="G246" s="429">
        <v>169.0</v>
      </c>
      <c r="H246" s="429">
        <v>0.0</v>
      </c>
      <c r="I246" s="429">
        <v>169.0</v>
      </c>
      <c r="J246" s="430">
        <v>1.0</v>
      </c>
      <c r="K246" s="376" t="s">
        <v>7111</v>
      </c>
      <c r="L246" s="376">
        <v>9.999999999E9</v>
      </c>
      <c r="M246" s="376" t="s">
        <v>3701</v>
      </c>
      <c r="N246" s="376" t="s">
        <v>4342</v>
      </c>
      <c r="O246" s="376" t="s">
        <v>7175</v>
      </c>
      <c r="P246" s="376" t="s">
        <v>6982</v>
      </c>
      <c r="Q246" s="16">
        <f>COUNTIF('hedef liste'!A:A,A246)</f>
        <v>0</v>
      </c>
    </row>
    <row r="247" hidden="1">
      <c r="A247" s="376" t="s">
        <v>293</v>
      </c>
      <c r="B247" s="376" t="s">
        <v>294</v>
      </c>
      <c r="C247" s="428" t="s">
        <v>6979</v>
      </c>
      <c r="D247" s="376" t="s">
        <v>3878</v>
      </c>
      <c r="E247" s="429">
        <v>1511.0</v>
      </c>
      <c r="F247" s="429">
        <v>91.0</v>
      </c>
      <c r="G247" s="429">
        <v>23.0</v>
      </c>
      <c r="H247" s="429">
        <v>38.0</v>
      </c>
      <c r="I247" s="429">
        <v>61.0</v>
      </c>
      <c r="J247" s="430">
        <v>0.38</v>
      </c>
      <c r="K247" s="376" t="s">
        <v>3879</v>
      </c>
      <c r="L247" s="376">
        <v>5.443126233E9</v>
      </c>
      <c r="M247" s="376" t="s">
        <v>286</v>
      </c>
      <c r="N247" s="376" t="s">
        <v>3737</v>
      </c>
      <c r="O247" s="376" t="s">
        <v>297</v>
      </c>
      <c r="P247" s="376" t="s">
        <v>3941</v>
      </c>
      <c r="Q247" s="16">
        <f>COUNTIF('hedef liste'!A:A,A247)</f>
        <v>1</v>
      </c>
    </row>
    <row r="248" hidden="1">
      <c r="A248" s="376" t="s">
        <v>1592</v>
      </c>
      <c r="B248" s="376" t="s">
        <v>1593</v>
      </c>
      <c r="C248" s="428" t="s">
        <v>6979</v>
      </c>
      <c r="D248" s="376" t="s">
        <v>3801</v>
      </c>
      <c r="E248" s="429">
        <v>1917.0</v>
      </c>
      <c r="F248" s="429">
        <v>77.0</v>
      </c>
      <c r="G248" s="429">
        <v>14.0</v>
      </c>
      <c r="H248" s="429">
        <v>8.0</v>
      </c>
      <c r="I248" s="429">
        <v>22.0</v>
      </c>
      <c r="J248" s="430">
        <v>0.64</v>
      </c>
      <c r="K248" s="376" t="s">
        <v>4620</v>
      </c>
      <c r="L248" s="376">
        <v>3.2232816E9</v>
      </c>
      <c r="M248" s="376" t="s">
        <v>3707</v>
      </c>
      <c r="N248" s="376" t="s">
        <v>3761</v>
      </c>
      <c r="O248" s="376" t="s">
        <v>1596</v>
      </c>
      <c r="P248" s="376" t="s">
        <v>3941</v>
      </c>
      <c r="Q248" s="16">
        <f>COUNTIF('hedef liste'!A:A,A248)</f>
        <v>1</v>
      </c>
    </row>
    <row r="249" hidden="1">
      <c r="A249" s="376" t="s">
        <v>1422</v>
      </c>
      <c r="B249" s="376" t="s">
        <v>1423</v>
      </c>
      <c r="C249" s="428" t="s">
        <v>6979</v>
      </c>
      <c r="D249" s="376" t="s">
        <v>3713</v>
      </c>
      <c r="E249" s="429">
        <v>4279.0</v>
      </c>
      <c r="F249" s="429">
        <v>185.0</v>
      </c>
      <c r="G249" s="429">
        <v>9.0</v>
      </c>
      <c r="H249" s="429">
        <v>1.0</v>
      </c>
      <c r="I249" s="429">
        <v>10.0</v>
      </c>
      <c r="J249" s="430">
        <v>0.9</v>
      </c>
      <c r="K249" s="376" t="s">
        <v>4395</v>
      </c>
      <c r="L249" s="376">
        <v>5.397955905E9</v>
      </c>
      <c r="M249" s="376" t="s">
        <v>286</v>
      </c>
      <c r="N249" s="376" t="s">
        <v>3855</v>
      </c>
      <c r="O249" s="376" t="s">
        <v>1425</v>
      </c>
      <c r="P249" s="376" t="s">
        <v>3941</v>
      </c>
      <c r="Q249" s="16">
        <f>COUNTIF('hedef liste'!A:A,A249)</f>
        <v>1</v>
      </c>
    </row>
    <row r="250" hidden="1">
      <c r="A250" s="376" t="s">
        <v>7176</v>
      </c>
      <c r="B250" s="376" t="s">
        <v>7177</v>
      </c>
      <c r="C250" s="428" t="s">
        <v>6979</v>
      </c>
      <c r="D250" s="376" t="s">
        <v>3994</v>
      </c>
      <c r="E250" s="429">
        <v>1887.0</v>
      </c>
      <c r="F250" s="429">
        <v>88.0</v>
      </c>
      <c r="G250" s="429">
        <v>72.0</v>
      </c>
      <c r="H250" s="429">
        <v>15.0</v>
      </c>
      <c r="I250" s="429">
        <v>87.0</v>
      </c>
      <c r="J250" s="430">
        <v>0.83</v>
      </c>
      <c r="K250" s="376" t="s">
        <v>7178</v>
      </c>
      <c r="L250" s="376">
        <v>3.222330202E9</v>
      </c>
      <c r="M250" s="376" t="s">
        <v>14</v>
      </c>
      <c r="N250" s="376" t="s">
        <v>3733</v>
      </c>
      <c r="O250" s="376" t="s">
        <v>7179</v>
      </c>
      <c r="P250" s="376" t="s">
        <v>6982</v>
      </c>
      <c r="Q250" s="16">
        <f>COUNTIF('hedef liste'!A:A,A250)</f>
        <v>0</v>
      </c>
    </row>
    <row r="251" hidden="1">
      <c r="A251" s="376" t="s">
        <v>579</v>
      </c>
      <c r="B251" s="376" t="s">
        <v>580</v>
      </c>
      <c r="C251" s="428" t="s">
        <v>6979</v>
      </c>
      <c r="D251" s="376" t="s">
        <v>3713</v>
      </c>
      <c r="E251" s="429">
        <v>1088.0</v>
      </c>
      <c r="F251" s="429">
        <v>69.0</v>
      </c>
      <c r="G251" s="429">
        <v>18.0</v>
      </c>
      <c r="H251" s="429">
        <v>26.0</v>
      </c>
      <c r="I251" s="429">
        <v>44.0</v>
      </c>
      <c r="J251" s="430">
        <v>0.41</v>
      </c>
      <c r="K251" s="376" t="s">
        <v>3784</v>
      </c>
      <c r="L251" s="376">
        <v>3.22227E9</v>
      </c>
      <c r="M251" s="376" t="s">
        <v>14</v>
      </c>
      <c r="N251" s="376" t="s">
        <v>3767</v>
      </c>
      <c r="O251" s="376" t="s">
        <v>582</v>
      </c>
      <c r="P251" s="376" t="s">
        <v>3941</v>
      </c>
      <c r="Q251" s="16">
        <f>COUNTIF('hedef liste'!A:A,A251)</f>
        <v>1</v>
      </c>
    </row>
    <row r="252" hidden="1">
      <c r="A252" s="376" t="s">
        <v>468</v>
      </c>
      <c r="B252" s="376" t="s">
        <v>469</v>
      </c>
      <c r="C252" s="428" t="s">
        <v>6979</v>
      </c>
      <c r="D252" s="376" t="s">
        <v>3994</v>
      </c>
      <c r="E252" s="429">
        <v>5284.0</v>
      </c>
      <c r="F252" s="429">
        <v>114.0</v>
      </c>
      <c r="G252" s="429">
        <v>0.0</v>
      </c>
      <c r="H252" s="429">
        <v>22.0</v>
      </c>
      <c r="I252" s="429">
        <v>22.0</v>
      </c>
      <c r="J252" s="430">
        <v>0.0</v>
      </c>
      <c r="K252" s="376" t="s">
        <v>4811</v>
      </c>
      <c r="L252" s="376">
        <v>3.222277727E9</v>
      </c>
      <c r="M252" s="376" t="s">
        <v>286</v>
      </c>
      <c r="N252" s="376" t="s">
        <v>3754</v>
      </c>
      <c r="O252" s="376" t="s">
        <v>1449</v>
      </c>
      <c r="P252" s="376" t="s">
        <v>3941</v>
      </c>
      <c r="Q252" s="16">
        <f>COUNTIF('hedef liste'!A:A,A252)</f>
        <v>1</v>
      </c>
    </row>
    <row r="253" hidden="1">
      <c r="A253" s="376" t="s">
        <v>1809</v>
      </c>
      <c r="B253" s="376" t="s">
        <v>1810</v>
      </c>
      <c r="C253" s="428" t="s">
        <v>6979</v>
      </c>
      <c r="D253" s="376" t="s">
        <v>3676</v>
      </c>
      <c r="E253" s="429">
        <v>4684.0</v>
      </c>
      <c r="F253" s="429">
        <v>79.0</v>
      </c>
      <c r="G253" s="429">
        <v>18.0</v>
      </c>
      <c r="H253" s="429">
        <v>8.0</v>
      </c>
      <c r="I253" s="429">
        <v>26.0</v>
      </c>
      <c r="J253" s="430">
        <v>0.69</v>
      </c>
      <c r="K253" s="376" t="s">
        <v>5014</v>
      </c>
      <c r="L253" s="376">
        <v>3.224363636E9</v>
      </c>
      <c r="M253" s="376" t="s">
        <v>286</v>
      </c>
      <c r="N253" s="376" t="s">
        <v>4884</v>
      </c>
      <c r="O253" s="376" t="s">
        <v>1812</v>
      </c>
      <c r="P253" s="376" t="s">
        <v>3941</v>
      </c>
      <c r="Q253" s="16">
        <f>COUNTIF('hedef liste'!A:A,A253)</f>
        <v>1</v>
      </c>
    </row>
    <row r="254" hidden="1">
      <c r="A254" s="376" t="s">
        <v>1621</v>
      </c>
      <c r="B254" s="376" t="s">
        <v>7180</v>
      </c>
      <c r="C254" s="428" t="s">
        <v>6979</v>
      </c>
      <c r="D254" s="376" t="s">
        <v>3713</v>
      </c>
      <c r="E254" s="429">
        <v>8182.0</v>
      </c>
      <c r="F254" s="429">
        <v>334.0</v>
      </c>
      <c r="G254" s="429">
        <v>23.0</v>
      </c>
      <c r="H254" s="429">
        <v>64.0</v>
      </c>
      <c r="I254" s="429">
        <v>87.0</v>
      </c>
      <c r="J254" s="430">
        <v>0.26</v>
      </c>
      <c r="K254" s="376" t="s">
        <v>4169</v>
      </c>
      <c r="L254" s="376">
        <v>3.222151515E9</v>
      </c>
      <c r="M254" s="376" t="s">
        <v>14</v>
      </c>
      <c r="N254" s="376" t="s">
        <v>3797</v>
      </c>
      <c r="O254" s="376" t="s">
        <v>1624</v>
      </c>
      <c r="P254" s="376" t="s">
        <v>3941</v>
      </c>
      <c r="Q254" s="16">
        <f>COUNTIF('hedef liste'!A:A,A254)</f>
        <v>1</v>
      </c>
    </row>
    <row r="255" hidden="1">
      <c r="A255" s="376" t="s">
        <v>3227</v>
      </c>
      <c r="B255" s="376" t="s">
        <v>3228</v>
      </c>
      <c r="C255" s="428" t="s">
        <v>6979</v>
      </c>
      <c r="D255" s="376" t="s">
        <v>3676</v>
      </c>
      <c r="E255" s="429">
        <v>126.0</v>
      </c>
      <c r="F255" s="429">
        <v>5.0</v>
      </c>
      <c r="G255" s="429">
        <v>0.0</v>
      </c>
      <c r="H255" s="429">
        <v>24.0</v>
      </c>
      <c r="I255" s="429">
        <v>24.0</v>
      </c>
      <c r="J255" s="430">
        <v>0.0</v>
      </c>
      <c r="K255" s="376" t="s">
        <v>5781</v>
      </c>
      <c r="L255" s="376">
        <v>5.435127139E9</v>
      </c>
      <c r="M255" s="376" t="s">
        <v>14</v>
      </c>
      <c r="N255" s="376" t="s">
        <v>3826</v>
      </c>
      <c r="O255" s="376" t="s">
        <v>3231</v>
      </c>
      <c r="P255" s="376" t="s">
        <v>3941</v>
      </c>
      <c r="Q255" s="16">
        <f>COUNTIF('hedef liste'!A:A,A255)</f>
        <v>1</v>
      </c>
    </row>
    <row r="256" hidden="1">
      <c r="A256" s="376" t="s">
        <v>7181</v>
      </c>
      <c r="B256" s="376" t="s">
        <v>7182</v>
      </c>
      <c r="C256" s="428" t="s">
        <v>6979</v>
      </c>
      <c r="D256" s="376" t="s">
        <v>4907</v>
      </c>
      <c r="E256" s="429">
        <v>2237.0</v>
      </c>
      <c r="F256" s="429">
        <v>198.0</v>
      </c>
      <c r="G256" s="429">
        <v>226.0</v>
      </c>
      <c r="H256" s="429">
        <v>1.0</v>
      </c>
      <c r="I256" s="429">
        <v>227.0</v>
      </c>
      <c r="J256" s="430">
        <v>1.0</v>
      </c>
      <c r="K256" s="376" t="s">
        <v>7162</v>
      </c>
      <c r="L256" s="376">
        <v>3.224604224E9</v>
      </c>
      <c r="M256" s="376" t="s">
        <v>14</v>
      </c>
      <c r="N256" s="376" t="s">
        <v>3797</v>
      </c>
      <c r="O256" s="376" t="s">
        <v>7183</v>
      </c>
      <c r="P256" s="376" t="s">
        <v>6982</v>
      </c>
      <c r="Q256" s="16">
        <f>COUNTIF('hedef liste'!A:A,A256)</f>
        <v>0</v>
      </c>
    </row>
    <row r="257" hidden="1">
      <c r="A257" s="376" t="s">
        <v>7184</v>
      </c>
      <c r="B257" s="376" t="s">
        <v>7185</v>
      </c>
      <c r="C257" s="428" t="s">
        <v>6979</v>
      </c>
      <c r="D257" s="376" t="s">
        <v>4000</v>
      </c>
      <c r="E257" s="429">
        <v>7450.0</v>
      </c>
      <c r="F257" s="429">
        <v>252.0</v>
      </c>
      <c r="G257" s="429">
        <v>168.0</v>
      </c>
      <c r="H257" s="429">
        <v>0.0</v>
      </c>
      <c r="I257" s="429">
        <v>168.0</v>
      </c>
      <c r="J257" s="430">
        <v>1.0</v>
      </c>
      <c r="K257" s="376" t="s">
        <v>7111</v>
      </c>
      <c r="L257" s="376">
        <v>9.999999999E9</v>
      </c>
      <c r="M257" s="376" t="s">
        <v>14</v>
      </c>
      <c r="N257" s="376" t="s">
        <v>3733</v>
      </c>
      <c r="O257" s="376" t="s">
        <v>7186</v>
      </c>
      <c r="P257" s="376" t="s">
        <v>6982</v>
      </c>
      <c r="Q257" s="16">
        <f>COUNTIF('hedef liste'!A:A,A257)</f>
        <v>0</v>
      </c>
    </row>
    <row r="258" hidden="1">
      <c r="A258" s="376" t="s">
        <v>7187</v>
      </c>
      <c r="B258" s="376" t="s">
        <v>7188</v>
      </c>
      <c r="C258" s="428" t="s">
        <v>6979</v>
      </c>
      <c r="D258" s="376" t="s">
        <v>3842</v>
      </c>
      <c r="E258" s="429">
        <v>9885.0</v>
      </c>
      <c r="F258" s="429">
        <v>282.0</v>
      </c>
      <c r="G258" s="429">
        <v>114.0</v>
      </c>
      <c r="H258" s="429">
        <v>0.0</v>
      </c>
      <c r="I258" s="429">
        <v>114.0</v>
      </c>
      <c r="J258" s="430">
        <v>1.0</v>
      </c>
      <c r="K258" s="376" t="s">
        <v>7111</v>
      </c>
      <c r="L258" s="376">
        <v>9.999999999E9</v>
      </c>
      <c r="M258" s="376" t="s">
        <v>3707</v>
      </c>
      <c r="N258" s="376" t="s">
        <v>5245</v>
      </c>
      <c r="O258" s="376" t="s">
        <v>7189</v>
      </c>
      <c r="P258" s="376" t="s">
        <v>6982</v>
      </c>
      <c r="Q258" s="16">
        <f>COUNTIF('hedef liste'!A:A,A258)</f>
        <v>0</v>
      </c>
    </row>
    <row r="259" hidden="1">
      <c r="A259" s="376" t="s">
        <v>7190</v>
      </c>
      <c r="B259" s="376" t="s">
        <v>7191</v>
      </c>
      <c r="C259" s="428" t="s">
        <v>6979</v>
      </c>
      <c r="D259" s="376" t="s">
        <v>4000</v>
      </c>
      <c r="E259" s="429">
        <v>10789.0</v>
      </c>
      <c r="F259" s="429">
        <v>568.0</v>
      </c>
      <c r="G259" s="429">
        <v>167.0</v>
      </c>
      <c r="H259" s="429">
        <v>0.0</v>
      </c>
      <c r="I259" s="429">
        <v>167.0</v>
      </c>
      <c r="J259" s="430">
        <v>1.0</v>
      </c>
      <c r="K259" s="376" t="s">
        <v>7111</v>
      </c>
      <c r="L259" s="376">
        <v>9.999999999E9</v>
      </c>
      <c r="M259" s="376" t="s">
        <v>3707</v>
      </c>
      <c r="N259" s="376" t="s">
        <v>5130</v>
      </c>
      <c r="O259" s="376" t="s">
        <v>7192</v>
      </c>
      <c r="P259" s="376" t="s">
        <v>6982</v>
      </c>
      <c r="Q259" s="16">
        <f>COUNTIF('hedef liste'!A:A,A259)</f>
        <v>0</v>
      </c>
    </row>
    <row r="260" hidden="1">
      <c r="A260" s="376" t="s">
        <v>5498</v>
      </c>
      <c r="B260" s="376" t="s">
        <v>5499</v>
      </c>
      <c r="C260" s="428" t="s">
        <v>6979</v>
      </c>
      <c r="D260" s="376" t="s">
        <v>3699</v>
      </c>
      <c r="E260" s="429">
        <v>3995.0</v>
      </c>
      <c r="F260" s="429">
        <v>94.0</v>
      </c>
      <c r="G260" s="429">
        <v>6.0</v>
      </c>
      <c r="H260" s="429">
        <v>35.0</v>
      </c>
      <c r="I260" s="429">
        <v>41.0</v>
      </c>
      <c r="J260" s="430">
        <v>0.15</v>
      </c>
      <c r="K260" s="376" t="s">
        <v>5492</v>
      </c>
      <c r="L260" s="376">
        <v>3.22456055E9</v>
      </c>
      <c r="M260" s="376" t="s">
        <v>286</v>
      </c>
      <c r="N260" s="376" t="s">
        <v>4451</v>
      </c>
      <c r="O260" s="376" t="s">
        <v>5500</v>
      </c>
      <c r="P260" s="376" t="s">
        <v>3941</v>
      </c>
      <c r="Q260" s="16">
        <f>COUNTIF('hedef liste'!A:A,A260)</f>
        <v>1</v>
      </c>
    </row>
    <row r="261" hidden="1">
      <c r="A261" s="376" t="s">
        <v>3016</v>
      </c>
      <c r="B261" s="376" t="s">
        <v>3017</v>
      </c>
      <c r="C261" s="428" t="s">
        <v>6979</v>
      </c>
      <c r="D261" s="376" t="s">
        <v>3699</v>
      </c>
      <c r="E261" s="429">
        <v>1716.0</v>
      </c>
      <c r="F261" s="429">
        <v>43.0</v>
      </c>
      <c r="G261" s="429">
        <v>10.0</v>
      </c>
      <c r="H261" s="429">
        <v>30.0</v>
      </c>
      <c r="I261" s="429">
        <v>40.0</v>
      </c>
      <c r="J261" s="430">
        <v>0.25</v>
      </c>
      <c r="K261" s="376" t="s">
        <v>5492</v>
      </c>
      <c r="L261" s="376">
        <v>3.22456055E9</v>
      </c>
      <c r="M261" s="376" t="s">
        <v>286</v>
      </c>
      <c r="N261" s="376" t="s">
        <v>3685</v>
      </c>
      <c r="O261" s="376" t="s">
        <v>5503</v>
      </c>
      <c r="P261" s="376" t="s">
        <v>3941</v>
      </c>
      <c r="Q261" s="16">
        <f>COUNTIF('hedef liste'!A:A,A261)</f>
        <v>1</v>
      </c>
    </row>
    <row r="262" hidden="1">
      <c r="A262" s="376" t="s">
        <v>7193</v>
      </c>
      <c r="B262" s="376" t="s">
        <v>7194</v>
      </c>
      <c r="C262" s="428" t="s">
        <v>6979</v>
      </c>
      <c r="D262" s="376" t="s">
        <v>4000</v>
      </c>
      <c r="E262" s="429">
        <v>7898.0</v>
      </c>
      <c r="F262" s="429">
        <v>187.0</v>
      </c>
      <c r="G262" s="429">
        <v>163.0</v>
      </c>
      <c r="H262" s="429">
        <v>0.0</v>
      </c>
      <c r="I262" s="429">
        <v>163.0</v>
      </c>
      <c r="J262" s="430">
        <v>1.0</v>
      </c>
      <c r="K262" s="376" t="s">
        <v>7111</v>
      </c>
      <c r="L262" s="376">
        <v>9.999999999E9</v>
      </c>
      <c r="M262" s="376" t="s">
        <v>286</v>
      </c>
      <c r="N262" s="376" t="s">
        <v>7195</v>
      </c>
      <c r="O262" s="376" t="s">
        <v>7196</v>
      </c>
      <c r="P262" s="376" t="s">
        <v>6982</v>
      </c>
      <c r="Q262" s="16">
        <f>COUNTIF('hedef liste'!A:A,A262)</f>
        <v>0</v>
      </c>
    </row>
    <row r="263" hidden="1">
      <c r="A263" s="376" t="s">
        <v>7197</v>
      </c>
      <c r="B263" s="376" t="s">
        <v>7198</v>
      </c>
      <c r="C263" s="428" t="s">
        <v>6979</v>
      </c>
      <c r="D263" s="376" t="s">
        <v>4000</v>
      </c>
      <c r="E263" s="429">
        <v>36317.0</v>
      </c>
      <c r="F263" s="429">
        <v>1350.0</v>
      </c>
      <c r="G263" s="429">
        <v>162.0</v>
      </c>
      <c r="H263" s="429">
        <v>0.0</v>
      </c>
      <c r="I263" s="429">
        <v>162.0</v>
      </c>
      <c r="J263" s="430">
        <v>1.0</v>
      </c>
      <c r="K263" s="376" t="s">
        <v>7111</v>
      </c>
      <c r="L263" s="376">
        <v>9.999999999E9</v>
      </c>
      <c r="M263" s="376" t="s">
        <v>286</v>
      </c>
      <c r="N263" s="376" t="s">
        <v>3855</v>
      </c>
      <c r="O263" s="376" t="s">
        <v>7199</v>
      </c>
      <c r="P263" s="376" t="s">
        <v>6982</v>
      </c>
      <c r="Q263" s="16">
        <f>COUNTIF('hedef liste'!A:A,A263)</f>
        <v>0</v>
      </c>
    </row>
    <row r="264" hidden="1">
      <c r="A264" s="376" t="s">
        <v>7200</v>
      </c>
      <c r="B264" s="376" t="s">
        <v>7201</v>
      </c>
      <c r="C264" s="428" t="s">
        <v>6979</v>
      </c>
      <c r="D264" s="376" t="s">
        <v>3842</v>
      </c>
      <c r="E264" s="429">
        <v>39234.0</v>
      </c>
      <c r="F264" s="429">
        <v>1570.0</v>
      </c>
      <c r="G264" s="429">
        <v>114.0</v>
      </c>
      <c r="H264" s="429">
        <v>0.0</v>
      </c>
      <c r="I264" s="429">
        <v>114.0</v>
      </c>
      <c r="J264" s="430">
        <v>1.0</v>
      </c>
      <c r="K264" s="376" t="s">
        <v>7111</v>
      </c>
      <c r="L264" s="376">
        <v>9.999999999E9</v>
      </c>
      <c r="M264" s="376" t="s">
        <v>14</v>
      </c>
      <c r="N264" s="376" t="s">
        <v>3733</v>
      </c>
      <c r="O264" s="376" t="s">
        <v>7202</v>
      </c>
      <c r="P264" s="376" t="s">
        <v>6982</v>
      </c>
      <c r="Q264" s="16">
        <f>COUNTIF('hedef liste'!A:A,A264)</f>
        <v>0</v>
      </c>
    </row>
    <row r="265" hidden="1">
      <c r="A265" s="376" t="s">
        <v>6411</v>
      </c>
      <c r="B265" s="376" t="s">
        <v>6412</v>
      </c>
      <c r="C265" s="428" t="s">
        <v>6979</v>
      </c>
      <c r="D265" s="376" t="s">
        <v>3699</v>
      </c>
      <c r="E265" s="429">
        <v>415.0</v>
      </c>
      <c r="F265" s="429">
        <v>7.0</v>
      </c>
      <c r="G265" s="429">
        <v>12.0</v>
      </c>
      <c r="H265" s="429">
        <v>3.0</v>
      </c>
      <c r="I265" s="429">
        <v>15.0</v>
      </c>
      <c r="J265" s="430">
        <v>0.8</v>
      </c>
      <c r="K265" s="376" t="s">
        <v>6413</v>
      </c>
      <c r="L265" s="376">
        <v>3.224352404E9</v>
      </c>
      <c r="M265" s="376" t="s">
        <v>286</v>
      </c>
      <c r="N265" s="376" t="s">
        <v>3758</v>
      </c>
      <c r="O265" s="376" t="s">
        <v>6414</v>
      </c>
      <c r="P265" s="376" t="s">
        <v>3941</v>
      </c>
      <c r="Q265" s="16">
        <f>COUNTIF('hedef liste'!A:A,A265)</f>
        <v>1</v>
      </c>
    </row>
    <row r="266" hidden="1">
      <c r="A266" s="376" t="s">
        <v>4953</v>
      </c>
      <c r="B266" s="376" t="s">
        <v>7203</v>
      </c>
      <c r="C266" s="428" t="s">
        <v>7011</v>
      </c>
      <c r="D266" s="376" t="s">
        <v>3676</v>
      </c>
      <c r="E266" s="429">
        <v>299.0</v>
      </c>
      <c r="F266" s="431"/>
      <c r="G266" s="429">
        <v>0.0</v>
      </c>
      <c r="H266" s="429">
        <v>19.0</v>
      </c>
      <c r="I266" s="429">
        <v>19.0</v>
      </c>
      <c r="J266" s="430">
        <v>0.0</v>
      </c>
      <c r="K266" s="376" t="s">
        <v>4955</v>
      </c>
      <c r="L266" s="376">
        <v>3.224217878E9</v>
      </c>
      <c r="M266" s="376" t="s">
        <v>286</v>
      </c>
      <c r="N266" s="376" t="s">
        <v>4956</v>
      </c>
      <c r="O266" s="376" t="s">
        <v>4957</v>
      </c>
      <c r="P266" s="376" t="s">
        <v>3941</v>
      </c>
      <c r="Q266" s="16">
        <f>COUNTIF('hedef liste'!A:A,A266)</f>
        <v>1</v>
      </c>
    </row>
    <row r="267" hidden="1">
      <c r="A267" s="376" t="s">
        <v>7204</v>
      </c>
      <c r="B267" s="376" t="s">
        <v>7205</v>
      </c>
      <c r="C267" s="428" t="s">
        <v>6979</v>
      </c>
      <c r="D267" s="376" t="s">
        <v>3801</v>
      </c>
      <c r="E267" s="429">
        <v>2041.0</v>
      </c>
      <c r="F267" s="429">
        <v>71.0</v>
      </c>
      <c r="G267" s="429">
        <v>66.0</v>
      </c>
      <c r="H267" s="429">
        <v>5.0</v>
      </c>
      <c r="I267" s="429">
        <v>71.0</v>
      </c>
      <c r="J267" s="430">
        <v>0.93</v>
      </c>
      <c r="K267" s="376" t="s">
        <v>6998</v>
      </c>
      <c r="L267" s="376">
        <v>5.510825152E9</v>
      </c>
      <c r="M267" s="376" t="s">
        <v>286</v>
      </c>
      <c r="N267" s="376" t="s">
        <v>3855</v>
      </c>
      <c r="O267" s="376" t="s">
        <v>7206</v>
      </c>
      <c r="P267" s="376" t="s">
        <v>6982</v>
      </c>
      <c r="Q267" s="16">
        <f>COUNTIF('hedef liste'!A:A,A267)</f>
        <v>0</v>
      </c>
    </row>
    <row r="268" hidden="1">
      <c r="A268" s="376" t="s">
        <v>7207</v>
      </c>
      <c r="B268" s="376" t="s">
        <v>7208</v>
      </c>
      <c r="C268" s="428" t="s">
        <v>6979</v>
      </c>
      <c r="D268" s="376" t="s">
        <v>3801</v>
      </c>
      <c r="E268" s="429">
        <v>1263.0</v>
      </c>
      <c r="F268" s="429">
        <v>29.0</v>
      </c>
      <c r="G268" s="429">
        <v>59.0</v>
      </c>
      <c r="H268" s="429">
        <v>5.0</v>
      </c>
      <c r="I268" s="429">
        <v>64.0</v>
      </c>
      <c r="J268" s="430">
        <v>0.92</v>
      </c>
      <c r="K268" s="376" t="s">
        <v>6998</v>
      </c>
      <c r="L268" s="376">
        <v>5.4311213E9</v>
      </c>
      <c r="M268" s="376" t="s">
        <v>3692</v>
      </c>
      <c r="N268" s="376" t="s">
        <v>3869</v>
      </c>
      <c r="O268" s="376" t="s">
        <v>7209</v>
      </c>
      <c r="P268" s="376" t="s">
        <v>6982</v>
      </c>
      <c r="Q268" s="16">
        <f>COUNTIF('hedef liste'!A:A,A268)</f>
        <v>0</v>
      </c>
    </row>
    <row r="269" hidden="1">
      <c r="A269" s="376" t="s">
        <v>7210</v>
      </c>
      <c r="B269" s="376" t="s">
        <v>7211</v>
      </c>
      <c r="C269" s="428" t="s">
        <v>6979</v>
      </c>
      <c r="D269" s="376" t="s">
        <v>3676</v>
      </c>
      <c r="E269" s="429">
        <v>1725.0</v>
      </c>
      <c r="F269" s="429">
        <v>80.0</v>
      </c>
      <c r="G269" s="429">
        <v>77.0</v>
      </c>
      <c r="H269" s="429">
        <v>0.0</v>
      </c>
      <c r="I269" s="429">
        <v>77.0</v>
      </c>
      <c r="J269" s="430">
        <v>1.0</v>
      </c>
      <c r="K269" s="376" t="s">
        <v>7111</v>
      </c>
      <c r="L269" s="376">
        <v>9.999999999E9</v>
      </c>
      <c r="M269" s="376" t="s">
        <v>3707</v>
      </c>
      <c r="N269" s="376" t="s">
        <v>5245</v>
      </c>
      <c r="O269" s="376" t="s">
        <v>7212</v>
      </c>
      <c r="P269" s="376" t="s">
        <v>6982</v>
      </c>
      <c r="Q269" s="16">
        <f>COUNTIF('hedef liste'!A:A,A269)</f>
        <v>0</v>
      </c>
    </row>
    <row r="270" hidden="1">
      <c r="A270" s="376" t="s">
        <v>770</v>
      </c>
      <c r="B270" s="376" t="s">
        <v>7213</v>
      </c>
      <c r="C270" s="428" t="s">
        <v>6979</v>
      </c>
      <c r="D270" s="376" t="s">
        <v>3801</v>
      </c>
      <c r="E270" s="429">
        <v>1159.0</v>
      </c>
      <c r="F270" s="429">
        <v>76.0</v>
      </c>
      <c r="G270" s="429">
        <v>9.0</v>
      </c>
      <c r="H270" s="429">
        <v>6.0</v>
      </c>
      <c r="I270" s="429">
        <v>15.0</v>
      </c>
      <c r="J270" s="430">
        <v>0.6</v>
      </c>
      <c r="K270" s="376" t="s">
        <v>4613</v>
      </c>
      <c r="L270" s="376">
        <v>3.229995251E9</v>
      </c>
      <c r="M270" s="376" t="s">
        <v>14</v>
      </c>
      <c r="N270" s="376" t="s">
        <v>3767</v>
      </c>
      <c r="O270" s="376" t="s">
        <v>773</v>
      </c>
      <c r="P270" s="376" t="s">
        <v>3941</v>
      </c>
      <c r="Q270" s="16">
        <f>COUNTIF('hedef liste'!A:A,A270)</f>
        <v>1</v>
      </c>
    </row>
    <row r="271" hidden="1">
      <c r="A271" s="376" t="s">
        <v>661</v>
      </c>
      <c r="B271" s="376" t="s">
        <v>662</v>
      </c>
      <c r="C271" s="428" t="s">
        <v>6979</v>
      </c>
      <c r="D271" s="376" t="s">
        <v>3912</v>
      </c>
      <c r="E271" s="429">
        <v>1252.0</v>
      </c>
      <c r="F271" s="429">
        <v>92.0</v>
      </c>
      <c r="G271" s="429">
        <v>15.0</v>
      </c>
      <c r="H271" s="429">
        <v>6.0</v>
      </c>
      <c r="I271" s="429">
        <v>21.0</v>
      </c>
      <c r="J271" s="430">
        <v>0.71</v>
      </c>
      <c r="K271" s="376" t="s">
        <v>6191</v>
      </c>
      <c r="L271" s="376">
        <v>5.354646636E9</v>
      </c>
      <c r="M271" s="376" t="s">
        <v>286</v>
      </c>
      <c r="N271" s="376" t="s">
        <v>3737</v>
      </c>
      <c r="O271" s="376" t="s">
        <v>6192</v>
      </c>
      <c r="P271" s="376" t="s">
        <v>3941</v>
      </c>
      <c r="Q271" s="16">
        <f>COUNTIF('hedef liste'!A:A,A271)</f>
        <v>1</v>
      </c>
    </row>
    <row r="272" hidden="1">
      <c r="A272" s="376" t="s">
        <v>7214</v>
      </c>
      <c r="B272" s="376" t="s">
        <v>7215</v>
      </c>
      <c r="C272" s="428" t="s">
        <v>6979</v>
      </c>
      <c r="D272" s="376" t="s">
        <v>3994</v>
      </c>
      <c r="E272" s="429">
        <v>3259.0</v>
      </c>
      <c r="F272" s="429">
        <v>146.0</v>
      </c>
      <c r="G272" s="429">
        <v>72.0</v>
      </c>
      <c r="H272" s="429">
        <v>15.0</v>
      </c>
      <c r="I272" s="429">
        <v>87.0</v>
      </c>
      <c r="J272" s="430">
        <v>0.83</v>
      </c>
      <c r="K272" s="376" t="s">
        <v>7178</v>
      </c>
      <c r="L272" s="376">
        <v>3.222550155E9</v>
      </c>
      <c r="M272" s="376" t="s">
        <v>14</v>
      </c>
      <c r="N272" s="376" t="s">
        <v>3826</v>
      </c>
      <c r="O272" s="376" t="s">
        <v>7216</v>
      </c>
      <c r="P272" s="376" t="s">
        <v>6982</v>
      </c>
      <c r="Q272" s="16">
        <f>COUNTIF('hedef liste'!A:A,A272)</f>
        <v>0</v>
      </c>
    </row>
    <row r="273" hidden="1">
      <c r="A273" s="376" t="s">
        <v>405</v>
      </c>
      <c r="B273" s="376" t="s">
        <v>7217</v>
      </c>
      <c r="C273" s="428" t="s">
        <v>6979</v>
      </c>
      <c r="D273" s="376" t="s">
        <v>3801</v>
      </c>
      <c r="E273" s="429">
        <v>1900.0</v>
      </c>
      <c r="F273" s="429">
        <v>51.0</v>
      </c>
      <c r="G273" s="429">
        <v>0.0</v>
      </c>
      <c r="H273" s="429">
        <v>11.0</v>
      </c>
      <c r="I273" s="429">
        <v>11.0</v>
      </c>
      <c r="J273" s="430">
        <v>0.0</v>
      </c>
      <c r="K273" s="376" t="s">
        <v>5369</v>
      </c>
      <c r="L273" s="376">
        <v>5.380443909E9</v>
      </c>
      <c r="M273" s="376" t="s">
        <v>286</v>
      </c>
      <c r="N273" s="376" t="s">
        <v>3746</v>
      </c>
      <c r="O273" s="376" t="s">
        <v>5370</v>
      </c>
      <c r="P273" s="376" t="s">
        <v>3941</v>
      </c>
      <c r="Q273" s="16">
        <f>COUNTIF('hedef liste'!A:A,A273)</f>
        <v>1</v>
      </c>
    </row>
    <row r="274" hidden="1">
      <c r="A274" s="376" t="s">
        <v>41</v>
      </c>
      <c r="B274" s="376" t="s">
        <v>42</v>
      </c>
      <c r="C274" s="428" t="s">
        <v>6979</v>
      </c>
      <c r="D274" s="376" t="s">
        <v>3699</v>
      </c>
      <c r="E274" s="429">
        <v>1485.0</v>
      </c>
      <c r="F274" s="429">
        <v>30.0</v>
      </c>
      <c r="G274" s="429">
        <v>13.0</v>
      </c>
      <c r="H274" s="429">
        <v>12.0</v>
      </c>
      <c r="I274" s="429">
        <v>25.0</v>
      </c>
      <c r="J274" s="430">
        <v>0.52</v>
      </c>
      <c r="K274" s="376" t="s">
        <v>4905</v>
      </c>
      <c r="L274" s="376">
        <v>5.38776708E9</v>
      </c>
      <c r="M274" s="376" t="s">
        <v>14</v>
      </c>
      <c r="N274" s="376" t="s">
        <v>3935</v>
      </c>
      <c r="O274" s="376" t="s">
        <v>7218</v>
      </c>
      <c r="P274" s="376" t="s">
        <v>3941</v>
      </c>
      <c r="Q274" s="16">
        <f>COUNTIF('hedef liste'!A:A,A274)</f>
        <v>1</v>
      </c>
    </row>
    <row r="275" hidden="1">
      <c r="A275" s="376" t="s">
        <v>7219</v>
      </c>
      <c r="B275" s="376" t="s">
        <v>7220</v>
      </c>
      <c r="C275" s="428" t="s">
        <v>6979</v>
      </c>
      <c r="D275" s="376" t="s">
        <v>3994</v>
      </c>
      <c r="E275" s="429">
        <v>5360.0</v>
      </c>
      <c r="F275" s="429">
        <v>247.0</v>
      </c>
      <c r="G275" s="429">
        <v>72.0</v>
      </c>
      <c r="H275" s="429">
        <v>15.0</v>
      </c>
      <c r="I275" s="429">
        <v>87.0</v>
      </c>
      <c r="J275" s="430">
        <v>0.83</v>
      </c>
      <c r="K275" s="376" t="s">
        <v>7178</v>
      </c>
      <c r="L275" s="376">
        <v>3.222615544E9</v>
      </c>
      <c r="M275" s="376" t="s">
        <v>286</v>
      </c>
      <c r="N275" s="376" t="s">
        <v>3746</v>
      </c>
      <c r="O275" s="376" t="s">
        <v>7221</v>
      </c>
      <c r="P275" s="376" t="s">
        <v>6982</v>
      </c>
      <c r="Q275" s="16">
        <f>COUNTIF('hedef liste'!A:A,A275)</f>
        <v>0</v>
      </c>
    </row>
    <row r="276" hidden="1">
      <c r="A276" s="376" t="s">
        <v>4752</v>
      </c>
      <c r="B276" s="376" t="s">
        <v>4753</v>
      </c>
      <c r="C276" s="428" t="s">
        <v>6979</v>
      </c>
      <c r="D276" s="376" t="s">
        <v>3883</v>
      </c>
      <c r="E276" s="429">
        <v>992.0</v>
      </c>
      <c r="F276" s="429">
        <v>11.0</v>
      </c>
      <c r="G276" s="429">
        <v>0.0</v>
      </c>
      <c r="H276" s="429">
        <v>32.0</v>
      </c>
      <c r="I276" s="429">
        <v>32.0</v>
      </c>
      <c r="J276" s="430">
        <v>0.0</v>
      </c>
      <c r="K276" s="376" t="s">
        <v>4754</v>
      </c>
      <c r="L276" s="376">
        <v>5.3021107E9</v>
      </c>
      <c r="M276" s="376" t="s">
        <v>286</v>
      </c>
      <c r="N276" s="376" t="s">
        <v>4451</v>
      </c>
      <c r="O276" s="376" t="s">
        <v>4755</v>
      </c>
      <c r="P276" s="376" t="s">
        <v>3941</v>
      </c>
      <c r="Q276" s="16">
        <f>COUNTIF('hedef liste'!A:A,A276)</f>
        <v>1</v>
      </c>
    </row>
    <row r="277" hidden="1">
      <c r="A277" s="376" t="s">
        <v>4596</v>
      </c>
      <c r="B277" s="376" t="s">
        <v>4597</v>
      </c>
      <c r="C277" s="428" t="s">
        <v>6979</v>
      </c>
      <c r="D277" s="376" t="s">
        <v>3801</v>
      </c>
      <c r="E277" s="429">
        <v>2280.0</v>
      </c>
      <c r="F277" s="429">
        <v>38.0</v>
      </c>
      <c r="G277" s="429">
        <v>13.0</v>
      </c>
      <c r="H277" s="429">
        <v>2.0</v>
      </c>
      <c r="I277" s="429">
        <v>15.0</v>
      </c>
      <c r="J277" s="430">
        <v>0.87</v>
      </c>
      <c r="K277" s="376" t="s">
        <v>4598</v>
      </c>
      <c r="L277" s="376">
        <v>3.222241818E9</v>
      </c>
      <c r="M277" s="376" t="s">
        <v>286</v>
      </c>
      <c r="N277" s="376" t="s">
        <v>3754</v>
      </c>
      <c r="O277" s="376" t="s">
        <v>4599</v>
      </c>
      <c r="P277" s="376" t="s">
        <v>3941</v>
      </c>
      <c r="Q277" s="16">
        <f>COUNTIF('hedef liste'!A:A,A277)</f>
        <v>1</v>
      </c>
    </row>
    <row r="278" hidden="1">
      <c r="A278" s="376" t="s">
        <v>6915</v>
      </c>
      <c r="B278" s="376" t="s">
        <v>6916</v>
      </c>
      <c r="C278" s="428" t="s">
        <v>6979</v>
      </c>
      <c r="D278" s="376" t="s">
        <v>3676</v>
      </c>
      <c r="E278" s="429">
        <v>2926.0</v>
      </c>
      <c r="F278" s="429">
        <v>105.0</v>
      </c>
      <c r="G278" s="429">
        <v>0.0</v>
      </c>
      <c r="H278" s="429">
        <v>34.0</v>
      </c>
      <c r="I278" s="429">
        <v>34.0</v>
      </c>
      <c r="J278" s="430">
        <v>0.0</v>
      </c>
      <c r="K278" s="376" t="s">
        <v>6917</v>
      </c>
      <c r="L278" s="376">
        <v>5.314990202E9</v>
      </c>
      <c r="M278" s="376" t="s">
        <v>286</v>
      </c>
      <c r="N278" s="376" t="s">
        <v>3855</v>
      </c>
      <c r="O278" s="376" t="s">
        <v>6918</v>
      </c>
      <c r="P278" s="376" t="s">
        <v>3941</v>
      </c>
      <c r="Q278" s="16">
        <f>COUNTIF('hedef liste'!A:A,A278)</f>
        <v>1</v>
      </c>
    </row>
    <row r="279" hidden="1">
      <c r="A279" s="376" t="s">
        <v>7222</v>
      </c>
      <c r="B279" s="376" t="s">
        <v>7223</v>
      </c>
      <c r="C279" s="428" t="s">
        <v>6979</v>
      </c>
      <c r="D279" s="376" t="s">
        <v>4000</v>
      </c>
      <c r="E279" s="429">
        <v>7086.0</v>
      </c>
      <c r="F279" s="429">
        <v>284.0</v>
      </c>
      <c r="G279" s="429">
        <v>95.0</v>
      </c>
      <c r="H279" s="429">
        <v>1.0</v>
      </c>
      <c r="I279" s="429">
        <v>96.0</v>
      </c>
      <c r="J279" s="430">
        <v>0.99</v>
      </c>
      <c r="K279" s="376" t="s">
        <v>6985</v>
      </c>
      <c r="L279" s="376">
        <v>2.123363575E9</v>
      </c>
      <c r="M279" s="376" t="s">
        <v>14</v>
      </c>
      <c r="N279" s="376" t="s">
        <v>3733</v>
      </c>
      <c r="O279" s="376" t="s">
        <v>7224</v>
      </c>
      <c r="P279" s="376" t="s">
        <v>6982</v>
      </c>
      <c r="Q279" s="16">
        <f>COUNTIF('hedef liste'!A:A,A279)</f>
        <v>0</v>
      </c>
    </row>
    <row r="280" hidden="1">
      <c r="A280" s="376" t="s">
        <v>6956</v>
      </c>
      <c r="B280" s="376" t="s">
        <v>6957</v>
      </c>
      <c r="C280" s="428" t="s">
        <v>6979</v>
      </c>
      <c r="D280" s="376" t="s">
        <v>3713</v>
      </c>
      <c r="E280" s="429">
        <v>8615.0</v>
      </c>
      <c r="F280" s="429">
        <v>303.0</v>
      </c>
      <c r="G280" s="429">
        <v>0.0</v>
      </c>
      <c r="H280" s="429">
        <v>33.0</v>
      </c>
      <c r="I280" s="429">
        <v>33.0</v>
      </c>
      <c r="J280" s="430">
        <v>0.0</v>
      </c>
      <c r="K280" s="376" t="s">
        <v>6953</v>
      </c>
      <c r="L280" s="376">
        <v>3.222345619E9</v>
      </c>
      <c r="M280" s="376" t="s">
        <v>14</v>
      </c>
      <c r="N280" s="376" t="s">
        <v>3733</v>
      </c>
      <c r="O280" s="376" t="s">
        <v>6958</v>
      </c>
      <c r="P280" s="376" t="s">
        <v>3941</v>
      </c>
      <c r="Q280" s="16">
        <f>COUNTIF('hedef liste'!A:A,A280)</f>
        <v>1</v>
      </c>
    </row>
    <row r="281" hidden="1">
      <c r="A281" s="376" t="s">
        <v>4023</v>
      </c>
      <c r="B281" s="376" t="s">
        <v>7225</v>
      </c>
      <c r="C281" s="428" t="s">
        <v>6979</v>
      </c>
      <c r="D281" s="376" t="s">
        <v>3713</v>
      </c>
      <c r="E281" s="429">
        <v>2941.0</v>
      </c>
      <c r="F281" s="429">
        <v>109.0</v>
      </c>
      <c r="G281" s="429">
        <v>0.0</v>
      </c>
      <c r="H281" s="429">
        <v>31.0</v>
      </c>
      <c r="I281" s="429">
        <v>31.0</v>
      </c>
      <c r="J281" s="430">
        <v>0.0</v>
      </c>
      <c r="K281" s="376" t="s">
        <v>4025</v>
      </c>
      <c r="L281" s="376">
        <v>3.22261122E9</v>
      </c>
      <c r="M281" s="376" t="s">
        <v>286</v>
      </c>
      <c r="N281" s="376" t="s">
        <v>3855</v>
      </c>
      <c r="O281" s="376" t="s">
        <v>4026</v>
      </c>
      <c r="P281" s="376" t="s">
        <v>3941</v>
      </c>
      <c r="Q281" s="16">
        <f>COUNTIF('hedef liste'!A:A,A281)</f>
        <v>1</v>
      </c>
    </row>
    <row r="282" hidden="1">
      <c r="A282" s="376" t="s">
        <v>1485</v>
      </c>
      <c r="B282" s="376" t="s">
        <v>1486</v>
      </c>
      <c r="C282" s="428" t="s">
        <v>6979</v>
      </c>
      <c r="D282" s="376" t="s">
        <v>3676</v>
      </c>
      <c r="E282" s="429">
        <v>934.0</v>
      </c>
      <c r="F282" s="429">
        <v>17.0</v>
      </c>
      <c r="G282" s="429">
        <v>11.0</v>
      </c>
      <c r="H282" s="429">
        <v>8.0</v>
      </c>
      <c r="I282" s="429">
        <v>19.0</v>
      </c>
      <c r="J282" s="430">
        <v>0.58</v>
      </c>
      <c r="K282" s="376" t="s">
        <v>6091</v>
      </c>
      <c r="L282" s="376">
        <v>3.222611E9</v>
      </c>
      <c r="M282" s="376" t="s">
        <v>286</v>
      </c>
      <c r="N282" s="376" t="s">
        <v>3746</v>
      </c>
      <c r="O282" s="376" t="s">
        <v>1488</v>
      </c>
      <c r="P282" s="376" t="s">
        <v>3941</v>
      </c>
      <c r="Q282" s="16">
        <f>COUNTIF('hedef liste'!A:A,A282)</f>
        <v>1</v>
      </c>
    </row>
    <row r="283" hidden="1">
      <c r="A283" s="376" t="s">
        <v>4284</v>
      </c>
      <c r="B283" s="376" t="s">
        <v>4285</v>
      </c>
      <c r="C283" s="428" t="s">
        <v>7011</v>
      </c>
      <c r="D283" s="376" t="s">
        <v>3699</v>
      </c>
      <c r="E283" s="429">
        <v>93.0</v>
      </c>
      <c r="F283" s="431"/>
      <c r="G283" s="429">
        <v>0.0</v>
      </c>
      <c r="H283" s="429">
        <v>37.0</v>
      </c>
      <c r="I283" s="429">
        <v>37.0</v>
      </c>
      <c r="J283" s="430">
        <v>0.0</v>
      </c>
      <c r="K283" s="376" t="s">
        <v>4286</v>
      </c>
      <c r="L283" s="376">
        <v>8.508087235E9</v>
      </c>
      <c r="M283" s="376" t="s">
        <v>286</v>
      </c>
      <c r="N283" s="376" t="s">
        <v>3737</v>
      </c>
      <c r="O283" s="376" t="s">
        <v>4287</v>
      </c>
      <c r="P283" s="376" t="s">
        <v>3941</v>
      </c>
      <c r="Q283" s="16">
        <f>COUNTIF('hedef liste'!A:A,A283)</f>
        <v>1</v>
      </c>
    </row>
    <row r="284" hidden="1">
      <c r="A284" s="376" t="s">
        <v>4556</v>
      </c>
      <c r="B284" s="376" t="s">
        <v>4557</v>
      </c>
      <c r="C284" s="428" t="s">
        <v>6979</v>
      </c>
      <c r="D284" s="376" t="s">
        <v>3676</v>
      </c>
      <c r="E284" s="429">
        <v>2743.0</v>
      </c>
      <c r="F284" s="429">
        <v>160.0</v>
      </c>
      <c r="G284" s="429">
        <v>0.0</v>
      </c>
      <c r="H284" s="429">
        <v>31.0</v>
      </c>
      <c r="I284" s="429">
        <v>31.0</v>
      </c>
      <c r="J284" s="430">
        <v>0.0</v>
      </c>
      <c r="K284" s="376" t="s">
        <v>4558</v>
      </c>
      <c r="L284" s="376">
        <v>5.445054581E9</v>
      </c>
      <c r="M284" s="376" t="s">
        <v>14</v>
      </c>
      <c r="N284" s="376" t="s">
        <v>3678</v>
      </c>
      <c r="O284" s="376" t="s">
        <v>4559</v>
      </c>
      <c r="P284" s="376" t="s">
        <v>3941</v>
      </c>
      <c r="Q284" s="16">
        <f>COUNTIF('hedef liste'!A:A,A284)</f>
        <v>1</v>
      </c>
    </row>
    <row r="285" hidden="1">
      <c r="A285" s="376" t="s">
        <v>2419</v>
      </c>
      <c r="B285" s="376" t="s">
        <v>7226</v>
      </c>
      <c r="C285" s="428" t="s">
        <v>6979</v>
      </c>
      <c r="D285" s="376" t="s">
        <v>3676</v>
      </c>
      <c r="E285" s="429">
        <v>1125.0</v>
      </c>
      <c r="F285" s="429">
        <v>63.0</v>
      </c>
      <c r="G285" s="429">
        <v>0.0</v>
      </c>
      <c r="H285" s="429">
        <v>20.0</v>
      </c>
      <c r="I285" s="429">
        <v>20.0</v>
      </c>
      <c r="J285" s="430">
        <v>0.0</v>
      </c>
      <c r="K285" s="376" t="s">
        <v>3768</v>
      </c>
      <c r="L285" s="376">
        <v>3.22262043E9</v>
      </c>
      <c r="M285" s="376" t="s">
        <v>286</v>
      </c>
      <c r="N285" s="376" t="s">
        <v>3769</v>
      </c>
      <c r="O285" s="376" t="s">
        <v>2423</v>
      </c>
      <c r="P285" s="376" t="s">
        <v>3941</v>
      </c>
      <c r="Q285" s="16">
        <f>COUNTIF('hedef liste'!A:A,A285)</f>
        <v>1</v>
      </c>
    </row>
    <row r="286" hidden="1">
      <c r="A286" s="376" t="s">
        <v>2466</v>
      </c>
      <c r="B286" s="376" t="s">
        <v>7227</v>
      </c>
      <c r="C286" s="428" t="s">
        <v>6979</v>
      </c>
      <c r="D286" s="376" t="s">
        <v>3801</v>
      </c>
      <c r="E286" s="429">
        <v>254.0</v>
      </c>
      <c r="F286" s="429">
        <v>21.0</v>
      </c>
      <c r="G286" s="429">
        <v>7.0</v>
      </c>
      <c r="H286" s="429">
        <v>13.0</v>
      </c>
      <c r="I286" s="429">
        <v>20.0</v>
      </c>
      <c r="J286" s="430">
        <v>0.35</v>
      </c>
      <c r="K286" s="376" t="s">
        <v>4650</v>
      </c>
      <c r="L286" s="376">
        <v>5.433956218E9</v>
      </c>
      <c r="M286" s="376" t="s">
        <v>286</v>
      </c>
      <c r="N286" s="376" t="s">
        <v>4420</v>
      </c>
      <c r="O286" s="376" t="s">
        <v>2469</v>
      </c>
      <c r="P286" s="376" t="s">
        <v>3941</v>
      </c>
      <c r="Q286" s="16">
        <f>COUNTIF('hedef liste'!A:A,A286)</f>
        <v>1</v>
      </c>
    </row>
    <row r="287" hidden="1">
      <c r="A287" s="376" t="s">
        <v>5145</v>
      </c>
      <c r="B287" s="376" t="s">
        <v>5146</v>
      </c>
      <c r="C287" s="428" t="s">
        <v>6979</v>
      </c>
      <c r="D287" s="376" t="s">
        <v>3699</v>
      </c>
      <c r="F287" s="431"/>
      <c r="G287" s="429">
        <v>15.0</v>
      </c>
      <c r="H287" s="429">
        <v>9.0</v>
      </c>
      <c r="I287" s="429">
        <v>24.0</v>
      </c>
      <c r="J287" s="430">
        <v>0.63</v>
      </c>
      <c r="K287" s="376" t="s">
        <v>5110</v>
      </c>
      <c r="L287" s="376">
        <v>5.443909041E9</v>
      </c>
      <c r="M287" s="376" t="s">
        <v>3692</v>
      </c>
      <c r="N287" s="376" t="s">
        <v>5147</v>
      </c>
      <c r="O287" s="376" t="s">
        <v>5148</v>
      </c>
      <c r="P287" s="376" t="s">
        <v>3941</v>
      </c>
      <c r="Q287" s="16">
        <f>COUNTIF('hedef liste'!A:A,A287)</f>
        <v>1</v>
      </c>
    </row>
    <row r="288" hidden="1">
      <c r="A288" s="376" t="s">
        <v>5108</v>
      </c>
      <c r="B288" s="376" t="s">
        <v>5109</v>
      </c>
      <c r="C288" s="428" t="s">
        <v>6979</v>
      </c>
      <c r="D288" s="376" t="s">
        <v>3699</v>
      </c>
      <c r="E288" s="429">
        <v>107.0</v>
      </c>
      <c r="F288" s="429">
        <v>3.0</v>
      </c>
      <c r="G288" s="429">
        <v>19.0</v>
      </c>
      <c r="H288" s="429">
        <v>11.0</v>
      </c>
      <c r="I288" s="429">
        <v>30.0</v>
      </c>
      <c r="J288" s="430">
        <v>0.63</v>
      </c>
      <c r="K288" s="376" t="s">
        <v>5110</v>
      </c>
      <c r="L288" s="376">
        <v>5.498207721E9</v>
      </c>
      <c r="M288" s="376" t="s">
        <v>286</v>
      </c>
      <c r="N288" s="376" t="s">
        <v>4956</v>
      </c>
      <c r="O288" s="376" t="s">
        <v>5111</v>
      </c>
      <c r="P288" s="376" t="s">
        <v>3941</v>
      </c>
      <c r="Q288" s="16">
        <f>COUNTIF('hedef liste'!A:A,A288)</f>
        <v>1</v>
      </c>
    </row>
    <row r="289" hidden="1">
      <c r="A289" s="376" t="s">
        <v>1044</v>
      </c>
      <c r="B289" s="376" t="s">
        <v>1045</v>
      </c>
      <c r="C289" s="428" t="s">
        <v>6979</v>
      </c>
      <c r="D289" s="376" t="s">
        <v>3749</v>
      </c>
      <c r="E289" s="429">
        <v>75.0</v>
      </c>
      <c r="F289" s="431"/>
      <c r="G289" s="429">
        <v>17.0</v>
      </c>
      <c r="H289" s="429">
        <v>102.0</v>
      </c>
      <c r="I289" s="429">
        <v>119.0</v>
      </c>
      <c r="J289" s="430">
        <v>0.14</v>
      </c>
      <c r="K289" s="376" t="s">
        <v>5022</v>
      </c>
      <c r="L289" s="376">
        <v>3.222258765E9</v>
      </c>
      <c r="M289" s="376" t="s">
        <v>286</v>
      </c>
      <c r="N289" s="376" t="s">
        <v>3782</v>
      </c>
      <c r="O289" s="376" t="s">
        <v>2799</v>
      </c>
      <c r="P289" s="376" t="s">
        <v>3941</v>
      </c>
      <c r="Q289" s="16">
        <f>COUNTIF('hedef liste'!A:A,A289)</f>
        <v>1</v>
      </c>
    </row>
    <row r="290" hidden="1">
      <c r="A290" s="376" t="s">
        <v>1353</v>
      </c>
      <c r="B290" s="376" t="s">
        <v>1354</v>
      </c>
      <c r="C290" s="428" t="s">
        <v>6979</v>
      </c>
      <c r="D290" s="376" t="s">
        <v>3690</v>
      </c>
      <c r="E290" s="429">
        <v>7134.0</v>
      </c>
      <c r="F290" s="429">
        <v>221.0</v>
      </c>
      <c r="G290" s="429">
        <v>8.0</v>
      </c>
      <c r="H290" s="429">
        <v>18.0</v>
      </c>
      <c r="I290" s="429">
        <v>26.0</v>
      </c>
      <c r="J290" s="430">
        <v>0.31</v>
      </c>
      <c r="K290" s="376" t="s">
        <v>4477</v>
      </c>
      <c r="L290" s="376">
        <v>3.22255E9</v>
      </c>
      <c r="M290" s="376" t="s">
        <v>286</v>
      </c>
      <c r="N290" s="376" t="s">
        <v>3688</v>
      </c>
      <c r="O290" s="376" t="s">
        <v>1356</v>
      </c>
      <c r="P290" s="376" t="s">
        <v>3941</v>
      </c>
      <c r="Q290" s="16">
        <f>COUNTIF('hedef liste'!A:A,A290)</f>
        <v>1</v>
      </c>
    </row>
    <row r="291" hidden="1">
      <c r="A291" s="376" t="s">
        <v>5142</v>
      </c>
      <c r="B291" s="376" t="s">
        <v>5143</v>
      </c>
      <c r="C291" s="428" t="s">
        <v>6979</v>
      </c>
      <c r="D291" s="376" t="s">
        <v>3699</v>
      </c>
      <c r="E291" s="429">
        <v>29.0</v>
      </c>
      <c r="F291" s="429">
        <v>1.0</v>
      </c>
      <c r="G291" s="429">
        <v>10.0</v>
      </c>
      <c r="H291" s="429">
        <v>13.0</v>
      </c>
      <c r="I291" s="429">
        <v>23.0</v>
      </c>
      <c r="J291" s="430">
        <v>0.43</v>
      </c>
      <c r="K291" s="376" t="s">
        <v>5110</v>
      </c>
      <c r="L291" s="376">
        <v>5.443909041E9</v>
      </c>
      <c r="M291" s="376" t="s">
        <v>3707</v>
      </c>
      <c r="N291" s="376" t="s">
        <v>3708</v>
      </c>
      <c r="O291" s="376" t="s">
        <v>5144</v>
      </c>
      <c r="P291" s="376" t="s">
        <v>3941</v>
      </c>
      <c r="Q291" s="16">
        <f>COUNTIF('hedef liste'!A:A,A291)</f>
        <v>1</v>
      </c>
    </row>
    <row r="292" hidden="1">
      <c r="A292" s="376" t="s">
        <v>5748</v>
      </c>
      <c r="B292" s="376" t="s">
        <v>5749</v>
      </c>
      <c r="C292" s="428" t="s">
        <v>6979</v>
      </c>
      <c r="D292" s="376" t="s">
        <v>3713</v>
      </c>
      <c r="E292" s="429">
        <v>155.0</v>
      </c>
      <c r="F292" s="431"/>
      <c r="G292" s="429">
        <v>0.0</v>
      </c>
      <c r="H292" s="429">
        <v>9.0</v>
      </c>
      <c r="I292" s="429">
        <v>9.0</v>
      </c>
      <c r="J292" s="430">
        <v>0.0</v>
      </c>
      <c r="K292" s="376" t="s">
        <v>5750</v>
      </c>
      <c r="L292" s="376">
        <v>5.357604135E9</v>
      </c>
      <c r="M292" s="376" t="s">
        <v>286</v>
      </c>
      <c r="N292" s="376" t="s">
        <v>5751</v>
      </c>
      <c r="O292" s="376" t="s">
        <v>5752</v>
      </c>
      <c r="P292" s="376" t="s">
        <v>3941</v>
      </c>
      <c r="Q292" s="16">
        <f>COUNTIF('hedef liste'!A:A,A292)</f>
        <v>1</v>
      </c>
    </row>
    <row r="293" hidden="1">
      <c r="A293" s="376" t="s">
        <v>5098</v>
      </c>
      <c r="B293" s="376" t="s">
        <v>5099</v>
      </c>
      <c r="C293" s="428" t="s">
        <v>6979</v>
      </c>
      <c r="D293" s="376" t="s">
        <v>4000</v>
      </c>
      <c r="E293" s="429">
        <v>2608.0</v>
      </c>
      <c r="F293" s="429">
        <v>69.0</v>
      </c>
      <c r="G293" s="429">
        <v>7.0</v>
      </c>
      <c r="H293" s="429">
        <v>15.0</v>
      </c>
      <c r="I293" s="429">
        <v>22.0</v>
      </c>
      <c r="J293" s="430">
        <v>0.32</v>
      </c>
      <c r="K293" s="376" t="s">
        <v>5100</v>
      </c>
      <c r="L293" s="376">
        <v>3.224574744E9</v>
      </c>
      <c r="M293" s="376" t="s">
        <v>286</v>
      </c>
      <c r="N293" s="376" t="s">
        <v>3737</v>
      </c>
      <c r="O293" s="376" t="s">
        <v>5101</v>
      </c>
      <c r="P293" s="376" t="s">
        <v>3941</v>
      </c>
      <c r="Q293" s="16">
        <f>COUNTIF('hedef liste'!A:A,A293)</f>
        <v>1</v>
      </c>
    </row>
    <row r="294" hidden="1">
      <c r="A294" s="376" t="s">
        <v>6143</v>
      </c>
      <c r="B294" s="376" t="s">
        <v>6144</v>
      </c>
      <c r="C294" s="428" t="s">
        <v>6979</v>
      </c>
      <c r="D294" s="376" t="s">
        <v>3676</v>
      </c>
      <c r="E294" s="429">
        <v>654.0</v>
      </c>
      <c r="F294" s="429">
        <v>21.0</v>
      </c>
      <c r="G294" s="429">
        <v>0.0</v>
      </c>
      <c r="H294" s="429">
        <v>18.0</v>
      </c>
      <c r="I294" s="429">
        <v>18.0</v>
      </c>
      <c r="J294" s="430">
        <v>0.0</v>
      </c>
      <c r="K294" s="376" t="s">
        <v>6145</v>
      </c>
      <c r="L294" s="376">
        <v>3.222611121E9</v>
      </c>
      <c r="M294" s="376" t="s">
        <v>286</v>
      </c>
      <c r="N294" s="376" t="s">
        <v>3855</v>
      </c>
      <c r="O294" s="376" t="s">
        <v>6146</v>
      </c>
      <c r="P294" s="376" t="s">
        <v>3941</v>
      </c>
      <c r="Q294" s="16">
        <f>COUNTIF('hedef liste'!A:A,A294)</f>
        <v>1</v>
      </c>
    </row>
    <row r="295" hidden="1">
      <c r="A295" s="376" t="s">
        <v>7228</v>
      </c>
      <c r="B295" s="376" t="s">
        <v>7229</v>
      </c>
      <c r="C295" s="428" t="s">
        <v>6979</v>
      </c>
      <c r="D295" s="376" t="s">
        <v>3994</v>
      </c>
      <c r="E295" s="429">
        <v>7304.0</v>
      </c>
      <c r="F295" s="429">
        <v>479.0</v>
      </c>
      <c r="G295" s="429">
        <v>55.0</v>
      </c>
      <c r="H295" s="429">
        <v>22.0</v>
      </c>
      <c r="I295" s="429">
        <v>77.0</v>
      </c>
      <c r="J295" s="430">
        <v>0.71</v>
      </c>
      <c r="K295" s="376" t="s">
        <v>7178</v>
      </c>
      <c r="L295" s="376">
        <v>3.222372111E9</v>
      </c>
      <c r="M295" s="376" t="s">
        <v>3692</v>
      </c>
      <c r="N295" s="376" t="s">
        <v>3869</v>
      </c>
      <c r="O295" s="376" t="s">
        <v>7230</v>
      </c>
      <c r="P295" s="376" t="s">
        <v>6982</v>
      </c>
      <c r="Q295" s="16">
        <f>COUNTIF('hedef liste'!A:A,A295)</f>
        <v>0</v>
      </c>
    </row>
    <row r="296" hidden="1">
      <c r="A296" s="376" t="s">
        <v>878</v>
      </c>
      <c r="B296" s="376" t="s">
        <v>879</v>
      </c>
      <c r="C296" s="428" t="s">
        <v>6979</v>
      </c>
      <c r="D296" s="376" t="s">
        <v>3676</v>
      </c>
      <c r="E296" s="429">
        <v>2713.0</v>
      </c>
      <c r="F296" s="429">
        <v>131.0</v>
      </c>
      <c r="G296" s="429">
        <v>5.0</v>
      </c>
      <c r="H296" s="429">
        <v>1.0</v>
      </c>
      <c r="I296" s="429">
        <v>6.0</v>
      </c>
      <c r="J296" s="430">
        <v>0.83</v>
      </c>
      <c r="K296" s="376" t="s">
        <v>3757</v>
      </c>
      <c r="L296" s="376">
        <v>3.224362727E9</v>
      </c>
      <c r="M296" s="376" t="s">
        <v>286</v>
      </c>
      <c r="N296" s="376" t="s">
        <v>3758</v>
      </c>
      <c r="O296" s="376" t="s">
        <v>883</v>
      </c>
      <c r="P296" s="376" t="s">
        <v>3941</v>
      </c>
      <c r="Q296" s="16">
        <f>COUNTIF('hedef liste'!A:A,A296)</f>
        <v>1</v>
      </c>
    </row>
    <row r="297" hidden="1">
      <c r="A297" s="376" t="s">
        <v>7231</v>
      </c>
      <c r="B297" s="376" t="s">
        <v>7232</v>
      </c>
      <c r="C297" s="428" t="s">
        <v>6979</v>
      </c>
      <c r="D297" s="376" t="s">
        <v>3994</v>
      </c>
      <c r="E297" s="429">
        <v>3426.0</v>
      </c>
      <c r="F297" s="429">
        <v>167.0</v>
      </c>
      <c r="G297" s="429">
        <v>72.0</v>
      </c>
      <c r="H297" s="429">
        <v>15.0</v>
      </c>
      <c r="I297" s="429">
        <v>87.0</v>
      </c>
      <c r="J297" s="430">
        <v>0.83</v>
      </c>
      <c r="K297" s="376" t="s">
        <v>7178</v>
      </c>
      <c r="L297" s="376">
        <v>3.222324757E9</v>
      </c>
      <c r="M297" s="376" t="s">
        <v>14</v>
      </c>
      <c r="N297" s="376" t="s">
        <v>3767</v>
      </c>
      <c r="O297" s="376" t="s">
        <v>7233</v>
      </c>
      <c r="P297" s="376" t="s">
        <v>6982</v>
      </c>
      <c r="Q297" s="16">
        <f>COUNTIF('hedef liste'!A:A,A297)</f>
        <v>0</v>
      </c>
    </row>
    <row r="298" hidden="1">
      <c r="A298" s="376" t="s">
        <v>1002</v>
      </c>
      <c r="B298" s="376" t="s">
        <v>1003</v>
      </c>
      <c r="C298" s="428" t="s">
        <v>6979</v>
      </c>
      <c r="D298" s="376" t="s">
        <v>3801</v>
      </c>
      <c r="E298" s="429">
        <v>4012.0</v>
      </c>
      <c r="F298" s="429">
        <v>191.0</v>
      </c>
      <c r="G298" s="429">
        <v>15.0</v>
      </c>
      <c r="H298" s="429">
        <v>11.0</v>
      </c>
      <c r="I298" s="429">
        <v>26.0</v>
      </c>
      <c r="J298" s="430">
        <v>0.58</v>
      </c>
      <c r="K298" s="376" t="s">
        <v>5252</v>
      </c>
      <c r="L298" s="376">
        <v>5.469420202E9</v>
      </c>
      <c r="M298" s="376" t="s">
        <v>14</v>
      </c>
      <c r="N298" s="376" t="s">
        <v>3718</v>
      </c>
      <c r="O298" s="376" t="s">
        <v>1005</v>
      </c>
      <c r="P298" s="376" t="s">
        <v>3941</v>
      </c>
      <c r="Q298" s="16">
        <f>COUNTIF('hedef liste'!A:A,A298)</f>
        <v>1</v>
      </c>
    </row>
    <row r="299" hidden="1">
      <c r="A299" s="376" t="s">
        <v>1326</v>
      </c>
      <c r="B299" s="376" t="s">
        <v>1327</v>
      </c>
      <c r="C299" s="428" t="s">
        <v>6979</v>
      </c>
      <c r="D299" s="376" t="s">
        <v>3676</v>
      </c>
      <c r="E299" s="429">
        <v>8402.0</v>
      </c>
      <c r="F299" s="429">
        <v>218.0</v>
      </c>
      <c r="G299" s="429">
        <v>8.0</v>
      </c>
      <c r="H299" s="429">
        <v>12.0</v>
      </c>
      <c r="I299" s="429">
        <v>20.0</v>
      </c>
      <c r="J299" s="430">
        <v>0.4</v>
      </c>
      <c r="K299" s="376" t="s">
        <v>4926</v>
      </c>
      <c r="L299" s="376">
        <v>3.222340052E9</v>
      </c>
      <c r="M299" s="376" t="s">
        <v>14</v>
      </c>
      <c r="N299" s="376" t="s">
        <v>3797</v>
      </c>
      <c r="O299" s="376" t="s">
        <v>1329</v>
      </c>
      <c r="P299" s="376" t="s">
        <v>3941</v>
      </c>
      <c r="Q299" s="16">
        <f>COUNTIF('hedef liste'!A:A,A299)</f>
        <v>1</v>
      </c>
    </row>
    <row r="300" hidden="1">
      <c r="A300" s="376" t="s">
        <v>7234</v>
      </c>
      <c r="B300" s="376" t="s">
        <v>7235</v>
      </c>
      <c r="C300" s="428" t="s">
        <v>6979</v>
      </c>
      <c r="D300" s="376" t="s">
        <v>3994</v>
      </c>
      <c r="E300" s="429">
        <v>3907.0</v>
      </c>
      <c r="F300" s="429">
        <v>230.0</v>
      </c>
      <c r="G300" s="429">
        <v>72.0</v>
      </c>
      <c r="H300" s="429">
        <v>15.0</v>
      </c>
      <c r="I300" s="429">
        <v>87.0</v>
      </c>
      <c r="J300" s="430">
        <v>0.83</v>
      </c>
      <c r="K300" s="376" t="s">
        <v>7178</v>
      </c>
      <c r="L300" s="376">
        <v>3.224580828E9</v>
      </c>
      <c r="M300" s="376" t="s">
        <v>286</v>
      </c>
      <c r="N300" s="376" t="s">
        <v>3737</v>
      </c>
      <c r="O300" s="376" t="s">
        <v>7236</v>
      </c>
      <c r="P300" s="376" t="s">
        <v>6982</v>
      </c>
      <c r="Q300" s="16">
        <f>COUNTIF('hedef liste'!A:A,A300)</f>
        <v>0</v>
      </c>
    </row>
    <row r="301" hidden="1">
      <c r="A301" s="376" t="s">
        <v>410</v>
      </c>
      <c r="B301" s="376" t="s">
        <v>7237</v>
      </c>
      <c r="C301" s="428" t="s">
        <v>7011</v>
      </c>
      <c r="D301" s="376" t="s">
        <v>3699</v>
      </c>
      <c r="E301" s="429">
        <v>644.0</v>
      </c>
      <c r="F301" s="431"/>
      <c r="G301" s="429">
        <v>12.0</v>
      </c>
      <c r="H301" s="429">
        <v>3.0</v>
      </c>
      <c r="I301" s="429">
        <v>15.0</v>
      </c>
      <c r="J301" s="430">
        <v>0.8</v>
      </c>
      <c r="K301" s="376" t="s">
        <v>5755</v>
      </c>
      <c r="L301" s="376">
        <v>5.318567711E9</v>
      </c>
      <c r="M301" s="376" t="s">
        <v>286</v>
      </c>
      <c r="N301" s="376" t="s">
        <v>4217</v>
      </c>
      <c r="O301" s="376" t="s">
        <v>414</v>
      </c>
      <c r="P301" s="376" t="s">
        <v>3941</v>
      </c>
      <c r="Q301" s="16">
        <f>COUNTIF('hedef liste'!A:A,A301)</f>
        <v>1</v>
      </c>
    </row>
    <row r="302" hidden="1">
      <c r="A302" s="376" t="s">
        <v>842</v>
      </c>
      <c r="B302" s="376" t="s">
        <v>843</v>
      </c>
      <c r="C302" s="428" t="s">
        <v>6979</v>
      </c>
      <c r="D302" s="376" t="s">
        <v>3713</v>
      </c>
      <c r="E302" s="429">
        <v>1081.0</v>
      </c>
      <c r="F302" s="429">
        <v>38.0</v>
      </c>
      <c r="G302" s="429">
        <v>10.0</v>
      </c>
      <c r="H302" s="429">
        <v>13.0</v>
      </c>
      <c r="I302" s="429">
        <v>23.0</v>
      </c>
      <c r="J302" s="430">
        <v>0.43</v>
      </c>
      <c r="K302" s="376" t="s">
        <v>3753</v>
      </c>
      <c r="L302" s="376">
        <v>5.324989006E9</v>
      </c>
      <c r="M302" s="376" t="s">
        <v>286</v>
      </c>
      <c r="N302" s="376" t="s">
        <v>3754</v>
      </c>
      <c r="O302" s="376" t="s">
        <v>845</v>
      </c>
      <c r="P302" s="376" t="s">
        <v>3941</v>
      </c>
      <c r="Q302" s="16">
        <f>COUNTIF('hedef liste'!A:A,A302)</f>
        <v>1</v>
      </c>
    </row>
    <row r="303" hidden="1">
      <c r="A303" s="376" t="s">
        <v>1602</v>
      </c>
      <c r="B303" s="376" t="s">
        <v>7238</v>
      </c>
      <c r="C303" s="428" t="s">
        <v>6979</v>
      </c>
      <c r="D303" s="376" t="s">
        <v>3676</v>
      </c>
      <c r="E303" s="429">
        <v>1372.0</v>
      </c>
      <c r="F303" s="429">
        <v>42.0</v>
      </c>
      <c r="G303" s="429">
        <v>22.0</v>
      </c>
      <c r="H303" s="429">
        <v>12.0</v>
      </c>
      <c r="I303" s="429">
        <v>34.0</v>
      </c>
      <c r="J303" s="430">
        <v>0.65</v>
      </c>
      <c r="K303" s="376" t="s">
        <v>4845</v>
      </c>
      <c r="L303" s="376">
        <v>5.525300528E9</v>
      </c>
      <c r="M303" s="376" t="s">
        <v>3707</v>
      </c>
      <c r="N303" s="376" t="s">
        <v>4570</v>
      </c>
      <c r="O303" s="376" t="s">
        <v>1606</v>
      </c>
      <c r="P303" s="376" t="s">
        <v>3941</v>
      </c>
      <c r="Q303" s="16">
        <f>COUNTIF('hedef liste'!A:A,A303)</f>
        <v>1</v>
      </c>
    </row>
    <row r="304" hidden="1">
      <c r="A304" s="376" t="s">
        <v>6945</v>
      </c>
      <c r="B304" s="376" t="s">
        <v>7239</v>
      </c>
      <c r="C304" s="428" t="s">
        <v>6979</v>
      </c>
      <c r="D304" s="376" t="s">
        <v>3713</v>
      </c>
      <c r="E304" s="429">
        <v>1619.0</v>
      </c>
      <c r="F304" s="429">
        <v>91.0</v>
      </c>
      <c r="G304" s="429">
        <v>0.0</v>
      </c>
      <c r="H304" s="429">
        <v>29.0</v>
      </c>
      <c r="I304" s="429">
        <v>29.0</v>
      </c>
      <c r="J304" s="430">
        <v>0.0</v>
      </c>
      <c r="K304" s="376" t="s">
        <v>6947</v>
      </c>
      <c r="L304" s="376">
        <v>5.35568433E9</v>
      </c>
      <c r="M304" s="376" t="s">
        <v>286</v>
      </c>
      <c r="N304" s="376" t="s">
        <v>4057</v>
      </c>
      <c r="O304" s="376" t="s">
        <v>6948</v>
      </c>
      <c r="P304" s="376" t="s">
        <v>3941</v>
      </c>
      <c r="Q304" s="16">
        <f>COUNTIF('hedef liste'!A:A,A304)</f>
        <v>1</v>
      </c>
    </row>
    <row r="305" hidden="1">
      <c r="A305" s="376" t="s">
        <v>2291</v>
      </c>
      <c r="B305" s="376" t="s">
        <v>2292</v>
      </c>
      <c r="C305" s="428" t="s">
        <v>6979</v>
      </c>
      <c r="D305" s="376" t="s">
        <v>3713</v>
      </c>
      <c r="E305" s="429">
        <v>4272.0</v>
      </c>
      <c r="F305" s="429">
        <v>151.0</v>
      </c>
      <c r="G305" s="429">
        <v>18.0</v>
      </c>
      <c r="H305" s="429">
        <v>23.0</v>
      </c>
      <c r="I305" s="429">
        <v>41.0</v>
      </c>
      <c r="J305" s="430">
        <v>0.44</v>
      </c>
      <c r="K305" s="376" t="s">
        <v>4167</v>
      </c>
      <c r="L305" s="376">
        <v>3.222610445E9</v>
      </c>
      <c r="M305" s="376" t="s">
        <v>286</v>
      </c>
      <c r="N305" s="376" t="s">
        <v>3855</v>
      </c>
      <c r="O305" s="376" t="s">
        <v>2294</v>
      </c>
      <c r="P305" s="376" t="s">
        <v>3941</v>
      </c>
      <c r="Q305" s="16">
        <f>COUNTIF('hedef liste'!A:A,A305)</f>
        <v>1</v>
      </c>
    </row>
    <row r="306" hidden="1">
      <c r="A306" s="376" t="s">
        <v>482</v>
      </c>
      <c r="B306" s="376" t="s">
        <v>483</v>
      </c>
      <c r="C306" s="428" t="s">
        <v>6979</v>
      </c>
      <c r="D306" s="376" t="s">
        <v>3699</v>
      </c>
      <c r="E306" s="429">
        <v>1299.0</v>
      </c>
      <c r="F306" s="429">
        <v>74.0</v>
      </c>
      <c r="G306" s="429">
        <v>31.0</v>
      </c>
      <c r="H306" s="429">
        <v>40.0</v>
      </c>
      <c r="I306" s="429">
        <v>71.0</v>
      </c>
      <c r="J306" s="430">
        <v>0.44</v>
      </c>
      <c r="K306" s="376" t="s">
        <v>5379</v>
      </c>
      <c r="L306" s="376">
        <v>5.353375796E9</v>
      </c>
      <c r="M306" s="376" t="s">
        <v>14</v>
      </c>
      <c r="N306" s="376" t="s">
        <v>3826</v>
      </c>
      <c r="O306" s="376" t="s">
        <v>485</v>
      </c>
      <c r="P306" s="376" t="s">
        <v>3941</v>
      </c>
      <c r="Q306" s="16">
        <f>COUNTIF('hedef liste'!A:A,A306)</f>
        <v>1</v>
      </c>
    </row>
    <row r="307" hidden="1">
      <c r="A307" s="376" t="s">
        <v>365</v>
      </c>
      <c r="B307" s="376" t="s">
        <v>366</v>
      </c>
      <c r="C307" s="428" t="s">
        <v>6979</v>
      </c>
      <c r="D307" s="376" t="s">
        <v>3759</v>
      </c>
      <c r="E307" s="429">
        <v>3230.0</v>
      </c>
      <c r="F307" s="429">
        <v>110.0</v>
      </c>
      <c r="G307" s="429">
        <v>10.0</v>
      </c>
      <c r="H307" s="429">
        <v>24.0</v>
      </c>
      <c r="I307" s="429">
        <v>34.0</v>
      </c>
      <c r="J307" s="430">
        <v>0.29</v>
      </c>
      <c r="K307" s="376" t="s">
        <v>5345</v>
      </c>
      <c r="L307" s="376">
        <v>5.524566102E9</v>
      </c>
      <c r="M307" s="376" t="s">
        <v>286</v>
      </c>
      <c r="N307" s="376" t="s">
        <v>3855</v>
      </c>
      <c r="O307" s="376" t="s">
        <v>369</v>
      </c>
      <c r="P307" s="376" t="s">
        <v>3941</v>
      </c>
      <c r="Q307" s="16">
        <f>COUNTIF('hedef liste'!A:A,A307)</f>
        <v>1</v>
      </c>
    </row>
    <row r="308" hidden="1">
      <c r="A308" s="376" t="s">
        <v>2432</v>
      </c>
      <c r="B308" s="376" t="s">
        <v>2433</v>
      </c>
      <c r="C308" s="428" t="s">
        <v>6979</v>
      </c>
      <c r="D308" s="376" t="s">
        <v>3699</v>
      </c>
      <c r="E308" s="429">
        <v>262.0</v>
      </c>
      <c r="F308" s="429">
        <v>16.0</v>
      </c>
      <c r="G308" s="429">
        <v>0.0</v>
      </c>
      <c r="H308" s="429">
        <v>26.0</v>
      </c>
      <c r="I308" s="429">
        <v>26.0</v>
      </c>
      <c r="J308" s="430">
        <v>0.0</v>
      </c>
      <c r="K308" s="376" t="s">
        <v>5706</v>
      </c>
      <c r="L308" s="376">
        <v>5.434211605E9</v>
      </c>
      <c r="M308" s="376" t="s">
        <v>286</v>
      </c>
      <c r="N308" s="376" t="s">
        <v>3737</v>
      </c>
      <c r="O308" s="376" t="s">
        <v>2435</v>
      </c>
      <c r="P308" s="376" t="s">
        <v>3941</v>
      </c>
      <c r="Q308" s="16">
        <f>COUNTIF('hedef liste'!A:A,A308)</f>
        <v>1</v>
      </c>
    </row>
    <row r="309" hidden="1">
      <c r="A309" s="376" t="s">
        <v>6588</v>
      </c>
      <c r="B309" s="376" t="s">
        <v>6589</v>
      </c>
      <c r="C309" s="428" t="s">
        <v>6979</v>
      </c>
      <c r="D309" s="376" t="s">
        <v>3676</v>
      </c>
      <c r="E309" s="429">
        <v>185.0</v>
      </c>
      <c r="F309" s="431"/>
      <c r="G309" s="429">
        <v>0.0</v>
      </c>
      <c r="H309" s="429">
        <v>21.0</v>
      </c>
      <c r="I309" s="429">
        <v>21.0</v>
      </c>
      <c r="J309" s="430">
        <v>0.0</v>
      </c>
      <c r="K309" s="376" t="s">
        <v>6590</v>
      </c>
      <c r="L309" s="376">
        <v>3.222612818E9</v>
      </c>
      <c r="M309" s="376" t="s">
        <v>286</v>
      </c>
      <c r="N309" s="376" t="s">
        <v>3746</v>
      </c>
      <c r="O309" s="376" t="s">
        <v>6591</v>
      </c>
      <c r="P309" s="376" t="s">
        <v>3941</v>
      </c>
      <c r="Q309" s="16">
        <f>COUNTIF('hedef liste'!A:A,A309)</f>
        <v>1</v>
      </c>
    </row>
    <row r="310" hidden="1">
      <c r="A310" s="376" t="s">
        <v>6951</v>
      </c>
      <c r="B310" s="376" t="s">
        <v>6952</v>
      </c>
      <c r="C310" s="428" t="s">
        <v>6979</v>
      </c>
      <c r="D310" s="376" t="s">
        <v>3713</v>
      </c>
      <c r="E310" s="429">
        <v>6619.0</v>
      </c>
      <c r="F310" s="429">
        <v>211.0</v>
      </c>
      <c r="G310" s="429">
        <v>0.0</v>
      </c>
      <c r="H310" s="429">
        <v>33.0</v>
      </c>
      <c r="I310" s="429">
        <v>33.0</v>
      </c>
      <c r="J310" s="430">
        <v>0.0</v>
      </c>
      <c r="K310" s="376" t="s">
        <v>6953</v>
      </c>
      <c r="L310" s="376">
        <v>3.22239304E9</v>
      </c>
      <c r="M310" s="376" t="s">
        <v>14</v>
      </c>
      <c r="N310" s="376" t="s">
        <v>3826</v>
      </c>
      <c r="O310" s="376" t="s">
        <v>6954</v>
      </c>
      <c r="P310" s="376" t="s">
        <v>3941</v>
      </c>
      <c r="Q310" s="16">
        <f>COUNTIF('hedef liste'!A:A,A310)</f>
        <v>1</v>
      </c>
    </row>
    <row r="311" hidden="1">
      <c r="A311" s="376" t="s">
        <v>2022</v>
      </c>
      <c r="B311" s="376" t="s">
        <v>2023</v>
      </c>
      <c r="C311" s="428" t="s">
        <v>6979</v>
      </c>
      <c r="D311" s="376" t="s">
        <v>3676</v>
      </c>
      <c r="E311" s="429">
        <v>4664.0</v>
      </c>
      <c r="F311" s="429">
        <v>142.0</v>
      </c>
      <c r="G311" s="429">
        <v>7.0</v>
      </c>
      <c r="H311" s="429">
        <v>24.0</v>
      </c>
      <c r="I311" s="429">
        <v>31.0</v>
      </c>
      <c r="J311" s="430">
        <v>0.23</v>
      </c>
      <c r="K311" s="376" t="s">
        <v>4549</v>
      </c>
      <c r="L311" s="376">
        <v>5.54136716E9</v>
      </c>
      <c r="M311" s="376" t="s">
        <v>286</v>
      </c>
      <c r="N311" s="376" t="s">
        <v>4550</v>
      </c>
      <c r="O311" s="376" t="s">
        <v>2026</v>
      </c>
      <c r="P311" s="376" t="s">
        <v>3941</v>
      </c>
      <c r="Q311" s="16">
        <f>COUNTIF('hedef liste'!A:A,A311)</f>
        <v>1</v>
      </c>
    </row>
    <row r="312" hidden="1">
      <c r="A312" s="376" t="s">
        <v>1017</v>
      </c>
      <c r="B312" s="376" t="s">
        <v>1018</v>
      </c>
      <c r="C312" s="428" t="s">
        <v>6979</v>
      </c>
      <c r="D312" s="376" t="s">
        <v>3994</v>
      </c>
      <c r="E312" s="429">
        <v>643.0</v>
      </c>
      <c r="F312" s="429">
        <v>30.0</v>
      </c>
      <c r="G312" s="429">
        <v>44.0</v>
      </c>
      <c r="H312" s="429">
        <v>42.0</v>
      </c>
      <c r="I312" s="429">
        <v>86.0</v>
      </c>
      <c r="J312" s="430">
        <v>0.51</v>
      </c>
      <c r="K312" s="376" t="s">
        <v>4813</v>
      </c>
      <c r="L312" s="376">
        <v>3.22247202E9</v>
      </c>
      <c r="M312" s="376" t="s">
        <v>14</v>
      </c>
      <c r="N312" s="376" t="s">
        <v>3935</v>
      </c>
      <c r="O312" s="376" t="s">
        <v>1020</v>
      </c>
      <c r="P312" s="376" t="s">
        <v>3941</v>
      </c>
      <c r="Q312" s="16">
        <f>COUNTIF('hedef liste'!A:A,A312)</f>
        <v>1</v>
      </c>
    </row>
    <row r="313" hidden="1">
      <c r="A313" s="376" t="s">
        <v>2942</v>
      </c>
      <c r="B313" s="376" t="s">
        <v>2943</v>
      </c>
      <c r="C313" s="428" t="s">
        <v>6979</v>
      </c>
      <c r="D313" s="376" t="s">
        <v>3690</v>
      </c>
      <c r="E313" s="429">
        <v>735.0</v>
      </c>
      <c r="F313" s="429">
        <v>18.0</v>
      </c>
      <c r="G313" s="429">
        <v>1.0</v>
      </c>
      <c r="H313" s="429">
        <v>9.0</v>
      </c>
      <c r="I313" s="429">
        <v>10.0</v>
      </c>
      <c r="J313" s="430">
        <v>0.1</v>
      </c>
      <c r="K313" s="376" t="s">
        <v>4030</v>
      </c>
      <c r="L313" s="376">
        <v>3.222340706E9</v>
      </c>
      <c r="M313" s="376" t="s">
        <v>14</v>
      </c>
      <c r="N313" s="376" t="s">
        <v>3797</v>
      </c>
      <c r="O313" s="376" t="s">
        <v>2946</v>
      </c>
      <c r="P313" s="376" t="s">
        <v>3941</v>
      </c>
      <c r="Q313" s="16">
        <f>COUNTIF('hedef liste'!A:A,A313)</f>
        <v>1</v>
      </c>
    </row>
    <row r="314" hidden="1">
      <c r="A314" s="376" t="s">
        <v>703</v>
      </c>
      <c r="B314" s="376" t="s">
        <v>7240</v>
      </c>
      <c r="C314" s="428" t="s">
        <v>6979</v>
      </c>
      <c r="D314" s="376" t="s">
        <v>3676</v>
      </c>
      <c r="E314" s="429">
        <v>543.0</v>
      </c>
      <c r="F314" s="429">
        <v>6.0</v>
      </c>
      <c r="G314" s="429">
        <v>10.0</v>
      </c>
      <c r="H314" s="429">
        <v>8.0</v>
      </c>
      <c r="I314" s="429">
        <v>18.0</v>
      </c>
      <c r="J314" s="430">
        <v>0.56</v>
      </c>
      <c r="K314" s="376" t="s">
        <v>3910</v>
      </c>
      <c r="L314" s="376">
        <v>3.224599062E9</v>
      </c>
      <c r="M314" s="376" t="s">
        <v>286</v>
      </c>
      <c r="N314" s="376" t="s">
        <v>3737</v>
      </c>
      <c r="O314" s="376" t="s">
        <v>706</v>
      </c>
      <c r="P314" s="376" t="s">
        <v>3941</v>
      </c>
      <c r="Q314" s="16">
        <f>COUNTIF('hedef liste'!A:A,A314)</f>
        <v>1</v>
      </c>
    </row>
    <row r="315" hidden="1">
      <c r="A315" s="376" t="s">
        <v>1166</v>
      </c>
      <c r="B315" s="376" t="s">
        <v>1167</v>
      </c>
      <c r="C315" s="428" t="s">
        <v>6979</v>
      </c>
      <c r="D315" s="376" t="s">
        <v>3912</v>
      </c>
      <c r="E315" s="429">
        <v>1887.0</v>
      </c>
      <c r="F315" s="429">
        <v>68.0</v>
      </c>
      <c r="G315" s="429">
        <v>17.0</v>
      </c>
      <c r="H315" s="429">
        <v>44.0</v>
      </c>
      <c r="I315" s="429">
        <v>61.0</v>
      </c>
      <c r="J315" s="430">
        <v>0.28</v>
      </c>
      <c r="K315" s="376" t="s">
        <v>6889</v>
      </c>
      <c r="L315" s="376">
        <v>5.445458329E9</v>
      </c>
      <c r="M315" s="376" t="s">
        <v>286</v>
      </c>
      <c r="N315" s="376" t="s">
        <v>4400</v>
      </c>
      <c r="O315" s="376" t="s">
        <v>1170</v>
      </c>
      <c r="P315" s="376" t="s">
        <v>3941</v>
      </c>
      <c r="Q315" s="16">
        <f>COUNTIF('hedef liste'!A:A,A315)</f>
        <v>1</v>
      </c>
    </row>
    <row r="316" hidden="1">
      <c r="A316" s="376" t="s">
        <v>1862</v>
      </c>
      <c r="B316" s="376" t="s">
        <v>1863</v>
      </c>
      <c r="C316" s="428" t="s">
        <v>6979</v>
      </c>
      <c r="D316" s="376" t="s">
        <v>3713</v>
      </c>
      <c r="E316" s="429">
        <v>2858.0</v>
      </c>
      <c r="F316" s="429">
        <v>156.0</v>
      </c>
      <c r="G316" s="429">
        <v>17.0</v>
      </c>
      <c r="H316" s="429">
        <v>1.0</v>
      </c>
      <c r="I316" s="429">
        <v>18.0</v>
      </c>
      <c r="J316" s="430">
        <v>0.94</v>
      </c>
      <c r="K316" s="376" t="s">
        <v>4902</v>
      </c>
      <c r="L316" s="376">
        <v>3.222325686E9</v>
      </c>
      <c r="M316" s="376" t="s">
        <v>14</v>
      </c>
      <c r="N316" s="376" t="s">
        <v>3797</v>
      </c>
      <c r="O316" s="376" t="s">
        <v>1866</v>
      </c>
      <c r="P316" s="376" t="s">
        <v>3941</v>
      </c>
      <c r="Q316" s="16">
        <f>COUNTIF('hedef liste'!A:A,A316)</f>
        <v>1</v>
      </c>
    </row>
    <row r="317" hidden="1">
      <c r="A317" s="376" t="s">
        <v>6673</v>
      </c>
      <c r="B317" s="376" t="s">
        <v>6674</v>
      </c>
      <c r="C317" s="428" t="s">
        <v>6979</v>
      </c>
      <c r="D317" s="376" t="s">
        <v>4000</v>
      </c>
      <c r="E317" s="429">
        <v>1595.0</v>
      </c>
      <c r="F317" s="429">
        <v>57.0</v>
      </c>
      <c r="G317" s="429">
        <v>0.0</v>
      </c>
      <c r="H317" s="429">
        <v>75.0</v>
      </c>
      <c r="I317" s="429">
        <v>75.0</v>
      </c>
      <c r="J317" s="430">
        <v>0.0</v>
      </c>
      <c r="K317" s="376" t="s">
        <v>6675</v>
      </c>
      <c r="L317" s="376">
        <v>8.508402855E9</v>
      </c>
      <c r="M317" s="376" t="s">
        <v>286</v>
      </c>
      <c r="N317" s="376" t="s">
        <v>3737</v>
      </c>
      <c r="O317" s="376" t="s">
        <v>6676</v>
      </c>
      <c r="P317" s="376" t="s">
        <v>3941</v>
      </c>
      <c r="Q317" s="16">
        <f>COUNTIF('hedef liste'!A:A,A317)</f>
        <v>1</v>
      </c>
    </row>
    <row r="318" hidden="1">
      <c r="A318" s="376" t="s">
        <v>1703</v>
      </c>
      <c r="B318" s="376" t="s">
        <v>7241</v>
      </c>
      <c r="C318" s="428" t="s">
        <v>6979</v>
      </c>
      <c r="D318" s="376" t="s">
        <v>3676</v>
      </c>
      <c r="E318" s="429">
        <v>3018.0</v>
      </c>
      <c r="F318" s="429">
        <v>29.0</v>
      </c>
      <c r="G318" s="429">
        <v>26.0</v>
      </c>
      <c r="H318" s="429">
        <v>4.0</v>
      </c>
      <c r="I318" s="429">
        <v>30.0</v>
      </c>
      <c r="J318" s="430">
        <v>0.87</v>
      </c>
      <c r="K318" s="376" t="s">
        <v>6449</v>
      </c>
      <c r="L318" s="376">
        <v>3.223418282E9</v>
      </c>
      <c r="M318" s="376" t="s">
        <v>3692</v>
      </c>
      <c r="N318" s="376" t="s">
        <v>5147</v>
      </c>
      <c r="O318" s="376" t="s">
        <v>1707</v>
      </c>
      <c r="P318" s="376" t="s">
        <v>3941</v>
      </c>
      <c r="Q318" s="16">
        <f>COUNTIF('hedef liste'!A:A,A318)</f>
        <v>1</v>
      </c>
    </row>
    <row r="319" hidden="1">
      <c r="A319" s="376" t="s">
        <v>4435</v>
      </c>
      <c r="B319" s="376" t="s">
        <v>7242</v>
      </c>
      <c r="C319" s="428" t="s">
        <v>6979</v>
      </c>
      <c r="D319" s="376" t="s">
        <v>4124</v>
      </c>
      <c r="E319" s="429">
        <v>975.0</v>
      </c>
      <c r="F319" s="429">
        <v>110.0</v>
      </c>
      <c r="G319" s="429">
        <v>0.0</v>
      </c>
      <c r="H319" s="429">
        <v>30.0</v>
      </c>
      <c r="I319" s="429">
        <v>30.0</v>
      </c>
      <c r="J319" s="430">
        <v>0.0</v>
      </c>
      <c r="K319" s="376" t="s">
        <v>4437</v>
      </c>
      <c r="L319" s="376">
        <v>3.226115555E9</v>
      </c>
      <c r="M319" s="376" t="s">
        <v>3701</v>
      </c>
      <c r="N319" s="376" t="s">
        <v>4342</v>
      </c>
      <c r="O319" s="376" t="s">
        <v>4438</v>
      </c>
      <c r="P319" s="376" t="s">
        <v>3941</v>
      </c>
      <c r="Q319" s="16">
        <f>COUNTIF('hedef liste'!A:A,A319)</f>
        <v>1</v>
      </c>
    </row>
    <row r="320" hidden="1">
      <c r="A320" s="376" t="s">
        <v>1824</v>
      </c>
      <c r="B320" s="376" t="s">
        <v>1825</v>
      </c>
      <c r="C320" s="428" t="s">
        <v>6979</v>
      </c>
      <c r="D320" s="376" t="s">
        <v>3690</v>
      </c>
      <c r="E320" s="429">
        <v>2112.0</v>
      </c>
      <c r="F320" s="429">
        <v>51.0</v>
      </c>
      <c r="G320" s="429">
        <v>16.0</v>
      </c>
      <c r="H320" s="429">
        <v>66.0</v>
      </c>
      <c r="I320" s="429">
        <v>82.0</v>
      </c>
      <c r="J320" s="430">
        <v>0.2</v>
      </c>
      <c r="K320" s="376" t="s">
        <v>7243</v>
      </c>
      <c r="L320" s="376">
        <v>8.506440601E9</v>
      </c>
      <c r="M320" s="376" t="s">
        <v>286</v>
      </c>
      <c r="N320" s="376" t="s">
        <v>3855</v>
      </c>
      <c r="O320" s="376" t="s">
        <v>1827</v>
      </c>
      <c r="P320" s="376" t="s">
        <v>3941</v>
      </c>
      <c r="Q320" s="16">
        <f>COUNTIF('hedef liste'!A:A,A320)</f>
        <v>1</v>
      </c>
    </row>
    <row r="321" hidden="1">
      <c r="A321" s="376" t="s">
        <v>6683</v>
      </c>
      <c r="B321" s="376" t="s">
        <v>6684</v>
      </c>
      <c r="C321" s="428" t="s">
        <v>7011</v>
      </c>
      <c r="D321" s="376" t="s">
        <v>3994</v>
      </c>
      <c r="E321" s="429">
        <v>462.0</v>
      </c>
      <c r="F321" s="431"/>
      <c r="G321" s="429">
        <v>0.0</v>
      </c>
      <c r="H321" s="429">
        <v>31.0</v>
      </c>
      <c r="I321" s="429">
        <v>31.0</v>
      </c>
      <c r="J321" s="430">
        <v>0.0</v>
      </c>
      <c r="K321" s="376" t="s">
        <v>6685</v>
      </c>
      <c r="L321" s="376">
        <v>3.22458001E9</v>
      </c>
      <c r="M321" s="376" t="s">
        <v>286</v>
      </c>
      <c r="N321" s="376" t="s">
        <v>3737</v>
      </c>
      <c r="O321" s="376" t="s">
        <v>6686</v>
      </c>
      <c r="P321" s="376" t="s">
        <v>3941</v>
      </c>
      <c r="Q321" s="16">
        <f>COUNTIF('hedef liste'!A:A,A321)</f>
        <v>1</v>
      </c>
    </row>
    <row r="322" hidden="1">
      <c r="A322" s="376" t="s">
        <v>7244</v>
      </c>
      <c r="B322" s="376" t="s">
        <v>7245</v>
      </c>
      <c r="C322" s="428" t="s">
        <v>6979</v>
      </c>
      <c r="D322" s="376" t="s">
        <v>3994</v>
      </c>
      <c r="E322" s="429">
        <v>3456.0</v>
      </c>
      <c r="F322" s="429">
        <v>128.0</v>
      </c>
      <c r="G322" s="429">
        <v>88.0</v>
      </c>
      <c r="H322" s="429">
        <v>0.0</v>
      </c>
      <c r="I322" s="429">
        <v>88.0</v>
      </c>
      <c r="J322" s="430">
        <v>1.0</v>
      </c>
      <c r="K322" s="376" t="s">
        <v>7111</v>
      </c>
      <c r="L322" s="376">
        <v>9.999999999E9</v>
      </c>
      <c r="M322" s="376" t="s">
        <v>286</v>
      </c>
      <c r="N322" s="376" t="s">
        <v>4235</v>
      </c>
      <c r="O322" s="376" t="s">
        <v>7246</v>
      </c>
      <c r="P322" s="376" t="s">
        <v>6982</v>
      </c>
      <c r="Q322" s="16">
        <f>COUNTIF('hedef liste'!A:A,A322)</f>
        <v>0</v>
      </c>
    </row>
    <row r="323" hidden="1">
      <c r="A323" s="376" t="s">
        <v>2151</v>
      </c>
      <c r="B323" s="376" t="s">
        <v>2152</v>
      </c>
      <c r="C323" s="428" t="s">
        <v>6979</v>
      </c>
      <c r="D323" s="376" t="s">
        <v>3713</v>
      </c>
      <c r="E323" s="429">
        <v>2358.0</v>
      </c>
      <c r="F323" s="429">
        <v>142.0</v>
      </c>
      <c r="G323" s="429">
        <v>15.0</v>
      </c>
      <c r="H323" s="429">
        <v>7.0</v>
      </c>
      <c r="I323" s="429">
        <v>22.0</v>
      </c>
      <c r="J323" s="430">
        <v>0.68</v>
      </c>
      <c r="K323" s="376" t="s">
        <v>5401</v>
      </c>
      <c r="L323" s="376">
        <v>3.223513512E9</v>
      </c>
      <c r="M323" s="376" t="s">
        <v>286</v>
      </c>
      <c r="N323" s="376" t="s">
        <v>5402</v>
      </c>
      <c r="O323" s="376" t="s">
        <v>2155</v>
      </c>
      <c r="P323" s="376" t="s">
        <v>3941</v>
      </c>
      <c r="Q323" s="16">
        <f>COUNTIF('hedef liste'!A:A,A323)</f>
        <v>1</v>
      </c>
    </row>
    <row r="324" hidden="1">
      <c r="A324" s="376" t="s">
        <v>4942</v>
      </c>
      <c r="B324" s="376" t="s">
        <v>4943</v>
      </c>
      <c r="C324" s="428" t="s">
        <v>7011</v>
      </c>
      <c r="D324" s="376" t="s">
        <v>4944</v>
      </c>
      <c r="E324" s="429">
        <v>3808.0</v>
      </c>
      <c r="F324" s="431"/>
      <c r="G324" s="429">
        <v>0.0</v>
      </c>
      <c r="H324" s="429">
        <v>28.0</v>
      </c>
      <c r="I324" s="429">
        <v>28.0</v>
      </c>
      <c r="J324" s="430">
        <v>0.0</v>
      </c>
      <c r="K324" s="376" t="s">
        <v>4945</v>
      </c>
      <c r="L324" s="376">
        <v>3.222471919E9</v>
      </c>
      <c r="M324" s="376" t="s">
        <v>14</v>
      </c>
      <c r="N324" s="376" t="s">
        <v>3826</v>
      </c>
      <c r="O324" s="376" t="s">
        <v>4946</v>
      </c>
      <c r="P324" s="376" t="s">
        <v>3941</v>
      </c>
      <c r="Q324" s="16">
        <f>COUNTIF('hedef liste'!A:A,A324)</f>
        <v>1</v>
      </c>
    </row>
    <row r="325" hidden="1">
      <c r="A325" s="376" t="s">
        <v>5438</v>
      </c>
      <c r="B325" s="376" t="s">
        <v>5439</v>
      </c>
      <c r="C325" s="428" t="s">
        <v>6979</v>
      </c>
      <c r="D325" s="376" t="s">
        <v>4000</v>
      </c>
      <c r="E325" s="429">
        <v>633.0</v>
      </c>
      <c r="F325" s="429">
        <v>39.0</v>
      </c>
      <c r="G325" s="429">
        <v>0.0</v>
      </c>
      <c r="H325" s="429">
        <v>53.0</v>
      </c>
      <c r="I325" s="429">
        <v>53.0</v>
      </c>
      <c r="J325" s="430">
        <v>0.0</v>
      </c>
      <c r="K325" s="376" t="s">
        <v>5440</v>
      </c>
      <c r="L325" s="376">
        <v>5.551900222E9</v>
      </c>
      <c r="M325" s="376" t="s">
        <v>3814</v>
      </c>
      <c r="N325" s="376" t="s">
        <v>4072</v>
      </c>
      <c r="O325" s="376" t="s">
        <v>5441</v>
      </c>
      <c r="P325" s="376" t="s">
        <v>3941</v>
      </c>
      <c r="Q325" s="16">
        <f>COUNTIF('hedef liste'!A:A,A325)</f>
        <v>1</v>
      </c>
    </row>
    <row r="326" hidden="1">
      <c r="A326" s="376" t="s">
        <v>7247</v>
      </c>
      <c r="B326" s="376" t="s">
        <v>7248</v>
      </c>
      <c r="C326" s="428" t="s">
        <v>6979</v>
      </c>
      <c r="D326" s="376" t="s">
        <v>3994</v>
      </c>
      <c r="E326" s="429">
        <v>7604.0</v>
      </c>
      <c r="F326" s="429">
        <v>114.0</v>
      </c>
      <c r="G326" s="429">
        <v>25.0</v>
      </c>
      <c r="H326" s="429">
        <v>2.0</v>
      </c>
      <c r="I326" s="429">
        <v>27.0</v>
      </c>
      <c r="J326" s="430">
        <v>0.93</v>
      </c>
      <c r="K326" s="376" t="s">
        <v>7249</v>
      </c>
      <c r="L326" s="376">
        <v>3.22422505E9</v>
      </c>
      <c r="M326" s="376" t="s">
        <v>286</v>
      </c>
      <c r="N326" s="376" t="s">
        <v>3855</v>
      </c>
      <c r="O326" s="376" t="s">
        <v>7250</v>
      </c>
      <c r="P326" s="376" t="s">
        <v>6982</v>
      </c>
      <c r="Q326" s="16">
        <f>COUNTIF('hedef liste'!A:A,A326)</f>
        <v>0</v>
      </c>
    </row>
    <row r="327" hidden="1">
      <c r="A327" s="376" t="s">
        <v>6710</v>
      </c>
      <c r="B327" s="376" t="s">
        <v>6711</v>
      </c>
      <c r="C327" s="428" t="s">
        <v>6979</v>
      </c>
      <c r="D327" s="376" t="s">
        <v>3676</v>
      </c>
      <c r="E327" s="429">
        <v>1090.0</v>
      </c>
      <c r="F327" s="429">
        <v>19.0</v>
      </c>
      <c r="G327" s="429">
        <v>11.0</v>
      </c>
      <c r="H327" s="429">
        <v>6.0</v>
      </c>
      <c r="I327" s="429">
        <v>17.0</v>
      </c>
      <c r="J327" s="430">
        <v>0.65</v>
      </c>
      <c r="K327" s="376" t="s">
        <v>6712</v>
      </c>
      <c r="L327" s="376">
        <v>3.223630993E9</v>
      </c>
      <c r="M327" s="376" t="s">
        <v>286</v>
      </c>
      <c r="N327" s="376" t="s">
        <v>4451</v>
      </c>
      <c r="O327" s="376" t="s">
        <v>6713</v>
      </c>
      <c r="P327" s="376" t="s">
        <v>3941</v>
      </c>
      <c r="Q327" s="16">
        <f>COUNTIF('hedef liste'!A:A,A327)</f>
        <v>1</v>
      </c>
    </row>
    <row r="328" hidden="1">
      <c r="A328" s="376" t="s">
        <v>7251</v>
      </c>
      <c r="B328" s="376" t="s">
        <v>7252</v>
      </c>
      <c r="C328" s="428" t="s">
        <v>6979</v>
      </c>
      <c r="D328" s="376" t="s">
        <v>3842</v>
      </c>
      <c r="E328" s="429">
        <v>19964.0</v>
      </c>
      <c r="F328" s="429">
        <v>570.0</v>
      </c>
      <c r="G328" s="429">
        <v>91.0</v>
      </c>
      <c r="H328" s="429">
        <v>1.0</v>
      </c>
      <c r="I328" s="429">
        <v>92.0</v>
      </c>
      <c r="J328" s="430">
        <v>0.99</v>
      </c>
      <c r="K328" s="376" t="s">
        <v>6980</v>
      </c>
      <c r="L328" s="376">
        <v>1.111111111E9</v>
      </c>
      <c r="M328" s="376" t="s">
        <v>14</v>
      </c>
      <c r="N328" s="376" t="s">
        <v>3733</v>
      </c>
      <c r="O328" s="376" t="s">
        <v>7253</v>
      </c>
      <c r="P328" s="376" t="s">
        <v>6982</v>
      </c>
      <c r="Q328" s="16">
        <f>COUNTIF('hedef liste'!A:A,A328)</f>
        <v>0</v>
      </c>
    </row>
    <row r="329" hidden="1">
      <c r="A329" s="376" t="s">
        <v>1078</v>
      </c>
      <c r="B329" s="376" t="s">
        <v>1079</v>
      </c>
      <c r="C329" s="428" t="s">
        <v>6979</v>
      </c>
      <c r="D329" s="376" t="s">
        <v>3801</v>
      </c>
      <c r="E329" s="429">
        <v>967.0</v>
      </c>
      <c r="F329" s="429">
        <v>50.0</v>
      </c>
      <c r="G329" s="429">
        <v>9.0</v>
      </c>
      <c r="H329" s="429">
        <v>11.0</v>
      </c>
      <c r="I329" s="429">
        <v>20.0</v>
      </c>
      <c r="J329" s="430">
        <v>0.45</v>
      </c>
      <c r="K329" s="376" t="s">
        <v>4603</v>
      </c>
      <c r="L329" s="376">
        <v>3.22999354E9</v>
      </c>
      <c r="M329" s="376" t="s">
        <v>14</v>
      </c>
      <c r="N329" s="376" t="s">
        <v>3826</v>
      </c>
      <c r="O329" s="376" t="s">
        <v>1081</v>
      </c>
      <c r="P329" s="376" t="s">
        <v>3941</v>
      </c>
      <c r="Q329" s="16">
        <f>COUNTIF('hedef liste'!A:A,A329)</f>
        <v>1</v>
      </c>
    </row>
    <row r="330" hidden="1">
      <c r="A330" s="376" t="s">
        <v>415</v>
      </c>
      <c r="B330" s="376" t="s">
        <v>416</v>
      </c>
      <c r="C330" s="428" t="s">
        <v>6979</v>
      </c>
      <c r="D330" s="376" t="s">
        <v>3713</v>
      </c>
      <c r="E330" s="429">
        <v>602.0</v>
      </c>
      <c r="F330" s="429">
        <v>32.0</v>
      </c>
      <c r="G330" s="429">
        <v>19.0</v>
      </c>
      <c r="H330" s="429">
        <v>7.0</v>
      </c>
      <c r="I330" s="429">
        <v>26.0</v>
      </c>
      <c r="J330" s="430">
        <v>0.73</v>
      </c>
      <c r="K330" s="376" t="s">
        <v>5758</v>
      </c>
      <c r="L330" s="376">
        <v>5.539359853E9</v>
      </c>
      <c r="M330" s="376" t="s">
        <v>14</v>
      </c>
      <c r="N330" s="376" t="s">
        <v>3935</v>
      </c>
      <c r="O330" s="376" t="s">
        <v>717</v>
      </c>
      <c r="P330" s="376" t="s">
        <v>3941</v>
      </c>
      <c r="Q330" s="16">
        <f>COUNTIF('hedef liste'!A:A,A330)</f>
        <v>1</v>
      </c>
    </row>
    <row r="331" hidden="1">
      <c r="A331" s="376" t="s">
        <v>656</v>
      </c>
      <c r="B331" s="376" t="s">
        <v>7254</v>
      </c>
      <c r="C331" s="428" t="s">
        <v>6979</v>
      </c>
      <c r="D331" s="376" t="s">
        <v>3699</v>
      </c>
      <c r="E331" s="429">
        <v>2203.0</v>
      </c>
      <c r="F331" s="429">
        <v>65.0</v>
      </c>
      <c r="G331" s="429">
        <v>18.0</v>
      </c>
      <c r="H331" s="429">
        <v>16.0</v>
      </c>
      <c r="I331" s="429">
        <v>34.0</v>
      </c>
      <c r="J331" s="430">
        <v>0.53</v>
      </c>
      <c r="K331" s="376" t="s">
        <v>6631</v>
      </c>
      <c r="L331" s="376">
        <v>3.225030606E9</v>
      </c>
      <c r="M331" s="376" t="s">
        <v>286</v>
      </c>
      <c r="N331" s="376" t="s">
        <v>3806</v>
      </c>
      <c r="O331" s="376" t="s">
        <v>660</v>
      </c>
      <c r="P331" s="376" t="s">
        <v>3941</v>
      </c>
      <c r="Q331" s="16">
        <f>COUNTIF('hedef liste'!A:A,A331)</f>
        <v>1</v>
      </c>
    </row>
    <row r="332" hidden="1">
      <c r="A332" s="376" t="s">
        <v>2231</v>
      </c>
      <c r="B332" s="376" t="s">
        <v>2232</v>
      </c>
      <c r="C332" s="428" t="s">
        <v>6979</v>
      </c>
      <c r="D332" s="376" t="s">
        <v>3759</v>
      </c>
      <c r="E332" s="429">
        <v>2360.0</v>
      </c>
      <c r="F332" s="429">
        <v>58.0</v>
      </c>
      <c r="G332" s="429">
        <v>36.0</v>
      </c>
      <c r="H332" s="429">
        <v>59.0</v>
      </c>
      <c r="I332" s="429">
        <v>95.0</v>
      </c>
      <c r="J332" s="430">
        <v>0.38</v>
      </c>
      <c r="K332" s="376" t="s">
        <v>6773</v>
      </c>
      <c r="L332" s="376">
        <v>5.339284051E9</v>
      </c>
      <c r="M332" s="376" t="s">
        <v>286</v>
      </c>
      <c r="N332" s="376" t="s">
        <v>3855</v>
      </c>
      <c r="O332" s="376" t="s">
        <v>2234</v>
      </c>
      <c r="P332" s="376" t="s">
        <v>3941</v>
      </c>
      <c r="Q332" s="16">
        <f>COUNTIF('hedef liste'!A:A,A332)</f>
        <v>1</v>
      </c>
    </row>
    <row r="333" hidden="1">
      <c r="A333" s="376" t="s">
        <v>422</v>
      </c>
      <c r="B333" s="376" t="s">
        <v>423</v>
      </c>
      <c r="C333" s="428" t="s">
        <v>6979</v>
      </c>
      <c r="D333" s="376" t="s">
        <v>3713</v>
      </c>
      <c r="E333" s="429">
        <v>741.0</v>
      </c>
      <c r="F333" s="429">
        <v>30.0</v>
      </c>
      <c r="G333" s="429">
        <v>0.0</v>
      </c>
      <c r="H333" s="429">
        <v>19.0</v>
      </c>
      <c r="I333" s="429">
        <v>19.0</v>
      </c>
      <c r="J333" s="430">
        <v>0.0</v>
      </c>
      <c r="K333" s="376" t="s">
        <v>6758</v>
      </c>
      <c r="L333" s="376">
        <v>5.386466545E9</v>
      </c>
      <c r="M333" s="376" t="s">
        <v>14</v>
      </c>
      <c r="N333" s="376" t="s">
        <v>3935</v>
      </c>
      <c r="O333" s="376" t="s">
        <v>426</v>
      </c>
      <c r="P333" s="376" t="s">
        <v>3941</v>
      </c>
      <c r="Q333" s="16">
        <f>COUNTIF('hedef liste'!A:A,A333)</f>
        <v>1</v>
      </c>
    </row>
    <row r="334" hidden="1">
      <c r="A334" s="376" t="s">
        <v>2454</v>
      </c>
      <c r="B334" s="376" t="s">
        <v>2455</v>
      </c>
      <c r="C334" s="428" t="s">
        <v>6979</v>
      </c>
      <c r="D334" s="376" t="s">
        <v>3713</v>
      </c>
      <c r="E334" s="429">
        <v>1993.0</v>
      </c>
      <c r="F334" s="429">
        <v>42.0</v>
      </c>
      <c r="G334" s="429">
        <v>7.0</v>
      </c>
      <c r="H334" s="429">
        <v>16.0</v>
      </c>
      <c r="I334" s="429">
        <v>23.0</v>
      </c>
      <c r="J334" s="430">
        <v>0.3</v>
      </c>
      <c r="K334" s="376" t="s">
        <v>6558</v>
      </c>
      <c r="L334" s="376">
        <v>5.427378893E9</v>
      </c>
      <c r="M334" s="376" t="s">
        <v>14</v>
      </c>
      <c r="N334" s="376" t="s">
        <v>3935</v>
      </c>
      <c r="O334" s="376" t="s">
        <v>2457</v>
      </c>
      <c r="P334" s="376" t="s">
        <v>3941</v>
      </c>
      <c r="Q334" s="16">
        <f>COUNTIF('hedef liste'!A:A,A334)</f>
        <v>1</v>
      </c>
    </row>
    <row r="335" hidden="1">
      <c r="A335" s="376" t="s">
        <v>214</v>
      </c>
      <c r="B335" s="376" t="s">
        <v>215</v>
      </c>
      <c r="C335" s="428" t="s">
        <v>6979</v>
      </c>
      <c r="D335" s="376" t="s">
        <v>3883</v>
      </c>
      <c r="E335" s="429">
        <v>2052.0</v>
      </c>
      <c r="F335" s="429">
        <v>155.0</v>
      </c>
      <c r="G335" s="429">
        <v>22.0</v>
      </c>
      <c r="H335" s="429">
        <v>11.0</v>
      </c>
      <c r="I335" s="429">
        <v>33.0</v>
      </c>
      <c r="J335" s="430">
        <v>0.67</v>
      </c>
      <c r="K335" s="376" t="s">
        <v>4887</v>
      </c>
      <c r="L335" s="376">
        <v>3.229993032E9</v>
      </c>
      <c r="M335" s="376" t="s">
        <v>14</v>
      </c>
      <c r="N335" s="376" t="s">
        <v>3733</v>
      </c>
      <c r="O335" s="376" t="s">
        <v>217</v>
      </c>
      <c r="P335" s="376" t="s">
        <v>3941</v>
      </c>
      <c r="Q335" s="16">
        <f>COUNTIF('hedef liste'!A:A,A335)</f>
        <v>1</v>
      </c>
    </row>
    <row r="336" hidden="1">
      <c r="A336" s="376" t="s">
        <v>1876</v>
      </c>
      <c r="B336" s="376" t="s">
        <v>1877</v>
      </c>
      <c r="C336" s="428" t="s">
        <v>6979</v>
      </c>
      <c r="D336" s="376" t="s">
        <v>3713</v>
      </c>
      <c r="E336" s="429">
        <v>1180.0</v>
      </c>
      <c r="F336" s="429">
        <v>49.0</v>
      </c>
      <c r="G336" s="429">
        <v>0.0</v>
      </c>
      <c r="H336" s="429">
        <v>13.0</v>
      </c>
      <c r="I336" s="429">
        <v>13.0</v>
      </c>
      <c r="J336" s="430">
        <v>0.0</v>
      </c>
      <c r="K336" s="376" t="s">
        <v>5843</v>
      </c>
      <c r="L336" s="376">
        <v>3.223651775E9</v>
      </c>
      <c r="M336" s="376" t="s">
        <v>286</v>
      </c>
      <c r="N336" s="376" t="s">
        <v>5844</v>
      </c>
      <c r="O336" s="376" t="s">
        <v>1880</v>
      </c>
      <c r="P336" s="376" t="s">
        <v>3941</v>
      </c>
      <c r="Q336" s="16">
        <f>COUNTIF('hedef liste'!A:A,A336)</f>
        <v>1</v>
      </c>
    </row>
    <row r="337" hidden="1">
      <c r="A337" s="376" t="s">
        <v>1674</v>
      </c>
      <c r="B337" s="376" t="s">
        <v>1675</v>
      </c>
      <c r="C337" s="428" t="s">
        <v>6979</v>
      </c>
      <c r="D337" s="376" t="s">
        <v>3676</v>
      </c>
      <c r="E337" s="429">
        <v>251.0</v>
      </c>
      <c r="F337" s="429">
        <v>4.0</v>
      </c>
      <c r="G337" s="429">
        <v>0.0</v>
      </c>
      <c r="H337" s="429">
        <v>45.0</v>
      </c>
      <c r="I337" s="429">
        <v>45.0</v>
      </c>
      <c r="J337" s="430">
        <v>0.0</v>
      </c>
      <c r="K337" s="376" t="s">
        <v>4764</v>
      </c>
      <c r="L337" s="376">
        <v>3.2223949E9</v>
      </c>
      <c r="M337" s="376" t="s">
        <v>14</v>
      </c>
      <c r="N337" s="376" t="s">
        <v>3718</v>
      </c>
      <c r="O337" s="376" t="s">
        <v>1677</v>
      </c>
      <c r="P337" s="376" t="s">
        <v>3941</v>
      </c>
      <c r="Q337" s="16">
        <f>COUNTIF('hedef liste'!A:A,A337)</f>
        <v>1</v>
      </c>
    </row>
    <row r="338" hidden="1">
      <c r="A338" s="376" t="s">
        <v>4364</v>
      </c>
      <c r="B338" s="376" t="s">
        <v>4365</v>
      </c>
      <c r="C338" s="428" t="s">
        <v>6979</v>
      </c>
      <c r="D338" s="376" t="s">
        <v>4000</v>
      </c>
      <c r="E338" s="429">
        <v>187.0</v>
      </c>
      <c r="F338" s="429">
        <v>5.0</v>
      </c>
      <c r="G338" s="429">
        <v>0.0</v>
      </c>
      <c r="H338" s="429">
        <v>25.0</v>
      </c>
      <c r="I338" s="429">
        <v>25.0</v>
      </c>
      <c r="J338" s="430">
        <v>0.0</v>
      </c>
      <c r="K338" s="376" t="s">
        <v>4366</v>
      </c>
      <c r="L338" s="376">
        <v>3.222331473E9</v>
      </c>
      <c r="M338" s="376" t="s">
        <v>14</v>
      </c>
      <c r="N338" s="376" t="s">
        <v>3767</v>
      </c>
      <c r="O338" s="376" t="s">
        <v>4367</v>
      </c>
      <c r="P338" s="376" t="s">
        <v>3941</v>
      </c>
      <c r="Q338" s="16">
        <f>COUNTIF('hedef liste'!A:A,A338)</f>
        <v>1</v>
      </c>
    </row>
    <row r="339" hidden="1">
      <c r="A339" s="376" t="s">
        <v>5307</v>
      </c>
      <c r="B339" s="376" t="s">
        <v>5308</v>
      </c>
      <c r="C339" s="428" t="s">
        <v>6979</v>
      </c>
      <c r="D339" s="376" t="s">
        <v>3759</v>
      </c>
      <c r="E339" s="429">
        <v>3355.0</v>
      </c>
      <c r="F339" s="429">
        <v>220.0</v>
      </c>
      <c r="G339" s="429">
        <v>0.0</v>
      </c>
      <c r="H339" s="429">
        <v>73.0</v>
      </c>
      <c r="I339" s="429">
        <v>73.0</v>
      </c>
      <c r="J339" s="430">
        <v>0.0</v>
      </c>
      <c r="K339" s="376" t="s">
        <v>5309</v>
      </c>
      <c r="L339" s="376">
        <v>3.222242426E9</v>
      </c>
      <c r="M339" s="376" t="s">
        <v>286</v>
      </c>
      <c r="N339" s="376" t="s">
        <v>3769</v>
      </c>
      <c r="O339" s="376" t="s">
        <v>5310</v>
      </c>
      <c r="P339" s="376" t="s">
        <v>3941</v>
      </c>
      <c r="Q339" s="16">
        <f>COUNTIF('hedef liste'!A:A,A339)</f>
        <v>1</v>
      </c>
    </row>
    <row r="340" hidden="1">
      <c r="A340" s="376" t="s">
        <v>6935</v>
      </c>
      <c r="B340" s="376" t="s">
        <v>6936</v>
      </c>
      <c r="C340" s="428" t="s">
        <v>6979</v>
      </c>
      <c r="D340" s="376" t="s">
        <v>3713</v>
      </c>
      <c r="E340" s="429">
        <v>3097.0</v>
      </c>
      <c r="F340" s="429">
        <v>91.0</v>
      </c>
      <c r="G340" s="429">
        <v>11.0</v>
      </c>
      <c r="H340" s="429">
        <v>13.0</v>
      </c>
      <c r="I340" s="429">
        <v>24.0</v>
      </c>
      <c r="J340" s="430">
        <v>0.46</v>
      </c>
      <c r="K340" s="376" t="s">
        <v>6937</v>
      </c>
      <c r="L340" s="376">
        <v>3.2243344E9</v>
      </c>
      <c r="M340" s="376" t="s">
        <v>286</v>
      </c>
      <c r="N340" s="376" t="s">
        <v>4760</v>
      </c>
      <c r="O340" s="376" t="s">
        <v>1733</v>
      </c>
      <c r="P340" s="376" t="s">
        <v>3941</v>
      </c>
      <c r="Q340" s="16">
        <f>COUNTIF('hedef liste'!A:A,A340)</f>
        <v>1</v>
      </c>
    </row>
    <row r="341" hidden="1">
      <c r="A341" s="376" t="s">
        <v>2701</v>
      </c>
      <c r="B341" s="376" t="s">
        <v>2702</v>
      </c>
      <c r="C341" s="428" t="s">
        <v>6979</v>
      </c>
      <c r="D341" s="376" t="s">
        <v>4000</v>
      </c>
      <c r="E341" s="429">
        <v>2607.0</v>
      </c>
      <c r="F341" s="429">
        <v>72.0</v>
      </c>
      <c r="G341" s="429">
        <v>4.0</v>
      </c>
      <c r="H341" s="429">
        <v>68.0</v>
      </c>
      <c r="I341" s="429">
        <v>72.0</v>
      </c>
      <c r="J341" s="430">
        <v>0.06</v>
      </c>
      <c r="K341" s="376" t="s">
        <v>6678</v>
      </c>
      <c r="L341" s="376">
        <v>8.508402855E9</v>
      </c>
      <c r="M341" s="376" t="s">
        <v>14</v>
      </c>
      <c r="N341" s="376" t="s">
        <v>3797</v>
      </c>
      <c r="O341" s="376" t="s">
        <v>2704</v>
      </c>
      <c r="P341" s="376" t="s">
        <v>3941</v>
      </c>
      <c r="Q341" s="16">
        <f>COUNTIF('hedef liste'!A:A,A341)</f>
        <v>1</v>
      </c>
    </row>
    <row r="342" hidden="1">
      <c r="A342" s="376" t="s">
        <v>1195</v>
      </c>
      <c r="B342" s="376" t="s">
        <v>1196</v>
      </c>
      <c r="C342" s="428" t="s">
        <v>6979</v>
      </c>
      <c r="D342" s="376" t="s">
        <v>3699</v>
      </c>
      <c r="E342" s="429">
        <v>4588.0</v>
      </c>
      <c r="F342" s="429">
        <v>183.0</v>
      </c>
      <c r="G342" s="429">
        <v>32.0</v>
      </c>
      <c r="H342" s="429">
        <v>4.0</v>
      </c>
      <c r="I342" s="429">
        <v>36.0</v>
      </c>
      <c r="J342" s="430">
        <v>0.89</v>
      </c>
      <c r="K342" s="376" t="s">
        <v>6543</v>
      </c>
      <c r="L342" s="376">
        <v>3.224532781E9</v>
      </c>
      <c r="M342" s="376" t="s">
        <v>286</v>
      </c>
      <c r="N342" s="376" t="s">
        <v>4451</v>
      </c>
      <c r="O342" s="376" t="s">
        <v>1198</v>
      </c>
      <c r="P342" s="376" t="s">
        <v>3941</v>
      </c>
      <c r="Q342" s="16">
        <f>COUNTIF('hedef liste'!A:A,A342)</f>
        <v>1</v>
      </c>
    </row>
    <row r="343" hidden="1">
      <c r="A343" s="376" t="s">
        <v>6467</v>
      </c>
      <c r="B343" s="376" t="s">
        <v>7255</v>
      </c>
      <c r="C343" s="428" t="s">
        <v>7011</v>
      </c>
      <c r="D343" s="376" t="s">
        <v>3883</v>
      </c>
      <c r="E343" s="429">
        <v>173.0</v>
      </c>
      <c r="F343" s="431"/>
      <c r="G343" s="429">
        <v>41.0</v>
      </c>
      <c r="H343" s="429">
        <v>94.0</v>
      </c>
      <c r="I343" s="429">
        <v>135.0</v>
      </c>
      <c r="J343" s="430">
        <v>0.3</v>
      </c>
      <c r="K343" s="376" t="s">
        <v>6469</v>
      </c>
      <c r="L343" s="376">
        <v>5.458292616E9</v>
      </c>
      <c r="M343" s="376" t="s">
        <v>3707</v>
      </c>
      <c r="N343" s="376" t="s">
        <v>5130</v>
      </c>
      <c r="O343" s="376" t="s">
        <v>6470</v>
      </c>
      <c r="P343" s="376" t="s">
        <v>3941</v>
      </c>
      <c r="Q343" s="16">
        <f>COUNTIF('hedef liste'!A:A,A343)</f>
        <v>1</v>
      </c>
    </row>
    <row r="344" hidden="1">
      <c r="A344" s="376" t="s">
        <v>3840</v>
      </c>
      <c r="B344" s="376" t="s">
        <v>3841</v>
      </c>
      <c r="C344" s="428" t="s">
        <v>6979</v>
      </c>
      <c r="D344" s="376" t="s">
        <v>3842</v>
      </c>
      <c r="E344" s="429">
        <v>1799.0</v>
      </c>
      <c r="F344" s="429">
        <v>83.0</v>
      </c>
      <c r="G344" s="429">
        <v>0.0</v>
      </c>
      <c r="H344" s="429">
        <v>21.0</v>
      </c>
      <c r="I344" s="429">
        <v>21.0</v>
      </c>
      <c r="J344" s="430">
        <v>0.0</v>
      </c>
      <c r="K344" s="376" t="s">
        <v>3843</v>
      </c>
      <c r="L344" s="376">
        <v>5.41445694E9</v>
      </c>
      <c r="M344" s="376" t="s">
        <v>14</v>
      </c>
      <c r="N344" s="376" t="s">
        <v>3718</v>
      </c>
      <c r="O344" s="376" t="s">
        <v>3844</v>
      </c>
      <c r="P344" s="376" t="s">
        <v>3941</v>
      </c>
      <c r="Q344" s="16">
        <f>COUNTIF('hedef liste'!A:A,A344)</f>
        <v>1</v>
      </c>
    </row>
    <row r="345" hidden="1">
      <c r="A345" s="376" t="s">
        <v>6161</v>
      </c>
      <c r="B345" s="376" t="s">
        <v>6162</v>
      </c>
      <c r="C345" s="428" t="s">
        <v>6979</v>
      </c>
      <c r="D345" s="376" t="s">
        <v>3699</v>
      </c>
      <c r="E345" s="429">
        <v>1868.0</v>
      </c>
      <c r="F345" s="429">
        <v>136.0</v>
      </c>
      <c r="G345" s="429">
        <v>0.0</v>
      </c>
      <c r="H345" s="429">
        <v>55.0</v>
      </c>
      <c r="I345" s="429">
        <v>55.0</v>
      </c>
      <c r="J345" s="430">
        <v>0.0</v>
      </c>
      <c r="K345" s="376" t="s">
        <v>6163</v>
      </c>
      <c r="L345" s="376">
        <v>5.064874475E9</v>
      </c>
      <c r="M345" s="376" t="s">
        <v>14</v>
      </c>
      <c r="N345" s="376" t="s">
        <v>5433</v>
      </c>
      <c r="O345" s="376" t="s">
        <v>3472</v>
      </c>
      <c r="P345" s="376" t="s">
        <v>3941</v>
      </c>
      <c r="Q345" s="16">
        <f>COUNTIF('hedef liste'!A:A,A345)</f>
        <v>1</v>
      </c>
    </row>
    <row r="346" hidden="1">
      <c r="A346" s="376" t="s">
        <v>689</v>
      </c>
      <c r="B346" s="376" t="s">
        <v>690</v>
      </c>
      <c r="C346" s="428" t="s">
        <v>7011</v>
      </c>
      <c r="D346" s="376" t="s">
        <v>3676</v>
      </c>
      <c r="E346" s="429">
        <v>3305.0</v>
      </c>
      <c r="F346" s="431"/>
      <c r="G346" s="429">
        <v>33.0</v>
      </c>
      <c r="H346" s="429">
        <v>11.0</v>
      </c>
      <c r="I346" s="429">
        <v>44.0</v>
      </c>
      <c r="J346" s="430">
        <v>0.75</v>
      </c>
      <c r="K346" s="376" t="s">
        <v>6324</v>
      </c>
      <c r="L346" s="376">
        <v>5.45432809E9</v>
      </c>
      <c r="M346" s="376" t="s">
        <v>14</v>
      </c>
      <c r="N346" s="376" t="s">
        <v>3733</v>
      </c>
      <c r="O346" s="376" t="s">
        <v>692</v>
      </c>
      <c r="P346" s="376" t="s">
        <v>3941</v>
      </c>
      <c r="Q346" s="16">
        <f>COUNTIF('hedef liste'!A:A,A346)</f>
        <v>1</v>
      </c>
    </row>
    <row r="347" hidden="1">
      <c r="A347" s="376" t="s">
        <v>6818</v>
      </c>
      <c r="B347" s="376" t="s">
        <v>7256</v>
      </c>
      <c r="C347" s="428" t="s">
        <v>6979</v>
      </c>
      <c r="D347" s="376" t="s">
        <v>3713</v>
      </c>
      <c r="E347" s="429">
        <v>5470.0</v>
      </c>
      <c r="F347" s="429">
        <v>146.0</v>
      </c>
      <c r="G347" s="429">
        <v>0.0</v>
      </c>
      <c r="H347" s="429">
        <v>42.0</v>
      </c>
      <c r="I347" s="429">
        <v>42.0</v>
      </c>
      <c r="J347" s="430">
        <v>0.0</v>
      </c>
      <c r="K347" s="376" t="s">
        <v>6820</v>
      </c>
      <c r="L347" s="376">
        <v>3.223293515E9</v>
      </c>
      <c r="M347" s="376" t="s">
        <v>3707</v>
      </c>
      <c r="N347" s="376" t="s">
        <v>3761</v>
      </c>
      <c r="O347" s="376" t="s">
        <v>6821</v>
      </c>
      <c r="P347" s="376" t="s">
        <v>3941</v>
      </c>
      <c r="Q347" s="16">
        <f>COUNTIF('hedef liste'!A:A,A347)</f>
        <v>1</v>
      </c>
    </row>
    <row r="348" hidden="1">
      <c r="A348" s="376" t="s">
        <v>5271</v>
      </c>
      <c r="B348" s="376" t="s">
        <v>5272</v>
      </c>
      <c r="C348" s="428" t="s">
        <v>6979</v>
      </c>
      <c r="D348" s="376" t="s">
        <v>3713</v>
      </c>
      <c r="E348" s="429">
        <v>94.0</v>
      </c>
      <c r="F348" s="429">
        <v>10.0</v>
      </c>
      <c r="G348" s="429">
        <v>0.0</v>
      </c>
      <c r="H348" s="429">
        <v>24.0</v>
      </c>
      <c r="I348" s="429">
        <v>24.0</v>
      </c>
      <c r="J348" s="430">
        <v>0.0</v>
      </c>
      <c r="K348" s="376" t="s">
        <v>5273</v>
      </c>
      <c r="L348" s="376">
        <v>5.37649812E9</v>
      </c>
      <c r="M348" s="376" t="s">
        <v>3692</v>
      </c>
      <c r="N348" s="376" t="s">
        <v>3693</v>
      </c>
      <c r="O348" s="376" t="s">
        <v>5274</v>
      </c>
      <c r="P348" s="376" t="s">
        <v>3941</v>
      </c>
      <c r="Q348" s="16">
        <f>COUNTIF('hedef liste'!A:A,A348)</f>
        <v>1</v>
      </c>
    </row>
    <row r="349" hidden="1">
      <c r="A349" s="376" t="s">
        <v>861</v>
      </c>
      <c r="B349" s="376" t="s">
        <v>862</v>
      </c>
      <c r="C349" s="428" t="s">
        <v>6979</v>
      </c>
      <c r="D349" s="376" t="s">
        <v>3749</v>
      </c>
      <c r="E349" s="429">
        <v>920.0</v>
      </c>
      <c r="F349" s="429">
        <v>22.0</v>
      </c>
      <c r="G349" s="429">
        <v>20.0</v>
      </c>
      <c r="H349" s="429">
        <v>41.0</v>
      </c>
      <c r="I349" s="429">
        <v>61.0</v>
      </c>
      <c r="J349" s="430">
        <v>0.33</v>
      </c>
      <c r="K349" s="376" t="s">
        <v>6768</v>
      </c>
      <c r="L349" s="376">
        <v>5.525235273E9</v>
      </c>
      <c r="M349" s="376" t="s">
        <v>14</v>
      </c>
      <c r="N349" s="376" t="s">
        <v>3914</v>
      </c>
      <c r="O349" s="376" t="s">
        <v>864</v>
      </c>
      <c r="P349" s="376" t="s">
        <v>3941</v>
      </c>
      <c r="Q349" s="16">
        <f>COUNTIF('hedef liste'!A:A,A349)</f>
        <v>1</v>
      </c>
    </row>
    <row r="350" hidden="1">
      <c r="A350" s="376" t="s">
        <v>2367</v>
      </c>
      <c r="B350" s="376" t="s">
        <v>2368</v>
      </c>
      <c r="C350" s="428" t="s">
        <v>6979</v>
      </c>
      <c r="D350" s="376" t="s">
        <v>3676</v>
      </c>
      <c r="E350" s="429">
        <v>2101.0</v>
      </c>
      <c r="F350" s="429">
        <v>26.0</v>
      </c>
      <c r="G350" s="429">
        <v>10.0</v>
      </c>
      <c r="H350" s="429">
        <v>11.0</v>
      </c>
      <c r="I350" s="429">
        <v>21.0</v>
      </c>
      <c r="J350" s="430">
        <v>0.48</v>
      </c>
      <c r="K350" s="376" t="s">
        <v>5680</v>
      </c>
      <c r="L350" s="376">
        <v>5.426197983E9</v>
      </c>
      <c r="M350" s="376" t="s">
        <v>286</v>
      </c>
      <c r="N350" s="376" t="s">
        <v>3782</v>
      </c>
      <c r="O350" s="376" t="s">
        <v>2370</v>
      </c>
      <c r="P350" s="376" t="s">
        <v>3941</v>
      </c>
      <c r="Q350" s="16">
        <f>COUNTIF('hedef liste'!A:A,A350)</f>
        <v>1</v>
      </c>
    </row>
    <row r="351" hidden="1">
      <c r="A351" s="376" t="s">
        <v>4461</v>
      </c>
      <c r="B351" s="376" t="s">
        <v>4462</v>
      </c>
      <c r="C351" s="428" t="s">
        <v>6979</v>
      </c>
      <c r="D351" s="376" t="s">
        <v>3699</v>
      </c>
      <c r="E351" s="429">
        <v>634.0</v>
      </c>
      <c r="F351" s="429">
        <v>46.0</v>
      </c>
      <c r="G351" s="429">
        <v>29.0</v>
      </c>
      <c r="H351" s="429">
        <v>13.0</v>
      </c>
      <c r="I351" s="429">
        <v>42.0</v>
      </c>
      <c r="J351" s="430">
        <v>0.69</v>
      </c>
      <c r="K351" s="376" t="s">
        <v>4463</v>
      </c>
      <c r="L351" s="376">
        <v>5.38924585E9</v>
      </c>
      <c r="M351" s="376" t="s">
        <v>14</v>
      </c>
      <c r="N351" s="376" t="s">
        <v>3797</v>
      </c>
      <c r="O351" s="376" t="s">
        <v>4464</v>
      </c>
      <c r="P351" s="376" t="s">
        <v>3941</v>
      </c>
      <c r="Q351" s="16">
        <f>COUNTIF('hedef liste'!A:A,A351)</f>
        <v>1</v>
      </c>
    </row>
    <row r="352" hidden="1">
      <c r="A352" s="376" t="s">
        <v>4677</v>
      </c>
      <c r="B352" s="376" t="s">
        <v>4678</v>
      </c>
      <c r="C352" s="428" t="s">
        <v>6979</v>
      </c>
      <c r="D352" s="376" t="s">
        <v>3878</v>
      </c>
      <c r="E352" s="429">
        <v>533.0</v>
      </c>
      <c r="F352" s="429">
        <v>14.0</v>
      </c>
      <c r="G352" s="429">
        <v>0.0</v>
      </c>
      <c r="H352" s="429">
        <v>32.0</v>
      </c>
      <c r="I352" s="429">
        <v>32.0</v>
      </c>
      <c r="J352" s="430">
        <v>0.0</v>
      </c>
      <c r="K352" s="376" t="s">
        <v>4679</v>
      </c>
      <c r="L352" s="376">
        <v>3.222397878E9</v>
      </c>
      <c r="M352" s="376" t="s">
        <v>286</v>
      </c>
      <c r="N352" s="376" t="s">
        <v>3688</v>
      </c>
      <c r="O352" s="376" t="s">
        <v>4680</v>
      </c>
      <c r="P352" s="376" t="s">
        <v>3941</v>
      </c>
      <c r="Q352" s="16">
        <f>COUNTIF('hedef liste'!A:A,A352)</f>
        <v>1</v>
      </c>
    </row>
    <row r="353" hidden="1">
      <c r="A353" s="376" t="s">
        <v>1454</v>
      </c>
      <c r="B353" s="376" t="s">
        <v>1455</v>
      </c>
      <c r="C353" s="428" t="s">
        <v>6979</v>
      </c>
      <c r="D353" s="376" t="s">
        <v>3878</v>
      </c>
      <c r="E353" s="429">
        <v>335.0</v>
      </c>
      <c r="F353" s="429">
        <v>25.0</v>
      </c>
      <c r="G353" s="429">
        <v>0.0</v>
      </c>
      <c r="H353" s="429">
        <v>37.0</v>
      </c>
      <c r="I353" s="429">
        <v>37.0</v>
      </c>
      <c r="J353" s="430">
        <v>0.0</v>
      </c>
      <c r="K353" s="376" t="s">
        <v>6690</v>
      </c>
      <c r="L353" s="376">
        <v>5.422575744E9</v>
      </c>
      <c r="M353" s="376" t="s">
        <v>286</v>
      </c>
      <c r="N353" s="376" t="s">
        <v>3737</v>
      </c>
      <c r="O353" s="376" t="s">
        <v>1458</v>
      </c>
      <c r="P353" s="376" t="s">
        <v>3941</v>
      </c>
      <c r="Q353" s="16">
        <f>COUNTIF('hedef liste'!A:A,A353)</f>
        <v>1</v>
      </c>
    </row>
    <row r="354" hidden="1">
      <c r="A354" s="376" t="s">
        <v>3724</v>
      </c>
      <c r="B354" s="376" t="s">
        <v>3725</v>
      </c>
      <c r="C354" s="428" t="s">
        <v>6979</v>
      </c>
      <c r="D354" s="376" t="s">
        <v>3713</v>
      </c>
      <c r="E354" s="429">
        <v>137.0</v>
      </c>
      <c r="F354" s="431"/>
      <c r="G354" s="429">
        <v>0.0</v>
      </c>
      <c r="H354" s="429">
        <v>35.0</v>
      </c>
      <c r="I354" s="429">
        <v>35.0</v>
      </c>
      <c r="J354" s="430">
        <v>0.0</v>
      </c>
      <c r="K354" s="376" t="s">
        <v>3726</v>
      </c>
      <c r="L354" s="376">
        <v>3.224582868E9</v>
      </c>
      <c r="M354" s="376" t="s">
        <v>286</v>
      </c>
      <c r="N354" s="376" t="s">
        <v>3688</v>
      </c>
      <c r="O354" s="376" t="s">
        <v>3727</v>
      </c>
      <c r="P354" s="376" t="s">
        <v>3941</v>
      </c>
      <c r="Q354" s="16">
        <f>COUNTIF('hedef liste'!A:A,A354)</f>
        <v>1</v>
      </c>
    </row>
    <row r="355" hidden="1">
      <c r="A355" s="376" t="s">
        <v>2357</v>
      </c>
      <c r="B355" s="376" t="s">
        <v>2358</v>
      </c>
      <c r="C355" s="428" t="s">
        <v>6979</v>
      </c>
      <c r="D355" s="376" t="s">
        <v>3713</v>
      </c>
      <c r="E355" s="429">
        <v>408.0</v>
      </c>
      <c r="F355" s="429">
        <v>13.0</v>
      </c>
      <c r="G355" s="429">
        <v>11.0</v>
      </c>
      <c r="H355" s="429">
        <v>20.0</v>
      </c>
      <c r="I355" s="429">
        <v>31.0</v>
      </c>
      <c r="J355" s="430">
        <v>0.35</v>
      </c>
      <c r="K355" s="376" t="s">
        <v>5404</v>
      </c>
      <c r="L355" s="376">
        <v>3.224586432E9</v>
      </c>
      <c r="M355" s="376" t="s">
        <v>286</v>
      </c>
      <c r="N355" s="376" t="s">
        <v>3688</v>
      </c>
      <c r="O355" s="376" t="s">
        <v>2361</v>
      </c>
      <c r="P355" s="376" t="s">
        <v>3941</v>
      </c>
      <c r="Q355" s="16">
        <f>COUNTIF('hedef liste'!A:A,A355)</f>
        <v>1</v>
      </c>
    </row>
    <row r="356" hidden="1">
      <c r="A356" s="376" t="s">
        <v>1848</v>
      </c>
      <c r="B356" s="376" t="s">
        <v>7257</v>
      </c>
      <c r="C356" s="428" t="s">
        <v>6979</v>
      </c>
      <c r="D356" s="376" t="s">
        <v>3676</v>
      </c>
      <c r="E356" s="429">
        <v>757.0</v>
      </c>
      <c r="F356" s="429">
        <v>16.0</v>
      </c>
      <c r="G356" s="429">
        <v>5.0</v>
      </c>
      <c r="H356" s="429">
        <v>7.0</v>
      </c>
      <c r="I356" s="429">
        <v>12.0</v>
      </c>
      <c r="J356" s="430">
        <v>0.42</v>
      </c>
      <c r="K356" s="376" t="s">
        <v>4061</v>
      </c>
      <c r="L356" s="376">
        <v>3.222612186E9</v>
      </c>
      <c r="M356" s="376" t="s">
        <v>286</v>
      </c>
      <c r="N356" s="376" t="s">
        <v>3769</v>
      </c>
      <c r="O356" s="376" t="s">
        <v>1852</v>
      </c>
      <c r="P356" s="376" t="s">
        <v>3941</v>
      </c>
      <c r="Q356" s="16">
        <f>COUNTIF('hedef liste'!A:A,A356)</f>
        <v>1</v>
      </c>
    </row>
    <row r="357" hidden="1">
      <c r="A357" s="376" t="s">
        <v>7258</v>
      </c>
      <c r="B357" s="376" t="s">
        <v>7259</v>
      </c>
      <c r="C357" s="428" t="s">
        <v>7011</v>
      </c>
      <c r="D357" s="376" t="s">
        <v>3994</v>
      </c>
      <c r="E357" s="429">
        <v>2.0</v>
      </c>
      <c r="F357" s="431"/>
      <c r="G357" s="429">
        <v>0.0</v>
      </c>
      <c r="H357" s="429">
        <v>106.0</v>
      </c>
      <c r="I357" s="429">
        <v>106.0</v>
      </c>
      <c r="J357" s="430">
        <v>0.0</v>
      </c>
      <c r="K357" s="376" t="s">
        <v>7260</v>
      </c>
      <c r="L357" s="376">
        <v>3.225032028E9</v>
      </c>
      <c r="M357" s="376" t="s">
        <v>286</v>
      </c>
      <c r="N357" s="376" t="s">
        <v>3688</v>
      </c>
      <c r="O357" s="376" t="s">
        <v>7261</v>
      </c>
      <c r="P357" s="376" t="s">
        <v>6982</v>
      </c>
      <c r="Q357" s="16">
        <f>COUNTIF('hedef liste'!A:A,A357)</f>
        <v>0</v>
      </c>
    </row>
    <row r="358" hidden="1">
      <c r="A358" s="376" t="s">
        <v>3743</v>
      </c>
      <c r="B358" s="376" t="s">
        <v>3744</v>
      </c>
      <c r="C358" s="428" t="s">
        <v>6979</v>
      </c>
      <c r="D358" s="376" t="s">
        <v>3713</v>
      </c>
      <c r="E358" s="429">
        <v>520.0</v>
      </c>
      <c r="F358" s="429">
        <v>7.0</v>
      </c>
      <c r="G358" s="429">
        <v>0.0</v>
      </c>
      <c r="H358" s="429">
        <v>9.0</v>
      </c>
      <c r="I358" s="429">
        <v>9.0</v>
      </c>
      <c r="J358" s="430">
        <v>0.0</v>
      </c>
      <c r="K358" s="376" t="s">
        <v>3745</v>
      </c>
      <c r="L358" s="376">
        <v>5.370509967E9</v>
      </c>
      <c r="M358" s="376" t="s">
        <v>286</v>
      </c>
      <c r="N358" s="376" t="s">
        <v>3746</v>
      </c>
      <c r="O358" s="376" t="s">
        <v>3747</v>
      </c>
      <c r="P358" s="376" t="s">
        <v>3941</v>
      </c>
      <c r="Q358" s="16">
        <f>COUNTIF('hedef liste'!A:A,A358)</f>
        <v>1</v>
      </c>
    </row>
    <row r="359" hidden="1">
      <c r="A359" s="376" t="s">
        <v>638</v>
      </c>
      <c r="B359" s="376" t="s">
        <v>7262</v>
      </c>
      <c r="C359" s="428" t="s">
        <v>6979</v>
      </c>
      <c r="D359" s="376" t="s">
        <v>3676</v>
      </c>
      <c r="E359" s="429">
        <v>2558.0</v>
      </c>
      <c r="F359" s="429">
        <v>67.0</v>
      </c>
      <c r="G359" s="429">
        <v>6.0</v>
      </c>
      <c r="H359" s="429">
        <v>12.0</v>
      </c>
      <c r="I359" s="429">
        <v>18.0</v>
      </c>
      <c r="J359" s="430">
        <v>0.33</v>
      </c>
      <c r="K359" s="376" t="s">
        <v>4787</v>
      </c>
      <c r="L359" s="376">
        <v>3.224333636E9</v>
      </c>
      <c r="M359" s="376" t="s">
        <v>286</v>
      </c>
      <c r="N359" s="376" t="s">
        <v>4760</v>
      </c>
      <c r="O359" s="376" t="s">
        <v>641</v>
      </c>
      <c r="P359" s="376" t="s">
        <v>3941</v>
      </c>
      <c r="Q359" s="16">
        <f>COUNTIF('hedef liste'!A:A,A359)</f>
        <v>1</v>
      </c>
    </row>
    <row r="360" hidden="1">
      <c r="A360" s="376" t="s">
        <v>973</v>
      </c>
      <c r="B360" s="376" t="s">
        <v>7263</v>
      </c>
      <c r="C360" s="428" t="s">
        <v>6979</v>
      </c>
      <c r="D360" s="376" t="s">
        <v>3699</v>
      </c>
      <c r="E360" s="429">
        <v>38.0</v>
      </c>
      <c r="F360" s="429">
        <v>3.0</v>
      </c>
      <c r="G360" s="429">
        <v>12.0</v>
      </c>
      <c r="H360" s="429">
        <v>1.0</v>
      </c>
      <c r="I360" s="429">
        <v>13.0</v>
      </c>
      <c r="J360" s="430">
        <v>0.92</v>
      </c>
      <c r="K360" s="376" t="s">
        <v>6634</v>
      </c>
      <c r="L360" s="376">
        <v>5.412451446E9</v>
      </c>
      <c r="M360" s="376" t="s">
        <v>14</v>
      </c>
      <c r="N360" s="376" t="s">
        <v>3733</v>
      </c>
      <c r="O360" s="376" t="s">
        <v>976</v>
      </c>
      <c r="P360" s="376" t="s">
        <v>3941</v>
      </c>
      <c r="Q360" s="16">
        <f>COUNTIF('hedef liste'!A:A,A360)</f>
        <v>1</v>
      </c>
    </row>
    <row r="361" hidden="1">
      <c r="A361" s="376" t="s">
        <v>952</v>
      </c>
      <c r="B361" s="376" t="s">
        <v>953</v>
      </c>
      <c r="C361" s="428" t="s">
        <v>7011</v>
      </c>
      <c r="D361" s="376" t="s">
        <v>3994</v>
      </c>
      <c r="E361" s="429">
        <v>220.0</v>
      </c>
      <c r="F361" s="431"/>
      <c r="G361" s="429">
        <v>25.0</v>
      </c>
      <c r="H361" s="429">
        <v>54.0</v>
      </c>
      <c r="I361" s="429">
        <v>79.0</v>
      </c>
      <c r="J361" s="430">
        <v>0.32</v>
      </c>
      <c r="K361" s="376" t="s">
        <v>4843</v>
      </c>
      <c r="L361" s="376">
        <v>3.222710404E9</v>
      </c>
      <c r="M361" s="376" t="s">
        <v>286</v>
      </c>
      <c r="N361" s="376" t="s">
        <v>3737</v>
      </c>
      <c r="O361" s="376" t="s">
        <v>955</v>
      </c>
      <c r="P361" s="376" t="s">
        <v>3941</v>
      </c>
      <c r="Q361" s="16">
        <f>COUNTIF('hedef liste'!A:A,A361)</f>
        <v>1</v>
      </c>
    </row>
    <row r="362" hidden="1">
      <c r="A362" s="376" t="s">
        <v>865</v>
      </c>
      <c r="B362" s="376" t="s">
        <v>7264</v>
      </c>
      <c r="C362" s="428" t="s">
        <v>6979</v>
      </c>
      <c r="D362" s="376" t="s">
        <v>3699</v>
      </c>
      <c r="E362" s="429">
        <v>3584.0</v>
      </c>
      <c r="F362" s="429">
        <v>183.0</v>
      </c>
      <c r="G362" s="429">
        <v>17.0</v>
      </c>
      <c r="H362" s="429">
        <v>8.0</v>
      </c>
      <c r="I362" s="429">
        <v>25.0</v>
      </c>
      <c r="J362" s="430">
        <v>0.68</v>
      </c>
      <c r="K362" s="376" t="s">
        <v>6349</v>
      </c>
      <c r="L362" s="376">
        <v>5.32334864E9</v>
      </c>
      <c r="M362" s="376" t="s">
        <v>14</v>
      </c>
      <c r="N362" s="376" t="s">
        <v>3718</v>
      </c>
      <c r="O362" s="376" t="s">
        <v>868</v>
      </c>
      <c r="P362" s="376" t="s">
        <v>3941</v>
      </c>
      <c r="Q362" s="16">
        <f>COUNTIF('hedef liste'!A:A,A362)</f>
        <v>1</v>
      </c>
    </row>
    <row r="363" hidden="1">
      <c r="A363" s="376" t="s">
        <v>1299</v>
      </c>
      <c r="B363" s="376" t="s">
        <v>1300</v>
      </c>
      <c r="C363" s="428" t="s">
        <v>6979</v>
      </c>
      <c r="D363" s="376" t="s">
        <v>3690</v>
      </c>
      <c r="E363" s="429">
        <v>586.0</v>
      </c>
      <c r="F363" s="429">
        <v>40.0</v>
      </c>
      <c r="G363" s="429">
        <v>5.0</v>
      </c>
      <c r="H363" s="429">
        <v>3.0</v>
      </c>
      <c r="I363" s="429">
        <v>8.0</v>
      </c>
      <c r="J363" s="430">
        <v>0.63</v>
      </c>
      <c r="K363" s="376" t="s">
        <v>6599</v>
      </c>
      <c r="L363" s="376">
        <v>5.374275771E9</v>
      </c>
      <c r="M363" s="376" t="s">
        <v>14</v>
      </c>
      <c r="N363" s="376" t="s">
        <v>3914</v>
      </c>
      <c r="O363" s="376" t="s">
        <v>1303</v>
      </c>
      <c r="P363" s="376" t="s">
        <v>3941</v>
      </c>
      <c r="Q363" s="16">
        <f>COUNTIF('hedef liste'!A:A,A363)</f>
        <v>1</v>
      </c>
    </row>
    <row r="364" hidden="1">
      <c r="A364" s="376" t="s">
        <v>3111</v>
      </c>
      <c r="B364" s="376" t="s">
        <v>3112</v>
      </c>
      <c r="C364" s="428" t="s">
        <v>6979</v>
      </c>
      <c r="D364" s="376" t="s">
        <v>3676</v>
      </c>
      <c r="E364" s="429">
        <v>1179.0</v>
      </c>
      <c r="F364" s="429">
        <v>109.0</v>
      </c>
      <c r="G364" s="429">
        <v>50.0</v>
      </c>
      <c r="H364" s="429">
        <v>10.0</v>
      </c>
      <c r="I364" s="429">
        <v>60.0</v>
      </c>
      <c r="J364" s="430">
        <v>0.83</v>
      </c>
      <c r="K364" s="376" t="s">
        <v>6697</v>
      </c>
      <c r="L364" s="376">
        <v>3.2222526E9</v>
      </c>
      <c r="M364" s="376" t="s">
        <v>14</v>
      </c>
      <c r="N364" s="376" t="s">
        <v>3914</v>
      </c>
      <c r="O364" s="376" t="s">
        <v>3114</v>
      </c>
      <c r="P364" s="376" t="s">
        <v>3941</v>
      </c>
      <c r="Q364" s="16">
        <f>COUNTIF('hedef liste'!A:A,A364)</f>
        <v>1</v>
      </c>
    </row>
    <row r="365" hidden="1">
      <c r="A365" s="376" t="s">
        <v>727</v>
      </c>
      <c r="B365" s="376" t="s">
        <v>728</v>
      </c>
      <c r="C365" s="428" t="s">
        <v>6979</v>
      </c>
      <c r="D365" s="376" t="s">
        <v>3713</v>
      </c>
      <c r="E365" s="429">
        <v>1928.0</v>
      </c>
      <c r="F365" s="429">
        <v>122.0</v>
      </c>
      <c r="G365" s="429">
        <v>0.0</v>
      </c>
      <c r="H365" s="429">
        <v>15.0</v>
      </c>
      <c r="I365" s="429">
        <v>15.0</v>
      </c>
      <c r="J365" s="430">
        <v>0.0</v>
      </c>
      <c r="K365" s="376" t="s">
        <v>4819</v>
      </c>
      <c r="L365" s="376">
        <v>3.222273575E9</v>
      </c>
      <c r="M365" s="376" t="s">
        <v>286</v>
      </c>
      <c r="N365" s="376" t="s">
        <v>3754</v>
      </c>
      <c r="O365" s="376" t="s">
        <v>730</v>
      </c>
      <c r="P365" s="376" t="s">
        <v>3941</v>
      </c>
      <c r="Q365" s="16">
        <f>COUNTIF('hedef liste'!A:A,A365)</f>
        <v>1</v>
      </c>
    </row>
    <row r="366" hidden="1">
      <c r="A366" s="376" t="s">
        <v>5314</v>
      </c>
      <c r="B366" s="376" t="s">
        <v>5315</v>
      </c>
      <c r="C366" s="428" t="s">
        <v>6979</v>
      </c>
      <c r="D366" s="376" t="s">
        <v>3759</v>
      </c>
      <c r="E366" s="429">
        <v>1079.0</v>
      </c>
      <c r="F366" s="429">
        <v>15.0</v>
      </c>
      <c r="G366" s="429">
        <v>0.0</v>
      </c>
      <c r="H366" s="429">
        <v>23.0</v>
      </c>
      <c r="I366" s="429">
        <v>23.0</v>
      </c>
      <c r="J366" s="430">
        <v>0.0</v>
      </c>
      <c r="K366" s="376" t="s">
        <v>5312</v>
      </c>
      <c r="L366" s="376">
        <v>3.222621415E9</v>
      </c>
      <c r="M366" s="376" t="s">
        <v>286</v>
      </c>
      <c r="N366" s="376" t="s">
        <v>3769</v>
      </c>
      <c r="O366" s="376" t="s">
        <v>5316</v>
      </c>
      <c r="P366" s="376" t="s">
        <v>3941</v>
      </c>
      <c r="Q366" s="16">
        <f>COUNTIF('hedef liste'!A:A,A366)</f>
        <v>1</v>
      </c>
    </row>
    <row r="367" hidden="1">
      <c r="A367" s="376" t="s">
        <v>747</v>
      </c>
      <c r="B367" s="376" t="s">
        <v>748</v>
      </c>
      <c r="C367" s="428" t="s">
        <v>6979</v>
      </c>
      <c r="D367" s="376" t="s">
        <v>3759</v>
      </c>
      <c r="E367" s="429">
        <v>1519.0</v>
      </c>
      <c r="F367" s="429">
        <v>56.0</v>
      </c>
      <c r="G367" s="429">
        <v>0.0</v>
      </c>
      <c r="H367" s="429">
        <v>55.0</v>
      </c>
      <c r="I367" s="429">
        <v>55.0</v>
      </c>
      <c r="J367" s="430">
        <v>0.0</v>
      </c>
      <c r="K367" s="376" t="s">
        <v>5312</v>
      </c>
      <c r="L367" s="376">
        <v>5.434992503E9</v>
      </c>
      <c r="M367" s="376" t="s">
        <v>14</v>
      </c>
      <c r="N367" s="376" t="s">
        <v>3678</v>
      </c>
      <c r="O367" s="376" t="s">
        <v>750</v>
      </c>
      <c r="P367" s="376" t="s">
        <v>3941</v>
      </c>
      <c r="Q367" s="16">
        <f>COUNTIF('hedef liste'!A:A,A367)</f>
        <v>1</v>
      </c>
    </row>
    <row r="368" hidden="1">
      <c r="A368" s="376" t="s">
        <v>826</v>
      </c>
      <c r="B368" s="376" t="s">
        <v>7265</v>
      </c>
      <c r="C368" s="428" t="s">
        <v>6979</v>
      </c>
      <c r="D368" s="376" t="s">
        <v>3676</v>
      </c>
      <c r="E368" s="429">
        <v>776.0</v>
      </c>
      <c r="F368" s="429">
        <v>34.0</v>
      </c>
      <c r="G368" s="429">
        <v>8.0</v>
      </c>
      <c r="H368" s="429">
        <v>3.0</v>
      </c>
      <c r="I368" s="429">
        <v>11.0</v>
      </c>
      <c r="J368" s="430">
        <v>0.73</v>
      </c>
      <c r="K368" s="376" t="s">
        <v>4662</v>
      </c>
      <c r="L368" s="376">
        <v>3.224597279E9</v>
      </c>
      <c r="M368" s="376" t="s">
        <v>286</v>
      </c>
      <c r="N368" s="376" t="s">
        <v>3737</v>
      </c>
      <c r="O368" s="376" t="s">
        <v>829</v>
      </c>
      <c r="P368" s="376" t="s">
        <v>3941</v>
      </c>
      <c r="Q368" s="16">
        <f>COUNTIF('hedef liste'!A:A,A368)</f>
        <v>1</v>
      </c>
    </row>
    <row r="369" hidden="1">
      <c r="A369" s="376" t="s">
        <v>782</v>
      </c>
      <c r="B369" s="376" t="s">
        <v>783</v>
      </c>
      <c r="C369" s="428" t="s">
        <v>6979</v>
      </c>
      <c r="D369" s="376" t="s">
        <v>4907</v>
      </c>
      <c r="E369" s="429">
        <v>161.0</v>
      </c>
      <c r="F369" s="429">
        <v>11.0</v>
      </c>
      <c r="G369" s="429">
        <v>21.0</v>
      </c>
      <c r="H369" s="429">
        <v>51.0</v>
      </c>
      <c r="I369" s="429">
        <v>72.0</v>
      </c>
      <c r="J369" s="430">
        <v>0.29</v>
      </c>
      <c r="K369" s="376" t="s">
        <v>5634</v>
      </c>
      <c r="L369" s="376">
        <v>5.335061131E9</v>
      </c>
      <c r="M369" s="376" t="s">
        <v>14</v>
      </c>
      <c r="N369" s="376" t="s">
        <v>3733</v>
      </c>
      <c r="O369" s="376" t="s">
        <v>786</v>
      </c>
      <c r="P369" s="376" t="s">
        <v>3941</v>
      </c>
      <c r="Q369" s="16">
        <f>COUNTIF('hedef liste'!A:A,A369)</f>
        <v>1</v>
      </c>
    </row>
    <row r="370" hidden="1">
      <c r="A370" s="376" t="s">
        <v>476</v>
      </c>
      <c r="B370" s="376" t="s">
        <v>477</v>
      </c>
      <c r="C370" s="428" t="s">
        <v>6979</v>
      </c>
      <c r="D370" s="376" t="s">
        <v>3699</v>
      </c>
      <c r="E370" s="429">
        <v>507.0</v>
      </c>
      <c r="F370" s="429">
        <v>8.0</v>
      </c>
      <c r="G370" s="429">
        <v>13.0</v>
      </c>
      <c r="H370" s="429">
        <v>5.0</v>
      </c>
      <c r="I370" s="429">
        <v>18.0</v>
      </c>
      <c r="J370" s="430">
        <v>0.72</v>
      </c>
      <c r="K370" s="376" t="s">
        <v>5757</v>
      </c>
      <c r="L370" s="376">
        <v>3.229992946E9</v>
      </c>
      <c r="M370" s="376" t="s">
        <v>286</v>
      </c>
      <c r="N370" s="376" t="s">
        <v>3855</v>
      </c>
      <c r="O370" s="376" t="s">
        <v>480</v>
      </c>
      <c r="P370" s="376" t="s">
        <v>3941</v>
      </c>
      <c r="Q370" s="16">
        <f>COUNTIF('hedef liste'!A:A,A370)</f>
        <v>1</v>
      </c>
    </row>
    <row r="371" hidden="1">
      <c r="A371" s="376" t="s">
        <v>5494</v>
      </c>
      <c r="B371" s="376" t="s">
        <v>5495</v>
      </c>
      <c r="C371" s="428" t="s">
        <v>6979</v>
      </c>
      <c r="D371" s="376" t="s">
        <v>4124</v>
      </c>
      <c r="E371" s="429">
        <v>5187.0</v>
      </c>
      <c r="F371" s="429">
        <v>106.0</v>
      </c>
      <c r="G371" s="429">
        <v>11.0</v>
      </c>
      <c r="H371" s="429">
        <v>16.0</v>
      </c>
      <c r="I371" s="429">
        <v>27.0</v>
      </c>
      <c r="J371" s="430">
        <v>0.41</v>
      </c>
      <c r="K371" s="376" t="s">
        <v>5496</v>
      </c>
      <c r="L371" s="376">
        <v>5.559659095E9</v>
      </c>
      <c r="M371" s="376" t="s">
        <v>14</v>
      </c>
      <c r="N371" s="376" t="s">
        <v>3767</v>
      </c>
      <c r="O371" s="376" t="s">
        <v>5497</v>
      </c>
      <c r="P371" s="376" t="s">
        <v>3941</v>
      </c>
      <c r="Q371" s="16">
        <f>COUNTIF('hedef liste'!A:A,A371)</f>
        <v>1</v>
      </c>
    </row>
    <row r="372" hidden="1">
      <c r="A372" s="376" t="s">
        <v>5536</v>
      </c>
      <c r="B372" s="376" t="s">
        <v>5537</v>
      </c>
      <c r="C372" s="428" t="s">
        <v>6979</v>
      </c>
      <c r="D372" s="376" t="s">
        <v>3676</v>
      </c>
      <c r="E372" s="429">
        <v>750.0</v>
      </c>
      <c r="F372" s="429">
        <v>22.0</v>
      </c>
      <c r="G372" s="429">
        <v>0.0</v>
      </c>
      <c r="H372" s="429">
        <v>16.0</v>
      </c>
      <c r="I372" s="429">
        <v>16.0</v>
      </c>
      <c r="J372" s="430">
        <v>0.0</v>
      </c>
      <c r="K372" s="376" t="s">
        <v>5538</v>
      </c>
      <c r="L372" s="376">
        <v>3.224445872E9</v>
      </c>
      <c r="M372" s="376" t="s">
        <v>14</v>
      </c>
      <c r="N372" s="376" t="s">
        <v>3733</v>
      </c>
      <c r="O372" s="376" t="s">
        <v>5539</v>
      </c>
      <c r="P372" s="376" t="s">
        <v>3941</v>
      </c>
      <c r="Q372" s="16">
        <f>COUNTIF('hedef liste'!A:A,A372)</f>
        <v>1</v>
      </c>
    </row>
    <row r="373" hidden="1">
      <c r="A373" s="376" t="s">
        <v>552</v>
      </c>
      <c r="B373" s="376" t="s">
        <v>7266</v>
      </c>
      <c r="C373" s="428" t="s">
        <v>6979</v>
      </c>
      <c r="D373" s="376" t="s">
        <v>3676</v>
      </c>
      <c r="E373" s="429">
        <v>856.0</v>
      </c>
      <c r="F373" s="429">
        <v>30.0</v>
      </c>
      <c r="G373" s="429">
        <v>2.0</v>
      </c>
      <c r="H373" s="429">
        <v>12.0</v>
      </c>
      <c r="I373" s="429">
        <v>14.0</v>
      </c>
      <c r="J373" s="430">
        <v>0.14</v>
      </c>
      <c r="K373" s="376" t="s">
        <v>3763</v>
      </c>
      <c r="L373" s="376">
        <v>5.368944006E9</v>
      </c>
      <c r="M373" s="376" t="s">
        <v>286</v>
      </c>
      <c r="N373" s="376" t="s">
        <v>3764</v>
      </c>
      <c r="O373" s="376" t="s">
        <v>555</v>
      </c>
      <c r="P373" s="376" t="s">
        <v>3941</v>
      </c>
      <c r="Q373" s="16">
        <f>COUNTIF('hedef liste'!A:A,A373)</f>
        <v>1</v>
      </c>
    </row>
    <row r="374" hidden="1">
      <c r="A374" s="376" t="s">
        <v>2556</v>
      </c>
      <c r="B374" s="376" t="s">
        <v>2557</v>
      </c>
      <c r="C374" s="428" t="s">
        <v>6979</v>
      </c>
      <c r="D374" s="376" t="s">
        <v>3699</v>
      </c>
      <c r="E374" s="429">
        <v>277.0</v>
      </c>
      <c r="F374" s="429">
        <v>27.0</v>
      </c>
      <c r="G374" s="429">
        <v>25.0</v>
      </c>
      <c r="H374" s="429">
        <v>17.0</v>
      </c>
      <c r="I374" s="429">
        <v>42.0</v>
      </c>
      <c r="J374" s="430">
        <v>0.6</v>
      </c>
      <c r="K374" s="376" t="s">
        <v>6800</v>
      </c>
      <c r="L374" s="376">
        <v>3.224351435E9</v>
      </c>
      <c r="M374" s="376" t="s">
        <v>14</v>
      </c>
      <c r="N374" s="376" t="s">
        <v>3797</v>
      </c>
      <c r="O374" s="376" t="s">
        <v>2559</v>
      </c>
      <c r="P374" s="376" t="s">
        <v>3941</v>
      </c>
      <c r="Q374" s="16">
        <f>COUNTIF('hedef liste'!A:A,A374)</f>
        <v>1</v>
      </c>
    </row>
    <row r="375" hidden="1">
      <c r="A375" s="376" t="s">
        <v>6380</v>
      </c>
      <c r="B375" s="376" t="s">
        <v>6381</v>
      </c>
      <c r="C375" s="428" t="s">
        <v>6979</v>
      </c>
      <c r="D375" s="376" t="s">
        <v>3878</v>
      </c>
      <c r="E375" s="429">
        <v>282.0</v>
      </c>
      <c r="F375" s="429">
        <v>36.0</v>
      </c>
      <c r="G375" s="429">
        <v>0.0</v>
      </c>
      <c r="H375" s="429">
        <v>40.0</v>
      </c>
      <c r="I375" s="429">
        <v>40.0</v>
      </c>
      <c r="J375" s="430">
        <v>0.0</v>
      </c>
      <c r="K375" s="376" t="s">
        <v>6382</v>
      </c>
      <c r="L375" s="376">
        <v>3.222441054E9</v>
      </c>
      <c r="M375" s="376" t="s">
        <v>14</v>
      </c>
      <c r="N375" s="376" t="s">
        <v>3797</v>
      </c>
      <c r="O375" s="376" t="s">
        <v>6383</v>
      </c>
      <c r="P375" s="376" t="s">
        <v>3941</v>
      </c>
      <c r="Q375" s="16">
        <f>COUNTIF('hedef liste'!A:A,A375)</f>
        <v>1</v>
      </c>
    </row>
    <row r="376" hidden="1">
      <c r="A376" s="376" t="s">
        <v>4881</v>
      </c>
      <c r="B376" s="376" t="s">
        <v>4882</v>
      </c>
      <c r="C376" s="428" t="s">
        <v>6979</v>
      </c>
      <c r="D376" s="376" t="s">
        <v>3801</v>
      </c>
      <c r="E376" s="429">
        <v>780.0</v>
      </c>
      <c r="F376" s="429">
        <v>48.0</v>
      </c>
      <c r="G376" s="429">
        <v>0.0</v>
      </c>
      <c r="H376" s="429">
        <v>7.0</v>
      </c>
      <c r="I376" s="429">
        <v>7.0</v>
      </c>
      <c r="J376" s="430">
        <v>0.0</v>
      </c>
      <c r="K376" s="376" t="s">
        <v>4883</v>
      </c>
      <c r="L376" s="376">
        <v>5.526349152E9</v>
      </c>
      <c r="M376" s="376" t="s">
        <v>286</v>
      </c>
      <c r="N376" s="376" t="s">
        <v>7018</v>
      </c>
      <c r="O376" s="376" t="s">
        <v>4885</v>
      </c>
      <c r="P376" s="376" t="s">
        <v>3941</v>
      </c>
      <c r="Q376" s="16">
        <f>COUNTIF('hedef liste'!A:A,A376)</f>
        <v>1</v>
      </c>
    </row>
    <row r="377" hidden="1">
      <c r="A377" s="376" t="s">
        <v>112</v>
      </c>
      <c r="B377" s="376" t="s">
        <v>113</v>
      </c>
      <c r="C377" s="428" t="s">
        <v>6979</v>
      </c>
      <c r="D377" s="376" t="s">
        <v>3690</v>
      </c>
      <c r="E377" s="429">
        <v>9424.0</v>
      </c>
      <c r="F377" s="429">
        <v>221.0</v>
      </c>
      <c r="G377" s="429">
        <v>12.0</v>
      </c>
      <c r="H377" s="429">
        <v>1.0</v>
      </c>
      <c r="I377" s="429">
        <v>13.0</v>
      </c>
      <c r="J377" s="430">
        <v>0.92</v>
      </c>
      <c r="K377" s="376" t="s">
        <v>5028</v>
      </c>
      <c r="L377" s="376">
        <v>3.2223277E9</v>
      </c>
      <c r="M377" s="376" t="s">
        <v>14</v>
      </c>
      <c r="N377" s="376" t="s">
        <v>3797</v>
      </c>
      <c r="O377" s="376" t="s">
        <v>115</v>
      </c>
      <c r="P377" s="376" t="s">
        <v>3941</v>
      </c>
      <c r="Q377" s="16">
        <f>COUNTIF('hedef liste'!A:A,A377)</f>
        <v>1</v>
      </c>
    </row>
    <row r="378" hidden="1">
      <c r="A378" s="376" t="s">
        <v>5213</v>
      </c>
      <c r="B378" s="376" t="s">
        <v>5214</v>
      </c>
      <c r="C378" s="428" t="s">
        <v>6979</v>
      </c>
      <c r="D378" s="376" t="s">
        <v>3699</v>
      </c>
      <c r="E378" s="429">
        <v>963.0</v>
      </c>
      <c r="F378" s="429">
        <v>54.0</v>
      </c>
      <c r="G378" s="429">
        <v>0.0</v>
      </c>
      <c r="H378" s="429">
        <v>37.0</v>
      </c>
      <c r="I378" s="429">
        <v>37.0</v>
      </c>
      <c r="J378" s="430">
        <v>0.0</v>
      </c>
      <c r="K378" s="376" t="s">
        <v>5215</v>
      </c>
      <c r="L378" s="376">
        <v>5.306750309E9</v>
      </c>
      <c r="M378" s="376" t="s">
        <v>286</v>
      </c>
      <c r="N378" s="376" t="s">
        <v>3855</v>
      </c>
      <c r="O378" s="376" t="s">
        <v>5216</v>
      </c>
      <c r="P378" s="376" t="s">
        <v>3941</v>
      </c>
      <c r="Q378" s="16">
        <f>COUNTIF('hedef liste'!A:A,A378)</f>
        <v>1</v>
      </c>
    </row>
    <row r="379" hidden="1">
      <c r="A379" s="376" t="s">
        <v>994</v>
      </c>
      <c r="B379" s="376" t="s">
        <v>7267</v>
      </c>
      <c r="C379" s="428" t="s">
        <v>7011</v>
      </c>
      <c r="D379" s="376" t="s">
        <v>3676</v>
      </c>
      <c r="E379" s="429">
        <v>167.0</v>
      </c>
      <c r="F379" s="431"/>
      <c r="G379" s="429">
        <v>4.0</v>
      </c>
      <c r="H379" s="429">
        <v>13.0</v>
      </c>
      <c r="I379" s="429">
        <v>17.0</v>
      </c>
      <c r="J379" s="430">
        <v>0.24</v>
      </c>
      <c r="K379" s="376" t="s">
        <v>5627</v>
      </c>
      <c r="L379" s="376">
        <v>3.22233506E9</v>
      </c>
      <c r="M379" s="376" t="s">
        <v>14</v>
      </c>
      <c r="N379" s="376" t="s">
        <v>3733</v>
      </c>
      <c r="O379" s="376" t="s">
        <v>998</v>
      </c>
      <c r="P379" s="376" t="s">
        <v>3941</v>
      </c>
      <c r="Q379" s="16">
        <f>COUNTIF('hedef liste'!A:A,A379)</f>
        <v>1</v>
      </c>
    </row>
    <row r="380" hidden="1">
      <c r="A380" s="376" t="s">
        <v>7268</v>
      </c>
      <c r="B380" s="376" t="s">
        <v>7269</v>
      </c>
      <c r="C380" s="428" t="s">
        <v>6979</v>
      </c>
      <c r="D380" s="376" t="s">
        <v>3801</v>
      </c>
      <c r="E380" s="429">
        <v>3379.0</v>
      </c>
      <c r="F380" s="429">
        <v>115.0</v>
      </c>
      <c r="G380" s="429">
        <v>85.0</v>
      </c>
      <c r="H380" s="429">
        <v>8.0</v>
      </c>
      <c r="I380" s="429">
        <v>93.0</v>
      </c>
      <c r="J380" s="430">
        <v>0.91</v>
      </c>
      <c r="K380" s="376" t="s">
        <v>6998</v>
      </c>
      <c r="L380" s="376">
        <v>5.369720432E9</v>
      </c>
      <c r="M380" s="376" t="s">
        <v>286</v>
      </c>
      <c r="N380" s="376" t="s">
        <v>3754</v>
      </c>
      <c r="O380" s="376" t="s">
        <v>7270</v>
      </c>
      <c r="P380" s="376" t="s">
        <v>6982</v>
      </c>
      <c r="Q380" s="16">
        <f>COUNTIF('hedef liste'!A:A,A380)</f>
        <v>0</v>
      </c>
    </row>
    <row r="381" hidden="1">
      <c r="A381" s="376" t="s">
        <v>5580</v>
      </c>
      <c r="B381" s="376" t="s">
        <v>7271</v>
      </c>
      <c r="C381" s="428" t="s">
        <v>6979</v>
      </c>
      <c r="D381" s="376" t="s">
        <v>3759</v>
      </c>
      <c r="E381" s="429">
        <v>4989.0</v>
      </c>
      <c r="F381" s="429">
        <v>280.0</v>
      </c>
      <c r="G381" s="429">
        <v>0.0</v>
      </c>
      <c r="H381" s="429">
        <v>9.0</v>
      </c>
      <c r="I381" s="429">
        <v>9.0</v>
      </c>
      <c r="J381" s="430">
        <v>0.0</v>
      </c>
      <c r="K381" s="376" t="s">
        <v>5582</v>
      </c>
      <c r="L381" s="376">
        <v>3.22232309E9</v>
      </c>
      <c r="M381" s="376" t="s">
        <v>286</v>
      </c>
      <c r="N381" s="376" t="s">
        <v>3782</v>
      </c>
      <c r="O381" s="376" t="s">
        <v>5583</v>
      </c>
      <c r="P381" s="376" t="s">
        <v>3941</v>
      </c>
      <c r="Q381" s="16">
        <f>COUNTIF('hedef liste'!A:A,A381)</f>
        <v>1</v>
      </c>
    </row>
    <row r="382" hidden="1">
      <c r="A382" s="376" t="s">
        <v>1901</v>
      </c>
      <c r="B382" s="376" t="s">
        <v>1902</v>
      </c>
      <c r="C382" s="428" t="s">
        <v>6979</v>
      </c>
      <c r="D382" s="376" t="s">
        <v>3994</v>
      </c>
      <c r="E382" s="429">
        <v>404.0</v>
      </c>
      <c r="F382" s="429">
        <v>21.0</v>
      </c>
      <c r="G382" s="429">
        <v>6.0</v>
      </c>
      <c r="H382" s="429">
        <v>74.0</v>
      </c>
      <c r="I382" s="429">
        <v>80.0</v>
      </c>
      <c r="J382" s="430">
        <v>0.08</v>
      </c>
      <c r="K382" s="376" t="s">
        <v>4959</v>
      </c>
      <c r="L382" s="376">
        <v>3.222276767E9</v>
      </c>
      <c r="M382" s="376" t="s">
        <v>286</v>
      </c>
      <c r="N382" s="376" t="s">
        <v>3961</v>
      </c>
      <c r="O382" s="376" t="s">
        <v>1904</v>
      </c>
      <c r="P382" s="376" t="s">
        <v>3941</v>
      </c>
      <c r="Q382" s="16">
        <f>COUNTIF('hedef liste'!A:A,A382)</f>
        <v>1</v>
      </c>
    </row>
    <row r="383" hidden="1">
      <c r="A383" s="376" t="s">
        <v>2814</v>
      </c>
      <c r="B383" s="376" t="s">
        <v>2815</v>
      </c>
      <c r="C383" s="428" t="s">
        <v>6979</v>
      </c>
      <c r="D383" s="376" t="s">
        <v>3759</v>
      </c>
      <c r="E383" s="429">
        <v>4526.0</v>
      </c>
      <c r="F383" s="429">
        <v>191.0</v>
      </c>
      <c r="G383" s="429">
        <v>13.0</v>
      </c>
      <c r="H383" s="429">
        <v>16.0</v>
      </c>
      <c r="I383" s="429">
        <v>29.0</v>
      </c>
      <c r="J383" s="430">
        <v>0.45</v>
      </c>
      <c r="K383" s="376" t="s">
        <v>6523</v>
      </c>
      <c r="L383" s="376">
        <v>3.22256445E9</v>
      </c>
      <c r="M383" s="376" t="s">
        <v>14</v>
      </c>
      <c r="N383" s="376" t="s">
        <v>3678</v>
      </c>
      <c r="O383" s="376" t="s">
        <v>2817</v>
      </c>
      <c r="P383" s="376" t="s">
        <v>3941</v>
      </c>
      <c r="Q383" s="16">
        <f>COUNTIF('hedef liste'!A:A,A383)</f>
        <v>1</v>
      </c>
    </row>
    <row r="384" hidden="1">
      <c r="A384" s="376" t="s">
        <v>5319</v>
      </c>
      <c r="B384" s="376" t="s">
        <v>5320</v>
      </c>
      <c r="C384" s="428" t="s">
        <v>6979</v>
      </c>
      <c r="D384" s="376" t="s">
        <v>3699</v>
      </c>
      <c r="E384" s="429">
        <v>57.0</v>
      </c>
      <c r="F384" s="429">
        <v>1.0</v>
      </c>
      <c r="G384" s="429">
        <v>19.0</v>
      </c>
      <c r="H384" s="429">
        <v>5.0</v>
      </c>
      <c r="I384" s="429">
        <v>24.0</v>
      </c>
      <c r="J384" s="430">
        <v>0.79</v>
      </c>
      <c r="K384" s="376" t="s">
        <v>5321</v>
      </c>
      <c r="L384" s="376">
        <v>3.224229712E9</v>
      </c>
      <c r="M384" s="376" t="s">
        <v>14</v>
      </c>
      <c r="N384" s="376" t="s">
        <v>3935</v>
      </c>
      <c r="O384" s="376" t="s">
        <v>5322</v>
      </c>
      <c r="P384" s="376" t="s">
        <v>3941</v>
      </c>
      <c r="Q384" s="16">
        <f>COUNTIF('hedef liste'!A:A,A384)</f>
        <v>1</v>
      </c>
    </row>
    <row r="385" hidden="1">
      <c r="A385" s="376" t="s">
        <v>5323</v>
      </c>
      <c r="B385" s="376" t="s">
        <v>5324</v>
      </c>
      <c r="C385" s="428" t="s">
        <v>7011</v>
      </c>
      <c r="D385" s="376" t="s">
        <v>3699</v>
      </c>
      <c r="E385" s="429">
        <v>19.0</v>
      </c>
      <c r="F385" s="431"/>
      <c r="G385" s="429">
        <v>23.0</v>
      </c>
      <c r="H385" s="429">
        <v>6.0</v>
      </c>
      <c r="I385" s="429">
        <v>29.0</v>
      </c>
      <c r="J385" s="430">
        <v>0.79</v>
      </c>
      <c r="K385" s="376" t="s">
        <v>5321</v>
      </c>
      <c r="L385" s="376">
        <v>3.222353444E9</v>
      </c>
      <c r="M385" s="376" t="s">
        <v>14</v>
      </c>
      <c r="N385" s="376" t="s">
        <v>3767</v>
      </c>
      <c r="O385" s="376" t="s">
        <v>5325</v>
      </c>
      <c r="P385" s="376" t="s">
        <v>3941</v>
      </c>
      <c r="Q385" s="16">
        <f>COUNTIF('hedef liste'!A:A,A385)</f>
        <v>1</v>
      </c>
    </row>
    <row r="386" hidden="1">
      <c r="A386" s="376" t="s">
        <v>1112</v>
      </c>
      <c r="B386" s="376" t="s">
        <v>1113</v>
      </c>
      <c r="C386" s="428" t="s">
        <v>6979</v>
      </c>
      <c r="D386" s="376" t="s">
        <v>3912</v>
      </c>
      <c r="E386" s="429">
        <v>1958.0</v>
      </c>
      <c r="F386" s="429">
        <v>161.0</v>
      </c>
      <c r="G386" s="429">
        <v>17.0</v>
      </c>
      <c r="H386" s="429">
        <v>13.0</v>
      </c>
      <c r="I386" s="429">
        <v>30.0</v>
      </c>
      <c r="J386" s="430">
        <v>0.57</v>
      </c>
      <c r="K386" s="376" t="s">
        <v>3913</v>
      </c>
      <c r="L386" s="376">
        <v>5.399142636E9</v>
      </c>
      <c r="M386" s="376" t="s">
        <v>14</v>
      </c>
      <c r="N386" s="376" t="s">
        <v>3914</v>
      </c>
      <c r="O386" s="376" t="s">
        <v>1115</v>
      </c>
      <c r="P386" s="376" t="s">
        <v>3941</v>
      </c>
      <c r="Q386" s="16">
        <f>COUNTIF('hedef liste'!A:A,A386)</f>
        <v>1</v>
      </c>
    </row>
    <row r="387" hidden="1">
      <c r="A387" s="376" t="s">
        <v>5149</v>
      </c>
      <c r="B387" s="376" t="s">
        <v>5150</v>
      </c>
      <c r="C387" s="428" t="s">
        <v>6979</v>
      </c>
      <c r="D387" s="376" t="s">
        <v>3699</v>
      </c>
      <c r="E387" s="429">
        <v>189.0</v>
      </c>
      <c r="F387" s="429">
        <v>4.0</v>
      </c>
      <c r="G387" s="429">
        <v>33.0</v>
      </c>
      <c r="H387" s="429">
        <v>15.0</v>
      </c>
      <c r="I387" s="429">
        <v>48.0</v>
      </c>
      <c r="J387" s="430">
        <v>0.69</v>
      </c>
      <c r="K387" s="376" t="s">
        <v>5110</v>
      </c>
      <c r="L387" s="376">
        <v>5.443909041E9</v>
      </c>
      <c r="M387" s="376" t="s">
        <v>286</v>
      </c>
      <c r="N387" s="376" t="s">
        <v>3769</v>
      </c>
      <c r="O387" s="376" t="s">
        <v>5151</v>
      </c>
      <c r="P387" s="376" t="s">
        <v>3941</v>
      </c>
      <c r="Q387" s="16">
        <f>COUNTIF('hedef liste'!A:A,A387)</f>
        <v>1</v>
      </c>
    </row>
    <row r="388" hidden="1">
      <c r="A388" s="376" t="s">
        <v>1571</v>
      </c>
      <c r="B388" s="376" t="s">
        <v>1572</v>
      </c>
      <c r="C388" s="428" t="s">
        <v>6979</v>
      </c>
      <c r="D388" s="376" t="s">
        <v>4000</v>
      </c>
      <c r="E388" s="429">
        <v>1498.0</v>
      </c>
      <c r="F388" s="429">
        <v>73.0</v>
      </c>
      <c r="G388" s="429">
        <v>0.0</v>
      </c>
      <c r="H388" s="429">
        <v>23.0</v>
      </c>
      <c r="I388" s="429">
        <v>23.0</v>
      </c>
      <c r="J388" s="430">
        <v>0.0</v>
      </c>
      <c r="K388" s="376" t="s">
        <v>5011</v>
      </c>
      <c r="L388" s="376">
        <v>3.224330808E9</v>
      </c>
      <c r="M388" s="376" t="s">
        <v>286</v>
      </c>
      <c r="N388" s="376" t="s">
        <v>5012</v>
      </c>
      <c r="O388" s="376" t="s">
        <v>1574</v>
      </c>
      <c r="P388" s="376" t="s">
        <v>3941</v>
      </c>
      <c r="Q388" s="16">
        <f>COUNTIF('hedef liste'!A:A,A388)</f>
        <v>1</v>
      </c>
    </row>
    <row r="389" hidden="1">
      <c r="A389" s="376" t="s">
        <v>5135</v>
      </c>
      <c r="B389" s="376" t="s">
        <v>5136</v>
      </c>
      <c r="C389" s="428" t="s">
        <v>6979</v>
      </c>
      <c r="D389" s="376" t="s">
        <v>3699</v>
      </c>
      <c r="E389" s="429">
        <v>81.0</v>
      </c>
      <c r="F389" s="429">
        <v>1.0</v>
      </c>
      <c r="G389" s="429">
        <v>24.0</v>
      </c>
      <c r="H389" s="429">
        <v>12.0</v>
      </c>
      <c r="I389" s="429">
        <v>36.0</v>
      </c>
      <c r="J389" s="430">
        <v>0.67</v>
      </c>
      <c r="K389" s="376" t="s">
        <v>5110</v>
      </c>
      <c r="L389" s="376">
        <v>5.443909041E9</v>
      </c>
      <c r="M389" s="376" t="s">
        <v>286</v>
      </c>
      <c r="N389" s="376" t="s">
        <v>5137</v>
      </c>
      <c r="O389" s="376" t="s">
        <v>5138</v>
      </c>
      <c r="P389" s="376" t="s">
        <v>3941</v>
      </c>
      <c r="Q389" s="16">
        <f>COUNTIF('hedef liste'!A:A,A389)</f>
        <v>1</v>
      </c>
    </row>
    <row r="390" hidden="1">
      <c r="A390" s="376" t="s">
        <v>5113</v>
      </c>
      <c r="B390" s="376" t="s">
        <v>5114</v>
      </c>
      <c r="C390" s="428" t="s">
        <v>6979</v>
      </c>
      <c r="D390" s="376" t="s">
        <v>3699</v>
      </c>
      <c r="E390" s="429">
        <v>136.0</v>
      </c>
      <c r="F390" s="431"/>
      <c r="G390" s="429">
        <v>17.0</v>
      </c>
      <c r="H390" s="429">
        <v>11.0</v>
      </c>
      <c r="I390" s="429">
        <v>28.0</v>
      </c>
      <c r="J390" s="430">
        <v>0.61</v>
      </c>
      <c r="K390" s="376" t="s">
        <v>5110</v>
      </c>
      <c r="L390" s="376">
        <v>5.443909041E9</v>
      </c>
      <c r="M390" s="376" t="s">
        <v>286</v>
      </c>
      <c r="N390" s="376" t="s">
        <v>4451</v>
      </c>
      <c r="O390" s="376" t="s">
        <v>5115</v>
      </c>
      <c r="P390" s="376" t="s">
        <v>3941</v>
      </c>
      <c r="Q390" s="16">
        <f>COUNTIF('hedef liste'!A:A,A390)</f>
        <v>1</v>
      </c>
    </row>
    <row r="391" hidden="1">
      <c r="A391" s="376" t="s">
        <v>807</v>
      </c>
      <c r="B391" s="376" t="s">
        <v>7272</v>
      </c>
      <c r="C391" s="428" t="s">
        <v>6979</v>
      </c>
      <c r="D391" s="376" t="s">
        <v>4000</v>
      </c>
      <c r="E391" s="429">
        <v>586.0</v>
      </c>
      <c r="F391" s="429">
        <v>16.0</v>
      </c>
      <c r="G391" s="429">
        <v>30.0</v>
      </c>
      <c r="H391" s="429">
        <v>23.0</v>
      </c>
      <c r="I391" s="429">
        <v>53.0</v>
      </c>
      <c r="J391" s="430">
        <v>0.57</v>
      </c>
      <c r="K391" s="376" t="s">
        <v>6520</v>
      </c>
      <c r="L391" s="376">
        <v>5.052582015E9</v>
      </c>
      <c r="M391" s="376" t="s">
        <v>14</v>
      </c>
      <c r="N391" s="376" t="s">
        <v>3797</v>
      </c>
      <c r="O391" s="376" t="s">
        <v>7273</v>
      </c>
      <c r="P391" s="376" t="s">
        <v>3941</v>
      </c>
      <c r="Q391" s="16">
        <f>COUNTIF('hedef liste'!A:A,A391)</f>
        <v>1</v>
      </c>
    </row>
    <row r="392" hidden="1">
      <c r="A392" s="376" t="s">
        <v>619</v>
      </c>
      <c r="B392" s="376" t="s">
        <v>620</v>
      </c>
      <c r="C392" s="428" t="s">
        <v>6979</v>
      </c>
      <c r="D392" s="376" t="s">
        <v>3699</v>
      </c>
      <c r="E392" s="429">
        <v>481.0</v>
      </c>
      <c r="F392" s="429">
        <v>34.0</v>
      </c>
      <c r="G392" s="429">
        <v>21.0</v>
      </c>
      <c r="H392" s="429">
        <v>25.0</v>
      </c>
      <c r="I392" s="429">
        <v>46.0</v>
      </c>
      <c r="J392" s="430">
        <v>0.46</v>
      </c>
      <c r="K392" s="376" t="s">
        <v>6940</v>
      </c>
      <c r="L392" s="376">
        <v>3.222255138E9</v>
      </c>
      <c r="M392" s="376" t="s">
        <v>14</v>
      </c>
      <c r="N392" s="376" t="s">
        <v>3797</v>
      </c>
      <c r="O392" s="376" t="s">
        <v>622</v>
      </c>
      <c r="P392" s="376" t="s">
        <v>3941</v>
      </c>
      <c r="Q392" s="16">
        <f>COUNTIF('hedef liste'!A:A,A392)</f>
        <v>1</v>
      </c>
    </row>
    <row r="393" hidden="1">
      <c r="A393" s="376" t="s">
        <v>1171</v>
      </c>
      <c r="B393" s="376" t="s">
        <v>1172</v>
      </c>
      <c r="C393" s="428" t="s">
        <v>6979</v>
      </c>
      <c r="D393" s="376" t="s">
        <v>3676</v>
      </c>
      <c r="E393" s="429">
        <v>12117.0</v>
      </c>
      <c r="F393" s="429">
        <v>883.0</v>
      </c>
      <c r="G393" s="429">
        <v>18.0</v>
      </c>
      <c r="H393" s="429">
        <v>1.0</v>
      </c>
      <c r="I393" s="429">
        <v>19.0</v>
      </c>
      <c r="J393" s="430">
        <v>0.95</v>
      </c>
      <c r="K393" s="376" t="s">
        <v>4028</v>
      </c>
      <c r="L393" s="376">
        <v>3.225050501E9</v>
      </c>
      <c r="M393" s="376" t="s">
        <v>286</v>
      </c>
      <c r="N393" s="376" t="s">
        <v>3751</v>
      </c>
      <c r="O393" s="376" t="s">
        <v>1175</v>
      </c>
      <c r="P393" s="376" t="s">
        <v>3941</v>
      </c>
      <c r="Q393" s="16">
        <f>COUNTIF('hedef liste'!A:A,A393)</f>
        <v>1</v>
      </c>
    </row>
    <row r="394" hidden="1">
      <c r="A394" s="376" t="s">
        <v>753</v>
      </c>
      <c r="B394" s="376" t="s">
        <v>7274</v>
      </c>
      <c r="C394" s="428" t="s">
        <v>6979</v>
      </c>
      <c r="D394" s="376" t="s">
        <v>3676</v>
      </c>
      <c r="E394" s="429">
        <v>2766.0</v>
      </c>
      <c r="F394" s="429">
        <v>72.0</v>
      </c>
      <c r="G394" s="429">
        <v>5.0</v>
      </c>
      <c r="H394" s="429">
        <v>14.0</v>
      </c>
      <c r="I394" s="429">
        <v>19.0</v>
      </c>
      <c r="J394" s="430">
        <v>0.26</v>
      </c>
      <c r="K394" s="376" t="s">
        <v>5806</v>
      </c>
      <c r="L394" s="376">
        <v>3.22225707E9</v>
      </c>
      <c r="M394" s="376" t="s">
        <v>286</v>
      </c>
      <c r="N394" s="376" t="s">
        <v>3754</v>
      </c>
      <c r="O394" s="376" t="s">
        <v>757</v>
      </c>
      <c r="P394" s="376" t="s">
        <v>3941</v>
      </c>
      <c r="Q394" s="16">
        <f>COUNTIF('hedef liste'!A:A,A394)</f>
        <v>1</v>
      </c>
    </row>
    <row r="395" hidden="1">
      <c r="A395" s="376" t="s">
        <v>2206</v>
      </c>
      <c r="B395" s="376" t="s">
        <v>2207</v>
      </c>
      <c r="C395" s="428" t="s">
        <v>6979</v>
      </c>
      <c r="D395" s="376" t="s">
        <v>3699</v>
      </c>
      <c r="E395" s="429">
        <v>114.0</v>
      </c>
      <c r="F395" s="429">
        <v>24.0</v>
      </c>
      <c r="G395" s="429">
        <v>20.0</v>
      </c>
      <c r="H395" s="429">
        <v>19.0</v>
      </c>
      <c r="I395" s="429">
        <v>39.0</v>
      </c>
      <c r="J395" s="430">
        <v>0.51</v>
      </c>
      <c r="K395" s="376" t="s">
        <v>4160</v>
      </c>
      <c r="L395" s="376">
        <v>3.224561E9</v>
      </c>
      <c r="M395" s="376" t="s">
        <v>286</v>
      </c>
      <c r="N395" s="376" t="s">
        <v>3758</v>
      </c>
      <c r="O395" s="376" t="s">
        <v>2210</v>
      </c>
      <c r="P395" s="376" t="s">
        <v>3941</v>
      </c>
      <c r="Q395" s="16">
        <f>COUNTIF('hedef liste'!A:A,A395)</f>
        <v>1</v>
      </c>
    </row>
    <row r="396" hidden="1">
      <c r="A396" s="376" t="s">
        <v>5121</v>
      </c>
      <c r="B396" s="376" t="s">
        <v>5122</v>
      </c>
      <c r="C396" s="428" t="s">
        <v>6979</v>
      </c>
      <c r="D396" s="376" t="s">
        <v>3699</v>
      </c>
      <c r="E396" s="429">
        <v>231.0</v>
      </c>
      <c r="F396" s="429">
        <v>2.0</v>
      </c>
      <c r="G396" s="429">
        <v>13.0</v>
      </c>
      <c r="H396" s="429">
        <v>10.0</v>
      </c>
      <c r="I396" s="429">
        <v>23.0</v>
      </c>
      <c r="J396" s="430">
        <v>0.57</v>
      </c>
      <c r="K396" s="376" t="s">
        <v>5110</v>
      </c>
      <c r="L396" s="376">
        <v>5.443909041E9</v>
      </c>
      <c r="M396" s="376" t="s">
        <v>286</v>
      </c>
      <c r="N396" s="376" t="s">
        <v>3855</v>
      </c>
      <c r="O396" s="376" t="s">
        <v>5123</v>
      </c>
      <c r="P396" s="376" t="s">
        <v>3941</v>
      </c>
      <c r="Q396" s="16">
        <f>COUNTIF('hedef liste'!A:A,A396)</f>
        <v>1</v>
      </c>
    </row>
    <row r="397" hidden="1">
      <c r="A397" s="376" t="s">
        <v>857</v>
      </c>
      <c r="B397" s="376" t="s">
        <v>858</v>
      </c>
      <c r="C397" s="428" t="s">
        <v>6979</v>
      </c>
      <c r="D397" s="376" t="s">
        <v>3676</v>
      </c>
      <c r="E397" s="429">
        <v>886.0</v>
      </c>
      <c r="F397" s="429">
        <v>51.0</v>
      </c>
      <c r="G397" s="429">
        <v>14.0</v>
      </c>
      <c r="H397" s="429">
        <v>14.0</v>
      </c>
      <c r="I397" s="429">
        <v>28.0</v>
      </c>
      <c r="J397" s="430">
        <v>0.5</v>
      </c>
      <c r="K397" s="376" t="s">
        <v>4831</v>
      </c>
      <c r="L397" s="376">
        <v>3.222358168E9</v>
      </c>
      <c r="M397" s="376" t="s">
        <v>14</v>
      </c>
      <c r="N397" s="376" t="s">
        <v>3767</v>
      </c>
      <c r="O397" s="376" t="s">
        <v>860</v>
      </c>
      <c r="P397" s="376" t="s">
        <v>3941</v>
      </c>
      <c r="Q397" s="16">
        <f>COUNTIF('hedef liste'!A:A,A397)</f>
        <v>1</v>
      </c>
    </row>
    <row r="398" hidden="1">
      <c r="A398" s="376" t="s">
        <v>3969</v>
      </c>
      <c r="B398" s="376" t="s">
        <v>3970</v>
      </c>
      <c r="C398" s="428" t="s">
        <v>6979</v>
      </c>
      <c r="D398" s="376" t="s">
        <v>3713</v>
      </c>
      <c r="E398" s="429">
        <v>243.0</v>
      </c>
      <c r="F398" s="429">
        <v>15.0</v>
      </c>
      <c r="G398" s="429">
        <v>0.0</v>
      </c>
      <c r="H398" s="429">
        <v>30.0</v>
      </c>
      <c r="I398" s="429">
        <v>30.0</v>
      </c>
      <c r="J398" s="430">
        <v>0.0</v>
      </c>
      <c r="K398" s="376" t="s">
        <v>3971</v>
      </c>
      <c r="L398" s="376">
        <v>5.06170727E9</v>
      </c>
      <c r="M398" s="376" t="s">
        <v>14</v>
      </c>
      <c r="N398" s="376" t="s">
        <v>3733</v>
      </c>
      <c r="O398" s="376" t="s">
        <v>3972</v>
      </c>
      <c r="P398" s="376" t="s">
        <v>3941</v>
      </c>
      <c r="Q398" s="16">
        <f>COUNTIF('hedef liste'!A:A,A398)</f>
        <v>1</v>
      </c>
    </row>
    <row r="399" hidden="1">
      <c r="A399" s="376" t="s">
        <v>6618</v>
      </c>
      <c r="B399" s="376" t="s">
        <v>6619</v>
      </c>
      <c r="C399" s="428" t="s">
        <v>7011</v>
      </c>
      <c r="D399" s="376" t="s">
        <v>3801</v>
      </c>
      <c r="E399" s="429">
        <v>756.0</v>
      </c>
      <c r="F399" s="431"/>
      <c r="G399" s="429">
        <v>5.0</v>
      </c>
      <c r="H399" s="429">
        <v>12.0</v>
      </c>
      <c r="I399" s="429">
        <v>17.0</v>
      </c>
      <c r="J399" s="430">
        <v>0.29</v>
      </c>
      <c r="K399" s="376" t="s">
        <v>6620</v>
      </c>
      <c r="L399" s="376">
        <v>5.349461781E9</v>
      </c>
      <c r="M399" s="376" t="s">
        <v>14</v>
      </c>
      <c r="N399" s="376" t="s">
        <v>3826</v>
      </c>
      <c r="O399" s="376" t="s">
        <v>6621</v>
      </c>
      <c r="P399" s="376" t="s">
        <v>3941</v>
      </c>
      <c r="Q399" s="16">
        <f>COUNTIF('hedef liste'!A:A,A399)</f>
        <v>1</v>
      </c>
    </row>
    <row r="400" hidden="1">
      <c r="A400" s="376" t="s">
        <v>7275</v>
      </c>
      <c r="B400" s="376" t="s">
        <v>7276</v>
      </c>
      <c r="C400" s="428" t="s">
        <v>6979</v>
      </c>
      <c r="D400" s="376" t="s">
        <v>4907</v>
      </c>
      <c r="E400" s="429">
        <v>1037.0</v>
      </c>
      <c r="F400" s="429">
        <v>50.0</v>
      </c>
      <c r="G400" s="429">
        <v>211.0</v>
      </c>
      <c r="H400" s="429">
        <v>1.0</v>
      </c>
      <c r="I400" s="429">
        <v>212.0</v>
      </c>
      <c r="J400" s="430">
        <v>1.0</v>
      </c>
      <c r="K400" s="376" t="s">
        <v>7162</v>
      </c>
      <c r="L400" s="376">
        <v>5.3206042E9</v>
      </c>
      <c r="M400" s="376" t="s">
        <v>286</v>
      </c>
      <c r="N400" s="376" t="s">
        <v>4235</v>
      </c>
      <c r="O400" s="376" t="s">
        <v>7277</v>
      </c>
      <c r="P400" s="376" t="s">
        <v>6982</v>
      </c>
      <c r="Q400" s="16">
        <f>COUNTIF('hedef liste'!A:A,A400)</f>
        <v>0</v>
      </c>
    </row>
    <row r="401" hidden="1">
      <c r="A401" s="376" t="s">
        <v>7278</v>
      </c>
      <c r="B401" s="376" t="s">
        <v>7279</v>
      </c>
      <c r="C401" s="428" t="s">
        <v>6979</v>
      </c>
      <c r="D401" s="376" t="s">
        <v>3759</v>
      </c>
      <c r="E401" s="429">
        <v>3099.0</v>
      </c>
      <c r="F401" s="431"/>
      <c r="G401" s="429">
        <v>9.0</v>
      </c>
      <c r="H401" s="429">
        <v>1.0</v>
      </c>
      <c r="I401" s="429">
        <v>10.0</v>
      </c>
      <c r="J401" s="430">
        <v>0.9</v>
      </c>
      <c r="K401" s="376" t="s">
        <v>7280</v>
      </c>
      <c r="L401" s="376">
        <v>3.222323565E9</v>
      </c>
      <c r="M401" s="376" t="s">
        <v>14</v>
      </c>
      <c r="N401" s="376" t="s">
        <v>3797</v>
      </c>
      <c r="O401" s="376" t="s">
        <v>7281</v>
      </c>
      <c r="P401" s="376" t="s">
        <v>6982</v>
      </c>
      <c r="Q401" s="16">
        <f>COUNTIF('hedef liste'!A:A,A401)</f>
        <v>0</v>
      </c>
    </row>
    <row r="402" hidden="1">
      <c r="A402" s="376" t="s">
        <v>6256</v>
      </c>
      <c r="B402" s="376" t="s">
        <v>6257</v>
      </c>
      <c r="C402" s="428" t="s">
        <v>6979</v>
      </c>
      <c r="D402" s="376" t="s">
        <v>3994</v>
      </c>
      <c r="E402" s="429">
        <v>3823.0</v>
      </c>
      <c r="F402" s="429">
        <v>176.0</v>
      </c>
      <c r="G402" s="429">
        <v>9.0</v>
      </c>
      <c r="H402" s="429">
        <v>94.0</v>
      </c>
      <c r="I402" s="429">
        <v>103.0</v>
      </c>
      <c r="J402" s="430">
        <v>0.09</v>
      </c>
      <c r="K402" s="376" t="s">
        <v>6258</v>
      </c>
      <c r="L402" s="376">
        <v>3.225023232E9</v>
      </c>
      <c r="M402" s="376" t="s">
        <v>3701</v>
      </c>
      <c r="N402" s="376" t="s">
        <v>3702</v>
      </c>
      <c r="O402" s="376" t="s">
        <v>6259</v>
      </c>
      <c r="P402" s="376" t="s">
        <v>3941</v>
      </c>
      <c r="Q402" s="16">
        <f>COUNTIF('hedef liste'!A:A,A402)</f>
        <v>1</v>
      </c>
    </row>
    <row r="403" hidden="1">
      <c r="A403" s="376" t="s">
        <v>5869</v>
      </c>
      <c r="B403" s="376" t="s">
        <v>5870</v>
      </c>
      <c r="C403" s="428" t="s">
        <v>7011</v>
      </c>
      <c r="D403" s="376" t="s">
        <v>3713</v>
      </c>
      <c r="E403" s="429">
        <v>124.0</v>
      </c>
      <c r="F403" s="431"/>
      <c r="G403" s="429">
        <v>0.0</v>
      </c>
      <c r="H403" s="429">
        <v>28.0</v>
      </c>
      <c r="I403" s="429">
        <v>28.0</v>
      </c>
      <c r="J403" s="430">
        <v>0.0</v>
      </c>
      <c r="K403" s="376" t="s">
        <v>5871</v>
      </c>
      <c r="L403" s="376">
        <v>5.330192201E9</v>
      </c>
      <c r="M403" s="376" t="s">
        <v>14</v>
      </c>
      <c r="N403" s="376" t="s">
        <v>3797</v>
      </c>
      <c r="O403" s="376" t="s">
        <v>5872</v>
      </c>
      <c r="P403" s="376" t="s">
        <v>3941</v>
      </c>
      <c r="Q403" s="16">
        <f>COUNTIF('hedef liste'!A:A,A403)</f>
        <v>1</v>
      </c>
    </row>
    <row r="404" hidden="1">
      <c r="A404" s="376" t="s">
        <v>6121</v>
      </c>
      <c r="B404" s="376" t="s">
        <v>6122</v>
      </c>
      <c r="C404" s="428" t="s">
        <v>6979</v>
      </c>
      <c r="D404" s="376" t="s">
        <v>3713</v>
      </c>
      <c r="E404" s="429">
        <v>1837.0</v>
      </c>
      <c r="F404" s="429">
        <v>68.0</v>
      </c>
      <c r="G404" s="429">
        <v>0.0</v>
      </c>
      <c r="H404" s="429">
        <v>30.0</v>
      </c>
      <c r="I404" s="429">
        <v>30.0</v>
      </c>
      <c r="J404" s="430">
        <v>0.0</v>
      </c>
      <c r="K404" s="376" t="s">
        <v>6123</v>
      </c>
      <c r="L404" s="376">
        <v>3.222241117E9</v>
      </c>
      <c r="M404" s="376" t="s">
        <v>286</v>
      </c>
      <c r="N404" s="376" t="s">
        <v>3754</v>
      </c>
      <c r="O404" s="376" t="s">
        <v>6124</v>
      </c>
      <c r="P404" s="376" t="s">
        <v>3941</v>
      </c>
      <c r="Q404" s="16">
        <f>COUNTIF('hedef liste'!A:A,A404)</f>
        <v>1</v>
      </c>
    </row>
    <row r="405" hidden="1">
      <c r="A405" s="376" t="s">
        <v>5132</v>
      </c>
      <c r="B405" s="376" t="s">
        <v>5133</v>
      </c>
      <c r="C405" s="428" t="s">
        <v>6979</v>
      </c>
      <c r="D405" s="376" t="s">
        <v>3699</v>
      </c>
      <c r="E405" s="429">
        <v>78.0</v>
      </c>
      <c r="F405" s="429">
        <v>1.0</v>
      </c>
      <c r="G405" s="429">
        <v>19.0</v>
      </c>
      <c r="H405" s="429">
        <v>10.0</v>
      </c>
      <c r="I405" s="429">
        <v>29.0</v>
      </c>
      <c r="J405" s="430">
        <v>0.66</v>
      </c>
      <c r="K405" s="376" t="s">
        <v>5110</v>
      </c>
      <c r="L405" s="376">
        <v>5.443909041E9</v>
      </c>
      <c r="M405" s="376" t="s">
        <v>286</v>
      </c>
      <c r="N405" s="376" t="s">
        <v>5012</v>
      </c>
      <c r="O405" s="376" t="s">
        <v>5134</v>
      </c>
      <c r="P405" s="376" t="s">
        <v>3941</v>
      </c>
      <c r="Q405" s="16">
        <f>COUNTIF('hedef liste'!A:A,A405)</f>
        <v>1</v>
      </c>
    </row>
    <row r="406" hidden="1">
      <c r="A406" s="376" t="s">
        <v>5139</v>
      </c>
      <c r="B406" s="376" t="s">
        <v>5140</v>
      </c>
      <c r="C406" s="428" t="s">
        <v>6979</v>
      </c>
      <c r="D406" s="376" t="s">
        <v>3699</v>
      </c>
      <c r="E406" s="429">
        <v>17.0</v>
      </c>
      <c r="F406" s="431"/>
      <c r="G406" s="429">
        <v>22.0</v>
      </c>
      <c r="H406" s="429">
        <v>11.0</v>
      </c>
      <c r="I406" s="429">
        <v>33.0</v>
      </c>
      <c r="J406" s="430">
        <v>0.67</v>
      </c>
      <c r="K406" s="376" t="s">
        <v>5110</v>
      </c>
      <c r="L406" s="376">
        <v>5.443909041E9</v>
      </c>
      <c r="M406" s="376" t="s">
        <v>286</v>
      </c>
      <c r="N406" s="376" t="s">
        <v>4075</v>
      </c>
      <c r="O406" s="376" t="s">
        <v>7282</v>
      </c>
      <c r="P406" s="376" t="s">
        <v>3941</v>
      </c>
      <c r="Q406" s="16">
        <f>COUNTIF('hedef liste'!A:A,A406)</f>
        <v>1</v>
      </c>
    </row>
    <row r="407" hidden="1">
      <c r="A407" s="376" t="s">
        <v>5124</v>
      </c>
      <c r="B407" s="376" t="s">
        <v>5125</v>
      </c>
      <c r="C407" s="428" t="s">
        <v>6979</v>
      </c>
      <c r="D407" s="376" t="s">
        <v>3699</v>
      </c>
      <c r="E407" s="429">
        <v>157.0</v>
      </c>
      <c r="F407" s="429">
        <v>2.0</v>
      </c>
      <c r="G407" s="429">
        <v>17.0</v>
      </c>
      <c r="H407" s="429">
        <v>8.0</v>
      </c>
      <c r="I407" s="429">
        <v>25.0</v>
      </c>
      <c r="J407" s="430">
        <v>0.68</v>
      </c>
      <c r="K407" s="376" t="s">
        <v>5110</v>
      </c>
      <c r="L407" s="376">
        <v>5.443909041E9</v>
      </c>
      <c r="M407" s="376" t="s">
        <v>14</v>
      </c>
      <c r="N407" s="376" t="s">
        <v>3797</v>
      </c>
      <c r="O407" s="376" t="s">
        <v>7283</v>
      </c>
      <c r="P407" s="376" t="s">
        <v>3941</v>
      </c>
      <c r="Q407" s="16">
        <f>COUNTIF('hedef liste'!A:A,A407)</f>
        <v>1</v>
      </c>
    </row>
    <row r="408" hidden="1">
      <c r="A408" s="376" t="s">
        <v>5153</v>
      </c>
      <c r="B408" s="376" t="s">
        <v>5154</v>
      </c>
      <c r="C408" s="428" t="s">
        <v>6979</v>
      </c>
      <c r="D408" s="376" t="s">
        <v>3699</v>
      </c>
      <c r="E408" s="429">
        <v>116.0</v>
      </c>
      <c r="F408" s="429">
        <v>8.0</v>
      </c>
      <c r="G408" s="429">
        <v>14.0</v>
      </c>
      <c r="H408" s="429">
        <v>8.0</v>
      </c>
      <c r="I408" s="429">
        <v>22.0</v>
      </c>
      <c r="J408" s="430">
        <v>0.64</v>
      </c>
      <c r="K408" s="376" t="s">
        <v>5110</v>
      </c>
      <c r="L408" s="376">
        <v>5.443909041E9</v>
      </c>
      <c r="M408" s="376" t="s">
        <v>14</v>
      </c>
      <c r="N408" s="376" t="s">
        <v>3767</v>
      </c>
      <c r="O408" s="376" t="s">
        <v>5155</v>
      </c>
      <c r="P408" s="376" t="s">
        <v>3941</v>
      </c>
      <c r="Q408" s="16">
        <f>COUNTIF('hedef liste'!A:A,A408)</f>
        <v>1</v>
      </c>
    </row>
    <row r="409" hidden="1">
      <c r="A409" s="376" t="s">
        <v>902</v>
      </c>
      <c r="B409" s="376" t="s">
        <v>903</v>
      </c>
      <c r="C409" s="428" t="s">
        <v>6979</v>
      </c>
      <c r="D409" s="376" t="s">
        <v>3907</v>
      </c>
      <c r="E409" s="429">
        <v>370.0</v>
      </c>
      <c r="F409" s="431"/>
      <c r="G409" s="429">
        <v>0.0</v>
      </c>
      <c r="H409" s="429">
        <v>29.0</v>
      </c>
      <c r="I409" s="429">
        <v>29.0</v>
      </c>
      <c r="J409" s="430">
        <v>0.0</v>
      </c>
      <c r="K409" s="376" t="s">
        <v>4116</v>
      </c>
      <c r="L409" s="376">
        <v>5.528992233E9</v>
      </c>
      <c r="M409" s="376" t="s">
        <v>14</v>
      </c>
      <c r="N409" s="376" t="s">
        <v>3718</v>
      </c>
      <c r="O409" s="376" t="s">
        <v>905</v>
      </c>
      <c r="P409" s="376" t="s">
        <v>3941</v>
      </c>
      <c r="Q409" s="16">
        <f>COUNTIF('hedef liste'!A:A,A409)</f>
        <v>1</v>
      </c>
    </row>
    <row r="410" hidden="1">
      <c r="A410" s="376" t="s">
        <v>1199</v>
      </c>
      <c r="B410" s="376" t="s">
        <v>1200</v>
      </c>
      <c r="C410" s="428" t="s">
        <v>6979</v>
      </c>
      <c r="D410" s="376" t="s">
        <v>3676</v>
      </c>
      <c r="E410" s="429">
        <v>4257.0</v>
      </c>
      <c r="F410" s="429">
        <v>169.0</v>
      </c>
      <c r="G410" s="429">
        <v>30.0</v>
      </c>
      <c r="H410" s="429">
        <v>8.0</v>
      </c>
      <c r="I410" s="429">
        <v>38.0</v>
      </c>
      <c r="J410" s="430">
        <v>0.79</v>
      </c>
      <c r="K410" s="376" t="s">
        <v>5794</v>
      </c>
      <c r="L410" s="376">
        <v>3.228882121E9</v>
      </c>
      <c r="M410" s="376" t="s">
        <v>286</v>
      </c>
      <c r="N410" s="376" t="s">
        <v>3737</v>
      </c>
      <c r="O410" s="376" t="s">
        <v>1202</v>
      </c>
      <c r="P410" s="376" t="s">
        <v>3941</v>
      </c>
      <c r="Q410" s="16">
        <f>COUNTIF('hedef liste'!A:A,A410)</f>
        <v>1</v>
      </c>
    </row>
    <row r="411" hidden="1">
      <c r="A411" s="376" t="s">
        <v>4302</v>
      </c>
      <c r="B411" s="376" t="s">
        <v>4303</v>
      </c>
      <c r="C411" s="428" t="s">
        <v>6979</v>
      </c>
      <c r="D411" s="376" t="s">
        <v>4000</v>
      </c>
      <c r="E411" s="429">
        <v>638.0</v>
      </c>
      <c r="F411" s="429">
        <v>37.0</v>
      </c>
      <c r="G411" s="429">
        <v>0.0</v>
      </c>
      <c r="H411" s="429">
        <v>20.0</v>
      </c>
      <c r="I411" s="429">
        <v>20.0</v>
      </c>
      <c r="J411" s="430">
        <v>0.0</v>
      </c>
      <c r="K411" s="376" t="s">
        <v>4304</v>
      </c>
      <c r="L411" s="376">
        <v>3.224544542E9</v>
      </c>
      <c r="M411" s="376" t="s">
        <v>286</v>
      </c>
      <c r="N411" s="376" t="s">
        <v>3737</v>
      </c>
      <c r="O411" s="376" t="s">
        <v>4305</v>
      </c>
      <c r="P411" s="376" t="s">
        <v>3941</v>
      </c>
      <c r="Q411" s="16">
        <f>COUNTIF('hedef liste'!A:A,A411)</f>
        <v>1</v>
      </c>
    </row>
    <row r="412" hidden="1">
      <c r="A412" s="376" t="s">
        <v>7284</v>
      </c>
      <c r="B412" s="376" t="s">
        <v>7285</v>
      </c>
      <c r="C412" s="428" t="s">
        <v>6979</v>
      </c>
      <c r="D412" s="376" t="s">
        <v>3994</v>
      </c>
      <c r="E412" s="429">
        <v>1909.0</v>
      </c>
      <c r="F412" s="429">
        <v>118.0</v>
      </c>
      <c r="G412" s="429">
        <v>89.0</v>
      </c>
      <c r="H412" s="429">
        <v>0.0</v>
      </c>
      <c r="I412" s="429">
        <v>89.0</v>
      </c>
      <c r="J412" s="430">
        <v>1.0</v>
      </c>
      <c r="K412" s="376" t="s">
        <v>7111</v>
      </c>
      <c r="L412" s="376">
        <v>9.999999999E9</v>
      </c>
      <c r="M412" s="376" t="s">
        <v>3707</v>
      </c>
      <c r="N412" s="376" t="s">
        <v>5245</v>
      </c>
      <c r="O412" s="376" t="s">
        <v>7286</v>
      </c>
      <c r="P412" s="376" t="s">
        <v>6982</v>
      </c>
      <c r="Q412" s="16">
        <f>COUNTIF('hedef liste'!A:A,A412)</f>
        <v>0</v>
      </c>
    </row>
    <row r="413" hidden="1">
      <c r="A413" s="376" t="s">
        <v>4344</v>
      </c>
      <c r="B413" s="376" t="s">
        <v>4345</v>
      </c>
      <c r="C413" s="428" t="s">
        <v>6979</v>
      </c>
      <c r="D413" s="376" t="s">
        <v>3713</v>
      </c>
      <c r="E413" s="429">
        <v>1874.0</v>
      </c>
      <c r="F413" s="429">
        <v>123.0</v>
      </c>
      <c r="G413" s="429">
        <v>0.0</v>
      </c>
      <c r="H413" s="429">
        <v>101.0</v>
      </c>
      <c r="I413" s="429">
        <v>101.0</v>
      </c>
      <c r="J413" s="430">
        <v>0.0</v>
      </c>
      <c r="K413" s="376" t="s">
        <v>4346</v>
      </c>
      <c r="L413" s="376">
        <v>5.457444052E9</v>
      </c>
      <c r="M413" s="376" t="s">
        <v>286</v>
      </c>
      <c r="N413" s="376" t="s">
        <v>3737</v>
      </c>
      <c r="O413" s="376" t="s">
        <v>4347</v>
      </c>
      <c r="P413" s="376" t="s">
        <v>3941</v>
      </c>
      <c r="Q413" s="16">
        <f>COUNTIF('hedef liste'!A:A,A413)</f>
        <v>1</v>
      </c>
    </row>
    <row r="414" hidden="1">
      <c r="A414" s="376" t="s">
        <v>116</v>
      </c>
      <c r="B414" s="376" t="s">
        <v>7287</v>
      </c>
      <c r="C414" s="428" t="s">
        <v>7011</v>
      </c>
      <c r="D414" s="376" t="s">
        <v>3994</v>
      </c>
      <c r="E414" s="429">
        <v>6952.0</v>
      </c>
      <c r="F414" s="431"/>
      <c r="G414" s="429">
        <v>6.0</v>
      </c>
      <c r="H414" s="429">
        <v>49.0</v>
      </c>
      <c r="I414" s="429">
        <v>55.0</v>
      </c>
      <c r="J414" s="430">
        <v>0.11</v>
      </c>
      <c r="K414" s="376" t="s">
        <v>7288</v>
      </c>
      <c r="L414" s="376">
        <v>3.222252601E9</v>
      </c>
      <c r="M414" s="376" t="s">
        <v>14</v>
      </c>
      <c r="N414" s="376" t="s">
        <v>3914</v>
      </c>
      <c r="O414" s="376" t="s">
        <v>120</v>
      </c>
      <c r="P414" s="376" t="s">
        <v>3941</v>
      </c>
      <c r="Q414" s="16">
        <f>COUNTIF('hedef liste'!A:A,A414)</f>
        <v>1</v>
      </c>
    </row>
    <row r="415" hidden="1">
      <c r="A415" s="376" t="s">
        <v>146</v>
      </c>
      <c r="B415" s="376" t="s">
        <v>7289</v>
      </c>
      <c r="C415" s="428" t="s">
        <v>6979</v>
      </c>
      <c r="D415" s="376" t="s">
        <v>3676</v>
      </c>
      <c r="E415" s="429">
        <v>2272.0</v>
      </c>
      <c r="F415" s="429">
        <v>29.0</v>
      </c>
      <c r="G415" s="429">
        <v>10.0</v>
      </c>
      <c r="H415" s="429">
        <v>8.0</v>
      </c>
      <c r="I415" s="429">
        <v>18.0</v>
      </c>
      <c r="J415" s="430">
        <v>0.56</v>
      </c>
      <c r="K415" s="376" t="s">
        <v>3893</v>
      </c>
      <c r="L415" s="376">
        <v>3.222334767E9</v>
      </c>
      <c r="M415" s="376" t="s">
        <v>14</v>
      </c>
      <c r="N415" s="376" t="s">
        <v>3767</v>
      </c>
      <c r="O415" s="376" t="s">
        <v>3894</v>
      </c>
      <c r="P415" s="376" t="s">
        <v>3941</v>
      </c>
      <c r="Q415" s="16">
        <f>COUNTIF('hedef liste'!A:A,A415)</f>
        <v>1</v>
      </c>
    </row>
    <row r="416" hidden="1">
      <c r="A416" s="376" t="s">
        <v>2724</v>
      </c>
      <c r="B416" s="376" t="s">
        <v>2725</v>
      </c>
      <c r="C416" s="428" t="s">
        <v>6979</v>
      </c>
      <c r="D416" s="376" t="s">
        <v>3713</v>
      </c>
      <c r="E416" s="429">
        <v>38.0</v>
      </c>
      <c r="F416" s="431"/>
      <c r="G416" s="429">
        <v>0.0</v>
      </c>
      <c r="H416" s="429">
        <v>12.0</v>
      </c>
      <c r="I416" s="429">
        <v>12.0</v>
      </c>
      <c r="J416" s="430">
        <v>0.0</v>
      </c>
      <c r="K416" s="376" t="s">
        <v>3982</v>
      </c>
      <c r="L416" s="376">
        <v>5.365538673E9</v>
      </c>
      <c r="M416" s="376" t="s">
        <v>3692</v>
      </c>
      <c r="N416" s="376" t="s">
        <v>3983</v>
      </c>
      <c r="O416" s="376" t="s">
        <v>2728</v>
      </c>
      <c r="P416" s="376" t="s">
        <v>3941</v>
      </c>
      <c r="Q416" s="16">
        <f>COUNTIF('hedef liste'!A:A,A416)</f>
        <v>1</v>
      </c>
    </row>
    <row r="417" hidden="1">
      <c r="A417" s="376" t="s">
        <v>1217</v>
      </c>
      <c r="B417" s="376" t="s">
        <v>1218</v>
      </c>
      <c r="C417" s="428" t="s">
        <v>7011</v>
      </c>
      <c r="D417" s="376" t="s">
        <v>3801</v>
      </c>
      <c r="E417" s="429">
        <v>16.0</v>
      </c>
      <c r="F417" s="431"/>
      <c r="G417" s="429">
        <v>6.0</v>
      </c>
      <c r="H417" s="429">
        <v>2.0</v>
      </c>
      <c r="I417" s="429">
        <v>8.0</v>
      </c>
      <c r="J417" s="430">
        <v>0.75</v>
      </c>
      <c r="K417" s="376" t="s">
        <v>3809</v>
      </c>
      <c r="L417" s="376">
        <v>5.425942705E9</v>
      </c>
      <c r="M417" s="376" t="s">
        <v>286</v>
      </c>
      <c r="N417" s="376" t="s">
        <v>3746</v>
      </c>
      <c r="O417" s="376" t="s">
        <v>1220</v>
      </c>
      <c r="P417" s="376" t="s">
        <v>3941</v>
      </c>
      <c r="Q417" s="16">
        <f>COUNTIF('hedef liste'!A:A,A417)</f>
        <v>1</v>
      </c>
    </row>
    <row r="418" hidden="1">
      <c r="A418" s="376" t="s">
        <v>4186</v>
      </c>
      <c r="B418" s="376" t="s">
        <v>4187</v>
      </c>
      <c r="C418" s="428" t="s">
        <v>6979</v>
      </c>
      <c r="D418" s="376" t="s">
        <v>3676</v>
      </c>
      <c r="E418" s="429">
        <v>983.0</v>
      </c>
      <c r="F418" s="429">
        <v>43.0</v>
      </c>
      <c r="G418" s="429">
        <v>0.0</v>
      </c>
      <c r="H418" s="429">
        <v>31.0</v>
      </c>
      <c r="I418" s="429">
        <v>31.0</v>
      </c>
      <c r="J418" s="430">
        <v>0.0</v>
      </c>
      <c r="K418" s="376" t="s">
        <v>4188</v>
      </c>
      <c r="L418" s="376">
        <v>3.222250021E9</v>
      </c>
      <c r="M418" s="376" t="s">
        <v>14</v>
      </c>
      <c r="N418" s="376" t="s">
        <v>3767</v>
      </c>
      <c r="O418" s="376" t="s">
        <v>4189</v>
      </c>
      <c r="P418" s="376" t="s">
        <v>3941</v>
      </c>
      <c r="Q418" s="16">
        <f>COUNTIF('hedef liste'!A:A,A418)</f>
        <v>1</v>
      </c>
    </row>
    <row r="419" hidden="1">
      <c r="A419" s="376" t="s">
        <v>5620</v>
      </c>
      <c r="B419" s="376" t="s">
        <v>5621</v>
      </c>
      <c r="C419" s="428" t="s">
        <v>6979</v>
      </c>
      <c r="D419" s="376" t="s">
        <v>3676</v>
      </c>
      <c r="E419" s="429">
        <v>1613.0</v>
      </c>
      <c r="F419" s="429">
        <v>65.0</v>
      </c>
      <c r="G419" s="429">
        <v>0.0</v>
      </c>
      <c r="H419" s="429">
        <v>26.0</v>
      </c>
      <c r="I419" s="429">
        <v>26.0</v>
      </c>
      <c r="J419" s="430">
        <v>0.0</v>
      </c>
      <c r="K419" s="376" t="s">
        <v>5622</v>
      </c>
      <c r="L419" s="376">
        <v>3.22225303E9</v>
      </c>
      <c r="M419" s="376" t="s">
        <v>14</v>
      </c>
      <c r="N419" s="376" t="s">
        <v>3914</v>
      </c>
      <c r="O419" s="376" t="s">
        <v>5623</v>
      </c>
      <c r="P419" s="376" t="s">
        <v>3941</v>
      </c>
      <c r="Q419" s="16">
        <f>COUNTIF('hedef liste'!A:A,A419)</f>
        <v>1</v>
      </c>
    </row>
    <row r="420" hidden="1">
      <c r="A420" s="376" t="s">
        <v>1408</v>
      </c>
      <c r="B420" s="376" t="s">
        <v>1409</v>
      </c>
      <c r="C420" s="428" t="s">
        <v>6979</v>
      </c>
      <c r="D420" s="376" t="s">
        <v>3676</v>
      </c>
      <c r="E420" s="429">
        <v>2762.0</v>
      </c>
      <c r="F420" s="431"/>
      <c r="G420" s="429">
        <v>17.0</v>
      </c>
      <c r="H420" s="429">
        <v>4.0</v>
      </c>
      <c r="I420" s="429">
        <v>21.0</v>
      </c>
      <c r="J420" s="430">
        <v>0.81</v>
      </c>
      <c r="K420" s="376" t="s">
        <v>4697</v>
      </c>
      <c r="L420" s="376">
        <v>5.345768601E9</v>
      </c>
      <c r="M420" s="376" t="s">
        <v>286</v>
      </c>
      <c r="N420" s="376" t="s">
        <v>4135</v>
      </c>
      <c r="O420" s="376" t="s">
        <v>1412</v>
      </c>
      <c r="P420" s="376" t="s">
        <v>3941</v>
      </c>
      <c r="Q420" s="16">
        <f>COUNTIF('hedef liste'!A:A,A420)</f>
        <v>1</v>
      </c>
    </row>
    <row r="421" hidden="1">
      <c r="A421" s="376" t="s">
        <v>7290</v>
      </c>
      <c r="B421" s="376" t="s">
        <v>7291</v>
      </c>
      <c r="C421" s="428" t="s">
        <v>6979</v>
      </c>
      <c r="D421" s="376" t="s">
        <v>3994</v>
      </c>
      <c r="E421" s="429">
        <v>1669.0</v>
      </c>
      <c r="F421" s="429">
        <v>114.0</v>
      </c>
      <c r="G421" s="429">
        <v>85.0</v>
      </c>
      <c r="H421" s="429">
        <v>0.0</v>
      </c>
      <c r="I421" s="429">
        <v>85.0</v>
      </c>
      <c r="J421" s="430">
        <v>1.0</v>
      </c>
      <c r="K421" s="376" t="s">
        <v>7111</v>
      </c>
      <c r="L421" s="376">
        <v>9.999999999E9</v>
      </c>
      <c r="M421" s="376" t="s">
        <v>286</v>
      </c>
      <c r="N421" s="376" t="s">
        <v>7292</v>
      </c>
      <c r="O421" s="376" t="s">
        <v>7293</v>
      </c>
      <c r="P421" s="376" t="s">
        <v>6982</v>
      </c>
      <c r="Q421" s="16">
        <f>COUNTIF('hedef liste'!A:A,A421)</f>
        <v>0</v>
      </c>
    </row>
    <row r="422" hidden="1">
      <c r="A422" s="376" t="s">
        <v>1436</v>
      </c>
      <c r="B422" s="376" t="s">
        <v>1437</v>
      </c>
      <c r="C422" s="428" t="s">
        <v>6979</v>
      </c>
      <c r="D422" s="376" t="s">
        <v>3676</v>
      </c>
      <c r="E422" s="429">
        <v>622.0</v>
      </c>
      <c r="F422" s="429">
        <v>9.0</v>
      </c>
      <c r="G422" s="429">
        <v>10.0</v>
      </c>
      <c r="H422" s="429">
        <v>12.0</v>
      </c>
      <c r="I422" s="429">
        <v>22.0</v>
      </c>
      <c r="J422" s="430">
        <v>0.45</v>
      </c>
      <c r="K422" s="376" t="s">
        <v>6702</v>
      </c>
      <c r="L422" s="376">
        <v>3.222710102E9</v>
      </c>
      <c r="M422" s="376" t="s">
        <v>286</v>
      </c>
      <c r="N422" s="376" t="s">
        <v>4235</v>
      </c>
      <c r="O422" s="376" t="s">
        <v>1439</v>
      </c>
      <c r="P422" s="376" t="s">
        <v>3941</v>
      </c>
      <c r="Q422" s="16">
        <f>COUNTIF('hedef liste'!A:A,A422)</f>
        <v>1</v>
      </c>
    </row>
    <row r="423" hidden="1">
      <c r="A423" s="376" t="s">
        <v>1061</v>
      </c>
      <c r="B423" s="376" t="s">
        <v>1062</v>
      </c>
      <c r="C423" s="428" t="s">
        <v>6979</v>
      </c>
      <c r="D423" s="376" t="s">
        <v>3676</v>
      </c>
      <c r="E423" s="429">
        <v>308.0</v>
      </c>
      <c r="F423" s="429">
        <v>14.0</v>
      </c>
      <c r="G423" s="429">
        <v>20.0</v>
      </c>
      <c r="H423" s="429">
        <v>6.0</v>
      </c>
      <c r="I423" s="429">
        <v>26.0</v>
      </c>
      <c r="J423" s="430">
        <v>0.77</v>
      </c>
      <c r="K423" s="376" t="s">
        <v>4363</v>
      </c>
      <c r="L423" s="376">
        <v>3.222486254E9</v>
      </c>
      <c r="M423" s="376" t="s">
        <v>14</v>
      </c>
      <c r="N423" s="376" t="s">
        <v>3935</v>
      </c>
      <c r="O423" s="376" t="s">
        <v>1064</v>
      </c>
      <c r="P423" s="376" t="s">
        <v>3941</v>
      </c>
      <c r="Q423" s="16">
        <f>COUNTIF('hedef liste'!A:A,A423)</f>
        <v>1</v>
      </c>
    </row>
    <row r="424" hidden="1">
      <c r="A424" s="376" t="s">
        <v>278</v>
      </c>
      <c r="B424" s="376" t="s">
        <v>279</v>
      </c>
      <c r="C424" s="428" t="s">
        <v>6979</v>
      </c>
      <c r="D424" s="376" t="s">
        <v>3690</v>
      </c>
      <c r="E424" s="429">
        <v>656.0</v>
      </c>
      <c r="F424" s="429">
        <v>50.0</v>
      </c>
      <c r="G424" s="429">
        <v>15.0</v>
      </c>
      <c r="H424" s="429">
        <v>3.0</v>
      </c>
      <c r="I424" s="429">
        <v>18.0</v>
      </c>
      <c r="J424" s="430">
        <v>0.83</v>
      </c>
      <c r="K424" s="376" t="s">
        <v>6579</v>
      </c>
      <c r="L424" s="376">
        <v>3.222338233E9</v>
      </c>
      <c r="M424" s="376" t="s">
        <v>14</v>
      </c>
      <c r="N424" s="376" t="s">
        <v>3733</v>
      </c>
      <c r="O424" s="376" t="s">
        <v>1298</v>
      </c>
      <c r="P424" s="376" t="s">
        <v>3941</v>
      </c>
      <c r="Q424" s="16">
        <f>COUNTIF('hedef liste'!A:A,A424)</f>
        <v>1</v>
      </c>
    </row>
    <row r="425" hidden="1">
      <c r="A425" s="376" t="s">
        <v>1335</v>
      </c>
      <c r="B425" s="376" t="s">
        <v>1336</v>
      </c>
      <c r="C425" s="428" t="s">
        <v>6979</v>
      </c>
      <c r="D425" s="376" t="s">
        <v>3676</v>
      </c>
      <c r="E425" s="429">
        <v>879.0</v>
      </c>
      <c r="F425" s="429">
        <v>44.0</v>
      </c>
      <c r="G425" s="429">
        <v>0.0</v>
      </c>
      <c r="H425" s="429">
        <v>26.0</v>
      </c>
      <c r="I425" s="429">
        <v>26.0</v>
      </c>
      <c r="J425" s="430">
        <v>0.0</v>
      </c>
      <c r="K425" s="376" t="s">
        <v>4056</v>
      </c>
      <c r="L425" s="376">
        <v>3.224452554E9</v>
      </c>
      <c r="M425" s="376" t="s">
        <v>286</v>
      </c>
      <c r="N425" s="376" t="s">
        <v>4057</v>
      </c>
      <c r="O425" s="376" t="s">
        <v>2197</v>
      </c>
      <c r="P425" s="376" t="s">
        <v>3941</v>
      </c>
      <c r="Q425" s="16">
        <f>COUNTIF('hedef liste'!A:A,A425)</f>
        <v>1</v>
      </c>
    </row>
    <row r="426" hidden="1">
      <c r="A426" s="376" t="s">
        <v>2098</v>
      </c>
      <c r="B426" s="376" t="s">
        <v>2099</v>
      </c>
      <c r="C426" s="428" t="s">
        <v>6979</v>
      </c>
      <c r="D426" s="376" t="s">
        <v>3676</v>
      </c>
      <c r="E426" s="429">
        <v>534.0</v>
      </c>
      <c r="F426" s="431"/>
      <c r="G426" s="429">
        <v>4.0</v>
      </c>
      <c r="H426" s="429">
        <v>1.0</v>
      </c>
      <c r="I426" s="429">
        <v>5.0</v>
      </c>
      <c r="J426" s="430">
        <v>0.8</v>
      </c>
      <c r="K426" s="376" t="s">
        <v>5868</v>
      </c>
      <c r="L426" s="376">
        <v>5.302091085E9</v>
      </c>
      <c r="M426" s="376" t="s">
        <v>3707</v>
      </c>
      <c r="N426" s="376" t="s">
        <v>3708</v>
      </c>
      <c r="O426" s="376" t="s">
        <v>2102</v>
      </c>
      <c r="P426" s="376" t="s">
        <v>3941</v>
      </c>
      <c r="Q426" s="16">
        <f>COUNTIF('hedef liste'!A:A,A426)</f>
        <v>1</v>
      </c>
    </row>
    <row r="427" hidden="1">
      <c r="A427" s="376" t="s">
        <v>2483</v>
      </c>
      <c r="B427" s="376" t="s">
        <v>2484</v>
      </c>
      <c r="C427" s="428" t="s">
        <v>6979</v>
      </c>
      <c r="D427" s="376" t="s">
        <v>3699</v>
      </c>
      <c r="E427" s="429">
        <v>617.0</v>
      </c>
      <c r="F427" s="429">
        <v>31.0</v>
      </c>
      <c r="G427" s="429">
        <v>0.0</v>
      </c>
      <c r="H427" s="429">
        <v>48.0</v>
      </c>
      <c r="I427" s="429">
        <v>48.0</v>
      </c>
      <c r="J427" s="430">
        <v>0.0</v>
      </c>
      <c r="K427" s="376" t="s">
        <v>6846</v>
      </c>
      <c r="L427" s="376">
        <v>8.502277747E9</v>
      </c>
      <c r="M427" s="376" t="s">
        <v>14</v>
      </c>
      <c r="N427" s="376" t="s">
        <v>3733</v>
      </c>
      <c r="O427" s="376" t="s">
        <v>2486</v>
      </c>
      <c r="P427" s="376" t="s">
        <v>3941</v>
      </c>
      <c r="Q427" s="16">
        <f>COUNTIF('hedef liste'!A:A,A427)</f>
        <v>1</v>
      </c>
    </row>
    <row r="428" hidden="1">
      <c r="A428" s="376" t="s">
        <v>7294</v>
      </c>
      <c r="B428" s="376" t="s">
        <v>7295</v>
      </c>
      <c r="C428" s="428" t="s">
        <v>6979</v>
      </c>
      <c r="D428" s="376" t="s">
        <v>3676</v>
      </c>
      <c r="E428" s="429">
        <v>3762.0</v>
      </c>
      <c r="F428" s="429">
        <v>86.0</v>
      </c>
      <c r="G428" s="429">
        <v>35.0</v>
      </c>
      <c r="H428" s="429">
        <v>3.0</v>
      </c>
      <c r="I428" s="429">
        <v>38.0</v>
      </c>
      <c r="J428" s="430">
        <v>0.92</v>
      </c>
      <c r="K428" s="376" t="s">
        <v>7296</v>
      </c>
      <c r="L428" s="376">
        <v>5.494599414E9</v>
      </c>
      <c r="M428" s="376" t="s">
        <v>286</v>
      </c>
      <c r="N428" s="376" t="s">
        <v>3688</v>
      </c>
      <c r="O428" s="376" t="s">
        <v>7297</v>
      </c>
      <c r="P428" s="376" t="s">
        <v>6982</v>
      </c>
      <c r="Q428" s="16">
        <f>COUNTIF('hedef liste'!A:A,A428)</f>
        <v>0</v>
      </c>
    </row>
    <row r="429" hidden="1">
      <c r="A429" s="376" t="s">
        <v>4815</v>
      </c>
      <c r="B429" s="376" t="s">
        <v>4816</v>
      </c>
      <c r="C429" s="428" t="s">
        <v>6979</v>
      </c>
      <c r="D429" s="376" t="s">
        <v>3676</v>
      </c>
      <c r="E429" s="429">
        <v>1410.0</v>
      </c>
      <c r="F429" s="429">
        <v>89.0</v>
      </c>
      <c r="G429" s="429">
        <v>7.0</v>
      </c>
      <c r="H429" s="429">
        <v>26.0</v>
      </c>
      <c r="I429" s="429">
        <v>33.0</v>
      </c>
      <c r="J429" s="430">
        <v>0.21</v>
      </c>
      <c r="K429" s="376" t="s">
        <v>3784</v>
      </c>
      <c r="L429" s="376">
        <v>5.013240555E9</v>
      </c>
      <c r="M429" s="376" t="s">
        <v>14</v>
      </c>
      <c r="N429" s="376" t="s">
        <v>3767</v>
      </c>
      <c r="O429" s="376" t="s">
        <v>4817</v>
      </c>
      <c r="P429" s="376" t="s">
        <v>3941</v>
      </c>
      <c r="Q429" s="16">
        <f>COUNTIF('hedef liste'!A:A,A429)</f>
        <v>1</v>
      </c>
    </row>
    <row r="430" hidden="1">
      <c r="A430" s="376" t="s">
        <v>2201</v>
      </c>
      <c r="B430" s="376" t="s">
        <v>2202</v>
      </c>
      <c r="C430" s="428" t="s">
        <v>6979</v>
      </c>
      <c r="D430" s="376" t="s">
        <v>3690</v>
      </c>
      <c r="E430" s="429">
        <v>3091.0</v>
      </c>
      <c r="F430" s="429">
        <v>106.0</v>
      </c>
      <c r="G430" s="429">
        <v>7.0</v>
      </c>
      <c r="H430" s="429">
        <v>9.0</v>
      </c>
      <c r="I430" s="429">
        <v>16.0</v>
      </c>
      <c r="J430" s="430">
        <v>0.44</v>
      </c>
      <c r="K430" s="376" t="s">
        <v>6573</v>
      </c>
      <c r="L430" s="376">
        <v>5.302827278E9</v>
      </c>
      <c r="M430" s="376" t="s">
        <v>286</v>
      </c>
      <c r="N430" s="376" t="s">
        <v>4152</v>
      </c>
      <c r="O430" s="376" t="s">
        <v>2205</v>
      </c>
      <c r="P430" s="376" t="s">
        <v>3941</v>
      </c>
      <c r="Q430" s="16">
        <f>COUNTIF('hedef liste'!A:A,A430)</f>
        <v>1</v>
      </c>
    </row>
    <row r="431" hidden="1">
      <c r="A431" s="376" t="s">
        <v>5965</v>
      </c>
      <c r="B431" s="376" t="s">
        <v>5966</v>
      </c>
      <c r="C431" s="428" t="s">
        <v>6979</v>
      </c>
      <c r="D431" s="376" t="s">
        <v>3801</v>
      </c>
      <c r="E431" s="429">
        <v>1815.0</v>
      </c>
      <c r="F431" s="429">
        <v>47.0</v>
      </c>
      <c r="G431" s="429">
        <v>61.0</v>
      </c>
      <c r="H431" s="429">
        <v>2.0</v>
      </c>
      <c r="I431" s="429">
        <v>63.0</v>
      </c>
      <c r="J431" s="430">
        <v>0.97</v>
      </c>
      <c r="K431" s="376" t="s">
        <v>5967</v>
      </c>
      <c r="L431" s="376">
        <v>5.526166246E9</v>
      </c>
      <c r="M431" s="376" t="s">
        <v>14</v>
      </c>
      <c r="N431" s="376" t="s">
        <v>3767</v>
      </c>
      <c r="O431" s="376" t="s">
        <v>5968</v>
      </c>
      <c r="P431" s="376" t="s">
        <v>6982</v>
      </c>
      <c r="Q431" s="16">
        <f>COUNTIF('hedef liste'!A:A,A431)</f>
        <v>1</v>
      </c>
    </row>
    <row r="432" hidden="1">
      <c r="A432" s="376" t="s">
        <v>5986</v>
      </c>
      <c r="B432" s="376" t="s">
        <v>5987</v>
      </c>
      <c r="C432" s="428" t="s">
        <v>6979</v>
      </c>
      <c r="D432" s="376" t="s">
        <v>3801</v>
      </c>
      <c r="E432" s="429">
        <v>1558.0</v>
      </c>
      <c r="F432" s="429">
        <v>10.0</v>
      </c>
      <c r="G432" s="429">
        <v>63.0</v>
      </c>
      <c r="H432" s="429">
        <v>6.0</v>
      </c>
      <c r="I432" s="429">
        <v>69.0</v>
      </c>
      <c r="J432" s="430">
        <v>0.91</v>
      </c>
      <c r="K432" s="376" t="s">
        <v>5988</v>
      </c>
      <c r="L432" s="376">
        <v>5.435111503E9</v>
      </c>
      <c r="M432" s="376" t="s">
        <v>14</v>
      </c>
      <c r="N432" s="376" t="s">
        <v>3767</v>
      </c>
      <c r="O432" s="376" t="s">
        <v>5989</v>
      </c>
      <c r="P432" s="376" t="s">
        <v>6982</v>
      </c>
      <c r="Q432" s="16">
        <f>COUNTIF('hedef liste'!A:A,A432)</f>
        <v>1</v>
      </c>
    </row>
    <row r="433" hidden="1">
      <c r="A433" s="376" t="s">
        <v>929</v>
      </c>
      <c r="B433" s="376" t="s">
        <v>930</v>
      </c>
      <c r="C433" s="428" t="s">
        <v>6979</v>
      </c>
      <c r="D433" s="376" t="s">
        <v>3699</v>
      </c>
      <c r="E433" s="429">
        <v>846.0</v>
      </c>
      <c r="F433" s="429">
        <v>54.0</v>
      </c>
      <c r="G433" s="429">
        <v>15.0</v>
      </c>
      <c r="H433" s="429">
        <v>5.0</v>
      </c>
      <c r="I433" s="429">
        <v>20.0</v>
      </c>
      <c r="J433" s="430">
        <v>0.75</v>
      </c>
      <c r="K433" s="376" t="s">
        <v>6809</v>
      </c>
      <c r="L433" s="376">
        <v>3.22292E9</v>
      </c>
      <c r="M433" s="376" t="s">
        <v>14</v>
      </c>
      <c r="N433" s="376" t="s">
        <v>3914</v>
      </c>
      <c r="O433" s="376" t="s">
        <v>933</v>
      </c>
      <c r="P433" s="376" t="s">
        <v>3941</v>
      </c>
      <c r="Q433" s="16">
        <f>COUNTIF('hedef liste'!A:A,A433)</f>
        <v>1</v>
      </c>
    </row>
    <row r="434" hidden="1">
      <c r="A434" s="376" t="s">
        <v>1154</v>
      </c>
      <c r="B434" s="376" t="s">
        <v>1155</v>
      </c>
      <c r="C434" s="428" t="s">
        <v>6979</v>
      </c>
      <c r="D434" s="376" t="s">
        <v>3699</v>
      </c>
      <c r="E434" s="429">
        <v>2997.0</v>
      </c>
      <c r="F434" s="429">
        <v>92.0</v>
      </c>
      <c r="G434" s="429">
        <v>30.0</v>
      </c>
      <c r="H434" s="429">
        <v>9.0</v>
      </c>
      <c r="I434" s="429">
        <v>39.0</v>
      </c>
      <c r="J434" s="430">
        <v>0.77</v>
      </c>
      <c r="K434" s="376" t="s">
        <v>6828</v>
      </c>
      <c r="L434" s="376">
        <v>3.222331131E9</v>
      </c>
      <c r="M434" s="376" t="s">
        <v>14</v>
      </c>
      <c r="N434" s="376" t="s">
        <v>3733</v>
      </c>
      <c r="O434" s="376" t="s">
        <v>1157</v>
      </c>
      <c r="P434" s="376" t="s">
        <v>3941</v>
      </c>
      <c r="Q434" s="16">
        <f>COUNTIF('hedef liste'!A:A,A434)</f>
        <v>1</v>
      </c>
    </row>
    <row r="435" hidden="1">
      <c r="A435" s="376" t="s">
        <v>501</v>
      </c>
      <c r="B435" s="376" t="s">
        <v>7298</v>
      </c>
      <c r="C435" s="428" t="s">
        <v>7011</v>
      </c>
      <c r="D435" s="376" t="s">
        <v>3759</v>
      </c>
      <c r="E435" s="429">
        <v>596.0</v>
      </c>
      <c r="F435" s="431"/>
      <c r="G435" s="429">
        <v>41.0</v>
      </c>
      <c r="H435" s="429">
        <v>15.0</v>
      </c>
      <c r="I435" s="429">
        <v>56.0</v>
      </c>
      <c r="J435" s="430">
        <v>0.73</v>
      </c>
      <c r="K435" s="376" t="s">
        <v>6106</v>
      </c>
      <c r="L435" s="376">
        <v>3.224590404E9</v>
      </c>
      <c r="M435" s="376" t="s">
        <v>286</v>
      </c>
      <c r="N435" s="376" t="s">
        <v>3737</v>
      </c>
      <c r="O435" s="376" t="s">
        <v>504</v>
      </c>
      <c r="P435" s="376" t="s">
        <v>3941</v>
      </c>
      <c r="Q435" s="16">
        <f>COUNTIF('hedef liste'!A:A,A435)</f>
        <v>1</v>
      </c>
    </row>
    <row r="436" hidden="1">
      <c r="A436" s="376" t="s">
        <v>986</v>
      </c>
      <c r="B436" s="376" t="s">
        <v>987</v>
      </c>
      <c r="C436" s="428" t="s">
        <v>6979</v>
      </c>
      <c r="D436" s="376" t="s">
        <v>3994</v>
      </c>
      <c r="E436" s="429">
        <v>856.0</v>
      </c>
      <c r="F436" s="429">
        <v>33.0</v>
      </c>
      <c r="G436" s="429">
        <v>74.0</v>
      </c>
      <c r="H436" s="429">
        <v>10.0</v>
      </c>
      <c r="I436" s="429">
        <v>84.0</v>
      </c>
      <c r="J436" s="430">
        <v>0.88</v>
      </c>
      <c r="K436" s="376" t="s">
        <v>5396</v>
      </c>
      <c r="L436" s="376">
        <v>3.222332545E9</v>
      </c>
      <c r="M436" s="376" t="s">
        <v>14</v>
      </c>
      <c r="N436" s="376" t="s">
        <v>3797</v>
      </c>
      <c r="O436" s="376" t="s">
        <v>989</v>
      </c>
      <c r="P436" s="376" t="s">
        <v>3941</v>
      </c>
      <c r="Q436" s="16">
        <f>COUNTIF('hedef liste'!A:A,A436)</f>
        <v>1</v>
      </c>
    </row>
    <row r="437" hidden="1">
      <c r="A437" s="376" t="s">
        <v>5716</v>
      </c>
      <c r="B437" s="376" t="s">
        <v>7299</v>
      </c>
      <c r="C437" s="428" t="s">
        <v>6979</v>
      </c>
      <c r="D437" s="376" t="s">
        <v>3801</v>
      </c>
      <c r="E437" s="429">
        <v>2306.0</v>
      </c>
      <c r="F437" s="429">
        <v>48.0</v>
      </c>
      <c r="G437" s="429">
        <v>7.0</v>
      </c>
      <c r="H437" s="429">
        <v>2.0</v>
      </c>
      <c r="I437" s="429">
        <v>9.0</v>
      </c>
      <c r="J437" s="430">
        <v>0.78</v>
      </c>
      <c r="K437" s="376" t="s">
        <v>5718</v>
      </c>
      <c r="L437" s="376">
        <v>5.318907828E9</v>
      </c>
      <c r="M437" s="376" t="s">
        <v>286</v>
      </c>
      <c r="N437" s="376" t="s">
        <v>4057</v>
      </c>
      <c r="O437" s="376" t="s">
        <v>5719</v>
      </c>
      <c r="P437" s="376" t="s">
        <v>3941</v>
      </c>
      <c r="Q437" s="16">
        <f>COUNTIF('hedef liste'!A:A,A437)</f>
        <v>1</v>
      </c>
    </row>
    <row r="438" hidden="1">
      <c r="A438" s="376" t="s">
        <v>4042</v>
      </c>
      <c r="B438" s="376" t="s">
        <v>4043</v>
      </c>
      <c r="C438" s="428" t="s">
        <v>6979</v>
      </c>
      <c r="D438" s="376" t="s">
        <v>3690</v>
      </c>
      <c r="E438" s="429">
        <v>376.0</v>
      </c>
      <c r="F438" s="429">
        <v>11.0</v>
      </c>
      <c r="G438" s="429">
        <v>0.0</v>
      </c>
      <c r="H438" s="429">
        <v>21.0</v>
      </c>
      <c r="I438" s="429">
        <v>21.0</v>
      </c>
      <c r="J438" s="430">
        <v>0.0</v>
      </c>
      <c r="K438" s="376" t="s">
        <v>4044</v>
      </c>
      <c r="L438" s="376">
        <v>5.357739631E9</v>
      </c>
      <c r="M438" s="376" t="s">
        <v>286</v>
      </c>
      <c r="N438" s="376" t="s">
        <v>3961</v>
      </c>
      <c r="O438" s="376" t="s">
        <v>4045</v>
      </c>
      <c r="P438" s="376" t="s">
        <v>3941</v>
      </c>
      <c r="Q438" s="16">
        <f>COUNTIF('hedef liste'!A:A,A438)</f>
        <v>1</v>
      </c>
    </row>
    <row r="439" hidden="1">
      <c r="A439" s="376" t="s">
        <v>5921</v>
      </c>
      <c r="B439" s="376" t="s">
        <v>5922</v>
      </c>
      <c r="C439" s="428" t="s">
        <v>6979</v>
      </c>
      <c r="D439" s="376" t="s">
        <v>3994</v>
      </c>
      <c r="E439" s="429">
        <v>79.0</v>
      </c>
      <c r="F439" s="431"/>
      <c r="G439" s="429">
        <v>0.0</v>
      </c>
      <c r="H439" s="429">
        <v>16.0</v>
      </c>
      <c r="I439" s="429">
        <v>16.0</v>
      </c>
      <c r="J439" s="430">
        <v>0.0</v>
      </c>
      <c r="K439" s="376" t="s">
        <v>5923</v>
      </c>
      <c r="L439" s="376">
        <v>5.447386872E9</v>
      </c>
      <c r="M439" s="376" t="s">
        <v>14</v>
      </c>
      <c r="N439" s="376" t="s">
        <v>3797</v>
      </c>
      <c r="O439" s="376" t="s">
        <v>5924</v>
      </c>
      <c r="P439" s="376" t="s">
        <v>3941</v>
      </c>
      <c r="Q439" s="16">
        <f>COUNTIF('hedef liste'!A:A,A439)</f>
        <v>1</v>
      </c>
    </row>
    <row r="440" hidden="1">
      <c r="A440" s="376" t="s">
        <v>1469</v>
      </c>
      <c r="B440" s="376" t="s">
        <v>7300</v>
      </c>
      <c r="C440" s="428" t="s">
        <v>6979</v>
      </c>
      <c r="D440" s="376" t="s">
        <v>3676</v>
      </c>
      <c r="E440" s="429">
        <v>3719.0</v>
      </c>
      <c r="F440" s="429">
        <v>64.0</v>
      </c>
      <c r="G440" s="429">
        <v>4.0</v>
      </c>
      <c r="H440" s="429">
        <v>0.0</v>
      </c>
      <c r="I440" s="429">
        <v>4.0</v>
      </c>
      <c r="J440" s="430">
        <v>1.0</v>
      </c>
      <c r="K440" s="376" t="s">
        <v>5254</v>
      </c>
      <c r="L440" s="376">
        <v>5.322320535E9</v>
      </c>
      <c r="M440" s="376" t="s">
        <v>3707</v>
      </c>
      <c r="N440" s="376" t="s">
        <v>5255</v>
      </c>
      <c r="O440" s="376" t="s">
        <v>1473</v>
      </c>
      <c r="P440" s="376" t="s">
        <v>3941</v>
      </c>
      <c r="Q440" s="16">
        <f>COUNTIF('hedef liste'!A:A,A440)</f>
        <v>1</v>
      </c>
    </row>
    <row r="441" hidden="1">
      <c r="A441" s="376" t="s">
        <v>4591</v>
      </c>
      <c r="B441" s="376" t="s">
        <v>4592</v>
      </c>
      <c r="C441" s="428" t="s">
        <v>6979</v>
      </c>
      <c r="D441" s="376" t="s">
        <v>3801</v>
      </c>
      <c r="E441" s="429">
        <v>1693.0</v>
      </c>
      <c r="F441" s="429">
        <v>53.0</v>
      </c>
      <c r="G441" s="429">
        <v>9.0</v>
      </c>
      <c r="H441" s="429">
        <v>11.0</v>
      </c>
      <c r="I441" s="429">
        <v>20.0</v>
      </c>
      <c r="J441" s="430">
        <v>0.45</v>
      </c>
      <c r="K441" s="376" t="s">
        <v>4593</v>
      </c>
      <c r="L441" s="376">
        <v>5.434926455E9</v>
      </c>
      <c r="M441" s="376" t="s">
        <v>286</v>
      </c>
      <c r="N441" s="376" t="s">
        <v>3746</v>
      </c>
      <c r="O441" s="376" t="s">
        <v>4594</v>
      </c>
      <c r="P441" s="376" t="s">
        <v>3941</v>
      </c>
      <c r="Q441" s="16">
        <f>COUNTIF('hedef liste'!A:A,A441)</f>
        <v>1</v>
      </c>
    </row>
    <row r="442" hidden="1">
      <c r="A442" s="376" t="s">
        <v>4682</v>
      </c>
      <c r="B442" s="376" t="s">
        <v>4683</v>
      </c>
      <c r="C442" s="428" t="s">
        <v>6979</v>
      </c>
      <c r="D442" s="376" t="s">
        <v>3713</v>
      </c>
      <c r="E442" s="429">
        <v>1997.0</v>
      </c>
      <c r="F442" s="429">
        <v>49.0</v>
      </c>
      <c r="G442" s="429">
        <v>1.0</v>
      </c>
      <c r="H442" s="429">
        <v>25.0</v>
      </c>
      <c r="I442" s="429">
        <v>26.0</v>
      </c>
      <c r="J442" s="430">
        <v>0.04</v>
      </c>
      <c r="K442" s="376" t="s">
        <v>4684</v>
      </c>
      <c r="L442" s="376">
        <v>3.226111126E9</v>
      </c>
      <c r="M442" s="376" t="s">
        <v>3701</v>
      </c>
      <c r="N442" s="376" t="s">
        <v>4685</v>
      </c>
      <c r="O442" s="376" t="s">
        <v>4686</v>
      </c>
      <c r="P442" s="376" t="s">
        <v>3941</v>
      </c>
      <c r="Q442" s="16">
        <f>COUNTIF('hedef liste'!A:A,A442)</f>
        <v>1</v>
      </c>
    </row>
    <row r="443" hidden="1">
      <c r="A443" s="376" t="s">
        <v>2371</v>
      </c>
      <c r="B443" s="376" t="s">
        <v>7301</v>
      </c>
      <c r="C443" s="428" t="s">
        <v>6979</v>
      </c>
      <c r="D443" s="376" t="s">
        <v>3713</v>
      </c>
      <c r="E443" s="429">
        <v>2780.0</v>
      </c>
      <c r="F443" s="429">
        <v>73.0</v>
      </c>
      <c r="G443" s="429">
        <v>0.0</v>
      </c>
      <c r="H443" s="429">
        <v>27.0</v>
      </c>
      <c r="I443" s="429">
        <v>27.0</v>
      </c>
      <c r="J443" s="430">
        <v>0.0</v>
      </c>
      <c r="K443" s="376" t="s">
        <v>6533</v>
      </c>
      <c r="L443" s="376">
        <v>5.444542202E9</v>
      </c>
      <c r="M443" s="376" t="s">
        <v>286</v>
      </c>
      <c r="N443" s="376" t="s">
        <v>3737</v>
      </c>
      <c r="O443" s="376" t="s">
        <v>2375</v>
      </c>
      <c r="P443" s="376" t="s">
        <v>3941</v>
      </c>
      <c r="Q443" s="16">
        <f>COUNTIF('hedef liste'!A:A,A443)</f>
        <v>1</v>
      </c>
    </row>
    <row r="444" hidden="1">
      <c r="A444" s="376" t="s">
        <v>2565</v>
      </c>
      <c r="B444" s="376" t="s">
        <v>7302</v>
      </c>
      <c r="C444" s="428" t="s">
        <v>6979</v>
      </c>
      <c r="D444" s="376" t="s">
        <v>3994</v>
      </c>
      <c r="E444" s="429">
        <v>1409.0</v>
      </c>
      <c r="F444" s="429">
        <v>64.0</v>
      </c>
      <c r="G444" s="429">
        <v>0.0</v>
      </c>
      <c r="H444" s="429">
        <v>11.0</v>
      </c>
      <c r="I444" s="429">
        <v>11.0</v>
      </c>
      <c r="J444" s="430">
        <v>0.0</v>
      </c>
      <c r="K444" s="376" t="s">
        <v>6226</v>
      </c>
      <c r="L444" s="376">
        <v>3.22227772E8</v>
      </c>
      <c r="M444" s="376" t="s">
        <v>14</v>
      </c>
      <c r="N444" s="376" t="s">
        <v>3733</v>
      </c>
      <c r="O444" s="376" t="s">
        <v>2568</v>
      </c>
      <c r="P444" s="376" t="s">
        <v>3941</v>
      </c>
      <c r="Q444" s="16">
        <f>COUNTIF('hedef liste'!A:A,A444)</f>
        <v>1</v>
      </c>
    </row>
    <row r="445" hidden="1">
      <c r="A445" s="376" t="s">
        <v>821</v>
      </c>
      <c r="B445" s="376" t="s">
        <v>822</v>
      </c>
      <c r="C445" s="428" t="s">
        <v>6979</v>
      </c>
      <c r="D445" s="376" t="s">
        <v>3713</v>
      </c>
      <c r="E445" s="429">
        <v>203.0</v>
      </c>
      <c r="F445" s="429">
        <v>16.0</v>
      </c>
      <c r="G445" s="429">
        <v>11.0</v>
      </c>
      <c r="H445" s="429">
        <v>3.0</v>
      </c>
      <c r="I445" s="429">
        <v>14.0</v>
      </c>
      <c r="J445" s="430">
        <v>0.79</v>
      </c>
      <c r="K445" s="376" t="s">
        <v>4829</v>
      </c>
      <c r="L445" s="376">
        <v>5.434573628E9</v>
      </c>
      <c r="M445" s="376" t="s">
        <v>286</v>
      </c>
      <c r="N445" s="376" t="s">
        <v>3806</v>
      </c>
      <c r="O445" s="376" t="s">
        <v>824</v>
      </c>
      <c r="P445" s="376" t="s">
        <v>3941</v>
      </c>
      <c r="Q445" s="16">
        <f>COUNTIF('hedef liste'!A:A,A445)</f>
        <v>1</v>
      </c>
    </row>
    <row r="446" hidden="1">
      <c r="A446" s="376" t="s">
        <v>2622</v>
      </c>
      <c r="B446" s="376" t="s">
        <v>2623</v>
      </c>
      <c r="C446" s="428" t="s">
        <v>6979</v>
      </c>
      <c r="D446" s="376" t="s">
        <v>3713</v>
      </c>
      <c r="E446" s="429">
        <v>1873.0</v>
      </c>
      <c r="F446" s="429">
        <v>27.0</v>
      </c>
      <c r="G446" s="429">
        <v>0.0</v>
      </c>
      <c r="H446" s="429">
        <v>9.0</v>
      </c>
      <c r="I446" s="429">
        <v>9.0</v>
      </c>
      <c r="J446" s="430">
        <v>0.0</v>
      </c>
      <c r="K446" s="376" t="s">
        <v>6479</v>
      </c>
      <c r="L446" s="376">
        <v>5.538820123E9</v>
      </c>
      <c r="M446" s="376" t="s">
        <v>3707</v>
      </c>
      <c r="N446" s="376" t="s">
        <v>3761</v>
      </c>
      <c r="O446" s="376" t="s">
        <v>2626</v>
      </c>
      <c r="P446" s="376" t="s">
        <v>3941</v>
      </c>
      <c r="Q446" s="16">
        <f>COUNTIF('hedef liste'!A:A,A446)</f>
        <v>1</v>
      </c>
    </row>
    <row r="447" hidden="1">
      <c r="A447" s="376" t="s">
        <v>6313</v>
      </c>
      <c r="B447" s="376" t="s">
        <v>6314</v>
      </c>
      <c r="C447" s="428" t="s">
        <v>6979</v>
      </c>
      <c r="D447" s="376" t="s">
        <v>3994</v>
      </c>
      <c r="E447" s="429">
        <v>106.0</v>
      </c>
      <c r="F447" s="431"/>
      <c r="G447" s="429">
        <v>0.0</v>
      </c>
      <c r="H447" s="429">
        <v>12.0</v>
      </c>
      <c r="I447" s="429">
        <v>12.0</v>
      </c>
      <c r="J447" s="430">
        <v>0.0</v>
      </c>
      <c r="K447" s="376" t="s">
        <v>6315</v>
      </c>
      <c r="L447" s="376">
        <v>3.222616261E9</v>
      </c>
      <c r="M447" s="376" t="s">
        <v>286</v>
      </c>
      <c r="N447" s="376" t="s">
        <v>3746</v>
      </c>
      <c r="O447" s="376" t="s">
        <v>6316</v>
      </c>
      <c r="P447" s="376" t="s">
        <v>3941</v>
      </c>
      <c r="Q447" s="16">
        <f>COUNTIF('hedef liste'!A:A,A447)</f>
        <v>1</v>
      </c>
    </row>
    <row r="448" hidden="1">
      <c r="A448" s="376" t="s">
        <v>5231</v>
      </c>
      <c r="B448" s="376" t="s">
        <v>7303</v>
      </c>
      <c r="C448" s="428" t="s">
        <v>6979</v>
      </c>
      <c r="D448" s="376" t="s">
        <v>3676</v>
      </c>
      <c r="E448" s="429">
        <v>2222.0</v>
      </c>
      <c r="F448" s="429">
        <v>126.0</v>
      </c>
      <c r="G448" s="429">
        <v>0.0</v>
      </c>
      <c r="H448" s="429">
        <v>35.0</v>
      </c>
      <c r="I448" s="429">
        <v>35.0</v>
      </c>
      <c r="J448" s="430">
        <v>0.0</v>
      </c>
      <c r="K448" s="376" t="s">
        <v>5233</v>
      </c>
      <c r="L448" s="376">
        <v>3.225038181E9</v>
      </c>
      <c r="M448" s="376" t="s">
        <v>3707</v>
      </c>
      <c r="N448" s="376" t="s">
        <v>5130</v>
      </c>
      <c r="O448" s="376" t="s">
        <v>5234</v>
      </c>
      <c r="P448" s="376" t="s">
        <v>3941</v>
      </c>
      <c r="Q448" s="16">
        <f>COUNTIF('hedef liste'!A:A,A448)</f>
        <v>1</v>
      </c>
    </row>
    <row r="449" hidden="1">
      <c r="A449" s="376" t="s">
        <v>652</v>
      </c>
      <c r="B449" s="376" t="s">
        <v>653</v>
      </c>
      <c r="C449" s="428" t="s">
        <v>6979</v>
      </c>
      <c r="D449" s="376" t="s">
        <v>3699</v>
      </c>
      <c r="E449" s="429">
        <v>217.0</v>
      </c>
      <c r="F449" s="431"/>
      <c r="G449" s="429">
        <v>12.0</v>
      </c>
      <c r="H449" s="429">
        <v>7.0</v>
      </c>
      <c r="I449" s="429">
        <v>19.0</v>
      </c>
      <c r="J449" s="430">
        <v>0.63</v>
      </c>
      <c r="K449" s="376" t="s">
        <v>5613</v>
      </c>
      <c r="L449" s="376">
        <v>5.348612529E9</v>
      </c>
      <c r="M449" s="376" t="s">
        <v>14</v>
      </c>
      <c r="N449" s="376" t="s">
        <v>3733</v>
      </c>
      <c r="O449" s="376" t="s">
        <v>5614</v>
      </c>
      <c r="P449" s="376" t="s">
        <v>3941</v>
      </c>
      <c r="Q449" s="16">
        <f>COUNTIF('hedef liste'!A:A,A449)</f>
        <v>1</v>
      </c>
    </row>
    <row r="450" hidden="1">
      <c r="A450" s="376" t="s">
        <v>1792</v>
      </c>
      <c r="B450" s="376" t="s">
        <v>1793</v>
      </c>
      <c r="C450" s="428" t="s">
        <v>6979</v>
      </c>
      <c r="D450" s="376" t="s">
        <v>3801</v>
      </c>
      <c r="E450" s="429">
        <v>416.0</v>
      </c>
      <c r="F450" s="429">
        <v>5.0</v>
      </c>
      <c r="G450" s="429">
        <v>11.0</v>
      </c>
      <c r="H450" s="429">
        <v>8.0</v>
      </c>
      <c r="I450" s="429">
        <v>19.0</v>
      </c>
      <c r="J450" s="430">
        <v>0.58</v>
      </c>
      <c r="K450" s="376" t="s">
        <v>5477</v>
      </c>
      <c r="L450" s="376">
        <v>5.050238236E9</v>
      </c>
      <c r="M450" s="376" t="s">
        <v>3692</v>
      </c>
      <c r="N450" s="376" t="s">
        <v>3901</v>
      </c>
      <c r="O450" s="376" t="s">
        <v>1796</v>
      </c>
      <c r="P450" s="376" t="s">
        <v>3941</v>
      </c>
      <c r="Q450" s="16">
        <f>COUNTIF('hedef liste'!A:A,A450)</f>
        <v>1</v>
      </c>
    </row>
    <row r="451" hidden="1">
      <c r="A451" s="376" t="s">
        <v>2223</v>
      </c>
      <c r="B451" s="376" t="s">
        <v>2224</v>
      </c>
      <c r="C451" s="428" t="s">
        <v>6979</v>
      </c>
      <c r="D451" s="376" t="s">
        <v>4944</v>
      </c>
      <c r="E451" s="429">
        <v>5116.0</v>
      </c>
      <c r="F451" s="429">
        <v>811.0</v>
      </c>
      <c r="G451" s="429">
        <v>9.0</v>
      </c>
      <c r="H451" s="429">
        <v>27.0</v>
      </c>
      <c r="I451" s="429">
        <v>36.0</v>
      </c>
      <c r="J451" s="430">
        <v>0.25</v>
      </c>
      <c r="K451" s="376" t="s">
        <v>6868</v>
      </c>
      <c r="L451" s="376">
        <v>3.222338777E9</v>
      </c>
      <c r="M451" s="376" t="s">
        <v>14</v>
      </c>
      <c r="N451" s="376" t="s">
        <v>3767</v>
      </c>
      <c r="O451" s="376" t="s">
        <v>2226</v>
      </c>
      <c r="P451" s="376" t="s">
        <v>3941</v>
      </c>
      <c r="Q451" s="16">
        <f>COUNTIF('hedef liste'!A:A,A451)</f>
        <v>1</v>
      </c>
    </row>
    <row r="452" hidden="1">
      <c r="A452" s="376" t="s">
        <v>2287</v>
      </c>
      <c r="B452" s="376" t="s">
        <v>2288</v>
      </c>
      <c r="C452" s="428" t="s">
        <v>6979</v>
      </c>
      <c r="D452" s="376" t="s">
        <v>3699</v>
      </c>
      <c r="E452" s="429">
        <v>525.0</v>
      </c>
      <c r="F452" s="429">
        <v>155.0</v>
      </c>
      <c r="G452" s="429">
        <v>26.0</v>
      </c>
      <c r="H452" s="429">
        <v>5.0</v>
      </c>
      <c r="I452" s="429">
        <v>31.0</v>
      </c>
      <c r="J452" s="430">
        <v>0.84</v>
      </c>
      <c r="K452" s="376" t="s">
        <v>6067</v>
      </c>
      <c r="L452" s="376">
        <v>5.324072497E9</v>
      </c>
      <c r="M452" s="376" t="s">
        <v>286</v>
      </c>
      <c r="N452" s="376" t="s">
        <v>3782</v>
      </c>
      <c r="O452" s="376" t="s">
        <v>2290</v>
      </c>
      <c r="P452" s="376" t="s">
        <v>3941</v>
      </c>
      <c r="Q452" s="16">
        <f>COUNTIF('hedef liste'!A:A,A452)</f>
        <v>1</v>
      </c>
    </row>
    <row r="453" hidden="1">
      <c r="A453" s="376" t="s">
        <v>1269</v>
      </c>
      <c r="B453" s="376" t="s">
        <v>1270</v>
      </c>
      <c r="C453" s="428" t="s">
        <v>6979</v>
      </c>
      <c r="D453" s="376" t="s">
        <v>3676</v>
      </c>
      <c r="E453" s="429">
        <v>4464.0</v>
      </c>
      <c r="F453" s="429">
        <v>136.0</v>
      </c>
      <c r="G453" s="429">
        <v>12.0</v>
      </c>
      <c r="H453" s="429">
        <v>5.0</v>
      </c>
      <c r="I453" s="429">
        <v>17.0</v>
      </c>
      <c r="J453" s="430">
        <v>0.71</v>
      </c>
      <c r="K453" s="376" t="s">
        <v>3976</v>
      </c>
      <c r="L453" s="376">
        <v>3.228024172E9</v>
      </c>
      <c r="M453" s="376" t="s">
        <v>286</v>
      </c>
      <c r="N453" s="376" t="s">
        <v>3754</v>
      </c>
      <c r="O453" s="376" t="s">
        <v>1272</v>
      </c>
      <c r="P453" s="376" t="s">
        <v>3941</v>
      </c>
      <c r="Q453" s="16">
        <f>COUNTIF('hedef liste'!A:A,A453)</f>
        <v>1</v>
      </c>
    </row>
    <row r="454" hidden="1">
      <c r="A454" s="376" t="s">
        <v>1996</v>
      </c>
      <c r="B454" s="376" t="s">
        <v>1997</v>
      </c>
      <c r="C454" s="428" t="s">
        <v>6979</v>
      </c>
      <c r="D454" s="376" t="s">
        <v>4000</v>
      </c>
      <c r="E454" s="429">
        <v>1678.0</v>
      </c>
      <c r="F454" s="429">
        <v>64.0</v>
      </c>
      <c r="G454" s="429">
        <v>5.0</v>
      </c>
      <c r="H454" s="429">
        <v>23.0</v>
      </c>
      <c r="I454" s="429">
        <v>28.0</v>
      </c>
      <c r="J454" s="430">
        <v>0.18</v>
      </c>
      <c r="K454" s="376" t="s">
        <v>4804</v>
      </c>
      <c r="L454" s="376">
        <v>5.426969856E9</v>
      </c>
      <c r="M454" s="376" t="s">
        <v>14</v>
      </c>
      <c r="N454" s="376" t="s">
        <v>3718</v>
      </c>
      <c r="O454" s="376" t="s">
        <v>2000</v>
      </c>
      <c r="P454" s="376" t="s">
        <v>3941</v>
      </c>
      <c r="Q454" s="16">
        <f>COUNTIF('hedef liste'!A:A,A454)</f>
        <v>1</v>
      </c>
    </row>
    <row r="455" hidden="1">
      <c r="A455" s="376" t="s">
        <v>6295</v>
      </c>
      <c r="B455" s="376" t="s">
        <v>6296</v>
      </c>
      <c r="C455" s="428" t="s">
        <v>6979</v>
      </c>
      <c r="D455" s="376" t="s">
        <v>3994</v>
      </c>
      <c r="E455" s="429">
        <v>1548.0</v>
      </c>
      <c r="F455" s="429">
        <v>97.0</v>
      </c>
      <c r="G455" s="429">
        <v>0.0</v>
      </c>
      <c r="H455" s="429">
        <v>91.0</v>
      </c>
      <c r="I455" s="429">
        <v>91.0</v>
      </c>
      <c r="J455" s="430">
        <v>0.0</v>
      </c>
      <c r="K455" s="376" t="s">
        <v>6297</v>
      </c>
      <c r="L455" s="376">
        <v>3.224543704E9</v>
      </c>
      <c r="M455" s="376" t="s">
        <v>286</v>
      </c>
      <c r="N455" s="376" t="s">
        <v>3737</v>
      </c>
      <c r="O455" s="376" t="s">
        <v>6298</v>
      </c>
      <c r="P455" s="376" t="s">
        <v>3941</v>
      </c>
      <c r="Q455" s="16">
        <f>COUNTIF('hedef liste'!A:A,A455)</f>
        <v>1</v>
      </c>
    </row>
    <row r="456" hidden="1">
      <c r="A456" s="376" t="s">
        <v>1221</v>
      </c>
      <c r="B456" s="376" t="s">
        <v>1222</v>
      </c>
      <c r="C456" s="428" t="s">
        <v>6979</v>
      </c>
      <c r="D456" s="376" t="s">
        <v>3676</v>
      </c>
      <c r="E456" s="429">
        <v>9167.0</v>
      </c>
      <c r="F456" s="429">
        <v>409.0</v>
      </c>
      <c r="G456" s="429">
        <v>12.0</v>
      </c>
      <c r="H456" s="429">
        <v>55.0</v>
      </c>
      <c r="I456" s="429">
        <v>67.0</v>
      </c>
      <c r="J456" s="430">
        <v>0.18</v>
      </c>
      <c r="K456" s="376" t="s">
        <v>3943</v>
      </c>
      <c r="L456" s="376">
        <v>3.22233005E9</v>
      </c>
      <c r="M456" s="376" t="s">
        <v>286</v>
      </c>
      <c r="N456" s="376" t="s">
        <v>3746</v>
      </c>
      <c r="O456" s="376" t="s">
        <v>1224</v>
      </c>
      <c r="P456" s="376" t="s">
        <v>3941</v>
      </c>
      <c r="Q456" s="16">
        <f>COUNTIF('hedef liste'!A:A,A456)</f>
        <v>1</v>
      </c>
    </row>
    <row r="457" hidden="1">
      <c r="A457" s="376" t="s">
        <v>4788</v>
      </c>
      <c r="B457" s="376" t="s">
        <v>4789</v>
      </c>
      <c r="C457" s="428" t="s">
        <v>6979</v>
      </c>
      <c r="D457" s="376" t="s">
        <v>3676</v>
      </c>
      <c r="E457" s="429">
        <v>1823.0</v>
      </c>
      <c r="F457" s="429">
        <v>12.0</v>
      </c>
      <c r="G457" s="429">
        <v>0.0</v>
      </c>
      <c r="H457" s="429">
        <v>11.0</v>
      </c>
      <c r="I457" s="429">
        <v>11.0</v>
      </c>
      <c r="J457" s="430">
        <v>0.0</v>
      </c>
      <c r="K457" s="376" t="s">
        <v>4790</v>
      </c>
      <c r="L457" s="376">
        <v>3.222270055E9</v>
      </c>
      <c r="M457" s="376" t="s">
        <v>286</v>
      </c>
      <c r="N457" s="376" t="s">
        <v>3769</v>
      </c>
      <c r="O457" s="376" t="s">
        <v>4791</v>
      </c>
      <c r="P457" s="376" t="s">
        <v>3941</v>
      </c>
      <c r="Q457" s="16">
        <f>COUNTIF('hedef liste'!A:A,A457)</f>
        <v>1</v>
      </c>
    </row>
    <row r="458" hidden="1">
      <c r="A458" s="376" t="s">
        <v>4307</v>
      </c>
      <c r="B458" s="376" t="s">
        <v>4308</v>
      </c>
      <c r="C458" s="428" t="s">
        <v>6979</v>
      </c>
      <c r="D458" s="376" t="s">
        <v>4000</v>
      </c>
      <c r="E458" s="429">
        <v>929.0</v>
      </c>
      <c r="F458" s="429">
        <v>47.0</v>
      </c>
      <c r="G458" s="429">
        <v>0.0</v>
      </c>
      <c r="H458" s="429">
        <v>26.0</v>
      </c>
      <c r="I458" s="429">
        <v>26.0</v>
      </c>
      <c r="J458" s="430">
        <v>0.0</v>
      </c>
      <c r="K458" s="376" t="s">
        <v>4304</v>
      </c>
      <c r="L458" s="376">
        <v>3.222242242E9</v>
      </c>
      <c r="M458" s="376" t="s">
        <v>286</v>
      </c>
      <c r="N458" s="376" t="s">
        <v>3961</v>
      </c>
      <c r="O458" s="376" t="s">
        <v>4309</v>
      </c>
      <c r="P458" s="376" t="s">
        <v>3941</v>
      </c>
      <c r="Q458" s="16">
        <f>COUNTIF('hedef liste'!A:A,A458)</f>
        <v>1</v>
      </c>
    </row>
    <row r="459" hidden="1">
      <c r="A459" s="376" t="s">
        <v>6332</v>
      </c>
      <c r="B459" s="376" t="s">
        <v>6333</v>
      </c>
      <c r="C459" s="428" t="s">
        <v>6979</v>
      </c>
      <c r="D459" s="376" t="s">
        <v>3699</v>
      </c>
      <c r="E459" s="429">
        <v>3158.0</v>
      </c>
      <c r="F459" s="431"/>
      <c r="G459" s="429">
        <v>13.0</v>
      </c>
      <c r="H459" s="429">
        <v>32.0</v>
      </c>
      <c r="I459" s="429">
        <v>45.0</v>
      </c>
      <c r="J459" s="430">
        <v>0.29</v>
      </c>
      <c r="K459" s="376" t="s">
        <v>6334</v>
      </c>
      <c r="L459" s="376">
        <v>5.411520102E9</v>
      </c>
      <c r="M459" s="376" t="s">
        <v>14</v>
      </c>
      <c r="N459" s="376" t="s">
        <v>3935</v>
      </c>
      <c r="O459" s="376" t="s">
        <v>6335</v>
      </c>
      <c r="P459" s="376" t="s">
        <v>3941</v>
      </c>
      <c r="Q459" s="16">
        <f>COUNTIF('hedef liste'!A:A,A459)</f>
        <v>1</v>
      </c>
    </row>
    <row r="460" hidden="1">
      <c r="A460" s="376" t="s">
        <v>6007</v>
      </c>
      <c r="B460" s="376" t="s">
        <v>6008</v>
      </c>
      <c r="C460" s="428" t="s">
        <v>6979</v>
      </c>
      <c r="D460" s="376" t="s">
        <v>3801</v>
      </c>
      <c r="E460" s="429">
        <v>1362.0</v>
      </c>
      <c r="F460" s="429">
        <v>47.0</v>
      </c>
      <c r="G460" s="429">
        <v>19.0</v>
      </c>
      <c r="H460" s="429">
        <v>2.0</v>
      </c>
      <c r="I460" s="429">
        <v>21.0</v>
      </c>
      <c r="J460" s="430">
        <v>0.9</v>
      </c>
      <c r="K460" s="376" t="s">
        <v>6009</v>
      </c>
      <c r="L460" s="376">
        <v>3.222570101E9</v>
      </c>
      <c r="M460" s="376" t="s">
        <v>14</v>
      </c>
      <c r="N460" s="376" t="s">
        <v>3826</v>
      </c>
      <c r="O460" s="376" t="s">
        <v>6010</v>
      </c>
      <c r="P460" s="376" t="s">
        <v>6982</v>
      </c>
      <c r="Q460" s="16">
        <f>COUNTIF('hedef liste'!A:A,A460)</f>
        <v>1</v>
      </c>
    </row>
    <row r="461" hidden="1">
      <c r="A461" s="376" t="s">
        <v>5945</v>
      </c>
      <c r="B461" s="376" t="s">
        <v>5946</v>
      </c>
      <c r="C461" s="428" t="s">
        <v>6979</v>
      </c>
      <c r="D461" s="376" t="s">
        <v>3801</v>
      </c>
      <c r="E461" s="429">
        <v>2122.0</v>
      </c>
      <c r="F461" s="429">
        <v>28.0</v>
      </c>
      <c r="G461" s="429">
        <v>30.0</v>
      </c>
      <c r="H461" s="429">
        <v>0.0</v>
      </c>
      <c r="I461" s="429">
        <v>30.0</v>
      </c>
      <c r="J461" s="430">
        <v>1.0</v>
      </c>
      <c r="K461" s="376" t="s">
        <v>5947</v>
      </c>
      <c r="L461" s="376">
        <v>5.45256629E9</v>
      </c>
      <c r="M461" s="376" t="s">
        <v>286</v>
      </c>
      <c r="N461" s="376" t="s">
        <v>4086</v>
      </c>
      <c r="O461" s="376" t="s">
        <v>5948</v>
      </c>
      <c r="P461" s="376" t="s">
        <v>6982</v>
      </c>
      <c r="Q461" s="16">
        <f>COUNTIF('hedef liste'!A:A,A461)</f>
        <v>1</v>
      </c>
    </row>
    <row r="462" hidden="1">
      <c r="A462" s="376" t="s">
        <v>5949</v>
      </c>
      <c r="B462" s="376" t="s">
        <v>5950</v>
      </c>
      <c r="C462" s="428" t="s">
        <v>6979</v>
      </c>
      <c r="D462" s="376" t="s">
        <v>3801</v>
      </c>
      <c r="E462" s="429">
        <v>634.0</v>
      </c>
      <c r="F462" s="429">
        <v>23.0</v>
      </c>
      <c r="G462" s="429">
        <v>19.0</v>
      </c>
      <c r="H462" s="429">
        <v>2.0</v>
      </c>
      <c r="I462" s="429">
        <v>21.0</v>
      </c>
      <c r="J462" s="430">
        <v>0.9</v>
      </c>
      <c r="K462" s="376" t="s">
        <v>5951</v>
      </c>
      <c r="L462" s="376">
        <v>5.455918747E9</v>
      </c>
      <c r="M462" s="376" t="s">
        <v>286</v>
      </c>
      <c r="N462" s="376" t="s">
        <v>4075</v>
      </c>
      <c r="O462" s="376" t="s">
        <v>5952</v>
      </c>
      <c r="P462" s="376" t="s">
        <v>6982</v>
      </c>
      <c r="Q462" s="16">
        <f>COUNTIF('hedef liste'!A:A,A462)</f>
        <v>1</v>
      </c>
    </row>
    <row r="463" hidden="1">
      <c r="A463" s="376" t="s">
        <v>5969</v>
      </c>
      <c r="B463" s="376" t="s">
        <v>5970</v>
      </c>
      <c r="C463" s="428" t="s">
        <v>6979</v>
      </c>
      <c r="D463" s="376" t="s">
        <v>3801</v>
      </c>
      <c r="E463" s="429">
        <v>1893.0</v>
      </c>
      <c r="F463" s="429">
        <v>66.0</v>
      </c>
      <c r="G463" s="429">
        <v>27.0</v>
      </c>
      <c r="H463" s="429">
        <v>2.0</v>
      </c>
      <c r="I463" s="429">
        <v>29.0</v>
      </c>
      <c r="J463" s="430">
        <v>0.93</v>
      </c>
      <c r="K463" s="376" t="s">
        <v>5971</v>
      </c>
      <c r="L463" s="376">
        <v>5.510691688E9</v>
      </c>
      <c r="M463" s="376" t="s">
        <v>286</v>
      </c>
      <c r="N463" s="376" t="s">
        <v>3806</v>
      </c>
      <c r="O463" s="376" t="s">
        <v>5972</v>
      </c>
      <c r="P463" s="376" t="s">
        <v>6982</v>
      </c>
      <c r="Q463" s="16">
        <f>COUNTIF('hedef liste'!A:A,A463)</f>
        <v>1</v>
      </c>
    </row>
    <row r="464" hidden="1">
      <c r="A464" s="376" t="s">
        <v>7304</v>
      </c>
      <c r="B464" s="376" t="s">
        <v>7305</v>
      </c>
      <c r="C464" s="428" t="s">
        <v>6979</v>
      </c>
      <c r="D464" s="376" t="s">
        <v>3801</v>
      </c>
      <c r="E464" s="429">
        <v>127.0</v>
      </c>
      <c r="F464" s="431"/>
      <c r="G464" s="429">
        <v>65.0</v>
      </c>
      <c r="H464" s="429">
        <v>30.0</v>
      </c>
      <c r="I464" s="429">
        <v>95.0</v>
      </c>
      <c r="J464" s="430">
        <v>0.68</v>
      </c>
      <c r="K464" s="376" t="s">
        <v>7306</v>
      </c>
      <c r="L464" s="376">
        <v>5.314630833E9</v>
      </c>
      <c r="M464" s="376" t="s">
        <v>3707</v>
      </c>
      <c r="N464" s="376" t="s">
        <v>6447</v>
      </c>
      <c r="O464" s="376" t="s">
        <v>7307</v>
      </c>
      <c r="P464" s="376" t="s">
        <v>6982</v>
      </c>
      <c r="Q464" s="16">
        <f>COUNTIF('hedef liste'!A:A,A464)</f>
        <v>0</v>
      </c>
    </row>
    <row r="465" hidden="1">
      <c r="A465" s="376" t="s">
        <v>5953</v>
      </c>
      <c r="B465" s="376" t="s">
        <v>5954</v>
      </c>
      <c r="C465" s="428" t="s">
        <v>6979</v>
      </c>
      <c r="D465" s="376" t="s">
        <v>3801</v>
      </c>
      <c r="E465" s="429">
        <v>390.0</v>
      </c>
      <c r="F465" s="429">
        <v>19.0</v>
      </c>
      <c r="G465" s="429">
        <v>28.0</v>
      </c>
      <c r="H465" s="429">
        <v>2.0</v>
      </c>
      <c r="I465" s="429">
        <v>30.0</v>
      </c>
      <c r="J465" s="430">
        <v>0.93</v>
      </c>
      <c r="K465" s="376" t="s">
        <v>7308</v>
      </c>
      <c r="L465" s="376">
        <v>3.223518877E9</v>
      </c>
      <c r="M465" s="376" t="s">
        <v>286</v>
      </c>
      <c r="N465" s="376" t="s">
        <v>4411</v>
      </c>
      <c r="O465" s="376" t="s">
        <v>5956</v>
      </c>
      <c r="P465" s="376" t="s">
        <v>6982</v>
      </c>
      <c r="Q465" s="16">
        <f>COUNTIF('hedef liste'!A:A,A465)</f>
        <v>1</v>
      </c>
    </row>
    <row r="466" hidden="1">
      <c r="A466" s="376" t="s">
        <v>5991</v>
      </c>
      <c r="B466" s="376" t="s">
        <v>5992</v>
      </c>
      <c r="C466" s="428" t="s">
        <v>6979</v>
      </c>
      <c r="D466" s="376" t="s">
        <v>3801</v>
      </c>
      <c r="E466" s="429">
        <v>1431.0</v>
      </c>
      <c r="F466" s="429">
        <v>40.0</v>
      </c>
      <c r="G466" s="429">
        <v>45.0</v>
      </c>
      <c r="H466" s="429">
        <v>2.0</v>
      </c>
      <c r="I466" s="429">
        <v>47.0</v>
      </c>
      <c r="J466" s="430">
        <v>0.96</v>
      </c>
      <c r="K466" s="376" t="s">
        <v>5993</v>
      </c>
      <c r="L466" s="376">
        <v>3.223291717E9</v>
      </c>
      <c r="M466" s="376" t="s">
        <v>3707</v>
      </c>
      <c r="N466" s="376" t="s">
        <v>4553</v>
      </c>
      <c r="O466" s="376" t="s">
        <v>5994</v>
      </c>
      <c r="P466" s="376" t="s">
        <v>6982</v>
      </c>
      <c r="Q466" s="16">
        <f>COUNTIF('hedef liste'!A:A,A466)</f>
        <v>1</v>
      </c>
    </row>
    <row r="467" hidden="1">
      <c r="A467" s="376" t="s">
        <v>64</v>
      </c>
      <c r="B467" s="376" t="s">
        <v>65</v>
      </c>
      <c r="C467" s="428" t="s">
        <v>6979</v>
      </c>
      <c r="D467" s="376" t="s">
        <v>3676</v>
      </c>
      <c r="E467" s="429">
        <v>7595.0</v>
      </c>
      <c r="F467" s="429">
        <v>205.0</v>
      </c>
      <c r="G467" s="429">
        <v>14.0</v>
      </c>
      <c r="H467" s="429">
        <v>4.0</v>
      </c>
      <c r="I467" s="429">
        <v>18.0</v>
      </c>
      <c r="J467" s="430">
        <v>0.78</v>
      </c>
      <c r="K467" s="376" t="s">
        <v>4029</v>
      </c>
      <c r="L467" s="376">
        <v>3.222483353E9</v>
      </c>
      <c r="M467" s="376" t="s">
        <v>14</v>
      </c>
      <c r="N467" s="376" t="s">
        <v>3935</v>
      </c>
      <c r="O467" s="376" t="s">
        <v>67</v>
      </c>
      <c r="P467" s="376" t="s">
        <v>3941</v>
      </c>
      <c r="Q467" s="16">
        <f>COUNTIF('hedef liste'!A:A,A467)</f>
        <v>1</v>
      </c>
    </row>
    <row r="468" hidden="1">
      <c r="A468" s="376" t="s">
        <v>4127</v>
      </c>
      <c r="B468" s="376" t="s">
        <v>7309</v>
      </c>
      <c r="C468" s="428" t="s">
        <v>6979</v>
      </c>
      <c r="D468" s="376" t="s">
        <v>3676</v>
      </c>
      <c r="E468" s="429">
        <v>9748.0</v>
      </c>
      <c r="F468" s="429">
        <v>578.0</v>
      </c>
      <c r="G468" s="429">
        <v>9.0</v>
      </c>
      <c r="H468" s="429">
        <v>5.0</v>
      </c>
      <c r="I468" s="429">
        <v>14.0</v>
      </c>
      <c r="J468" s="430">
        <v>0.64</v>
      </c>
      <c r="K468" s="376" t="s">
        <v>4129</v>
      </c>
      <c r="L468" s="376">
        <v>3.222281214E9</v>
      </c>
      <c r="M468" s="376" t="s">
        <v>286</v>
      </c>
      <c r="N468" s="376" t="s">
        <v>3754</v>
      </c>
      <c r="O468" s="376" t="s">
        <v>1729</v>
      </c>
      <c r="P468" s="376" t="s">
        <v>3941</v>
      </c>
      <c r="Q468" s="16">
        <f>COUNTIF('hedef liste'!A:A,A468)</f>
        <v>1</v>
      </c>
    </row>
    <row r="469" hidden="1">
      <c r="A469" s="376" t="s">
        <v>4521</v>
      </c>
      <c r="B469" s="376" t="s">
        <v>4522</v>
      </c>
      <c r="C469" s="428" t="s">
        <v>6979</v>
      </c>
      <c r="D469" s="376" t="s">
        <v>3713</v>
      </c>
      <c r="E469" s="429">
        <v>3557.0</v>
      </c>
      <c r="F469" s="429">
        <v>237.0</v>
      </c>
      <c r="G469" s="429">
        <v>20.0</v>
      </c>
      <c r="H469" s="429">
        <v>13.0</v>
      </c>
      <c r="I469" s="429">
        <v>33.0</v>
      </c>
      <c r="J469" s="430">
        <v>0.61</v>
      </c>
      <c r="K469" s="376" t="s">
        <v>4523</v>
      </c>
      <c r="L469" s="376">
        <v>3.222483354E9</v>
      </c>
      <c r="M469" s="376" t="s">
        <v>14</v>
      </c>
      <c r="N469" s="376" t="s">
        <v>3826</v>
      </c>
      <c r="O469" s="376" t="s">
        <v>4524</v>
      </c>
      <c r="P469" s="376" t="s">
        <v>3941</v>
      </c>
      <c r="Q469" s="16">
        <f>COUNTIF('hedef liste'!A:A,A469)</f>
        <v>1</v>
      </c>
    </row>
    <row r="470" hidden="1">
      <c r="A470" s="376" t="s">
        <v>1265</v>
      </c>
      <c r="B470" s="376" t="s">
        <v>7310</v>
      </c>
      <c r="C470" s="428" t="s">
        <v>6979</v>
      </c>
      <c r="D470" s="376" t="s">
        <v>3676</v>
      </c>
      <c r="E470" s="429">
        <v>103.0</v>
      </c>
      <c r="F470" s="429">
        <v>3.0</v>
      </c>
      <c r="G470" s="429">
        <v>10.0</v>
      </c>
      <c r="H470" s="429">
        <v>2.0</v>
      </c>
      <c r="I470" s="429">
        <v>12.0</v>
      </c>
      <c r="J470" s="430">
        <v>0.83</v>
      </c>
      <c r="K470" s="376" t="s">
        <v>3717</v>
      </c>
      <c r="L470" s="376">
        <v>3.22232004E9</v>
      </c>
      <c r="M470" s="376" t="s">
        <v>14</v>
      </c>
      <c r="N470" s="376" t="s">
        <v>3718</v>
      </c>
      <c r="O470" s="376" t="s">
        <v>1268</v>
      </c>
      <c r="P470" s="376" t="s">
        <v>3941</v>
      </c>
      <c r="Q470" s="16">
        <f>COUNTIF('hedef liste'!A:A,A470)</f>
        <v>1</v>
      </c>
    </row>
    <row r="471" hidden="1">
      <c r="A471" s="376" t="s">
        <v>4509</v>
      </c>
      <c r="B471" s="376" t="s">
        <v>4510</v>
      </c>
      <c r="C471" s="428" t="s">
        <v>6979</v>
      </c>
      <c r="D471" s="376" t="s">
        <v>3699</v>
      </c>
      <c r="E471" s="429">
        <v>2231.0</v>
      </c>
      <c r="F471" s="429">
        <v>71.0</v>
      </c>
      <c r="G471" s="429">
        <v>0.0</v>
      </c>
      <c r="H471" s="429">
        <v>9.0</v>
      </c>
      <c r="I471" s="429">
        <v>9.0</v>
      </c>
      <c r="J471" s="430">
        <v>0.0</v>
      </c>
      <c r="K471" s="376" t="s">
        <v>4511</v>
      </c>
      <c r="L471" s="376">
        <v>3.229995439E9</v>
      </c>
      <c r="M471" s="376" t="s">
        <v>14</v>
      </c>
      <c r="N471" s="376" t="s">
        <v>3733</v>
      </c>
      <c r="O471" s="376" t="s">
        <v>4512</v>
      </c>
      <c r="P471" s="376" t="s">
        <v>3941</v>
      </c>
      <c r="Q471" s="16">
        <f>COUNTIF('hedef liste'!A:A,A471)</f>
        <v>1</v>
      </c>
    </row>
    <row r="472" hidden="1">
      <c r="A472" s="376" t="s">
        <v>1287</v>
      </c>
      <c r="B472" s="376" t="s">
        <v>1288</v>
      </c>
      <c r="C472" s="428" t="s">
        <v>6979</v>
      </c>
      <c r="D472" s="376" t="s">
        <v>3699</v>
      </c>
      <c r="E472" s="429">
        <v>1537.0</v>
      </c>
      <c r="F472" s="429">
        <v>167.0</v>
      </c>
      <c r="G472" s="429">
        <v>16.0</v>
      </c>
      <c r="H472" s="429">
        <v>5.0</v>
      </c>
      <c r="I472" s="429">
        <v>21.0</v>
      </c>
      <c r="J472" s="430">
        <v>0.76</v>
      </c>
      <c r="K472" s="376" t="s">
        <v>4687</v>
      </c>
      <c r="L472" s="376">
        <v>3.22261313E9</v>
      </c>
      <c r="M472" s="376" t="s">
        <v>286</v>
      </c>
      <c r="N472" s="376" t="s">
        <v>3769</v>
      </c>
      <c r="O472" s="376" t="s">
        <v>1290</v>
      </c>
      <c r="P472" s="376" t="s">
        <v>3941</v>
      </c>
      <c r="Q472" s="16">
        <f>COUNTIF('hedef liste'!A:A,A472)</f>
        <v>1</v>
      </c>
    </row>
    <row r="473" hidden="1">
      <c r="A473" s="376" t="s">
        <v>6277</v>
      </c>
      <c r="B473" s="376" t="s">
        <v>6278</v>
      </c>
      <c r="C473" s="428" t="s">
        <v>6979</v>
      </c>
      <c r="D473" s="376" t="s">
        <v>3994</v>
      </c>
      <c r="E473" s="429">
        <v>2486.0</v>
      </c>
      <c r="F473" s="429">
        <v>87.0</v>
      </c>
      <c r="G473" s="429">
        <v>6.0</v>
      </c>
      <c r="H473" s="429">
        <v>69.0</v>
      </c>
      <c r="I473" s="429">
        <v>75.0</v>
      </c>
      <c r="J473" s="430">
        <v>0.08</v>
      </c>
      <c r="K473" s="376" t="s">
        <v>6279</v>
      </c>
      <c r="L473" s="376">
        <v>3.224501515E9</v>
      </c>
      <c r="M473" s="376" t="s">
        <v>286</v>
      </c>
      <c r="N473" s="376" t="s">
        <v>5389</v>
      </c>
      <c r="O473" s="376" t="s">
        <v>6280</v>
      </c>
      <c r="P473" s="376" t="s">
        <v>3941</v>
      </c>
      <c r="Q473" s="16">
        <f>COUNTIF('hedef liste'!A:A,A473)</f>
        <v>1</v>
      </c>
    </row>
    <row r="474" hidden="1">
      <c r="A474" s="376" t="s">
        <v>1690</v>
      </c>
      <c r="B474" s="376" t="s">
        <v>1691</v>
      </c>
      <c r="C474" s="428" t="s">
        <v>7011</v>
      </c>
      <c r="D474" s="376" t="s">
        <v>3676</v>
      </c>
      <c r="E474" s="429">
        <v>140.0</v>
      </c>
      <c r="F474" s="431"/>
      <c r="G474" s="429">
        <v>9.0</v>
      </c>
      <c r="H474" s="429">
        <v>1.0</v>
      </c>
      <c r="I474" s="429">
        <v>10.0</v>
      </c>
      <c r="J474" s="430">
        <v>0.9</v>
      </c>
      <c r="K474" s="376" t="s">
        <v>3868</v>
      </c>
      <c r="L474" s="376">
        <v>5.388725516E9</v>
      </c>
      <c r="M474" s="376" t="s">
        <v>3692</v>
      </c>
      <c r="N474" s="376" t="s">
        <v>3869</v>
      </c>
      <c r="O474" s="376" t="s">
        <v>1694</v>
      </c>
      <c r="P474" s="376" t="s">
        <v>3941</v>
      </c>
      <c r="Q474" s="16">
        <f>COUNTIF('hedef liste'!A:A,A474)</f>
        <v>1</v>
      </c>
    </row>
    <row r="475" hidden="1">
      <c r="A475" s="376" t="s">
        <v>6027</v>
      </c>
      <c r="B475" s="376" t="s">
        <v>6028</v>
      </c>
      <c r="C475" s="428" t="s">
        <v>7011</v>
      </c>
      <c r="D475" s="376" t="s">
        <v>3801</v>
      </c>
      <c r="E475" s="429">
        <v>250.0</v>
      </c>
      <c r="F475" s="431"/>
      <c r="G475" s="429">
        <v>64.0</v>
      </c>
      <c r="H475" s="429">
        <v>0.0</v>
      </c>
      <c r="I475" s="429">
        <v>64.0</v>
      </c>
      <c r="J475" s="430">
        <v>1.0</v>
      </c>
      <c r="K475" s="376" t="s">
        <v>7311</v>
      </c>
      <c r="L475" s="376">
        <v>5.419718597E9</v>
      </c>
      <c r="M475" s="376" t="s">
        <v>3692</v>
      </c>
      <c r="N475" s="376" t="s">
        <v>3721</v>
      </c>
      <c r="O475" s="376" t="s">
        <v>6030</v>
      </c>
      <c r="P475" s="376" t="s">
        <v>6982</v>
      </c>
      <c r="Q475" s="16">
        <f>COUNTIF('hedef liste'!A:A,A475)</f>
        <v>1</v>
      </c>
    </row>
    <row r="476" hidden="1">
      <c r="A476" s="376" t="s">
        <v>6031</v>
      </c>
      <c r="B476" s="376" t="s">
        <v>6032</v>
      </c>
      <c r="C476" s="428" t="s">
        <v>6979</v>
      </c>
      <c r="D476" s="376" t="s">
        <v>3801</v>
      </c>
      <c r="E476" s="429">
        <v>21.0</v>
      </c>
      <c r="F476" s="431"/>
      <c r="G476" s="429">
        <v>102.0</v>
      </c>
      <c r="H476" s="429">
        <v>92.0</v>
      </c>
      <c r="I476" s="429">
        <v>194.0</v>
      </c>
      <c r="J476" s="430">
        <v>0.53</v>
      </c>
      <c r="K476" s="376" t="s">
        <v>6033</v>
      </c>
      <c r="L476" s="376">
        <v>5.464673575E9</v>
      </c>
      <c r="M476" s="376" t="s">
        <v>3692</v>
      </c>
      <c r="N476" s="376" t="s">
        <v>6034</v>
      </c>
      <c r="O476" s="376" t="s">
        <v>6035</v>
      </c>
      <c r="P476" s="376" t="s">
        <v>6982</v>
      </c>
      <c r="Q476" s="16">
        <f>COUNTIF('hedef liste'!A:A,A476)</f>
        <v>1</v>
      </c>
    </row>
    <row r="477" hidden="1">
      <c r="A477" s="376" t="s">
        <v>6040</v>
      </c>
      <c r="B477" s="376" t="s">
        <v>6041</v>
      </c>
      <c r="C477" s="428" t="s">
        <v>6979</v>
      </c>
      <c r="D477" s="376" t="s">
        <v>3801</v>
      </c>
      <c r="E477" s="429">
        <v>1837.0</v>
      </c>
      <c r="F477" s="429">
        <v>98.0</v>
      </c>
      <c r="G477" s="429">
        <v>15.0</v>
      </c>
      <c r="H477" s="429">
        <v>2.0</v>
      </c>
      <c r="I477" s="429">
        <v>17.0</v>
      </c>
      <c r="J477" s="430">
        <v>0.88</v>
      </c>
      <c r="K477" s="376" t="s">
        <v>6042</v>
      </c>
      <c r="L477" s="376">
        <v>3.223442122E9</v>
      </c>
      <c r="M477" s="376" t="s">
        <v>3707</v>
      </c>
      <c r="N477" s="376" t="s">
        <v>5130</v>
      </c>
      <c r="O477" s="376" t="s">
        <v>6043</v>
      </c>
      <c r="P477" s="376" t="s">
        <v>6982</v>
      </c>
      <c r="Q477" s="16">
        <f>COUNTIF('hedef liste'!A:A,A477)</f>
        <v>1</v>
      </c>
    </row>
    <row r="478" hidden="1">
      <c r="A478" s="376" t="s">
        <v>4238</v>
      </c>
      <c r="B478" s="376" t="s">
        <v>1251</v>
      </c>
      <c r="C478" s="428" t="s">
        <v>6979</v>
      </c>
      <c r="D478" s="376" t="s">
        <v>3690</v>
      </c>
      <c r="E478" s="429">
        <v>490.0</v>
      </c>
      <c r="F478" s="431"/>
      <c r="G478" s="429">
        <v>0.0</v>
      </c>
      <c r="H478" s="429">
        <v>11.0</v>
      </c>
      <c r="I478" s="429">
        <v>11.0</v>
      </c>
      <c r="J478" s="430">
        <v>0.0</v>
      </c>
      <c r="K478" s="376" t="s">
        <v>4239</v>
      </c>
      <c r="L478" s="376">
        <v>3.2245977E9</v>
      </c>
      <c r="M478" s="376" t="s">
        <v>286</v>
      </c>
      <c r="N478" s="376" t="s">
        <v>3688</v>
      </c>
      <c r="O478" s="376" t="s">
        <v>1253</v>
      </c>
      <c r="P478" s="376" t="s">
        <v>3941</v>
      </c>
      <c r="Q478" s="16">
        <f>COUNTIF('hedef liste'!A:A,A478)</f>
        <v>1</v>
      </c>
    </row>
    <row r="479" hidden="1">
      <c r="A479" s="376" t="s">
        <v>4563</v>
      </c>
      <c r="B479" s="376" t="s">
        <v>4564</v>
      </c>
      <c r="C479" s="428" t="s">
        <v>6979</v>
      </c>
      <c r="D479" s="376" t="s">
        <v>3676</v>
      </c>
      <c r="E479" s="429">
        <v>4205.0</v>
      </c>
      <c r="F479" s="429">
        <v>151.0</v>
      </c>
      <c r="G479" s="429">
        <v>0.0</v>
      </c>
      <c r="H479" s="429">
        <v>7.0</v>
      </c>
      <c r="I479" s="429">
        <v>7.0</v>
      </c>
      <c r="J479" s="430">
        <v>0.0</v>
      </c>
      <c r="K479" s="376" t="s">
        <v>4565</v>
      </c>
      <c r="L479" s="376">
        <v>5.443852626E9</v>
      </c>
      <c r="M479" s="376" t="s">
        <v>3692</v>
      </c>
      <c r="N479" s="376" t="s">
        <v>3775</v>
      </c>
      <c r="O479" s="376" t="s">
        <v>4566</v>
      </c>
      <c r="P479" s="376" t="s">
        <v>3941</v>
      </c>
      <c r="Q479" s="16">
        <f>COUNTIF('hedef liste'!A:A,A479)</f>
        <v>1</v>
      </c>
    </row>
    <row r="480" hidden="1">
      <c r="A480" s="376" t="s">
        <v>2001</v>
      </c>
      <c r="B480" s="376" t="s">
        <v>2002</v>
      </c>
      <c r="C480" s="428" t="s">
        <v>6979</v>
      </c>
      <c r="D480" s="376" t="s">
        <v>3842</v>
      </c>
      <c r="E480" s="429">
        <v>954.0</v>
      </c>
      <c r="F480" s="429">
        <v>46.0</v>
      </c>
      <c r="G480" s="429">
        <v>0.0</v>
      </c>
      <c r="H480" s="429">
        <v>7.0</v>
      </c>
      <c r="I480" s="429">
        <v>7.0</v>
      </c>
      <c r="J480" s="430">
        <v>0.0</v>
      </c>
      <c r="K480" s="376" t="s">
        <v>3903</v>
      </c>
      <c r="L480" s="376">
        <v>5.457719101E9</v>
      </c>
      <c r="M480" s="376" t="s">
        <v>14</v>
      </c>
      <c r="N480" s="376" t="s">
        <v>3733</v>
      </c>
      <c r="O480" s="376" t="s">
        <v>679</v>
      </c>
      <c r="P480" s="376" t="s">
        <v>3941</v>
      </c>
      <c r="Q480" s="16">
        <f>COUNTIF('hedef liste'!A:A,A480)</f>
        <v>1</v>
      </c>
    </row>
    <row r="481" hidden="1">
      <c r="A481" s="376" t="s">
        <v>1625</v>
      </c>
      <c r="B481" s="376" t="s">
        <v>7312</v>
      </c>
      <c r="C481" s="428" t="s">
        <v>6979</v>
      </c>
      <c r="D481" s="376" t="s">
        <v>4124</v>
      </c>
      <c r="E481" s="429">
        <v>293.0</v>
      </c>
      <c r="F481" s="429">
        <v>5.0</v>
      </c>
      <c r="G481" s="429">
        <v>14.0</v>
      </c>
      <c r="H481" s="429">
        <v>9.0</v>
      </c>
      <c r="I481" s="429">
        <v>23.0</v>
      </c>
      <c r="J481" s="430">
        <v>0.61</v>
      </c>
      <c r="K481" s="376" t="s">
        <v>4977</v>
      </c>
      <c r="L481" s="376">
        <v>5.057596938E9</v>
      </c>
      <c r="M481" s="376" t="s">
        <v>14</v>
      </c>
      <c r="N481" s="376" t="s">
        <v>3733</v>
      </c>
      <c r="O481" s="376" t="s">
        <v>1628</v>
      </c>
      <c r="P481" s="376" t="s">
        <v>3941</v>
      </c>
      <c r="Q481" s="16">
        <f>COUNTIF('hedef liste'!A:A,A481)</f>
        <v>1</v>
      </c>
    </row>
    <row r="482" hidden="1">
      <c r="A482" s="376" t="s">
        <v>6920</v>
      </c>
      <c r="B482" s="376" t="s">
        <v>6921</v>
      </c>
      <c r="C482" s="428" t="s">
        <v>6979</v>
      </c>
      <c r="D482" s="376" t="s">
        <v>3699</v>
      </c>
      <c r="E482" s="429">
        <v>166.0</v>
      </c>
      <c r="F482" s="429">
        <v>11.0</v>
      </c>
      <c r="G482" s="429">
        <v>0.0</v>
      </c>
      <c r="H482" s="429">
        <v>5.0</v>
      </c>
      <c r="I482" s="429">
        <v>5.0</v>
      </c>
      <c r="J482" s="430">
        <v>0.0</v>
      </c>
      <c r="K482" s="376" t="s">
        <v>6922</v>
      </c>
      <c r="L482" s="376">
        <v>5.468068058E9</v>
      </c>
      <c r="M482" s="376" t="s">
        <v>3707</v>
      </c>
      <c r="N482" s="376" t="s">
        <v>6923</v>
      </c>
      <c r="O482" s="376" t="s">
        <v>6924</v>
      </c>
      <c r="P482" s="376" t="s">
        <v>3941</v>
      </c>
      <c r="Q482" s="16">
        <f>COUNTIF('hedef liste'!A:A,A482)</f>
        <v>1</v>
      </c>
    </row>
    <row r="483" hidden="1">
      <c r="A483" s="376" t="s">
        <v>1343</v>
      </c>
      <c r="B483" s="376" t="s">
        <v>1344</v>
      </c>
      <c r="C483" s="428" t="s">
        <v>6979</v>
      </c>
      <c r="D483" s="376" t="s">
        <v>3676</v>
      </c>
      <c r="E483" s="429">
        <v>312.0</v>
      </c>
      <c r="F483" s="431"/>
      <c r="G483" s="429">
        <v>23.0</v>
      </c>
      <c r="H483" s="429">
        <v>36.0</v>
      </c>
      <c r="I483" s="429">
        <v>59.0</v>
      </c>
      <c r="J483" s="430">
        <v>0.39</v>
      </c>
      <c r="K483" s="376" t="s">
        <v>4372</v>
      </c>
      <c r="L483" s="376">
        <v>3.22454545E9</v>
      </c>
      <c r="M483" s="376" t="s">
        <v>286</v>
      </c>
      <c r="N483" s="376" t="s">
        <v>3737</v>
      </c>
      <c r="O483" s="376" t="s">
        <v>7313</v>
      </c>
      <c r="P483" s="376" t="s">
        <v>3941</v>
      </c>
      <c r="Q483" s="16">
        <f>COUNTIF('hedef liste'!A:A,A483)</f>
        <v>1</v>
      </c>
    </row>
    <row r="484" hidden="1">
      <c r="A484" s="376" t="s">
        <v>90</v>
      </c>
      <c r="B484" s="376" t="s">
        <v>91</v>
      </c>
      <c r="C484" s="428" t="s">
        <v>6979</v>
      </c>
      <c r="D484" s="376" t="s">
        <v>3690</v>
      </c>
      <c r="E484" s="429">
        <v>538.0</v>
      </c>
      <c r="F484" s="429">
        <v>2.0</v>
      </c>
      <c r="G484" s="429">
        <v>7.0</v>
      </c>
      <c r="H484" s="429">
        <v>4.0</v>
      </c>
      <c r="I484" s="429">
        <v>11.0</v>
      </c>
      <c r="J484" s="430">
        <v>0.64</v>
      </c>
      <c r="K484" s="376" t="s">
        <v>6746</v>
      </c>
      <c r="L484" s="376">
        <v>3.22234202E9</v>
      </c>
      <c r="M484" s="376" t="s">
        <v>14</v>
      </c>
      <c r="N484" s="376" t="s">
        <v>3797</v>
      </c>
      <c r="O484" s="376" t="s">
        <v>93</v>
      </c>
      <c r="P484" s="376" t="s">
        <v>3941</v>
      </c>
      <c r="Q484" s="16">
        <f>COUNTIF('hedef liste'!A:A,A484)</f>
        <v>1</v>
      </c>
    </row>
    <row r="485" hidden="1">
      <c r="A485" s="376" t="s">
        <v>5961</v>
      </c>
      <c r="B485" s="376" t="s">
        <v>5962</v>
      </c>
      <c r="C485" s="428" t="s">
        <v>6979</v>
      </c>
      <c r="D485" s="376" t="s">
        <v>3801</v>
      </c>
      <c r="E485" s="429">
        <v>1043.0</v>
      </c>
      <c r="F485" s="429">
        <v>47.0</v>
      </c>
      <c r="G485" s="429">
        <v>50.0</v>
      </c>
      <c r="H485" s="429">
        <v>2.0</v>
      </c>
      <c r="I485" s="429">
        <v>52.0</v>
      </c>
      <c r="J485" s="430">
        <v>0.96</v>
      </c>
      <c r="K485" s="376" t="s">
        <v>5963</v>
      </c>
      <c r="L485" s="376">
        <v>5.442095262E9</v>
      </c>
      <c r="M485" s="376" t="s">
        <v>14</v>
      </c>
      <c r="N485" s="376" t="s">
        <v>3797</v>
      </c>
      <c r="O485" s="376" t="s">
        <v>5964</v>
      </c>
      <c r="P485" s="376" t="s">
        <v>6982</v>
      </c>
      <c r="Q485" s="16">
        <f>COUNTIF('hedef liste'!A:A,A485)</f>
        <v>1</v>
      </c>
    </row>
    <row r="486" hidden="1">
      <c r="A486" s="376" t="s">
        <v>5940</v>
      </c>
      <c r="B486" s="376" t="s">
        <v>5941</v>
      </c>
      <c r="C486" s="428" t="s">
        <v>6979</v>
      </c>
      <c r="D486" s="376" t="s">
        <v>3801</v>
      </c>
      <c r="E486" s="429">
        <v>1313.0</v>
      </c>
      <c r="F486" s="429">
        <v>35.0</v>
      </c>
      <c r="G486" s="429">
        <v>53.0</v>
      </c>
      <c r="H486" s="429">
        <v>0.0</v>
      </c>
      <c r="I486" s="429">
        <v>53.0</v>
      </c>
      <c r="J486" s="430">
        <v>1.0</v>
      </c>
      <c r="K486" s="376" t="s">
        <v>5942</v>
      </c>
      <c r="L486" s="376">
        <v>3.223223636E9</v>
      </c>
      <c r="M486" s="376" t="s">
        <v>3707</v>
      </c>
      <c r="N486" s="376" t="s">
        <v>4570</v>
      </c>
      <c r="O486" s="376" t="s">
        <v>5943</v>
      </c>
      <c r="P486" s="376" t="s">
        <v>6982</v>
      </c>
      <c r="Q486" s="16">
        <f>COUNTIF('hedef liste'!A:A,A486)</f>
        <v>1</v>
      </c>
    </row>
    <row r="487" hidden="1">
      <c r="A487" s="376" t="s">
        <v>2215</v>
      </c>
      <c r="B487" s="376" t="s">
        <v>2216</v>
      </c>
      <c r="C487" s="428" t="s">
        <v>6979</v>
      </c>
      <c r="D487" s="376" t="s">
        <v>3676</v>
      </c>
      <c r="E487" s="429">
        <v>3689.0</v>
      </c>
      <c r="F487" s="429">
        <v>275.0</v>
      </c>
      <c r="G487" s="429">
        <v>25.0</v>
      </c>
      <c r="H487" s="429">
        <v>6.0</v>
      </c>
      <c r="I487" s="429">
        <v>31.0</v>
      </c>
      <c r="J487" s="430">
        <v>0.81</v>
      </c>
      <c r="K487" s="376" t="s">
        <v>4663</v>
      </c>
      <c r="L487" s="376">
        <v>3.222471002E9</v>
      </c>
      <c r="M487" s="376" t="s">
        <v>14</v>
      </c>
      <c r="N487" s="376" t="s">
        <v>3718</v>
      </c>
      <c r="O487" s="376" t="s">
        <v>2218</v>
      </c>
      <c r="P487" s="376" t="s">
        <v>3941</v>
      </c>
      <c r="Q487" s="16">
        <f>COUNTIF('hedef liste'!A:A,A487)</f>
        <v>1</v>
      </c>
    </row>
    <row r="488" hidden="1">
      <c r="A488" s="376" t="s">
        <v>722</v>
      </c>
      <c r="B488" s="376" t="s">
        <v>723</v>
      </c>
      <c r="C488" s="428" t="s">
        <v>6979</v>
      </c>
      <c r="D488" s="376" t="s">
        <v>3690</v>
      </c>
      <c r="E488" s="429">
        <v>3108.0</v>
      </c>
      <c r="F488" s="429">
        <v>31.0</v>
      </c>
      <c r="G488" s="429">
        <v>6.0</v>
      </c>
      <c r="H488" s="429">
        <v>4.0</v>
      </c>
      <c r="I488" s="429">
        <v>10.0</v>
      </c>
      <c r="J488" s="430">
        <v>0.6</v>
      </c>
      <c r="K488" s="376" t="s">
        <v>4063</v>
      </c>
      <c r="L488" s="376">
        <v>3.222260666E9</v>
      </c>
      <c r="M488" s="376" t="s">
        <v>286</v>
      </c>
      <c r="N488" s="376" t="s">
        <v>3754</v>
      </c>
      <c r="O488" s="376" t="s">
        <v>726</v>
      </c>
      <c r="P488" s="376" t="s">
        <v>3941</v>
      </c>
      <c r="Q488" s="16">
        <f>COUNTIF('hedef liste'!A:A,A488)</f>
        <v>1</v>
      </c>
    </row>
    <row r="489" hidden="1">
      <c r="A489" s="376" t="s">
        <v>7314</v>
      </c>
      <c r="B489" s="376" t="s">
        <v>7315</v>
      </c>
      <c r="C489" s="428" t="s">
        <v>6979</v>
      </c>
      <c r="D489" s="376" t="s">
        <v>3801</v>
      </c>
      <c r="E489" s="429">
        <v>1918.0</v>
      </c>
      <c r="F489" s="429">
        <v>88.0</v>
      </c>
      <c r="G489" s="429">
        <v>31.0</v>
      </c>
      <c r="H489" s="429">
        <v>3.0</v>
      </c>
      <c r="I489" s="429">
        <v>34.0</v>
      </c>
      <c r="J489" s="430">
        <v>0.91</v>
      </c>
      <c r="K489" s="376" t="s">
        <v>6998</v>
      </c>
      <c r="L489" s="376">
        <v>3.2261302E9</v>
      </c>
      <c r="M489" s="376" t="s">
        <v>3701</v>
      </c>
      <c r="N489" s="376" t="s">
        <v>4342</v>
      </c>
      <c r="O489" s="376" t="s">
        <v>7316</v>
      </c>
      <c r="P489" s="376" t="s">
        <v>6982</v>
      </c>
      <c r="Q489" s="16">
        <f>COUNTIF('hedef liste'!A:A,A489)</f>
        <v>0</v>
      </c>
    </row>
    <row r="490" hidden="1">
      <c r="A490" s="376" t="s">
        <v>4964</v>
      </c>
      <c r="B490" s="376" t="s">
        <v>4965</v>
      </c>
      <c r="C490" s="428" t="s">
        <v>6979</v>
      </c>
      <c r="D490" s="376" t="s">
        <v>3842</v>
      </c>
      <c r="E490" s="429">
        <v>31.0</v>
      </c>
      <c r="F490" s="431"/>
      <c r="G490" s="429">
        <v>0.0</v>
      </c>
      <c r="H490" s="429">
        <v>51.0</v>
      </c>
      <c r="I490" s="429">
        <v>51.0</v>
      </c>
      <c r="J490" s="430">
        <v>0.0</v>
      </c>
      <c r="K490" s="376" t="s">
        <v>4966</v>
      </c>
      <c r="L490" s="376">
        <v>5.466901923E9</v>
      </c>
      <c r="M490" s="376" t="s">
        <v>286</v>
      </c>
      <c r="N490" s="376" t="s">
        <v>3806</v>
      </c>
      <c r="O490" s="376" t="s">
        <v>4967</v>
      </c>
      <c r="P490" s="376" t="s">
        <v>3941</v>
      </c>
      <c r="Q490" s="16">
        <f>COUNTIF('hedef liste'!A:A,A490)</f>
        <v>1</v>
      </c>
    </row>
    <row r="491" hidden="1">
      <c r="A491" s="376" t="s">
        <v>1330</v>
      </c>
      <c r="B491" s="376" t="s">
        <v>1331</v>
      </c>
      <c r="C491" s="428" t="s">
        <v>6979</v>
      </c>
      <c r="D491" s="376" t="s">
        <v>3699</v>
      </c>
      <c r="E491" s="429">
        <v>107.0</v>
      </c>
      <c r="F491" s="431"/>
      <c r="G491" s="429">
        <v>46.0</v>
      </c>
      <c r="H491" s="429">
        <v>21.0</v>
      </c>
      <c r="I491" s="429">
        <v>67.0</v>
      </c>
      <c r="J491" s="433">
        <v>0.69</v>
      </c>
      <c r="K491" s="376" t="s">
        <v>4419</v>
      </c>
      <c r="L491" s="376">
        <v>3.224365967E9</v>
      </c>
      <c r="M491" s="376" t="s">
        <v>286</v>
      </c>
      <c r="N491" s="376" t="s">
        <v>4420</v>
      </c>
      <c r="O491" s="376" t="s">
        <v>1334</v>
      </c>
      <c r="P491" s="376" t="s">
        <v>3941</v>
      </c>
      <c r="Q491" s="16">
        <f>COUNTIF('hedef liste'!A:A,A491)</f>
        <v>1</v>
      </c>
    </row>
    <row r="492" hidden="1">
      <c r="A492" s="376" t="s">
        <v>1125</v>
      </c>
      <c r="B492" s="376" t="s">
        <v>1126</v>
      </c>
      <c r="C492" s="428" t="s">
        <v>6979</v>
      </c>
      <c r="D492" s="376" t="s">
        <v>3676</v>
      </c>
      <c r="E492" s="429">
        <v>119.0</v>
      </c>
      <c r="F492" s="429">
        <v>2.0</v>
      </c>
      <c r="G492" s="429">
        <v>5.0</v>
      </c>
      <c r="H492" s="429">
        <v>6.0</v>
      </c>
      <c r="I492" s="429">
        <v>11.0</v>
      </c>
      <c r="J492" s="430">
        <v>0.45</v>
      </c>
      <c r="K492" s="376" t="s">
        <v>4449</v>
      </c>
      <c r="L492" s="376">
        <v>3.222346161E9</v>
      </c>
      <c r="M492" s="376" t="s">
        <v>14</v>
      </c>
      <c r="N492" s="376" t="s">
        <v>3767</v>
      </c>
      <c r="O492" s="376" t="s">
        <v>386</v>
      </c>
      <c r="P492" s="376" t="s">
        <v>3941</v>
      </c>
      <c r="Q492" s="16">
        <f>COUNTIF('hedef liste'!A:A,A492)</f>
        <v>1</v>
      </c>
    </row>
    <row r="493" hidden="1">
      <c r="A493" s="376" t="s">
        <v>5615</v>
      </c>
      <c r="B493" s="376" t="s">
        <v>5616</v>
      </c>
      <c r="C493" s="428" t="s">
        <v>6979</v>
      </c>
      <c r="D493" s="376" t="s">
        <v>3994</v>
      </c>
      <c r="E493" s="429">
        <v>204.0</v>
      </c>
      <c r="F493" s="429">
        <v>31.0</v>
      </c>
      <c r="G493" s="429">
        <v>0.0</v>
      </c>
      <c r="H493" s="429">
        <v>25.0</v>
      </c>
      <c r="I493" s="429">
        <v>25.0</v>
      </c>
      <c r="J493" s="430">
        <v>0.0</v>
      </c>
      <c r="K493" s="376" t="s">
        <v>5617</v>
      </c>
      <c r="L493" s="376">
        <v>3.224010008E9</v>
      </c>
      <c r="M493" s="376" t="s">
        <v>286</v>
      </c>
      <c r="N493" s="376" t="s">
        <v>3688</v>
      </c>
      <c r="O493" s="376" t="s">
        <v>5618</v>
      </c>
      <c r="P493" s="376" t="s">
        <v>3941</v>
      </c>
      <c r="Q493" s="16">
        <f>COUNTIF('hedef liste'!A:A,A493)</f>
        <v>1</v>
      </c>
    </row>
    <row r="494" hidden="1">
      <c r="A494" s="376" t="s">
        <v>1972</v>
      </c>
      <c r="B494" s="376" t="s">
        <v>1973</v>
      </c>
      <c r="C494" s="428" t="s">
        <v>6979</v>
      </c>
      <c r="D494" s="376" t="s">
        <v>3699</v>
      </c>
      <c r="E494" s="429">
        <v>2389.0</v>
      </c>
      <c r="F494" s="429">
        <v>326.0</v>
      </c>
      <c r="G494" s="429">
        <v>17.0</v>
      </c>
      <c r="H494" s="429">
        <v>3.0</v>
      </c>
      <c r="I494" s="429">
        <v>20.0</v>
      </c>
      <c r="J494" s="430">
        <v>0.85</v>
      </c>
      <c r="K494" s="376" t="s">
        <v>6069</v>
      </c>
      <c r="L494" s="376">
        <v>3.222282777E9</v>
      </c>
      <c r="M494" s="376" t="s">
        <v>286</v>
      </c>
      <c r="N494" s="376" t="s">
        <v>3769</v>
      </c>
      <c r="O494" s="376" t="s">
        <v>1975</v>
      </c>
      <c r="P494" s="376" t="s">
        <v>3941</v>
      </c>
      <c r="Q494" s="16">
        <f>COUNTIF('hedef liste'!A:A,A494)</f>
        <v>1</v>
      </c>
    </row>
    <row r="495" hidden="1">
      <c r="A495" s="376" t="s">
        <v>3863</v>
      </c>
      <c r="B495" s="376" t="s">
        <v>3864</v>
      </c>
      <c r="C495" s="428" t="s">
        <v>6979</v>
      </c>
      <c r="D495" s="376" t="s">
        <v>3759</v>
      </c>
      <c r="E495" s="429">
        <v>2762.0</v>
      </c>
      <c r="F495" s="429">
        <v>221.0</v>
      </c>
      <c r="G495" s="429">
        <v>0.0</v>
      </c>
      <c r="H495" s="429">
        <v>14.0</v>
      </c>
      <c r="I495" s="429">
        <v>14.0</v>
      </c>
      <c r="J495" s="430">
        <v>0.0</v>
      </c>
      <c r="K495" s="376" t="s">
        <v>3865</v>
      </c>
      <c r="L495" s="376">
        <v>5.42820487E9</v>
      </c>
      <c r="M495" s="376" t="s">
        <v>14</v>
      </c>
      <c r="N495" s="376" t="s">
        <v>3733</v>
      </c>
      <c r="O495" s="376" t="s">
        <v>651</v>
      </c>
      <c r="P495" s="376" t="s">
        <v>3941</v>
      </c>
      <c r="Q495" s="16">
        <f>COUNTIF('hedef liste'!A:A,A495)</f>
        <v>1</v>
      </c>
    </row>
    <row r="496" hidden="1">
      <c r="A496" s="376" t="s">
        <v>5117</v>
      </c>
      <c r="B496" s="376" t="s">
        <v>5118</v>
      </c>
      <c r="C496" s="428" t="s">
        <v>6979</v>
      </c>
      <c r="D496" s="376" t="s">
        <v>3699</v>
      </c>
      <c r="E496" s="429">
        <v>30.0</v>
      </c>
      <c r="F496" s="429">
        <v>3.0</v>
      </c>
      <c r="G496" s="429">
        <v>18.0</v>
      </c>
      <c r="H496" s="429">
        <v>13.0</v>
      </c>
      <c r="I496" s="429">
        <v>31.0</v>
      </c>
      <c r="J496" s="430">
        <v>0.58</v>
      </c>
      <c r="K496" s="376" t="s">
        <v>5110</v>
      </c>
      <c r="L496" s="376">
        <v>5.443909041E9</v>
      </c>
      <c r="M496" s="376" t="s">
        <v>3707</v>
      </c>
      <c r="N496" s="376" t="s">
        <v>4291</v>
      </c>
      <c r="O496" s="376" t="s">
        <v>5119</v>
      </c>
      <c r="P496" s="376" t="s">
        <v>3941</v>
      </c>
      <c r="Q496" s="16">
        <f>COUNTIF('hedef liste'!A:A,A496)</f>
        <v>1</v>
      </c>
    </row>
    <row r="497" hidden="1">
      <c r="A497" s="376" t="s">
        <v>2729</v>
      </c>
      <c r="B497" s="376" t="s">
        <v>7317</v>
      </c>
      <c r="C497" s="428" t="s">
        <v>7011</v>
      </c>
      <c r="D497" s="376" t="s">
        <v>3801</v>
      </c>
      <c r="E497" s="429">
        <v>70.0</v>
      </c>
      <c r="F497" s="431"/>
      <c r="G497" s="429">
        <v>0.0</v>
      </c>
      <c r="H497" s="429">
        <v>10.0</v>
      </c>
      <c r="I497" s="429">
        <v>10.0</v>
      </c>
      <c r="J497" s="430">
        <v>0.0</v>
      </c>
      <c r="K497" s="376" t="s">
        <v>5304</v>
      </c>
      <c r="L497" s="376">
        <v>5.432013481E9</v>
      </c>
      <c r="M497" s="376" t="s">
        <v>3692</v>
      </c>
      <c r="N497" s="376" t="s">
        <v>3693</v>
      </c>
      <c r="O497" s="376" t="s">
        <v>2732</v>
      </c>
      <c r="P497" s="376" t="s">
        <v>3941</v>
      </c>
      <c r="Q497" s="16">
        <f>COUNTIF('hedef liste'!A:A,A497)</f>
        <v>1</v>
      </c>
    </row>
    <row r="498" hidden="1">
      <c r="A498" s="376" t="s">
        <v>4624</v>
      </c>
      <c r="B498" s="376" t="s">
        <v>4625</v>
      </c>
      <c r="C498" s="428" t="s">
        <v>7011</v>
      </c>
      <c r="D498" s="376" t="s">
        <v>3801</v>
      </c>
      <c r="E498" s="429">
        <v>92.0</v>
      </c>
      <c r="F498" s="431"/>
      <c r="G498" s="429">
        <v>5.0</v>
      </c>
      <c r="H498" s="429">
        <v>2.0</v>
      </c>
      <c r="I498" s="429">
        <v>7.0</v>
      </c>
      <c r="J498" s="430">
        <v>0.71</v>
      </c>
      <c r="K498" s="376" t="s">
        <v>4626</v>
      </c>
      <c r="L498" s="376">
        <v>5.549913304E9</v>
      </c>
      <c r="M498" s="376" t="s">
        <v>3707</v>
      </c>
      <c r="N498" s="376" t="s">
        <v>4627</v>
      </c>
      <c r="O498" s="376" t="s">
        <v>4628</v>
      </c>
      <c r="P498" s="376" t="s">
        <v>3941</v>
      </c>
      <c r="Q498" s="16">
        <f>COUNTIF('hedef liste'!A:A,A498)</f>
        <v>1</v>
      </c>
    </row>
    <row r="499" hidden="1">
      <c r="A499" s="376" t="s">
        <v>6545</v>
      </c>
      <c r="B499" s="376" t="s">
        <v>6546</v>
      </c>
      <c r="C499" s="428" t="s">
        <v>6979</v>
      </c>
      <c r="D499" s="376" t="s">
        <v>3676</v>
      </c>
      <c r="E499" s="429">
        <v>1058.0</v>
      </c>
      <c r="F499" s="431"/>
      <c r="G499" s="429">
        <v>0.0</v>
      </c>
      <c r="H499" s="429">
        <v>20.0</v>
      </c>
      <c r="I499" s="429">
        <v>20.0</v>
      </c>
      <c r="J499" s="430">
        <v>0.0</v>
      </c>
      <c r="K499" s="376" t="s">
        <v>6547</v>
      </c>
      <c r="L499" s="376">
        <v>5.41828417E9</v>
      </c>
      <c r="M499" s="376" t="s">
        <v>3701</v>
      </c>
      <c r="N499" s="376" t="s">
        <v>6548</v>
      </c>
      <c r="O499" s="376" t="s">
        <v>6549</v>
      </c>
      <c r="P499" s="376" t="s">
        <v>3941</v>
      </c>
      <c r="Q499" s="16">
        <f>COUNTIF('hedef liste'!A:A,A499)</f>
        <v>1</v>
      </c>
    </row>
    <row r="500" hidden="1">
      <c r="A500" s="376" t="s">
        <v>1578</v>
      </c>
      <c r="B500" s="376" t="s">
        <v>1579</v>
      </c>
      <c r="C500" s="428" t="s">
        <v>6979</v>
      </c>
      <c r="D500" s="376" t="s">
        <v>3842</v>
      </c>
      <c r="E500" s="429">
        <v>2116.0</v>
      </c>
      <c r="F500" s="429">
        <v>153.0</v>
      </c>
      <c r="G500" s="429">
        <v>13.0</v>
      </c>
      <c r="H500" s="429">
        <v>4.0</v>
      </c>
      <c r="I500" s="429">
        <v>17.0</v>
      </c>
      <c r="J500" s="430">
        <v>0.76</v>
      </c>
      <c r="K500" s="376" t="s">
        <v>4171</v>
      </c>
      <c r="L500" s="376">
        <v>3.222349404E9</v>
      </c>
      <c r="M500" s="376" t="s">
        <v>14</v>
      </c>
      <c r="N500" s="376" t="s">
        <v>3797</v>
      </c>
      <c r="O500" s="376" t="s">
        <v>89</v>
      </c>
      <c r="P500" s="376" t="s">
        <v>3941</v>
      </c>
      <c r="Q500" s="16">
        <f>COUNTIF('hedef liste'!A:A,A500)</f>
        <v>1</v>
      </c>
    </row>
    <row r="501" hidden="1">
      <c r="A501" s="376" t="s">
        <v>6093</v>
      </c>
      <c r="B501" s="376" t="s">
        <v>6094</v>
      </c>
      <c r="C501" s="428" t="s">
        <v>6979</v>
      </c>
      <c r="D501" s="376" t="s">
        <v>3699</v>
      </c>
      <c r="E501" s="429">
        <v>42.0</v>
      </c>
      <c r="F501" s="431"/>
      <c r="G501" s="429">
        <v>17.0</v>
      </c>
      <c r="H501" s="429">
        <v>13.0</v>
      </c>
      <c r="I501" s="429">
        <v>30.0</v>
      </c>
      <c r="J501" s="430">
        <v>0.57</v>
      </c>
      <c r="K501" s="376" t="s">
        <v>6095</v>
      </c>
      <c r="L501" s="376">
        <v>5.323964516E9</v>
      </c>
      <c r="M501" s="376" t="s">
        <v>286</v>
      </c>
      <c r="N501" s="376" t="s">
        <v>3688</v>
      </c>
      <c r="O501" s="376" t="s">
        <v>6096</v>
      </c>
      <c r="P501" s="376" t="s">
        <v>3941</v>
      </c>
      <c r="Q501" s="16">
        <f>COUNTIF('hedef liste'!A:A,A501)</f>
        <v>1</v>
      </c>
    </row>
    <row r="502" hidden="1">
      <c r="A502" s="376" t="s">
        <v>1725</v>
      </c>
      <c r="B502" s="376" t="s">
        <v>1726</v>
      </c>
      <c r="C502" s="428" t="s">
        <v>6979</v>
      </c>
      <c r="D502" s="376" t="s">
        <v>3994</v>
      </c>
      <c r="E502" s="429">
        <v>3112.0</v>
      </c>
      <c r="F502" s="429">
        <v>143.0</v>
      </c>
      <c r="G502" s="429">
        <v>0.0</v>
      </c>
      <c r="H502" s="429">
        <v>11.0</v>
      </c>
      <c r="I502" s="429">
        <v>11.0</v>
      </c>
      <c r="J502" s="430">
        <v>0.0</v>
      </c>
      <c r="K502" s="376" t="s">
        <v>4129</v>
      </c>
      <c r="L502" s="376">
        <v>3.222281214E9</v>
      </c>
      <c r="M502" s="376" t="s">
        <v>286</v>
      </c>
      <c r="N502" s="376" t="s">
        <v>3754</v>
      </c>
      <c r="O502" s="376" t="s">
        <v>1729</v>
      </c>
      <c r="P502" s="376" t="s">
        <v>3941</v>
      </c>
      <c r="Q502" s="16">
        <f>COUNTIF('hedef liste'!A:A,A502)</f>
        <v>1</v>
      </c>
    </row>
    <row r="503" hidden="1">
      <c r="A503" s="376" t="s">
        <v>5776</v>
      </c>
      <c r="B503" s="376" t="s">
        <v>7318</v>
      </c>
      <c r="C503" s="428" t="s">
        <v>6979</v>
      </c>
      <c r="D503" s="376" t="s">
        <v>3842</v>
      </c>
      <c r="E503" s="429">
        <v>449.0</v>
      </c>
      <c r="F503" s="429">
        <v>37.0</v>
      </c>
      <c r="G503" s="429">
        <v>0.0</v>
      </c>
      <c r="H503" s="429">
        <v>30.0</v>
      </c>
      <c r="I503" s="429">
        <v>30.0</v>
      </c>
      <c r="J503" s="430">
        <v>0.0</v>
      </c>
      <c r="K503" s="376" t="s">
        <v>5778</v>
      </c>
      <c r="L503" s="376">
        <v>3.224542229E9</v>
      </c>
      <c r="M503" s="376" t="s">
        <v>286</v>
      </c>
      <c r="N503" s="376" t="s">
        <v>3688</v>
      </c>
      <c r="O503" s="376" t="s">
        <v>5779</v>
      </c>
      <c r="P503" s="376" t="s">
        <v>3941</v>
      </c>
      <c r="Q503" s="16">
        <f>COUNTIF('hedef liste'!A:A,A503)</f>
        <v>1</v>
      </c>
    </row>
    <row r="504" hidden="1">
      <c r="A504" s="376" t="s">
        <v>6614</v>
      </c>
      <c r="B504" s="376" t="s">
        <v>6615</v>
      </c>
      <c r="C504" s="428" t="s">
        <v>6979</v>
      </c>
      <c r="D504" s="376" t="s">
        <v>3690</v>
      </c>
      <c r="E504" s="429">
        <v>1088.0</v>
      </c>
      <c r="F504" s="429">
        <v>52.0</v>
      </c>
      <c r="G504" s="429">
        <v>0.0</v>
      </c>
      <c r="H504" s="429">
        <v>13.0</v>
      </c>
      <c r="I504" s="429">
        <v>13.0</v>
      </c>
      <c r="J504" s="430">
        <v>0.0</v>
      </c>
      <c r="K504" s="376" t="s">
        <v>6616</v>
      </c>
      <c r="L504" s="376">
        <v>5.32287834E9</v>
      </c>
      <c r="M504" s="376" t="s">
        <v>3707</v>
      </c>
      <c r="N504" s="376" t="s">
        <v>5245</v>
      </c>
      <c r="O504" s="376" t="s">
        <v>5246</v>
      </c>
      <c r="P504" s="376" t="s">
        <v>3941</v>
      </c>
      <c r="Q504" s="16">
        <f>COUNTIF('hedef liste'!A:A,A504)</f>
        <v>1</v>
      </c>
    </row>
    <row r="505" hidden="1">
      <c r="A505" s="376" t="s">
        <v>1829</v>
      </c>
      <c r="B505" s="376" t="s">
        <v>1830</v>
      </c>
      <c r="C505" s="428" t="s">
        <v>6979</v>
      </c>
      <c r="D505" s="376" t="s">
        <v>3690</v>
      </c>
      <c r="E505" s="429">
        <v>1070.0</v>
      </c>
      <c r="F505" s="429">
        <v>33.0</v>
      </c>
      <c r="G505" s="429">
        <v>15.0</v>
      </c>
      <c r="H505" s="429">
        <v>1.0</v>
      </c>
      <c r="I505" s="429">
        <v>16.0</v>
      </c>
      <c r="J505" s="430">
        <v>0.94</v>
      </c>
      <c r="K505" s="376" t="s">
        <v>6807</v>
      </c>
      <c r="L505" s="376">
        <v>3.22459532E9</v>
      </c>
      <c r="M505" s="376" t="s">
        <v>286</v>
      </c>
      <c r="N505" s="376" t="s">
        <v>4263</v>
      </c>
      <c r="O505" s="376" t="s">
        <v>1833</v>
      </c>
      <c r="P505" s="376" t="s">
        <v>3941</v>
      </c>
      <c r="Q505" s="16">
        <f>COUNTIF('hedef liste'!A:A,A505)</f>
        <v>1</v>
      </c>
    </row>
    <row r="506" hidden="1">
      <c r="A506" s="376" t="s">
        <v>5571</v>
      </c>
      <c r="B506" s="376" t="s">
        <v>5572</v>
      </c>
      <c r="C506" s="428" t="s">
        <v>6979</v>
      </c>
      <c r="D506" s="376" t="s">
        <v>3759</v>
      </c>
      <c r="E506" s="429">
        <v>3471.0</v>
      </c>
      <c r="F506" s="429">
        <v>106.0</v>
      </c>
      <c r="G506" s="429">
        <v>5.0</v>
      </c>
      <c r="H506" s="429">
        <v>3.0</v>
      </c>
      <c r="I506" s="429">
        <v>8.0</v>
      </c>
      <c r="J506" s="430">
        <v>0.63</v>
      </c>
      <c r="K506" s="376" t="s">
        <v>5573</v>
      </c>
      <c r="L506" s="376">
        <v>3.222357507E9</v>
      </c>
      <c r="M506" s="376" t="s">
        <v>14</v>
      </c>
      <c r="N506" s="376" t="s">
        <v>3733</v>
      </c>
      <c r="O506" s="376" t="s">
        <v>5574</v>
      </c>
      <c r="P506" s="376" t="s">
        <v>3941</v>
      </c>
      <c r="Q506" s="16">
        <f>COUNTIF('hedef liste'!A:A,A506)</f>
        <v>1</v>
      </c>
    </row>
    <row r="507" hidden="1">
      <c r="A507" s="376" t="s">
        <v>4832</v>
      </c>
      <c r="B507" s="376" t="s">
        <v>4833</v>
      </c>
      <c r="C507" s="428" t="s">
        <v>6979</v>
      </c>
      <c r="D507" s="376" t="s">
        <v>3676</v>
      </c>
      <c r="E507" s="429">
        <v>1197.0</v>
      </c>
      <c r="F507" s="429">
        <v>54.0</v>
      </c>
      <c r="G507" s="429">
        <v>15.0</v>
      </c>
      <c r="H507" s="429">
        <v>10.0</v>
      </c>
      <c r="I507" s="429">
        <v>25.0</v>
      </c>
      <c r="J507" s="430">
        <v>0.6</v>
      </c>
      <c r="K507" s="376" t="s">
        <v>4834</v>
      </c>
      <c r="L507" s="376">
        <v>3.222323232E9</v>
      </c>
      <c r="M507" s="376" t="s">
        <v>14</v>
      </c>
      <c r="N507" s="376" t="s">
        <v>3767</v>
      </c>
      <c r="O507" s="376" t="s">
        <v>4835</v>
      </c>
      <c r="P507" s="376" t="s">
        <v>3941</v>
      </c>
      <c r="Q507" s="16">
        <f>COUNTIF('hedef liste'!A:A,A507)</f>
        <v>1</v>
      </c>
    </row>
    <row r="508" hidden="1">
      <c r="A508" s="376" t="s">
        <v>1814</v>
      </c>
      <c r="B508" s="376" t="s">
        <v>1815</v>
      </c>
      <c r="C508" s="428" t="s">
        <v>6979</v>
      </c>
      <c r="D508" s="376" t="s">
        <v>3699</v>
      </c>
      <c r="E508" s="429">
        <v>295.0</v>
      </c>
      <c r="F508" s="429">
        <v>16.0</v>
      </c>
      <c r="G508" s="429">
        <v>17.0</v>
      </c>
      <c r="H508" s="429">
        <v>15.0</v>
      </c>
      <c r="I508" s="429">
        <v>32.0</v>
      </c>
      <c r="J508" s="430">
        <v>0.53</v>
      </c>
      <c r="K508" s="376" t="s">
        <v>6901</v>
      </c>
      <c r="L508" s="376">
        <v>5.310270393E9</v>
      </c>
      <c r="M508" s="376" t="s">
        <v>286</v>
      </c>
      <c r="N508" s="376" t="s">
        <v>3782</v>
      </c>
      <c r="O508" s="376" t="s">
        <v>1818</v>
      </c>
      <c r="P508" s="376" t="s">
        <v>3941</v>
      </c>
      <c r="Q508" s="16">
        <f>COUNTIF('hedef liste'!A:A,A508)</f>
        <v>1</v>
      </c>
    </row>
    <row r="509" hidden="1">
      <c r="A509" s="376" t="s">
        <v>7319</v>
      </c>
      <c r="B509" s="376" t="s">
        <v>7320</v>
      </c>
      <c r="C509" s="428" t="s">
        <v>6979</v>
      </c>
      <c r="D509" s="376" t="s">
        <v>4000</v>
      </c>
      <c r="E509" s="429">
        <v>7657.0</v>
      </c>
      <c r="F509" s="429">
        <v>395.0</v>
      </c>
      <c r="G509" s="429">
        <v>167.0</v>
      </c>
      <c r="H509" s="429">
        <v>0.0</v>
      </c>
      <c r="I509" s="429">
        <v>167.0</v>
      </c>
      <c r="J509" s="430">
        <v>1.0</v>
      </c>
      <c r="K509" s="376" t="s">
        <v>7111</v>
      </c>
      <c r="L509" s="376">
        <v>9.999999999E9</v>
      </c>
      <c r="M509" s="376" t="s">
        <v>286</v>
      </c>
      <c r="N509" s="376" t="s">
        <v>3855</v>
      </c>
      <c r="O509" s="376" t="s">
        <v>7321</v>
      </c>
      <c r="P509" s="376" t="s">
        <v>6982</v>
      </c>
      <c r="Q509" s="16">
        <f>COUNTIF('hedef liste'!A:A,A509)</f>
        <v>0</v>
      </c>
    </row>
    <row r="510" hidden="1">
      <c r="A510" s="376" t="s">
        <v>1885</v>
      </c>
      <c r="B510" s="376" t="s">
        <v>1886</v>
      </c>
      <c r="C510" s="428" t="s">
        <v>6979</v>
      </c>
      <c r="D510" s="376" t="s">
        <v>3676</v>
      </c>
      <c r="E510" s="429">
        <v>2388.0</v>
      </c>
      <c r="F510" s="429">
        <v>94.0</v>
      </c>
      <c r="G510" s="429">
        <v>9.0</v>
      </c>
      <c r="H510" s="429">
        <v>0.0</v>
      </c>
      <c r="I510" s="429">
        <v>9.0</v>
      </c>
      <c r="J510" s="430">
        <v>1.0</v>
      </c>
      <c r="K510" s="376" t="s">
        <v>5372</v>
      </c>
      <c r="L510" s="376">
        <v>3.225020144E9</v>
      </c>
      <c r="M510" s="376" t="s">
        <v>286</v>
      </c>
      <c r="N510" s="376" t="s">
        <v>3688</v>
      </c>
      <c r="O510" s="376" t="s">
        <v>1888</v>
      </c>
      <c r="P510" s="376" t="s">
        <v>3941</v>
      </c>
      <c r="Q510" s="16">
        <f>COUNTIF('hedef liste'!A:A,A510)</f>
        <v>1</v>
      </c>
    </row>
    <row r="511" hidden="1">
      <c r="A511" s="376" t="s">
        <v>5487</v>
      </c>
      <c r="B511" s="376" t="s">
        <v>7322</v>
      </c>
      <c r="C511" s="428" t="s">
        <v>7011</v>
      </c>
      <c r="D511" s="376" t="s">
        <v>3699</v>
      </c>
      <c r="E511" s="429">
        <v>1926.0</v>
      </c>
      <c r="F511" s="431"/>
      <c r="G511" s="429">
        <v>11.0</v>
      </c>
      <c r="H511" s="429">
        <v>18.0</v>
      </c>
      <c r="I511" s="429">
        <v>29.0</v>
      </c>
      <c r="J511" s="430">
        <v>0.38</v>
      </c>
      <c r="K511" s="376" t="s">
        <v>5488</v>
      </c>
      <c r="L511" s="376">
        <v>5.38097666E9</v>
      </c>
      <c r="M511" s="376" t="s">
        <v>14</v>
      </c>
      <c r="N511" s="376" t="s">
        <v>3678</v>
      </c>
      <c r="O511" s="376" t="s">
        <v>1549</v>
      </c>
      <c r="P511" s="376" t="s">
        <v>3941</v>
      </c>
      <c r="Q511" s="16">
        <f>COUNTIF('hedef liste'!A:A,A511)</f>
        <v>1</v>
      </c>
    </row>
    <row r="512" hidden="1">
      <c r="A512" s="376" t="s">
        <v>2266</v>
      </c>
      <c r="B512" s="376" t="s">
        <v>2267</v>
      </c>
      <c r="C512" s="428" t="s">
        <v>6979</v>
      </c>
      <c r="D512" s="376" t="s">
        <v>3842</v>
      </c>
      <c r="E512" s="429">
        <v>2553.0</v>
      </c>
      <c r="F512" s="429">
        <v>112.0</v>
      </c>
      <c r="G512" s="429">
        <v>20.0</v>
      </c>
      <c r="H512" s="429">
        <v>20.0</v>
      </c>
      <c r="I512" s="429">
        <v>40.0</v>
      </c>
      <c r="J512" s="430">
        <v>0.5</v>
      </c>
      <c r="K512" s="376" t="s">
        <v>6136</v>
      </c>
      <c r="L512" s="376">
        <v>3.224560419E9</v>
      </c>
      <c r="M512" s="376" t="s">
        <v>286</v>
      </c>
      <c r="N512" s="376" t="s">
        <v>3688</v>
      </c>
      <c r="O512" s="376" t="s">
        <v>2269</v>
      </c>
      <c r="P512" s="376" t="s">
        <v>3941</v>
      </c>
      <c r="Q512" s="16">
        <f>COUNTIF('hedef liste'!A:A,A512)</f>
        <v>1</v>
      </c>
    </row>
    <row r="513" hidden="1">
      <c r="A513" s="376" t="s">
        <v>6875</v>
      </c>
      <c r="B513" s="376" t="s">
        <v>6876</v>
      </c>
      <c r="C513" s="428" t="s">
        <v>6979</v>
      </c>
      <c r="D513" s="376" t="s">
        <v>3676</v>
      </c>
      <c r="E513" s="429">
        <v>2008.0</v>
      </c>
      <c r="F513" s="429">
        <v>56.0</v>
      </c>
      <c r="G513" s="429">
        <v>0.0</v>
      </c>
      <c r="H513" s="429">
        <v>9.0</v>
      </c>
      <c r="I513" s="429">
        <v>9.0</v>
      </c>
      <c r="J513" s="430">
        <v>0.0</v>
      </c>
      <c r="K513" s="376" t="s">
        <v>6877</v>
      </c>
      <c r="L513" s="376">
        <v>5.544188146E9</v>
      </c>
      <c r="M513" s="376" t="s">
        <v>286</v>
      </c>
      <c r="N513" s="376" t="s">
        <v>3737</v>
      </c>
      <c r="O513" s="376" t="s">
        <v>6878</v>
      </c>
      <c r="P513" s="376" t="s">
        <v>3941</v>
      </c>
      <c r="Q513" s="16">
        <f>COUNTIF('hedef liste'!A:A,A513)</f>
        <v>1</v>
      </c>
    </row>
    <row r="514" hidden="1">
      <c r="A514" s="376" t="s">
        <v>1743</v>
      </c>
      <c r="B514" s="376" t="s">
        <v>1744</v>
      </c>
      <c r="C514" s="428" t="s">
        <v>6979</v>
      </c>
      <c r="D514" s="376" t="s">
        <v>3907</v>
      </c>
      <c r="E514" s="429">
        <v>811.0</v>
      </c>
      <c r="F514" s="429">
        <v>8.0</v>
      </c>
      <c r="G514" s="429">
        <v>10.0</v>
      </c>
      <c r="H514" s="429">
        <v>7.0</v>
      </c>
      <c r="I514" s="429">
        <v>17.0</v>
      </c>
      <c r="J514" s="430">
        <v>0.59</v>
      </c>
      <c r="K514" s="376" t="s">
        <v>5381</v>
      </c>
      <c r="L514" s="376">
        <v>5.330485908E9</v>
      </c>
      <c r="M514" s="376" t="s">
        <v>14</v>
      </c>
      <c r="N514" s="376" t="s">
        <v>3935</v>
      </c>
      <c r="O514" s="376" t="s">
        <v>1746</v>
      </c>
      <c r="P514" s="376" t="s">
        <v>3941</v>
      </c>
      <c r="Q514" s="16">
        <f>COUNTIF('hedef liste'!A:A,A514)</f>
        <v>1</v>
      </c>
    </row>
    <row r="515" hidden="1">
      <c r="A515" s="376" t="s">
        <v>7323</v>
      </c>
      <c r="B515" s="376" t="s">
        <v>7324</v>
      </c>
      <c r="C515" s="428" t="s">
        <v>6979</v>
      </c>
      <c r="D515" s="376" t="s">
        <v>4000</v>
      </c>
      <c r="E515" s="429">
        <v>12287.0</v>
      </c>
      <c r="F515" s="429">
        <v>485.0</v>
      </c>
      <c r="G515" s="429">
        <v>108.0</v>
      </c>
      <c r="H515" s="429">
        <v>0.0</v>
      </c>
      <c r="I515" s="429">
        <v>108.0</v>
      </c>
      <c r="J515" s="430">
        <v>1.0</v>
      </c>
      <c r="K515" s="376" t="s">
        <v>7111</v>
      </c>
      <c r="L515" s="376">
        <v>9.999999999E9</v>
      </c>
      <c r="M515" s="376" t="s">
        <v>286</v>
      </c>
      <c r="N515" s="376" t="s">
        <v>3855</v>
      </c>
      <c r="O515" s="376" t="s">
        <v>7321</v>
      </c>
      <c r="P515" s="376" t="s">
        <v>6982</v>
      </c>
      <c r="Q515" s="16">
        <f>COUNTIF('hedef liste'!A:A,A515)</f>
        <v>0</v>
      </c>
    </row>
    <row r="516" hidden="1">
      <c r="A516" s="376" t="s">
        <v>7325</v>
      </c>
      <c r="B516" s="376" t="s">
        <v>7326</v>
      </c>
      <c r="C516" s="428" t="s">
        <v>6979</v>
      </c>
      <c r="D516" s="376" t="s">
        <v>3994</v>
      </c>
      <c r="E516" s="429">
        <v>1895.0</v>
      </c>
      <c r="F516" s="429">
        <v>111.0</v>
      </c>
      <c r="G516" s="429">
        <v>63.0</v>
      </c>
      <c r="H516" s="429">
        <v>69.0</v>
      </c>
      <c r="I516" s="429">
        <v>132.0</v>
      </c>
      <c r="J516" s="430">
        <v>0.48</v>
      </c>
      <c r="K516" s="376" t="s">
        <v>7327</v>
      </c>
      <c r="L516" s="376">
        <v>3.223421414E9</v>
      </c>
      <c r="M516" s="376" t="s">
        <v>14</v>
      </c>
      <c r="N516" s="376" t="s">
        <v>3797</v>
      </c>
      <c r="O516" s="376" t="s">
        <v>7328</v>
      </c>
      <c r="P516" s="376" t="s">
        <v>6982</v>
      </c>
      <c r="Q516" s="16">
        <f>COUNTIF('hedef liste'!A:A,A516)</f>
        <v>0</v>
      </c>
    </row>
    <row r="517" hidden="1">
      <c r="A517" s="376" t="s">
        <v>2109</v>
      </c>
      <c r="B517" s="376" t="s">
        <v>2110</v>
      </c>
      <c r="C517" s="428" t="s">
        <v>7011</v>
      </c>
      <c r="D517" s="376" t="s">
        <v>3699</v>
      </c>
      <c r="E517" s="429">
        <v>23.0</v>
      </c>
      <c r="F517" s="431"/>
      <c r="G517" s="429">
        <v>17.0</v>
      </c>
      <c r="H517" s="429">
        <v>6.0</v>
      </c>
      <c r="I517" s="429">
        <v>23.0</v>
      </c>
      <c r="J517" s="430">
        <v>0.74</v>
      </c>
      <c r="K517" s="376" t="s">
        <v>4939</v>
      </c>
      <c r="L517" s="376">
        <v>5.318947684E9</v>
      </c>
      <c r="M517" s="376" t="s">
        <v>3707</v>
      </c>
      <c r="N517" s="376" t="s">
        <v>4570</v>
      </c>
      <c r="O517" s="376" t="s">
        <v>2112</v>
      </c>
      <c r="P517" s="376" t="s">
        <v>3941</v>
      </c>
      <c r="Q517" s="16">
        <f>COUNTIF('hedef liste'!A:A,A517)</f>
        <v>1</v>
      </c>
    </row>
    <row r="518" hidden="1">
      <c r="A518" s="376" t="s">
        <v>2133</v>
      </c>
      <c r="B518" s="376" t="s">
        <v>2134</v>
      </c>
      <c r="C518" s="428" t="s">
        <v>6979</v>
      </c>
      <c r="D518" s="376" t="s">
        <v>3676</v>
      </c>
      <c r="E518" s="429">
        <v>914.0</v>
      </c>
      <c r="F518" s="431"/>
      <c r="G518" s="429">
        <v>13.0</v>
      </c>
      <c r="H518" s="429">
        <v>2.0</v>
      </c>
      <c r="I518" s="429">
        <v>15.0</v>
      </c>
      <c r="J518" s="430">
        <v>0.87</v>
      </c>
      <c r="K518" s="376" t="s">
        <v>5874</v>
      </c>
      <c r="L518" s="376">
        <v>3.224321907E9</v>
      </c>
      <c r="M518" s="376" t="s">
        <v>286</v>
      </c>
      <c r="N518" s="376" t="s">
        <v>4874</v>
      </c>
      <c r="O518" s="376" t="s">
        <v>2137</v>
      </c>
      <c r="P518" s="376" t="s">
        <v>3941</v>
      </c>
      <c r="Q518" s="16">
        <f>COUNTIF('hedef liste'!A:A,A518)</f>
        <v>1</v>
      </c>
    </row>
    <row r="519" hidden="1">
      <c r="A519" s="376" t="s">
        <v>6011</v>
      </c>
      <c r="B519" s="376" t="s">
        <v>6012</v>
      </c>
      <c r="C519" s="428" t="s">
        <v>6979</v>
      </c>
      <c r="D519" s="376" t="s">
        <v>3801</v>
      </c>
      <c r="E519" s="429">
        <v>2940.0</v>
      </c>
      <c r="F519" s="429">
        <v>87.0</v>
      </c>
      <c r="G519" s="429">
        <v>57.0</v>
      </c>
      <c r="H519" s="429">
        <v>0.0</v>
      </c>
      <c r="I519" s="429">
        <v>57.0</v>
      </c>
      <c r="J519" s="430">
        <v>1.0</v>
      </c>
      <c r="K519" s="376" t="s">
        <v>6013</v>
      </c>
      <c r="L519" s="376">
        <v>5.397009684E9</v>
      </c>
      <c r="M519" s="376" t="s">
        <v>286</v>
      </c>
      <c r="N519" s="376" t="s">
        <v>3782</v>
      </c>
      <c r="O519" s="376" t="s">
        <v>6014</v>
      </c>
      <c r="P519" s="376" t="s">
        <v>6982</v>
      </c>
      <c r="Q519" s="16">
        <f>COUNTIF('hedef liste'!A:A,A519)</f>
        <v>1</v>
      </c>
    </row>
    <row r="520" hidden="1">
      <c r="A520" s="376" t="s">
        <v>6023</v>
      </c>
      <c r="B520" s="376" t="s">
        <v>6024</v>
      </c>
      <c r="C520" s="428" t="s">
        <v>6979</v>
      </c>
      <c r="D520" s="376" t="s">
        <v>3801</v>
      </c>
      <c r="E520" s="429">
        <v>1982.0</v>
      </c>
      <c r="F520" s="429">
        <v>78.0</v>
      </c>
      <c r="G520" s="429">
        <v>25.0</v>
      </c>
      <c r="H520" s="429">
        <v>2.0</v>
      </c>
      <c r="I520" s="429">
        <v>27.0</v>
      </c>
      <c r="J520" s="430">
        <v>0.93</v>
      </c>
      <c r="K520" s="376" t="s">
        <v>6025</v>
      </c>
      <c r="L520" s="376">
        <v>5.418308737E9</v>
      </c>
      <c r="M520" s="376" t="s">
        <v>3814</v>
      </c>
      <c r="N520" s="376" t="s">
        <v>3815</v>
      </c>
      <c r="O520" s="376" t="s">
        <v>6026</v>
      </c>
      <c r="P520" s="376" t="s">
        <v>6982</v>
      </c>
      <c r="Q520" s="16">
        <f>COUNTIF('hedef liste'!A:A,A520)</f>
        <v>1</v>
      </c>
    </row>
    <row r="521" hidden="1">
      <c r="A521" s="376" t="s">
        <v>670</v>
      </c>
      <c r="B521" s="376" t="s">
        <v>671</v>
      </c>
      <c r="C521" s="428" t="s">
        <v>6979</v>
      </c>
      <c r="D521" s="376" t="s">
        <v>3713</v>
      </c>
      <c r="E521" s="429">
        <v>2631.0</v>
      </c>
      <c r="F521" s="429">
        <v>19.0</v>
      </c>
      <c r="G521" s="429">
        <v>13.0</v>
      </c>
      <c r="H521" s="429">
        <v>1.0</v>
      </c>
      <c r="I521" s="429">
        <v>14.0</v>
      </c>
      <c r="J521" s="430">
        <v>0.93</v>
      </c>
      <c r="K521" s="376" t="s">
        <v>4867</v>
      </c>
      <c r="L521" s="376">
        <v>5.432078889E9</v>
      </c>
      <c r="M521" s="376" t="s">
        <v>286</v>
      </c>
      <c r="N521" s="376" t="s">
        <v>5502</v>
      </c>
      <c r="O521" s="376" t="s">
        <v>674</v>
      </c>
      <c r="P521" s="376" t="s">
        <v>3941</v>
      </c>
      <c r="Q521" s="16">
        <f>COUNTIF('hedef liste'!A:A,A521)</f>
        <v>1</v>
      </c>
    </row>
    <row r="522" hidden="1">
      <c r="A522" s="376" t="s">
        <v>7329</v>
      </c>
      <c r="B522" s="376" t="s">
        <v>7330</v>
      </c>
      <c r="C522" s="428" t="s">
        <v>6979</v>
      </c>
      <c r="D522" s="376" t="s">
        <v>3842</v>
      </c>
      <c r="E522" s="429">
        <v>5672.0</v>
      </c>
      <c r="F522" s="429">
        <v>175.0</v>
      </c>
      <c r="G522" s="429">
        <v>107.0</v>
      </c>
      <c r="H522" s="429">
        <v>0.0</v>
      </c>
      <c r="I522" s="429">
        <v>107.0</v>
      </c>
      <c r="J522" s="430">
        <v>1.0</v>
      </c>
      <c r="K522" s="376" t="s">
        <v>7111</v>
      </c>
      <c r="L522" s="376">
        <v>9.999999999E9</v>
      </c>
      <c r="M522" s="376" t="s">
        <v>286</v>
      </c>
      <c r="N522" s="376" t="s">
        <v>7292</v>
      </c>
      <c r="O522" s="376" t="s">
        <v>7331</v>
      </c>
      <c r="P522" s="376" t="s">
        <v>6982</v>
      </c>
      <c r="Q522" s="16">
        <f>COUNTIF('hedef liste'!A:A,A522)</f>
        <v>0</v>
      </c>
    </row>
    <row r="523" hidden="1">
      <c r="A523" s="376" t="s">
        <v>5783</v>
      </c>
      <c r="B523" s="376" t="s">
        <v>5784</v>
      </c>
      <c r="C523" s="428" t="s">
        <v>6979</v>
      </c>
      <c r="D523" s="376" t="s">
        <v>3676</v>
      </c>
      <c r="E523" s="429">
        <v>152.0</v>
      </c>
      <c r="F523" s="429">
        <v>20.0</v>
      </c>
      <c r="G523" s="429">
        <v>0.0</v>
      </c>
      <c r="H523" s="429">
        <v>34.0</v>
      </c>
      <c r="I523" s="429">
        <v>34.0</v>
      </c>
      <c r="J523" s="430">
        <v>0.0</v>
      </c>
      <c r="K523" s="376" t="s">
        <v>5785</v>
      </c>
      <c r="L523" s="376">
        <v>5.353598887E9</v>
      </c>
      <c r="M523" s="376" t="s">
        <v>14</v>
      </c>
      <c r="N523" s="376" t="s">
        <v>3935</v>
      </c>
      <c r="O523" s="376" t="s">
        <v>5786</v>
      </c>
      <c r="P523" s="376" t="s">
        <v>3941</v>
      </c>
      <c r="Q523" s="16">
        <f>COUNTIF('hedef liste'!A:A,A523)</f>
        <v>1</v>
      </c>
    </row>
    <row r="524" hidden="1">
      <c r="A524" s="376" t="s">
        <v>6795</v>
      </c>
      <c r="B524" s="376" t="s">
        <v>6796</v>
      </c>
      <c r="C524" s="428" t="s">
        <v>6979</v>
      </c>
      <c r="D524" s="376" t="s">
        <v>3713</v>
      </c>
      <c r="E524" s="429">
        <v>1626.0</v>
      </c>
      <c r="F524" s="429">
        <v>88.0</v>
      </c>
      <c r="G524" s="429">
        <v>0.0</v>
      </c>
      <c r="H524" s="429">
        <v>19.0</v>
      </c>
      <c r="I524" s="429">
        <v>19.0</v>
      </c>
      <c r="J524" s="430">
        <v>0.0</v>
      </c>
      <c r="K524" s="376" t="s">
        <v>6797</v>
      </c>
      <c r="L524" s="376">
        <v>5.53959498E9</v>
      </c>
      <c r="M524" s="376" t="s">
        <v>3692</v>
      </c>
      <c r="N524" s="376" t="s">
        <v>3721</v>
      </c>
      <c r="O524" s="376" t="s">
        <v>6798</v>
      </c>
      <c r="P524" s="376" t="s">
        <v>3941</v>
      </c>
      <c r="Q524" s="16">
        <f>COUNTIF('hedef liste'!A:A,A524)</f>
        <v>1</v>
      </c>
    </row>
    <row r="525" hidden="1">
      <c r="A525" s="376" t="s">
        <v>7332</v>
      </c>
      <c r="B525" s="376" t="s">
        <v>7333</v>
      </c>
      <c r="C525" s="428" t="s">
        <v>6979</v>
      </c>
      <c r="D525" s="376" t="s">
        <v>3842</v>
      </c>
      <c r="E525" s="429">
        <v>11221.0</v>
      </c>
      <c r="F525" s="429">
        <v>691.0</v>
      </c>
      <c r="G525" s="429">
        <v>91.0</v>
      </c>
      <c r="H525" s="429">
        <v>1.0</v>
      </c>
      <c r="I525" s="429">
        <v>92.0</v>
      </c>
      <c r="J525" s="430">
        <v>0.99</v>
      </c>
      <c r="K525" s="376" t="s">
        <v>6980</v>
      </c>
      <c r="L525" s="376">
        <v>1.111111111E9</v>
      </c>
      <c r="M525" s="376" t="s">
        <v>14</v>
      </c>
      <c r="N525" s="376" t="s">
        <v>3767</v>
      </c>
      <c r="O525" s="376" t="s">
        <v>7334</v>
      </c>
      <c r="P525" s="376" t="s">
        <v>6982</v>
      </c>
      <c r="Q525" s="16">
        <f>COUNTIF('hedef liste'!A:A,A525)</f>
        <v>0</v>
      </c>
    </row>
    <row r="526" hidden="1">
      <c r="A526" s="376" t="s">
        <v>2043</v>
      </c>
      <c r="B526" s="376" t="s">
        <v>2044</v>
      </c>
      <c r="C526" s="428" t="s">
        <v>6979</v>
      </c>
      <c r="D526" s="376" t="s">
        <v>3994</v>
      </c>
      <c r="E526" s="429">
        <v>1301.0</v>
      </c>
      <c r="F526" s="429">
        <v>34.0</v>
      </c>
      <c r="G526" s="429">
        <v>13.0</v>
      </c>
      <c r="H526" s="429">
        <v>22.0</v>
      </c>
      <c r="I526" s="429">
        <v>35.0</v>
      </c>
      <c r="J526" s="430">
        <v>0.37</v>
      </c>
      <c r="K526" s="376" t="s">
        <v>6219</v>
      </c>
      <c r="L526" s="376">
        <v>5.421008401E9</v>
      </c>
      <c r="M526" s="376" t="s">
        <v>286</v>
      </c>
      <c r="N526" s="376" t="s">
        <v>3806</v>
      </c>
      <c r="O526" s="376" t="s">
        <v>2046</v>
      </c>
      <c r="P526" s="376" t="s">
        <v>3941</v>
      </c>
      <c r="Q526" s="16">
        <f>COUNTIF('hedef liste'!A:A,A526)</f>
        <v>1</v>
      </c>
    </row>
    <row r="527" hidden="1">
      <c r="A527" s="376" t="s">
        <v>1587</v>
      </c>
      <c r="B527" s="376" t="s">
        <v>1588</v>
      </c>
      <c r="C527" s="428" t="s">
        <v>6979</v>
      </c>
      <c r="D527" s="376" t="s">
        <v>3676</v>
      </c>
      <c r="E527" s="429">
        <v>8625.0</v>
      </c>
      <c r="F527" s="429">
        <v>349.0</v>
      </c>
      <c r="G527" s="429">
        <v>31.0</v>
      </c>
      <c r="H527" s="429">
        <v>10.0</v>
      </c>
      <c r="I527" s="429">
        <v>41.0</v>
      </c>
      <c r="J527" s="430">
        <v>0.76</v>
      </c>
      <c r="K527" s="376" t="s">
        <v>4552</v>
      </c>
      <c r="L527" s="376">
        <v>3.223293857E9</v>
      </c>
      <c r="M527" s="376" t="s">
        <v>3707</v>
      </c>
      <c r="N527" s="376" t="s">
        <v>3708</v>
      </c>
      <c r="O527" s="376" t="s">
        <v>1591</v>
      </c>
      <c r="P527" s="376" t="s">
        <v>3941</v>
      </c>
      <c r="Q527" s="16">
        <f>COUNTIF('hedef liste'!A:A,A527)</f>
        <v>1</v>
      </c>
    </row>
    <row r="528" hidden="1">
      <c r="A528" s="376" t="s">
        <v>1616</v>
      </c>
      <c r="B528" s="376" t="s">
        <v>1617</v>
      </c>
      <c r="C528" s="428" t="s">
        <v>6979</v>
      </c>
      <c r="D528" s="376" t="s">
        <v>3699</v>
      </c>
      <c r="E528" s="429">
        <v>976.0</v>
      </c>
      <c r="F528" s="429">
        <v>30.0</v>
      </c>
      <c r="G528" s="429">
        <v>12.0</v>
      </c>
      <c r="H528" s="429">
        <v>18.0</v>
      </c>
      <c r="I528" s="429">
        <v>30.0</v>
      </c>
      <c r="J528" s="430">
        <v>0.4</v>
      </c>
      <c r="K528" s="376" t="s">
        <v>6339</v>
      </c>
      <c r="L528" s="376">
        <v>3.222347172E9</v>
      </c>
      <c r="M528" s="376" t="s">
        <v>14</v>
      </c>
      <c r="N528" s="376" t="s">
        <v>3797</v>
      </c>
      <c r="O528" s="376" t="s">
        <v>1619</v>
      </c>
      <c r="P528" s="376" t="s">
        <v>3941</v>
      </c>
      <c r="Q528" s="16">
        <f>COUNTIF('hedef liste'!A:A,A528)</f>
        <v>1</v>
      </c>
    </row>
    <row r="529" hidden="1">
      <c r="A529" s="376" t="s">
        <v>6471</v>
      </c>
      <c r="B529" s="376" t="s">
        <v>6472</v>
      </c>
      <c r="C529" s="428" t="s">
        <v>6979</v>
      </c>
      <c r="D529" s="376" t="s">
        <v>4000</v>
      </c>
      <c r="E529" s="429">
        <v>4754.0</v>
      </c>
      <c r="F529" s="429">
        <v>214.0</v>
      </c>
      <c r="G529" s="429">
        <v>1.0</v>
      </c>
      <c r="H529" s="429">
        <v>25.0</v>
      </c>
      <c r="I529" s="429">
        <v>26.0</v>
      </c>
      <c r="J529" s="430">
        <v>0.04</v>
      </c>
      <c r="K529" s="376" t="s">
        <v>6473</v>
      </c>
      <c r="L529" s="376">
        <v>5.421650505E9</v>
      </c>
      <c r="M529" s="376" t="s">
        <v>286</v>
      </c>
      <c r="N529" s="376" t="s">
        <v>3688</v>
      </c>
      <c r="O529" s="376" t="s">
        <v>6474</v>
      </c>
      <c r="P529" s="376" t="s">
        <v>3941</v>
      </c>
      <c r="Q529" s="16">
        <f>COUNTIF('hedef liste'!A:A,A529)</f>
        <v>1</v>
      </c>
    </row>
    <row r="530" hidden="1">
      <c r="A530" s="376" t="s">
        <v>7335</v>
      </c>
      <c r="B530" s="376" t="s">
        <v>7336</v>
      </c>
      <c r="C530" s="428" t="s">
        <v>6979</v>
      </c>
      <c r="D530" s="376" t="s">
        <v>3842</v>
      </c>
      <c r="E530" s="429">
        <v>15794.0</v>
      </c>
      <c r="F530" s="429">
        <v>477.0</v>
      </c>
      <c r="G530" s="429">
        <v>114.0</v>
      </c>
      <c r="H530" s="429">
        <v>0.0</v>
      </c>
      <c r="I530" s="429">
        <v>114.0</v>
      </c>
      <c r="J530" s="430">
        <v>1.0</v>
      </c>
      <c r="K530" s="376" t="s">
        <v>7111</v>
      </c>
      <c r="L530" s="376">
        <v>9.999999999E9</v>
      </c>
      <c r="M530" s="376" t="s">
        <v>286</v>
      </c>
      <c r="N530" s="376" t="s">
        <v>4235</v>
      </c>
      <c r="O530" s="376" t="s">
        <v>7337</v>
      </c>
      <c r="P530" s="376" t="s">
        <v>6982</v>
      </c>
      <c r="Q530" s="16">
        <f>COUNTIF('hedef liste'!A:A,A530)</f>
        <v>0</v>
      </c>
    </row>
    <row r="531" hidden="1">
      <c r="A531" s="376" t="s">
        <v>1158</v>
      </c>
      <c r="B531" s="376" t="s">
        <v>1159</v>
      </c>
      <c r="C531" s="428" t="s">
        <v>6979</v>
      </c>
      <c r="D531" s="376" t="s">
        <v>3912</v>
      </c>
      <c r="E531" s="429">
        <v>445.0</v>
      </c>
      <c r="F531" s="429">
        <v>14.0</v>
      </c>
      <c r="G531" s="429">
        <v>1.0</v>
      </c>
      <c r="H531" s="429">
        <v>10.0</v>
      </c>
      <c r="I531" s="429">
        <v>11.0</v>
      </c>
      <c r="J531" s="430">
        <v>0.09</v>
      </c>
      <c r="K531" s="376" t="s">
        <v>5169</v>
      </c>
      <c r="L531" s="376">
        <v>3.224580709E9</v>
      </c>
      <c r="M531" s="376" t="s">
        <v>286</v>
      </c>
      <c r="N531" s="376" t="s">
        <v>4451</v>
      </c>
      <c r="O531" s="376" t="s">
        <v>2933</v>
      </c>
      <c r="P531" s="376" t="s">
        <v>3941</v>
      </c>
      <c r="Q531" s="16">
        <f>COUNTIF('hedef liste'!A:A,A531)</f>
        <v>1</v>
      </c>
    </row>
    <row r="532" hidden="1">
      <c r="A532" s="376" t="s">
        <v>4457</v>
      </c>
      <c r="B532" s="376" t="s">
        <v>4458</v>
      </c>
      <c r="C532" s="428" t="s">
        <v>7011</v>
      </c>
      <c r="D532" s="376" t="s">
        <v>3842</v>
      </c>
      <c r="E532" s="429">
        <v>64.0</v>
      </c>
      <c r="F532" s="431"/>
      <c r="G532" s="429">
        <v>0.0</v>
      </c>
      <c r="H532" s="429">
        <v>14.0</v>
      </c>
      <c r="I532" s="429">
        <v>14.0</v>
      </c>
      <c r="J532" s="430">
        <v>0.0</v>
      </c>
      <c r="K532" s="376" t="s">
        <v>3903</v>
      </c>
      <c r="L532" s="376">
        <v>5.457719101E9</v>
      </c>
      <c r="M532" s="376" t="s">
        <v>14</v>
      </c>
      <c r="N532" s="376" t="s">
        <v>3733</v>
      </c>
      <c r="O532" s="376" t="s">
        <v>679</v>
      </c>
      <c r="P532" s="376" t="s">
        <v>3941</v>
      </c>
      <c r="Q532" s="16">
        <f>COUNTIF('hedef liste'!A:A,A532)</f>
        <v>1</v>
      </c>
    </row>
    <row r="533" hidden="1">
      <c r="A533" s="376" t="s">
        <v>2638</v>
      </c>
      <c r="B533" s="376" t="s">
        <v>2639</v>
      </c>
      <c r="C533" s="428" t="s">
        <v>6979</v>
      </c>
      <c r="D533" s="376" t="s">
        <v>3699</v>
      </c>
      <c r="E533" s="429">
        <v>339.0</v>
      </c>
      <c r="F533" s="429">
        <v>9.0</v>
      </c>
      <c r="G533" s="429">
        <v>50.0</v>
      </c>
      <c r="H533" s="429">
        <v>28.0</v>
      </c>
      <c r="I533" s="429">
        <v>78.0</v>
      </c>
      <c r="J533" s="430">
        <v>0.64</v>
      </c>
      <c r="K533" s="376" t="s">
        <v>5710</v>
      </c>
      <c r="L533" s="376">
        <v>5.322083468E9</v>
      </c>
      <c r="M533" s="376" t="s">
        <v>14</v>
      </c>
      <c r="N533" s="376" t="s">
        <v>3826</v>
      </c>
      <c r="O533" s="376" t="s">
        <v>2641</v>
      </c>
      <c r="P533" s="376" t="s">
        <v>3941</v>
      </c>
      <c r="Q533" s="16">
        <f>COUNTIF('hedef liste'!A:A,A533)</f>
        <v>1</v>
      </c>
    </row>
    <row r="534" hidden="1">
      <c r="A534" s="376" t="s">
        <v>2916</v>
      </c>
      <c r="B534" s="376" t="s">
        <v>2917</v>
      </c>
      <c r="C534" s="428" t="s">
        <v>6979</v>
      </c>
      <c r="D534" s="376" t="s">
        <v>3676</v>
      </c>
      <c r="E534" s="429">
        <v>567.0</v>
      </c>
      <c r="F534" s="429">
        <v>28.0</v>
      </c>
      <c r="G534" s="429">
        <v>4.0</v>
      </c>
      <c r="H534" s="429">
        <v>8.0</v>
      </c>
      <c r="I534" s="429">
        <v>12.0</v>
      </c>
      <c r="J534" s="430">
        <v>0.33</v>
      </c>
      <c r="K534" s="376" t="s">
        <v>5270</v>
      </c>
      <c r="L534" s="376">
        <v>5.445407846E9</v>
      </c>
      <c r="M534" s="376" t="s">
        <v>3707</v>
      </c>
      <c r="N534" s="376" t="s">
        <v>4176</v>
      </c>
      <c r="O534" s="376" t="s">
        <v>2920</v>
      </c>
      <c r="P534" s="376" t="s">
        <v>3941</v>
      </c>
      <c r="Q534" s="16">
        <f>COUNTIF('hedef liste'!A:A,A534)</f>
        <v>1</v>
      </c>
    </row>
    <row r="535" hidden="1">
      <c r="A535" s="376" t="s">
        <v>5977</v>
      </c>
      <c r="B535" s="376" t="s">
        <v>5978</v>
      </c>
      <c r="C535" s="428" t="s">
        <v>6979</v>
      </c>
      <c r="D535" s="376" t="s">
        <v>3801</v>
      </c>
      <c r="E535" s="429">
        <v>2747.0</v>
      </c>
      <c r="F535" s="429">
        <v>88.0</v>
      </c>
      <c r="G535" s="429">
        <v>26.0</v>
      </c>
      <c r="H535" s="429">
        <v>2.0</v>
      </c>
      <c r="I535" s="429">
        <v>28.0</v>
      </c>
      <c r="J535" s="430">
        <v>0.93</v>
      </c>
      <c r="K535" s="376" t="s">
        <v>5979</v>
      </c>
      <c r="L535" s="376">
        <v>5.417147447E9</v>
      </c>
      <c r="M535" s="376" t="s">
        <v>286</v>
      </c>
      <c r="N535" s="376" t="s">
        <v>3685</v>
      </c>
      <c r="O535" s="376" t="s">
        <v>5980</v>
      </c>
      <c r="P535" s="376" t="s">
        <v>6982</v>
      </c>
      <c r="Q535" s="16">
        <f>COUNTIF('hedef liste'!A:A,A535)</f>
        <v>1</v>
      </c>
    </row>
    <row r="536" hidden="1">
      <c r="A536" s="376" t="s">
        <v>5957</v>
      </c>
      <c r="B536" s="376" t="s">
        <v>5958</v>
      </c>
      <c r="C536" s="428" t="s">
        <v>7011</v>
      </c>
      <c r="D536" s="376" t="s">
        <v>3801</v>
      </c>
      <c r="E536" s="431"/>
      <c r="F536" s="431"/>
      <c r="G536" s="429">
        <v>97.0</v>
      </c>
      <c r="H536" s="429">
        <v>92.0</v>
      </c>
      <c r="I536" s="429">
        <v>189.0</v>
      </c>
      <c r="J536" s="430">
        <v>0.51</v>
      </c>
      <c r="K536" s="376" t="s">
        <v>5959</v>
      </c>
      <c r="L536" s="376">
        <v>3.223465522E9</v>
      </c>
      <c r="M536" s="376" t="s">
        <v>3707</v>
      </c>
      <c r="N536" s="376" t="s">
        <v>4432</v>
      </c>
      <c r="O536" s="376" t="s">
        <v>5960</v>
      </c>
      <c r="P536" s="376" t="s">
        <v>6982</v>
      </c>
      <c r="Q536" s="16">
        <f>COUNTIF('hedef liste'!A:A,A536)</f>
        <v>1</v>
      </c>
    </row>
    <row r="537" hidden="1">
      <c r="A537" s="376" t="s">
        <v>5999</v>
      </c>
      <c r="B537" s="376" t="s">
        <v>6000</v>
      </c>
      <c r="C537" s="428" t="s">
        <v>6979</v>
      </c>
      <c r="D537" s="376" t="s">
        <v>3801</v>
      </c>
      <c r="E537" s="429">
        <v>4727.0</v>
      </c>
      <c r="F537" s="429">
        <v>109.0</v>
      </c>
      <c r="G537" s="429">
        <v>28.0</v>
      </c>
      <c r="H537" s="429">
        <v>2.0</v>
      </c>
      <c r="I537" s="429">
        <v>30.0</v>
      </c>
      <c r="J537" s="430">
        <v>0.93</v>
      </c>
      <c r="K537" s="376" t="s">
        <v>6001</v>
      </c>
      <c r="L537" s="376">
        <v>3.224311617E9</v>
      </c>
      <c r="M537" s="376" t="s">
        <v>286</v>
      </c>
      <c r="N537" s="376" t="s">
        <v>4760</v>
      </c>
      <c r="O537" s="376" t="s">
        <v>6002</v>
      </c>
      <c r="P537" s="376" t="s">
        <v>6982</v>
      </c>
      <c r="Q537" s="16">
        <f>COUNTIF('hedef liste'!A:A,A537)</f>
        <v>1</v>
      </c>
    </row>
    <row r="538" hidden="1">
      <c r="A538" s="376" t="s">
        <v>6003</v>
      </c>
      <c r="B538" s="376" t="s">
        <v>6004</v>
      </c>
      <c r="C538" s="428" t="s">
        <v>6979</v>
      </c>
      <c r="D538" s="376" t="s">
        <v>3801</v>
      </c>
      <c r="E538" s="429">
        <v>747.0</v>
      </c>
      <c r="F538" s="429">
        <v>13.0</v>
      </c>
      <c r="G538" s="429">
        <v>40.0</v>
      </c>
      <c r="H538" s="429">
        <v>2.0</v>
      </c>
      <c r="I538" s="429">
        <v>42.0</v>
      </c>
      <c r="J538" s="430">
        <v>0.95</v>
      </c>
      <c r="K538" s="376" t="s">
        <v>6005</v>
      </c>
      <c r="L538" s="376">
        <v>5.385092568E9</v>
      </c>
      <c r="M538" s="376" t="s">
        <v>286</v>
      </c>
      <c r="N538" s="376" t="s">
        <v>7338</v>
      </c>
      <c r="O538" s="376" t="s">
        <v>6006</v>
      </c>
      <c r="P538" s="376" t="s">
        <v>6982</v>
      </c>
      <c r="Q538" s="16">
        <f>COUNTIF('hedef liste'!A:A,A538)</f>
        <v>1</v>
      </c>
    </row>
    <row r="539" hidden="1">
      <c r="A539" s="376" t="s">
        <v>6019</v>
      </c>
      <c r="B539" s="376" t="s">
        <v>6020</v>
      </c>
      <c r="C539" s="428" t="s">
        <v>6979</v>
      </c>
      <c r="D539" s="376" t="s">
        <v>3801</v>
      </c>
      <c r="E539" s="429">
        <v>1846.0</v>
      </c>
      <c r="F539" s="429">
        <v>59.0</v>
      </c>
      <c r="G539" s="429">
        <v>25.0</v>
      </c>
      <c r="H539" s="429">
        <v>2.0</v>
      </c>
      <c r="I539" s="429">
        <v>27.0</v>
      </c>
      <c r="J539" s="430">
        <v>0.93</v>
      </c>
      <c r="K539" s="376" t="s">
        <v>6021</v>
      </c>
      <c r="L539" s="376">
        <v>3.222484442E9</v>
      </c>
      <c r="M539" s="376" t="s">
        <v>14</v>
      </c>
      <c r="N539" s="376" t="s">
        <v>5227</v>
      </c>
      <c r="O539" s="376" t="s">
        <v>6022</v>
      </c>
      <c r="P539" s="376" t="s">
        <v>6982</v>
      </c>
      <c r="Q539" s="16">
        <f>COUNTIF('hedef liste'!A:A,A539)</f>
        <v>1</v>
      </c>
    </row>
    <row r="540" hidden="1">
      <c r="A540" s="376" t="s">
        <v>241</v>
      </c>
      <c r="B540" s="376" t="s">
        <v>242</v>
      </c>
      <c r="C540" s="428" t="s">
        <v>6979</v>
      </c>
      <c r="D540" s="376" t="s">
        <v>3699</v>
      </c>
      <c r="E540" s="429">
        <v>236.0</v>
      </c>
      <c r="F540" s="429">
        <v>4.0</v>
      </c>
      <c r="G540" s="429">
        <v>16.0</v>
      </c>
      <c r="H540" s="429">
        <v>6.0</v>
      </c>
      <c r="I540" s="429">
        <v>22.0</v>
      </c>
      <c r="J540" s="430">
        <v>0.73</v>
      </c>
      <c r="K540" s="376" t="s">
        <v>6765</v>
      </c>
      <c r="L540" s="376">
        <v>5.425942854E9</v>
      </c>
      <c r="M540" s="376" t="s">
        <v>14</v>
      </c>
      <c r="N540" s="376" t="s">
        <v>3767</v>
      </c>
      <c r="O540" s="376" t="s">
        <v>245</v>
      </c>
      <c r="P540" s="376" t="s">
        <v>3941</v>
      </c>
      <c r="Q540" s="16">
        <f>COUNTIF('hedef liste'!A:A,A540)</f>
        <v>1</v>
      </c>
    </row>
    <row r="541" hidden="1">
      <c r="A541" s="376" t="s">
        <v>1966</v>
      </c>
      <c r="B541" s="376" t="s">
        <v>1967</v>
      </c>
      <c r="C541" s="428" t="s">
        <v>6979</v>
      </c>
      <c r="D541" s="376" t="s">
        <v>3676</v>
      </c>
      <c r="E541" s="429">
        <v>447.0</v>
      </c>
      <c r="F541" s="431"/>
      <c r="G541" s="429">
        <v>13.0</v>
      </c>
      <c r="H541" s="429">
        <v>7.0</v>
      </c>
      <c r="I541" s="429">
        <v>20.0</v>
      </c>
      <c r="J541" s="430">
        <v>0.65</v>
      </c>
      <c r="K541" s="376" t="s">
        <v>4410</v>
      </c>
      <c r="L541" s="376">
        <v>3.223518772E9</v>
      </c>
      <c r="M541" s="376" t="s">
        <v>286</v>
      </c>
      <c r="N541" s="376" t="s">
        <v>4798</v>
      </c>
      <c r="O541" s="376" t="s">
        <v>1970</v>
      </c>
      <c r="P541" s="376" t="s">
        <v>3941</v>
      </c>
      <c r="Q541" s="16">
        <f>COUNTIF('hedef liste'!A:A,A541)</f>
        <v>1</v>
      </c>
    </row>
    <row r="542" hidden="1">
      <c r="A542" s="376" t="s">
        <v>2409</v>
      </c>
      <c r="B542" s="376" t="s">
        <v>2410</v>
      </c>
      <c r="C542" s="428" t="s">
        <v>6979</v>
      </c>
      <c r="D542" s="376" t="s">
        <v>3907</v>
      </c>
      <c r="E542" s="429">
        <v>649.0</v>
      </c>
      <c r="F542" s="431"/>
      <c r="G542" s="429">
        <v>2.0</v>
      </c>
      <c r="H542" s="429">
        <v>18.0</v>
      </c>
      <c r="I542" s="429">
        <v>20.0</v>
      </c>
      <c r="J542" s="430">
        <v>0.1</v>
      </c>
      <c r="K542" s="376" t="s">
        <v>4111</v>
      </c>
      <c r="L542" s="376">
        <v>3.22224224E9</v>
      </c>
      <c r="M542" s="376" t="s">
        <v>286</v>
      </c>
      <c r="N542" s="376" t="s">
        <v>3754</v>
      </c>
      <c r="O542" s="376" t="s">
        <v>2413</v>
      </c>
      <c r="P542" s="376" t="s">
        <v>3941</v>
      </c>
      <c r="Q542" s="16">
        <f>COUNTIF('hedef liste'!A:A,A542)</f>
        <v>1</v>
      </c>
    </row>
    <row r="543" hidden="1">
      <c r="A543" s="376" t="s">
        <v>1540</v>
      </c>
      <c r="B543" s="376" t="s">
        <v>1541</v>
      </c>
      <c r="C543" s="428" t="s">
        <v>6979</v>
      </c>
      <c r="D543" s="376" t="s">
        <v>3801</v>
      </c>
      <c r="E543" s="429">
        <v>764.0</v>
      </c>
      <c r="F543" s="429">
        <v>35.0</v>
      </c>
      <c r="G543" s="429">
        <v>11.0</v>
      </c>
      <c r="H543" s="429">
        <v>5.0</v>
      </c>
      <c r="I543" s="429">
        <v>16.0</v>
      </c>
      <c r="J543" s="430">
        <v>0.69</v>
      </c>
      <c r="K543" s="376" t="s">
        <v>4632</v>
      </c>
      <c r="L543" s="376">
        <v>5.388448763E9</v>
      </c>
      <c r="M543" s="376" t="s">
        <v>3707</v>
      </c>
      <c r="N543" s="376" t="s">
        <v>3708</v>
      </c>
      <c r="O543" s="376" t="s">
        <v>4633</v>
      </c>
      <c r="P543" s="376" t="s">
        <v>3941</v>
      </c>
      <c r="Q543" s="16">
        <f>COUNTIF('hedef liste'!A:A,A543)</f>
        <v>1</v>
      </c>
    </row>
    <row r="544" hidden="1">
      <c r="A544" s="376" t="s">
        <v>813</v>
      </c>
      <c r="B544" s="376" t="s">
        <v>814</v>
      </c>
      <c r="C544" s="428" t="s">
        <v>6979</v>
      </c>
      <c r="D544" s="376" t="s">
        <v>3713</v>
      </c>
      <c r="E544" s="429">
        <v>943.0</v>
      </c>
      <c r="F544" s="429">
        <v>42.0</v>
      </c>
      <c r="G544" s="429">
        <v>12.0</v>
      </c>
      <c r="H544" s="429">
        <v>5.0</v>
      </c>
      <c r="I544" s="429">
        <v>17.0</v>
      </c>
      <c r="J544" s="430">
        <v>0.71</v>
      </c>
      <c r="K544" s="376" t="s">
        <v>5418</v>
      </c>
      <c r="L544" s="376">
        <v>3.222230101E9</v>
      </c>
      <c r="M544" s="376" t="s">
        <v>286</v>
      </c>
      <c r="N544" s="376" t="s">
        <v>3737</v>
      </c>
      <c r="O544" s="376" t="s">
        <v>816</v>
      </c>
      <c r="P544" s="376" t="s">
        <v>3941</v>
      </c>
      <c r="Q544" s="16">
        <f>COUNTIF('hedef liste'!A:A,A544)</f>
        <v>1</v>
      </c>
    </row>
    <row r="545" hidden="1">
      <c r="A545" s="376" t="s">
        <v>5156</v>
      </c>
      <c r="B545" s="376" t="s">
        <v>5157</v>
      </c>
      <c r="C545" s="428" t="s">
        <v>6979</v>
      </c>
      <c r="D545" s="376" t="s">
        <v>3699</v>
      </c>
      <c r="E545" s="429">
        <v>142.0</v>
      </c>
      <c r="F545" s="429">
        <v>2.0</v>
      </c>
      <c r="G545" s="429">
        <v>10.0</v>
      </c>
      <c r="H545" s="429">
        <v>5.0</v>
      </c>
      <c r="I545" s="429">
        <v>15.0</v>
      </c>
      <c r="J545" s="430">
        <v>0.67</v>
      </c>
      <c r="K545" s="376" t="s">
        <v>5110</v>
      </c>
      <c r="L545" s="376">
        <v>5.443909041E9</v>
      </c>
      <c r="M545" s="376" t="s">
        <v>14</v>
      </c>
      <c r="N545" s="376" t="s">
        <v>3826</v>
      </c>
      <c r="O545" s="376" t="s">
        <v>5158</v>
      </c>
      <c r="P545" s="376" t="s">
        <v>3941</v>
      </c>
      <c r="Q545" s="16">
        <f>COUNTIF('hedef liste'!A:A,A545)</f>
        <v>1</v>
      </c>
    </row>
    <row r="546" hidden="1">
      <c r="A546" s="376" t="s">
        <v>4466</v>
      </c>
      <c r="B546" s="376" t="s">
        <v>4467</v>
      </c>
      <c r="C546" s="428" t="s">
        <v>6979</v>
      </c>
      <c r="D546" s="376" t="s">
        <v>4468</v>
      </c>
      <c r="E546" s="429">
        <v>1004.0</v>
      </c>
      <c r="F546" s="429">
        <v>39.0</v>
      </c>
      <c r="G546" s="429">
        <v>0.0</v>
      </c>
      <c r="H546" s="429">
        <v>33.0</v>
      </c>
      <c r="I546" s="429">
        <v>33.0</v>
      </c>
      <c r="J546" s="430">
        <v>0.0</v>
      </c>
      <c r="K546" s="376" t="s">
        <v>4469</v>
      </c>
      <c r="L546" s="376">
        <v>3.229995456E9</v>
      </c>
      <c r="M546" s="376" t="s">
        <v>14</v>
      </c>
      <c r="N546" s="376" t="s">
        <v>3733</v>
      </c>
      <c r="O546" s="376" t="s">
        <v>4470</v>
      </c>
      <c r="P546" s="376" t="s">
        <v>3941</v>
      </c>
      <c r="Q546" s="16">
        <f>COUNTIF('hedef liste'!A:A,A546)</f>
        <v>1</v>
      </c>
    </row>
    <row r="547" hidden="1">
      <c r="A547" s="376" t="s">
        <v>2283</v>
      </c>
      <c r="B547" s="376" t="s">
        <v>2284</v>
      </c>
      <c r="C547" s="428" t="s">
        <v>6979</v>
      </c>
      <c r="D547" s="376" t="s">
        <v>3699</v>
      </c>
      <c r="E547" s="429">
        <v>761.0</v>
      </c>
      <c r="F547" s="429">
        <v>39.0</v>
      </c>
      <c r="G547" s="429">
        <v>22.0</v>
      </c>
      <c r="H547" s="429">
        <v>34.0</v>
      </c>
      <c r="I547" s="429">
        <v>56.0</v>
      </c>
      <c r="J547" s="430">
        <v>0.39</v>
      </c>
      <c r="K547" s="376" t="s">
        <v>4017</v>
      </c>
      <c r="L547" s="376">
        <v>5.525728209E9</v>
      </c>
      <c r="M547" s="376" t="s">
        <v>286</v>
      </c>
      <c r="N547" s="376" t="s">
        <v>3782</v>
      </c>
      <c r="O547" s="376" t="s">
        <v>2286</v>
      </c>
      <c r="P547" s="376" t="s">
        <v>3941</v>
      </c>
      <c r="Q547" s="16">
        <f>COUNTIF('hedef liste'!A:A,A547)</f>
        <v>1</v>
      </c>
    </row>
    <row r="548" hidden="1">
      <c r="A548" s="376" t="s">
        <v>6880</v>
      </c>
      <c r="B548" s="376" t="s">
        <v>6881</v>
      </c>
      <c r="C548" s="428" t="s">
        <v>6979</v>
      </c>
      <c r="D548" s="376" t="s">
        <v>3676</v>
      </c>
      <c r="E548" s="429">
        <v>3730.0</v>
      </c>
      <c r="F548" s="429">
        <v>126.0</v>
      </c>
      <c r="G548" s="429">
        <v>0.0</v>
      </c>
      <c r="H548" s="429">
        <v>9.0</v>
      </c>
      <c r="I548" s="429">
        <v>9.0</v>
      </c>
      <c r="J548" s="430">
        <v>0.0</v>
      </c>
      <c r="K548" s="376" t="s">
        <v>6877</v>
      </c>
      <c r="L548" s="376">
        <v>3.222325077E9</v>
      </c>
      <c r="M548" s="376" t="s">
        <v>14</v>
      </c>
      <c r="N548" s="376" t="s">
        <v>3797</v>
      </c>
      <c r="O548" s="376" t="s">
        <v>6882</v>
      </c>
      <c r="P548" s="376" t="s">
        <v>3941</v>
      </c>
      <c r="Q548" s="16">
        <f>COUNTIF('hedef liste'!A:A,A548)</f>
        <v>1</v>
      </c>
    </row>
    <row r="549" hidden="1">
      <c r="A549" s="376" t="s">
        <v>1310</v>
      </c>
      <c r="B549" s="376" t="s">
        <v>1311</v>
      </c>
      <c r="C549" s="428" t="s">
        <v>6979</v>
      </c>
      <c r="D549" s="376" t="s">
        <v>3676</v>
      </c>
      <c r="E549" s="429">
        <v>580.0</v>
      </c>
      <c r="F549" s="429">
        <v>5.0</v>
      </c>
      <c r="G549" s="429">
        <v>0.0</v>
      </c>
      <c r="H549" s="429">
        <v>23.0</v>
      </c>
      <c r="I549" s="429">
        <v>23.0</v>
      </c>
      <c r="J549" s="430">
        <v>0.0</v>
      </c>
      <c r="K549" s="376" t="s">
        <v>6385</v>
      </c>
      <c r="L549" s="376">
        <v>3.224281808E9</v>
      </c>
      <c r="M549" s="376" t="s">
        <v>286</v>
      </c>
      <c r="N549" s="376" t="s">
        <v>3980</v>
      </c>
      <c r="O549" s="376" t="s">
        <v>1314</v>
      </c>
      <c r="P549" s="376" t="s">
        <v>3941</v>
      </c>
      <c r="Q549" s="16">
        <f>COUNTIF('hedef liste'!A:A,A549)</f>
        <v>1</v>
      </c>
    </row>
    <row r="550" hidden="1">
      <c r="A550" s="376" t="s">
        <v>7339</v>
      </c>
      <c r="B550" s="376" t="s">
        <v>7340</v>
      </c>
      <c r="C550" s="428" t="s">
        <v>6979</v>
      </c>
      <c r="D550" s="376" t="s">
        <v>3676</v>
      </c>
      <c r="E550" s="429">
        <v>1207.0</v>
      </c>
      <c r="F550" s="429">
        <v>69.0</v>
      </c>
      <c r="G550" s="429">
        <v>9.0</v>
      </c>
      <c r="H550" s="429">
        <v>16.0</v>
      </c>
      <c r="I550" s="429">
        <v>25.0</v>
      </c>
      <c r="J550" s="430">
        <v>0.36</v>
      </c>
      <c r="K550" s="376" t="s">
        <v>7341</v>
      </c>
      <c r="L550" s="376">
        <v>5.31741812E9</v>
      </c>
      <c r="M550" s="376" t="s">
        <v>14</v>
      </c>
      <c r="N550" s="376" t="s">
        <v>3826</v>
      </c>
      <c r="O550" s="376" t="s">
        <v>7342</v>
      </c>
      <c r="P550" s="376" t="s">
        <v>3941</v>
      </c>
      <c r="Q550" s="16">
        <f>COUNTIF('hedef liste'!A:A,A550)</f>
        <v>0</v>
      </c>
    </row>
    <row r="551" hidden="1">
      <c r="A551" s="376" t="s">
        <v>7343</v>
      </c>
      <c r="B551" s="376" t="s">
        <v>7344</v>
      </c>
      <c r="C551" s="428" t="s">
        <v>6979</v>
      </c>
      <c r="D551" s="376" t="s">
        <v>3676</v>
      </c>
      <c r="E551" s="429">
        <v>3694.0</v>
      </c>
      <c r="F551" s="429">
        <v>92.0</v>
      </c>
      <c r="G551" s="429">
        <v>12.0</v>
      </c>
      <c r="H551" s="429">
        <v>9.0</v>
      </c>
      <c r="I551" s="429">
        <v>21.0</v>
      </c>
      <c r="J551" s="430">
        <v>0.57</v>
      </c>
      <c r="K551" s="376" t="s">
        <v>7345</v>
      </c>
      <c r="L551" s="376">
        <v>5.447334322E9</v>
      </c>
      <c r="M551" s="376" t="s">
        <v>14</v>
      </c>
      <c r="N551" s="376" t="s">
        <v>3797</v>
      </c>
      <c r="O551" s="376" t="s">
        <v>7346</v>
      </c>
      <c r="P551" s="376" t="s">
        <v>3941</v>
      </c>
      <c r="Q551" s="16">
        <f>COUNTIF('hedef liste'!A:A,A551)</f>
        <v>0</v>
      </c>
    </row>
    <row r="552" hidden="1">
      <c r="A552" s="376" t="s">
        <v>5973</v>
      </c>
      <c r="B552" s="376" t="s">
        <v>5974</v>
      </c>
      <c r="C552" s="428" t="s">
        <v>6979</v>
      </c>
      <c r="D552" s="376" t="s">
        <v>3801</v>
      </c>
      <c r="E552" s="429">
        <v>281.0</v>
      </c>
      <c r="F552" s="429">
        <v>8.0</v>
      </c>
      <c r="G552" s="429">
        <v>49.0</v>
      </c>
      <c r="H552" s="429">
        <v>4.0</v>
      </c>
      <c r="I552" s="429">
        <v>53.0</v>
      </c>
      <c r="J552" s="430">
        <v>0.92</v>
      </c>
      <c r="K552" s="376" t="s">
        <v>5975</v>
      </c>
      <c r="L552" s="376">
        <v>3.223299022E9</v>
      </c>
      <c r="M552" s="376" t="s">
        <v>3707</v>
      </c>
      <c r="N552" s="376" t="s">
        <v>4553</v>
      </c>
      <c r="O552" s="376" t="s">
        <v>5976</v>
      </c>
      <c r="P552" s="376" t="s">
        <v>6982</v>
      </c>
      <c r="Q552" s="16">
        <f>COUNTIF('hedef liste'!A:A,A552)</f>
        <v>1</v>
      </c>
    </row>
    <row r="553" hidden="1">
      <c r="A553" s="376" t="s">
        <v>2666</v>
      </c>
      <c r="B553" s="376" t="s">
        <v>2667</v>
      </c>
      <c r="C553" s="428" t="s">
        <v>7011</v>
      </c>
      <c r="D553" s="376" t="s">
        <v>3676</v>
      </c>
      <c r="E553" s="429">
        <v>106.0</v>
      </c>
      <c r="F553" s="431"/>
      <c r="G553" s="429">
        <v>9.0</v>
      </c>
      <c r="H553" s="429">
        <v>0.0</v>
      </c>
      <c r="I553" s="429">
        <v>9.0</v>
      </c>
      <c r="J553" s="430">
        <v>1.0</v>
      </c>
      <c r="K553" s="376" t="s">
        <v>4879</v>
      </c>
      <c r="L553" s="376">
        <v>3.222610162E9</v>
      </c>
      <c r="M553" s="376" t="s">
        <v>286</v>
      </c>
      <c r="N553" s="376" t="s">
        <v>3746</v>
      </c>
      <c r="O553" s="376" t="s">
        <v>2670</v>
      </c>
      <c r="P553" s="376" t="s">
        <v>3941</v>
      </c>
      <c r="Q553" s="16">
        <f>COUNTIF('hedef liste'!A:A,A553)</f>
        <v>1</v>
      </c>
    </row>
    <row r="554" hidden="1">
      <c r="A554" s="376" t="s">
        <v>2243</v>
      </c>
      <c r="B554" s="376" t="s">
        <v>2244</v>
      </c>
      <c r="C554" s="428" t="s">
        <v>6979</v>
      </c>
      <c r="D554" s="376" t="s">
        <v>3676</v>
      </c>
      <c r="E554" s="432">
        <v>371.0</v>
      </c>
      <c r="F554" s="429">
        <v>1.0</v>
      </c>
      <c r="G554" s="429">
        <v>9.0</v>
      </c>
      <c r="H554" s="429">
        <v>13.0</v>
      </c>
      <c r="I554" s="429">
        <v>22.0</v>
      </c>
      <c r="J554" s="430">
        <v>0.41</v>
      </c>
      <c r="K554" s="376" t="s">
        <v>6451</v>
      </c>
      <c r="L554" s="376">
        <v>5.334032126E9</v>
      </c>
      <c r="M554" s="376" t="s">
        <v>14</v>
      </c>
      <c r="N554" s="376" t="s">
        <v>3797</v>
      </c>
      <c r="O554" s="376" t="s">
        <v>311</v>
      </c>
      <c r="P554" s="376" t="s">
        <v>3941</v>
      </c>
      <c r="Q554" s="16">
        <f>COUNTIF('hedef liste'!A:A,A554)</f>
        <v>1</v>
      </c>
    </row>
    <row r="555" hidden="1">
      <c r="A555" s="376" t="s">
        <v>2076</v>
      </c>
      <c r="B555" s="376" t="s">
        <v>7347</v>
      </c>
      <c r="C555" s="428" t="s">
        <v>6979</v>
      </c>
      <c r="D555" s="376" t="s">
        <v>3801</v>
      </c>
      <c r="E555" s="429">
        <v>717.0</v>
      </c>
      <c r="F555" s="429">
        <v>76.0</v>
      </c>
      <c r="G555" s="429">
        <v>15.0</v>
      </c>
      <c r="H555" s="429">
        <v>6.0</v>
      </c>
      <c r="I555" s="429">
        <v>21.0</v>
      </c>
      <c r="J555" s="430">
        <v>0.71</v>
      </c>
      <c r="K555" s="376" t="s">
        <v>4622</v>
      </c>
      <c r="L555" s="376">
        <v>3.225026461E9</v>
      </c>
      <c r="M555" s="376" t="s">
        <v>3692</v>
      </c>
      <c r="N555" s="376" t="s">
        <v>3721</v>
      </c>
      <c r="O555" s="376" t="s">
        <v>2079</v>
      </c>
      <c r="P555" s="376" t="s">
        <v>3941</v>
      </c>
      <c r="Q555" s="16">
        <f>COUNTIF('hedef liste'!A:A,A555)</f>
        <v>1</v>
      </c>
    </row>
    <row r="556" hidden="1">
      <c r="A556" s="376" t="s">
        <v>5065</v>
      </c>
      <c r="B556" s="376" t="s">
        <v>5066</v>
      </c>
      <c r="C556" s="428" t="s">
        <v>6979</v>
      </c>
      <c r="D556" s="376" t="s">
        <v>3690</v>
      </c>
      <c r="E556" s="429">
        <v>669.0</v>
      </c>
      <c r="F556" s="429">
        <v>34.0</v>
      </c>
      <c r="G556" s="429">
        <v>0.0</v>
      </c>
      <c r="H556" s="429">
        <v>19.0</v>
      </c>
      <c r="I556" s="429">
        <v>19.0</v>
      </c>
      <c r="J556" s="430">
        <v>0.0</v>
      </c>
      <c r="K556" s="376" t="s">
        <v>5067</v>
      </c>
      <c r="L556" s="376">
        <v>5.414073302E9</v>
      </c>
      <c r="M556" s="376" t="s">
        <v>14</v>
      </c>
      <c r="N556" s="376" t="s">
        <v>3733</v>
      </c>
      <c r="O556" s="376" t="s">
        <v>5068</v>
      </c>
      <c r="P556" s="376" t="s">
        <v>3941</v>
      </c>
      <c r="Q556" s="16">
        <f>COUNTIF('hedef liste'!A:A,A556)</f>
        <v>1</v>
      </c>
    </row>
    <row r="557" hidden="1">
      <c r="A557" s="376" t="s">
        <v>1162</v>
      </c>
      <c r="B557" s="376" t="s">
        <v>1163</v>
      </c>
      <c r="C557" s="428" t="s">
        <v>6979</v>
      </c>
      <c r="D557" s="376" t="s">
        <v>3676</v>
      </c>
      <c r="E557" s="429">
        <v>4333.0</v>
      </c>
      <c r="F557" s="429">
        <v>201.0</v>
      </c>
      <c r="G557" s="429">
        <v>10.0</v>
      </c>
      <c r="H557" s="429">
        <v>0.0</v>
      </c>
      <c r="I557" s="429">
        <v>10.0</v>
      </c>
      <c r="J557" s="430">
        <v>1.0</v>
      </c>
      <c r="K557" s="376" t="s">
        <v>4545</v>
      </c>
      <c r="L557" s="376">
        <v>3.223633282E9</v>
      </c>
      <c r="M557" s="376" t="s">
        <v>286</v>
      </c>
      <c r="N557" s="376" t="s">
        <v>4451</v>
      </c>
      <c r="O557" s="376" t="s">
        <v>1165</v>
      </c>
      <c r="P557" s="376" t="s">
        <v>3941</v>
      </c>
      <c r="Q557" s="16">
        <f>COUNTIF('hedef liste'!A:A,A557)</f>
        <v>1</v>
      </c>
    </row>
    <row r="558" hidden="1">
      <c r="A558" s="376" t="s">
        <v>3858</v>
      </c>
      <c r="B558" s="376" t="s">
        <v>3859</v>
      </c>
      <c r="C558" s="428" t="s">
        <v>6979</v>
      </c>
      <c r="D558" s="376" t="s">
        <v>3801</v>
      </c>
      <c r="E558" s="429">
        <v>438.0</v>
      </c>
      <c r="F558" s="429">
        <v>13.0</v>
      </c>
      <c r="G558" s="429">
        <v>0.0</v>
      </c>
      <c r="H558" s="429">
        <v>7.0</v>
      </c>
      <c r="I558" s="429">
        <v>7.0</v>
      </c>
      <c r="J558" s="430">
        <v>0.0</v>
      </c>
      <c r="K558" s="376" t="s">
        <v>3860</v>
      </c>
      <c r="L558" s="376">
        <v>5.30044405E9</v>
      </c>
      <c r="M558" s="376" t="s">
        <v>3814</v>
      </c>
      <c r="N558" s="376" t="s">
        <v>3815</v>
      </c>
      <c r="O558" s="376" t="s">
        <v>3861</v>
      </c>
      <c r="P558" s="376" t="s">
        <v>3941</v>
      </c>
      <c r="Q558" s="16">
        <f>COUNTIF('hedef liste'!A:A,A558)</f>
        <v>1</v>
      </c>
    </row>
    <row r="559" hidden="1">
      <c r="A559" s="376" t="s">
        <v>2794</v>
      </c>
      <c r="B559" s="376" t="s">
        <v>2795</v>
      </c>
      <c r="C559" s="428" t="s">
        <v>6979</v>
      </c>
      <c r="D559" s="376" t="s">
        <v>3713</v>
      </c>
      <c r="E559" s="429">
        <v>925.0</v>
      </c>
      <c r="F559" s="429">
        <v>118.0</v>
      </c>
      <c r="G559" s="429">
        <v>11.0</v>
      </c>
      <c r="H559" s="429">
        <v>27.0</v>
      </c>
      <c r="I559" s="429">
        <v>38.0</v>
      </c>
      <c r="J559" s="430">
        <v>0.29</v>
      </c>
      <c r="K559" s="376" t="s">
        <v>5411</v>
      </c>
      <c r="L559" s="376">
        <v>3.224544701E9</v>
      </c>
      <c r="M559" s="376" t="s">
        <v>286</v>
      </c>
      <c r="N559" s="376" t="s">
        <v>3754</v>
      </c>
      <c r="O559" s="376" t="s">
        <v>2797</v>
      </c>
      <c r="P559" s="376" t="s">
        <v>3941</v>
      </c>
      <c r="Q559" s="16">
        <f>COUNTIF('hedef liste'!A:A,A559)</f>
        <v>1</v>
      </c>
    </row>
    <row r="560" hidden="1">
      <c r="A560" s="376" t="s">
        <v>4918</v>
      </c>
      <c r="B560" s="376" t="s">
        <v>4919</v>
      </c>
      <c r="C560" s="428" t="s">
        <v>7011</v>
      </c>
      <c r="D560" s="376" t="s">
        <v>3749</v>
      </c>
      <c r="E560" s="429">
        <v>208.0</v>
      </c>
      <c r="F560" s="431"/>
      <c r="G560" s="429">
        <v>0.0</v>
      </c>
      <c r="H560" s="429">
        <v>23.0</v>
      </c>
      <c r="I560" s="429">
        <v>23.0</v>
      </c>
      <c r="J560" s="430">
        <v>0.0</v>
      </c>
      <c r="K560" s="376" t="s">
        <v>4920</v>
      </c>
      <c r="L560" s="376">
        <v>5.413269998E9</v>
      </c>
      <c r="M560" s="376" t="s">
        <v>14</v>
      </c>
      <c r="N560" s="376" t="s">
        <v>3718</v>
      </c>
      <c r="O560" s="376" t="s">
        <v>4921</v>
      </c>
      <c r="P560" s="376" t="s">
        <v>3941</v>
      </c>
      <c r="Q560" s="16">
        <f>COUNTIF('hedef liste'!A:A,A560)</f>
        <v>1</v>
      </c>
    </row>
    <row r="561" hidden="1">
      <c r="A561" s="376" t="s">
        <v>6481</v>
      </c>
      <c r="B561" s="376" t="s">
        <v>6482</v>
      </c>
      <c r="C561" s="428" t="s">
        <v>6979</v>
      </c>
      <c r="D561" s="376" t="s">
        <v>4000</v>
      </c>
      <c r="E561" s="432">
        <v>921.0</v>
      </c>
      <c r="F561" s="429">
        <v>37.0</v>
      </c>
      <c r="G561" s="429">
        <v>0.0</v>
      </c>
      <c r="H561" s="429">
        <v>27.0</v>
      </c>
      <c r="I561" s="429">
        <v>27.0</v>
      </c>
      <c r="J561" s="430">
        <v>0.0</v>
      </c>
      <c r="K561" s="376" t="s">
        <v>6483</v>
      </c>
      <c r="L561" s="376">
        <v>5.418778964E9</v>
      </c>
      <c r="M561" s="376" t="s">
        <v>3701</v>
      </c>
      <c r="N561" s="376" t="s">
        <v>3702</v>
      </c>
      <c r="O561" s="376" t="s">
        <v>6484</v>
      </c>
      <c r="P561" s="376" t="s">
        <v>3941</v>
      </c>
      <c r="Q561" s="16">
        <f>COUNTIF('hedef liste'!A:A,A561)</f>
        <v>1</v>
      </c>
    </row>
    <row r="562" hidden="1">
      <c r="A562" s="376" t="s">
        <v>6716</v>
      </c>
      <c r="B562" s="376" t="s">
        <v>7348</v>
      </c>
      <c r="C562" s="428" t="s">
        <v>6979</v>
      </c>
      <c r="D562" s="376" t="s">
        <v>3749</v>
      </c>
      <c r="E562" s="429">
        <v>753.0</v>
      </c>
      <c r="F562" s="429">
        <v>44.0</v>
      </c>
      <c r="G562" s="429">
        <v>0.0</v>
      </c>
      <c r="H562" s="429">
        <v>29.0</v>
      </c>
      <c r="I562" s="429">
        <v>29.0</v>
      </c>
      <c r="J562" s="430">
        <v>0.0</v>
      </c>
      <c r="K562" s="376" t="s">
        <v>5331</v>
      </c>
      <c r="L562" s="376">
        <v>5.393490139E9</v>
      </c>
      <c r="M562" s="376" t="s">
        <v>14</v>
      </c>
      <c r="N562" s="376" t="s">
        <v>3733</v>
      </c>
      <c r="O562" s="376" t="s">
        <v>323</v>
      </c>
      <c r="P562" s="376" t="s">
        <v>3941</v>
      </c>
      <c r="Q562" s="16">
        <f>COUNTIF('hedef liste'!A:A,A562)</f>
        <v>1</v>
      </c>
    </row>
    <row r="563" hidden="1">
      <c r="A563" s="376" t="s">
        <v>1636</v>
      </c>
      <c r="B563" s="376" t="s">
        <v>1637</v>
      </c>
      <c r="C563" s="428" t="s">
        <v>6979</v>
      </c>
      <c r="D563" s="376" t="s">
        <v>3676</v>
      </c>
      <c r="E563" s="429">
        <v>473.0</v>
      </c>
      <c r="F563" s="429">
        <v>15.0</v>
      </c>
      <c r="G563" s="429">
        <v>9.0</v>
      </c>
      <c r="H563" s="429">
        <v>6.0</v>
      </c>
      <c r="I563" s="429">
        <v>15.0</v>
      </c>
      <c r="J563" s="430">
        <v>0.6</v>
      </c>
      <c r="K563" s="376" t="s">
        <v>4779</v>
      </c>
      <c r="L563" s="376">
        <v>5.55097175E9</v>
      </c>
      <c r="M563" s="376" t="s">
        <v>3692</v>
      </c>
      <c r="N563" s="376" t="s">
        <v>3721</v>
      </c>
      <c r="O563" s="376" t="s">
        <v>1640</v>
      </c>
      <c r="P563" s="376" t="s">
        <v>3941</v>
      </c>
      <c r="Q563" s="16">
        <f>COUNTIF('hedef liste'!A:A,A563)</f>
        <v>1</v>
      </c>
    </row>
    <row r="564" hidden="1">
      <c r="A564" s="376" t="s">
        <v>5070</v>
      </c>
      <c r="B564" s="376" t="s">
        <v>5071</v>
      </c>
      <c r="C564" s="428" t="s">
        <v>6979</v>
      </c>
      <c r="D564" s="376" t="s">
        <v>3699</v>
      </c>
      <c r="E564" s="429">
        <v>250.0</v>
      </c>
      <c r="F564" s="431"/>
      <c r="G564" s="429">
        <v>0.0</v>
      </c>
      <c r="H564" s="429">
        <v>7.0</v>
      </c>
      <c r="I564" s="429">
        <v>7.0</v>
      </c>
      <c r="J564" s="430">
        <v>0.0</v>
      </c>
      <c r="K564" s="376" t="s">
        <v>5072</v>
      </c>
      <c r="L564" s="376">
        <v>5.013243401E9</v>
      </c>
      <c r="M564" s="376" t="s">
        <v>286</v>
      </c>
      <c r="N564" s="376" t="s">
        <v>3855</v>
      </c>
      <c r="O564" s="376" t="s">
        <v>5073</v>
      </c>
      <c r="P564" s="376" t="s">
        <v>3941</v>
      </c>
      <c r="Q564" s="16">
        <f>COUNTIF('hedef liste'!A:A,A564)</f>
        <v>1</v>
      </c>
    </row>
    <row r="565" hidden="1">
      <c r="A565" s="376" t="s">
        <v>1819</v>
      </c>
      <c r="B565" s="376" t="s">
        <v>7349</v>
      </c>
      <c r="C565" s="428" t="s">
        <v>6979</v>
      </c>
      <c r="D565" s="376" t="s">
        <v>3713</v>
      </c>
      <c r="E565" s="429">
        <v>1593.0</v>
      </c>
      <c r="F565" s="429">
        <v>106.0</v>
      </c>
      <c r="G565" s="429">
        <v>7.0</v>
      </c>
      <c r="H565" s="429">
        <v>19.0</v>
      </c>
      <c r="I565" s="429">
        <v>26.0</v>
      </c>
      <c r="J565" s="430">
        <v>0.27</v>
      </c>
      <c r="K565" s="376" t="s">
        <v>4935</v>
      </c>
      <c r="L565" s="376">
        <v>3.222343621E9</v>
      </c>
      <c r="M565" s="376" t="s">
        <v>14</v>
      </c>
      <c r="N565" s="376" t="s">
        <v>3767</v>
      </c>
      <c r="O565" s="376" t="s">
        <v>4936</v>
      </c>
      <c r="P565" s="376" t="s">
        <v>3941</v>
      </c>
      <c r="Q565" s="16">
        <f>COUNTIF('hedef liste'!A:A,A565)</f>
        <v>1</v>
      </c>
    </row>
    <row r="566" hidden="1">
      <c r="A566" s="376" t="s">
        <v>3846</v>
      </c>
      <c r="B566" s="376" t="s">
        <v>3847</v>
      </c>
      <c r="C566" s="428" t="s">
        <v>6979</v>
      </c>
      <c r="D566" s="376" t="s">
        <v>3713</v>
      </c>
      <c r="E566" s="429">
        <v>108.0</v>
      </c>
      <c r="F566" s="431"/>
      <c r="G566" s="429">
        <v>0.0</v>
      </c>
      <c r="H566" s="429">
        <v>15.0</v>
      </c>
      <c r="I566" s="429">
        <v>15.0</v>
      </c>
      <c r="J566" s="430">
        <v>0.0</v>
      </c>
      <c r="K566" s="376" t="s">
        <v>3848</v>
      </c>
      <c r="L566" s="376">
        <v>3.224280708E9</v>
      </c>
      <c r="M566" s="376" t="s">
        <v>14</v>
      </c>
      <c r="N566" s="376" t="s">
        <v>3678</v>
      </c>
      <c r="O566" s="376" t="s">
        <v>3849</v>
      </c>
      <c r="P566" s="376" t="s">
        <v>3941</v>
      </c>
      <c r="Q566" s="16">
        <f>COUNTIF('hedef liste'!A:A,A566)</f>
        <v>1</v>
      </c>
    </row>
    <row r="567" hidden="1">
      <c r="A567" s="376" t="s">
        <v>6906</v>
      </c>
      <c r="B567" s="376" t="s">
        <v>6907</v>
      </c>
      <c r="C567" s="428" t="s">
        <v>6979</v>
      </c>
      <c r="D567" s="376" t="s">
        <v>3676</v>
      </c>
      <c r="E567" s="429">
        <v>586.0</v>
      </c>
      <c r="F567" s="429">
        <v>13.0</v>
      </c>
      <c r="G567" s="429">
        <v>0.0</v>
      </c>
      <c r="H567" s="429">
        <v>8.0</v>
      </c>
      <c r="I567" s="429">
        <v>8.0</v>
      </c>
      <c r="J567" s="430">
        <v>0.0</v>
      </c>
      <c r="K567" s="376" t="s">
        <v>6908</v>
      </c>
      <c r="L567" s="376">
        <v>3.224324474E9</v>
      </c>
      <c r="M567" s="376" t="s">
        <v>286</v>
      </c>
      <c r="N567" s="376" t="s">
        <v>7018</v>
      </c>
      <c r="O567" s="376" t="s">
        <v>6909</v>
      </c>
      <c r="P567" s="376" t="s">
        <v>3941</v>
      </c>
      <c r="Q567" s="16">
        <f>COUNTIF('hedef liste'!A:A,A567)</f>
        <v>1</v>
      </c>
    </row>
    <row r="568" hidden="1">
      <c r="A568" s="376" t="s">
        <v>6236</v>
      </c>
      <c r="B568" s="376" t="s">
        <v>6237</v>
      </c>
      <c r="C568" s="428" t="s">
        <v>6979</v>
      </c>
      <c r="D568" s="376" t="s">
        <v>3994</v>
      </c>
      <c r="E568" s="429">
        <v>51.0</v>
      </c>
      <c r="F568" s="431"/>
      <c r="G568" s="429">
        <v>0.0</v>
      </c>
      <c r="H568" s="429">
        <v>28.0</v>
      </c>
      <c r="I568" s="429">
        <v>28.0</v>
      </c>
      <c r="J568" s="430">
        <v>0.0</v>
      </c>
      <c r="K568" s="376" t="s">
        <v>6238</v>
      </c>
      <c r="L568" s="376">
        <v>5.376779148E9</v>
      </c>
      <c r="M568" s="376" t="s">
        <v>286</v>
      </c>
      <c r="N568" s="376" t="s">
        <v>3806</v>
      </c>
      <c r="O568" s="376" t="s">
        <v>6239</v>
      </c>
      <c r="P568" s="376" t="s">
        <v>3941</v>
      </c>
      <c r="Q568" s="16">
        <f>COUNTIF('hedef liste'!A:A,A568)</f>
        <v>1</v>
      </c>
    </row>
    <row r="569" hidden="1">
      <c r="A569" s="376" t="s">
        <v>4440</v>
      </c>
      <c r="B569" s="376" t="s">
        <v>4441</v>
      </c>
      <c r="C569" s="428" t="s">
        <v>7011</v>
      </c>
      <c r="D569" s="376" t="s">
        <v>3842</v>
      </c>
      <c r="E569" s="429">
        <v>366.0</v>
      </c>
      <c r="F569" s="431"/>
      <c r="G569" s="429">
        <v>0.0</v>
      </c>
      <c r="H569" s="429">
        <v>34.0</v>
      </c>
      <c r="I569" s="429">
        <v>34.0</v>
      </c>
      <c r="J569" s="430">
        <v>0.0</v>
      </c>
      <c r="K569" s="376" t="s">
        <v>4442</v>
      </c>
      <c r="L569" s="376">
        <v>5.433458804E9</v>
      </c>
      <c r="M569" s="376" t="s">
        <v>3701</v>
      </c>
      <c r="N569" s="376" t="s">
        <v>4176</v>
      </c>
      <c r="O569" s="376" t="s">
        <v>4443</v>
      </c>
      <c r="P569" s="376" t="s">
        <v>3941</v>
      </c>
      <c r="Q569" s="16">
        <f>COUNTIF('hedef liste'!A:A,A569)</f>
        <v>1</v>
      </c>
    </row>
    <row r="570" hidden="1">
      <c r="A570" s="376" t="s">
        <v>5485</v>
      </c>
      <c r="B570" s="376" t="s">
        <v>1274</v>
      </c>
      <c r="C570" s="428" t="s">
        <v>6979</v>
      </c>
      <c r="D570" s="376" t="s">
        <v>3801</v>
      </c>
      <c r="E570" s="429">
        <v>2325.0</v>
      </c>
      <c r="F570" s="429">
        <v>112.0</v>
      </c>
      <c r="G570" s="429">
        <v>17.0</v>
      </c>
      <c r="H570" s="429">
        <v>15.0</v>
      </c>
      <c r="I570" s="429">
        <v>32.0</v>
      </c>
      <c r="J570" s="430">
        <v>0.53</v>
      </c>
      <c r="K570" s="376" t="s">
        <v>5486</v>
      </c>
      <c r="L570" s="376">
        <v>5.52558818E9</v>
      </c>
      <c r="M570" s="376" t="s">
        <v>286</v>
      </c>
      <c r="N570" s="376" t="s">
        <v>5904</v>
      </c>
      <c r="O570" s="376" t="s">
        <v>1277</v>
      </c>
      <c r="P570" s="376" t="s">
        <v>3941</v>
      </c>
      <c r="Q570" s="16">
        <f>COUNTIF('hedef liste'!A:A,A570)</f>
        <v>1</v>
      </c>
    </row>
    <row r="571" hidden="1">
      <c r="A571" s="376" t="s">
        <v>4857</v>
      </c>
      <c r="B571" s="376" t="s">
        <v>4858</v>
      </c>
      <c r="C571" s="428" t="s">
        <v>6979</v>
      </c>
      <c r="D571" s="376" t="s">
        <v>3699</v>
      </c>
      <c r="E571" s="429">
        <v>1630.0</v>
      </c>
      <c r="F571" s="429">
        <v>121.0</v>
      </c>
      <c r="G571" s="429">
        <v>0.0</v>
      </c>
      <c r="H571" s="429">
        <v>67.0</v>
      </c>
      <c r="I571" s="429">
        <v>67.0</v>
      </c>
      <c r="J571" s="430">
        <v>0.0</v>
      </c>
      <c r="K571" s="376" t="s">
        <v>4859</v>
      </c>
      <c r="L571" s="376">
        <v>5.443125823E9</v>
      </c>
      <c r="M571" s="376" t="s">
        <v>286</v>
      </c>
      <c r="N571" s="376" t="s">
        <v>3737</v>
      </c>
      <c r="O571" s="376" t="s">
        <v>4860</v>
      </c>
      <c r="P571" s="376" t="s">
        <v>3941</v>
      </c>
      <c r="Q571" s="16">
        <f>COUNTIF('hedef liste'!A:A,A571)</f>
        <v>1</v>
      </c>
    </row>
    <row r="572" hidden="1">
      <c r="A572" s="376" t="s">
        <v>5824</v>
      </c>
      <c r="B572" s="376" t="s">
        <v>5825</v>
      </c>
      <c r="C572" s="428" t="s">
        <v>6979</v>
      </c>
      <c r="D572" s="376" t="s">
        <v>3676</v>
      </c>
      <c r="E572" s="429">
        <v>1046.0</v>
      </c>
      <c r="F572" s="431"/>
      <c r="G572" s="429">
        <v>0.0</v>
      </c>
      <c r="H572" s="429">
        <v>14.0</v>
      </c>
      <c r="I572" s="429">
        <v>14.0</v>
      </c>
      <c r="J572" s="430">
        <v>0.0</v>
      </c>
      <c r="K572" s="376" t="s">
        <v>5826</v>
      </c>
      <c r="L572" s="376">
        <v>3.225000016E9</v>
      </c>
      <c r="M572" s="376" t="s">
        <v>286</v>
      </c>
      <c r="N572" s="376" t="s">
        <v>3782</v>
      </c>
      <c r="O572" s="376" t="s">
        <v>5827</v>
      </c>
      <c r="P572" s="376" t="s">
        <v>3941</v>
      </c>
      <c r="Q572" s="16">
        <f>COUNTIF('hedef liste'!A:A,A572)</f>
        <v>1</v>
      </c>
    </row>
    <row r="573" hidden="1">
      <c r="A573" s="376" t="s">
        <v>5406</v>
      </c>
      <c r="B573" s="376" t="s">
        <v>7350</v>
      </c>
      <c r="C573" s="428" t="s">
        <v>6979</v>
      </c>
      <c r="D573" s="376" t="s">
        <v>3713</v>
      </c>
      <c r="E573" s="429">
        <v>2000.0</v>
      </c>
      <c r="F573" s="429">
        <v>80.0</v>
      </c>
      <c r="G573" s="429">
        <v>0.0</v>
      </c>
      <c r="H573" s="429">
        <v>14.0</v>
      </c>
      <c r="I573" s="429">
        <v>14.0</v>
      </c>
      <c r="J573" s="430">
        <v>0.0</v>
      </c>
      <c r="K573" s="376" t="s">
        <v>5408</v>
      </c>
      <c r="L573" s="376">
        <v>5.467874886E9</v>
      </c>
      <c r="M573" s="376" t="s">
        <v>286</v>
      </c>
      <c r="N573" s="376" t="s">
        <v>4086</v>
      </c>
      <c r="O573" s="376" t="s">
        <v>5409</v>
      </c>
      <c r="P573" s="376" t="s">
        <v>3941</v>
      </c>
      <c r="Q573" s="16">
        <f>COUNTIF('hedef liste'!A:A,A573)</f>
        <v>1</v>
      </c>
    </row>
    <row r="574" hidden="1">
      <c r="A574" s="376" t="s">
        <v>5863</v>
      </c>
      <c r="B574" s="376" t="s">
        <v>5864</v>
      </c>
      <c r="C574" s="428" t="s">
        <v>6979</v>
      </c>
      <c r="D574" s="376" t="s">
        <v>3713</v>
      </c>
      <c r="E574" s="429">
        <v>1023.0</v>
      </c>
      <c r="F574" s="429">
        <v>43.0</v>
      </c>
      <c r="G574" s="429">
        <v>0.0</v>
      </c>
      <c r="H574" s="429">
        <v>18.0</v>
      </c>
      <c r="I574" s="429">
        <v>18.0</v>
      </c>
      <c r="J574" s="430">
        <v>0.0</v>
      </c>
      <c r="K574" s="376" t="s">
        <v>5865</v>
      </c>
      <c r="L574" s="376">
        <v>3.224366487E9</v>
      </c>
      <c r="M574" s="376" t="s">
        <v>286</v>
      </c>
      <c r="N574" s="376" t="s">
        <v>6438</v>
      </c>
      <c r="O574" s="376" t="s">
        <v>5866</v>
      </c>
      <c r="P574" s="376" t="s">
        <v>3941</v>
      </c>
      <c r="Q574" s="16">
        <f>COUNTIF('hedef liste'!A:A,A574)</f>
        <v>1</v>
      </c>
    </row>
    <row r="575" hidden="1">
      <c r="A575" s="376" t="s">
        <v>1357</v>
      </c>
      <c r="B575" s="376" t="s">
        <v>1358</v>
      </c>
      <c r="C575" s="428" t="s">
        <v>6979</v>
      </c>
      <c r="D575" s="376" t="s">
        <v>3676</v>
      </c>
      <c r="E575" s="429">
        <v>2420.0</v>
      </c>
      <c r="F575" s="429">
        <v>131.0</v>
      </c>
      <c r="G575" s="429">
        <v>6.0</v>
      </c>
      <c r="H575" s="429">
        <v>4.0</v>
      </c>
      <c r="I575" s="429">
        <v>10.0</v>
      </c>
      <c r="J575" s="430">
        <v>0.6</v>
      </c>
      <c r="K575" s="376" t="s">
        <v>3832</v>
      </c>
      <c r="L575" s="376">
        <v>3.222268444E9</v>
      </c>
      <c r="M575" s="376" t="s">
        <v>286</v>
      </c>
      <c r="N575" s="376" t="s">
        <v>3782</v>
      </c>
      <c r="O575" s="376" t="s">
        <v>1360</v>
      </c>
      <c r="P575" s="376" t="s">
        <v>3941</v>
      </c>
      <c r="Q575" s="16">
        <f>COUNTIF('hedef liste'!A:A,A575)</f>
        <v>1</v>
      </c>
    </row>
    <row r="576" hidden="1">
      <c r="A576" s="376" t="s">
        <v>1480</v>
      </c>
      <c r="B576" s="376" t="s">
        <v>1481</v>
      </c>
      <c r="C576" s="428" t="s">
        <v>6979</v>
      </c>
      <c r="D576" s="376" t="s">
        <v>3713</v>
      </c>
      <c r="E576" s="429">
        <v>3151.0</v>
      </c>
      <c r="F576" s="429">
        <v>205.0</v>
      </c>
      <c r="G576" s="429">
        <v>17.0</v>
      </c>
      <c r="H576" s="429">
        <v>7.0</v>
      </c>
      <c r="I576" s="429">
        <v>24.0</v>
      </c>
      <c r="J576" s="430">
        <v>0.71</v>
      </c>
      <c r="K576" s="376" t="s">
        <v>4984</v>
      </c>
      <c r="L576" s="376">
        <v>3.222282821E9</v>
      </c>
      <c r="M576" s="376" t="s">
        <v>286</v>
      </c>
      <c r="N576" s="376" t="s">
        <v>3782</v>
      </c>
      <c r="O576" s="376" t="s">
        <v>4985</v>
      </c>
      <c r="P576" s="376" t="s">
        <v>3941</v>
      </c>
      <c r="Q576" s="16">
        <f>COUNTIF('hedef liste'!A:A,A576)</f>
        <v>1</v>
      </c>
    </row>
    <row r="577" hidden="1">
      <c r="A577" s="376" t="s">
        <v>7351</v>
      </c>
      <c r="B577" s="376" t="s">
        <v>7352</v>
      </c>
      <c r="C577" s="428" t="s">
        <v>7011</v>
      </c>
      <c r="D577" s="376" t="s">
        <v>3801</v>
      </c>
      <c r="E577" s="429">
        <v>31.0</v>
      </c>
      <c r="F577" s="431"/>
      <c r="G577" s="429">
        <v>97.0</v>
      </c>
      <c r="H577" s="429">
        <v>92.0</v>
      </c>
      <c r="I577" s="429">
        <v>189.0</v>
      </c>
      <c r="J577" s="430">
        <v>0.51</v>
      </c>
      <c r="K577" s="376" t="s">
        <v>7353</v>
      </c>
      <c r="L577" s="376">
        <v>5.424610202E9</v>
      </c>
      <c r="M577" s="376" t="s">
        <v>3692</v>
      </c>
      <c r="N577" s="376" t="s">
        <v>7050</v>
      </c>
      <c r="O577" s="376" t="s">
        <v>7354</v>
      </c>
      <c r="P577" s="376" t="s">
        <v>6982</v>
      </c>
      <c r="Q577" s="16">
        <f>COUNTIF('hedef liste'!A:A,A577)</f>
        <v>0</v>
      </c>
    </row>
    <row r="578" hidden="1">
      <c r="A578" s="376" t="s">
        <v>834</v>
      </c>
      <c r="B578" s="376" t="s">
        <v>835</v>
      </c>
      <c r="C578" s="428" t="s">
        <v>6979</v>
      </c>
      <c r="D578" s="376" t="s">
        <v>3699</v>
      </c>
      <c r="E578" s="429">
        <v>939.0</v>
      </c>
      <c r="F578" s="431"/>
      <c r="G578" s="429">
        <v>8.0</v>
      </c>
      <c r="H578" s="429">
        <v>1.0</v>
      </c>
      <c r="I578" s="429">
        <v>9.0</v>
      </c>
      <c r="J578" s="430">
        <v>0.89</v>
      </c>
      <c r="K578" s="376" t="s">
        <v>6165</v>
      </c>
      <c r="L578" s="376">
        <v>3.222399444E9</v>
      </c>
      <c r="M578" s="376" t="s">
        <v>14</v>
      </c>
      <c r="N578" s="376" t="s">
        <v>3935</v>
      </c>
      <c r="O578" s="376" t="s">
        <v>837</v>
      </c>
      <c r="P578" s="376" t="s">
        <v>3941</v>
      </c>
      <c r="Q578" s="16">
        <f>COUNTIF('hedef liste'!A:A,A578)</f>
        <v>1</v>
      </c>
    </row>
    <row r="579" hidden="1">
      <c r="A579" s="376" t="s">
        <v>6327</v>
      </c>
      <c r="B579" s="376" t="s">
        <v>6328</v>
      </c>
      <c r="C579" s="428" t="s">
        <v>6979</v>
      </c>
      <c r="D579" s="376" t="s">
        <v>3676</v>
      </c>
      <c r="E579" s="429">
        <v>2927.0</v>
      </c>
      <c r="F579" s="431"/>
      <c r="G579" s="429">
        <v>0.0</v>
      </c>
      <c r="H579" s="429">
        <v>7.0</v>
      </c>
      <c r="I579" s="429">
        <v>7.0</v>
      </c>
      <c r="J579" s="430">
        <v>0.0</v>
      </c>
      <c r="K579" s="376" t="s">
        <v>6329</v>
      </c>
      <c r="L579" s="376">
        <v>5.0619009E9</v>
      </c>
      <c r="M579" s="376" t="s">
        <v>286</v>
      </c>
      <c r="N579" s="376" t="s">
        <v>3855</v>
      </c>
      <c r="O579" s="376" t="s">
        <v>6330</v>
      </c>
      <c r="P579" s="376" t="s">
        <v>3941</v>
      </c>
      <c r="Q579" s="16">
        <f>COUNTIF('hedef liste'!A:A,A579)</f>
        <v>1</v>
      </c>
    </row>
    <row r="580" hidden="1">
      <c r="A580" s="376" t="s">
        <v>3951</v>
      </c>
      <c r="B580" s="376" t="s">
        <v>3952</v>
      </c>
      <c r="C580" s="428" t="s">
        <v>6979</v>
      </c>
      <c r="D580" s="376" t="s">
        <v>3676</v>
      </c>
      <c r="E580" s="429">
        <v>9992.0</v>
      </c>
      <c r="F580" s="429">
        <v>552.0</v>
      </c>
      <c r="G580" s="429">
        <v>16.0</v>
      </c>
      <c r="H580" s="429">
        <v>5.0</v>
      </c>
      <c r="I580" s="429">
        <v>21.0</v>
      </c>
      <c r="J580" s="430">
        <v>0.76</v>
      </c>
      <c r="K580" s="376" t="s">
        <v>3953</v>
      </c>
      <c r="L580" s="376">
        <v>5.062754449E9</v>
      </c>
      <c r="M580" s="376" t="s">
        <v>14</v>
      </c>
      <c r="N580" s="376" t="s">
        <v>3797</v>
      </c>
      <c r="O580" s="376" t="s">
        <v>182</v>
      </c>
      <c r="P580" s="376" t="s">
        <v>3941</v>
      </c>
      <c r="Q580" s="16">
        <f>COUNTIF('hedef liste'!A:A,A580)</f>
        <v>1</v>
      </c>
    </row>
    <row r="581" hidden="1">
      <c r="A581" s="376" t="s">
        <v>2594</v>
      </c>
      <c r="B581" s="376" t="s">
        <v>7355</v>
      </c>
      <c r="C581" s="428" t="s">
        <v>6979</v>
      </c>
      <c r="D581" s="376" t="s">
        <v>3801</v>
      </c>
      <c r="E581" s="429">
        <v>272.0</v>
      </c>
      <c r="F581" s="429">
        <v>14.0</v>
      </c>
      <c r="G581" s="429">
        <v>7.0</v>
      </c>
      <c r="H581" s="429">
        <v>15.0</v>
      </c>
      <c r="I581" s="429">
        <v>22.0</v>
      </c>
      <c r="J581" s="430">
        <v>0.32</v>
      </c>
      <c r="K581" s="376" t="s">
        <v>4630</v>
      </c>
      <c r="L581" s="376">
        <v>5.541112772E9</v>
      </c>
      <c r="M581" s="376" t="s">
        <v>3707</v>
      </c>
      <c r="N581" s="376" t="s">
        <v>4627</v>
      </c>
      <c r="O581" s="376" t="s">
        <v>2598</v>
      </c>
      <c r="P581" s="376" t="s">
        <v>3941</v>
      </c>
      <c r="Q581" s="16">
        <f>COUNTIF('hedef liste'!A:A,A581)</f>
        <v>1</v>
      </c>
    </row>
    <row r="582" hidden="1">
      <c r="A582" s="376" t="s">
        <v>5023</v>
      </c>
      <c r="B582" s="376" t="s">
        <v>5024</v>
      </c>
      <c r="C582" s="428" t="s">
        <v>7011</v>
      </c>
      <c r="D582" s="376" t="s">
        <v>3749</v>
      </c>
      <c r="F582" s="431"/>
      <c r="G582" s="429">
        <v>0.0</v>
      </c>
      <c r="H582" s="429">
        <v>125.0</v>
      </c>
      <c r="I582" s="429">
        <v>125.0</v>
      </c>
      <c r="J582" s="430">
        <v>0.0</v>
      </c>
      <c r="K582" s="376" t="s">
        <v>5022</v>
      </c>
      <c r="L582" s="376">
        <v>3.222348348E9</v>
      </c>
      <c r="M582" s="376" t="s">
        <v>14</v>
      </c>
      <c r="N582" s="376" t="s">
        <v>3797</v>
      </c>
      <c r="O582" s="376" t="s">
        <v>5025</v>
      </c>
      <c r="P582" s="376" t="s">
        <v>3941</v>
      </c>
      <c r="Q582" s="16">
        <f>COUNTIF('hedef liste'!A:A,A582)</f>
        <v>1</v>
      </c>
    </row>
    <row r="583" hidden="1">
      <c r="A583" s="376" t="s">
        <v>6198</v>
      </c>
      <c r="B583" s="376" t="s">
        <v>6199</v>
      </c>
      <c r="C583" s="428" t="s">
        <v>6979</v>
      </c>
      <c r="D583" s="376" t="s">
        <v>3994</v>
      </c>
      <c r="E583" s="429">
        <v>2040.0</v>
      </c>
      <c r="F583" s="429">
        <v>65.0</v>
      </c>
      <c r="G583" s="429">
        <v>52.0</v>
      </c>
      <c r="H583" s="429">
        <v>19.0</v>
      </c>
      <c r="I583" s="429">
        <v>71.0</v>
      </c>
      <c r="J583" s="430">
        <v>0.73</v>
      </c>
      <c r="K583" s="376" t="s">
        <v>6200</v>
      </c>
      <c r="L583" s="376">
        <v>4443214.0</v>
      </c>
      <c r="M583" s="376" t="s">
        <v>14</v>
      </c>
      <c r="N583" s="376" t="s">
        <v>3797</v>
      </c>
      <c r="O583" s="376" t="s">
        <v>6201</v>
      </c>
      <c r="P583" s="376" t="s">
        <v>3941</v>
      </c>
      <c r="Q583" s="16">
        <f>COUNTIF('hedef liste'!A:A,A583)</f>
        <v>1</v>
      </c>
    </row>
    <row r="584" hidden="1">
      <c r="A584" s="376" t="s">
        <v>6577</v>
      </c>
      <c r="B584" s="376" t="s">
        <v>1987</v>
      </c>
      <c r="C584" s="428" t="s">
        <v>7011</v>
      </c>
      <c r="D584" s="376" t="s">
        <v>3690</v>
      </c>
      <c r="E584" s="429">
        <v>201.0</v>
      </c>
      <c r="F584" s="431"/>
      <c r="G584" s="429">
        <v>5.0</v>
      </c>
      <c r="H584" s="429">
        <v>0.0</v>
      </c>
      <c r="I584" s="429">
        <v>5.0</v>
      </c>
      <c r="J584" s="430">
        <v>1.0</v>
      </c>
      <c r="K584" s="376" t="s">
        <v>6578</v>
      </c>
      <c r="L584" s="376">
        <v>5.411094701E9</v>
      </c>
      <c r="M584" s="376" t="s">
        <v>286</v>
      </c>
      <c r="N584" s="376" t="s">
        <v>5751</v>
      </c>
      <c r="O584" s="376" t="s">
        <v>1990</v>
      </c>
      <c r="P584" s="376" t="s">
        <v>3941</v>
      </c>
      <c r="Q584" s="16">
        <f>COUNTIF('hedef liste'!A:A,A584)</f>
        <v>1</v>
      </c>
    </row>
    <row r="585" hidden="1">
      <c r="A585" s="376" t="s">
        <v>2276</v>
      </c>
      <c r="B585" s="376" t="s">
        <v>2277</v>
      </c>
      <c r="C585" s="428" t="s">
        <v>7011</v>
      </c>
      <c r="D585" s="376" t="s">
        <v>3878</v>
      </c>
      <c r="E585" s="429">
        <v>43.0</v>
      </c>
      <c r="F585" s="431"/>
      <c r="G585" s="429">
        <v>9.0</v>
      </c>
      <c r="H585" s="429">
        <v>18.0</v>
      </c>
      <c r="I585" s="429">
        <v>27.0</v>
      </c>
      <c r="J585" s="430">
        <v>0.33</v>
      </c>
      <c r="K585" s="376" t="s">
        <v>5644</v>
      </c>
      <c r="L585" s="376">
        <v>5.425450126E9</v>
      </c>
      <c r="M585" s="376" t="s">
        <v>14</v>
      </c>
      <c r="N585" s="376" t="s">
        <v>3797</v>
      </c>
      <c r="O585" s="376" t="s">
        <v>2279</v>
      </c>
      <c r="P585" s="376" t="s">
        <v>3941</v>
      </c>
      <c r="Q585" s="16">
        <f>COUNTIF('hedef liste'!A:A,A585)</f>
        <v>1</v>
      </c>
    </row>
    <row r="586" hidden="1">
      <c r="A586" s="376" t="s">
        <v>2745</v>
      </c>
      <c r="B586" s="376" t="s">
        <v>2746</v>
      </c>
      <c r="C586" s="428" t="s">
        <v>6979</v>
      </c>
      <c r="D586" s="376" t="s">
        <v>3842</v>
      </c>
      <c r="E586" s="429">
        <v>496.0</v>
      </c>
      <c r="F586" s="429">
        <v>33.0</v>
      </c>
      <c r="G586" s="429">
        <v>16.0</v>
      </c>
      <c r="H586" s="429">
        <v>49.0</v>
      </c>
      <c r="I586" s="429">
        <v>65.0</v>
      </c>
      <c r="J586" s="430">
        <v>0.25</v>
      </c>
      <c r="K586" s="376" t="s">
        <v>6583</v>
      </c>
      <c r="L586" s="376">
        <v>5.332620525E9</v>
      </c>
      <c r="M586" s="376" t="s">
        <v>286</v>
      </c>
      <c r="N586" s="376" t="s">
        <v>3688</v>
      </c>
      <c r="O586" s="376" t="s">
        <v>2748</v>
      </c>
      <c r="P586" s="376" t="s">
        <v>3941</v>
      </c>
      <c r="Q586" s="16">
        <f>COUNTIF('hedef liste'!A:A,A586)</f>
        <v>1</v>
      </c>
    </row>
    <row r="587" hidden="1">
      <c r="A587" s="376" t="s">
        <v>6208</v>
      </c>
      <c r="B587" s="376" t="s">
        <v>6209</v>
      </c>
      <c r="C587" s="428" t="s">
        <v>6979</v>
      </c>
      <c r="D587" s="376" t="s">
        <v>3994</v>
      </c>
      <c r="E587" s="429">
        <v>1377.0</v>
      </c>
      <c r="F587" s="429">
        <v>102.0</v>
      </c>
      <c r="G587" s="429">
        <v>0.0</v>
      </c>
      <c r="H587" s="429">
        <v>30.0</v>
      </c>
      <c r="I587" s="429">
        <v>30.0</v>
      </c>
      <c r="J587" s="430">
        <v>0.0</v>
      </c>
      <c r="K587" s="376" t="s">
        <v>6210</v>
      </c>
      <c r="L587" s="376">
        <v>5.3983875E9</v>
      </c>
      <c r="M587" s="376" t="s">
        <v>14</v>
      </c>
      <c r="N587" s="376" t="s">
        <v>3767</v>
      </c>
      <c r="O587" s="376" t="s">
        <v>6211</v>
      </c>
      <c r="P587" s="376" t="s">
        <v>3941</v>
      </c>
      <c r="Q587" s="16">
        <f>COUNTIF('hedef liste'!A:A,A587)</f>
        <v>1</v>
      </c>
    </row>
    <row r="588" hidden="1">
      <c r="A588" s="376" t="s">
        <v>6665</v>
      </c>
      <c r="B588" s="376" t="s">
        <v>6666</v>
      </c>
      <c r="C588" s="428" t="s">
        <v>6979</v>
      </c>
      <c r="D588" s="376" t="s">
        <v>3713</v>
      </c>
      <c r="E588" s="429">
        <v>601.0</v>
      </c>
      <c r="F588" s="429">
        <v>33.0</v>
      </c>
      <c r="G588" s="429">
        <v>0.0</v>
      </c>
      <c r="H588" s="429">
        <v>12.0</v>
      </c>
      <c r="I588" s="429">
        <v>12.0</v>
      </c>
      <c r="J588" s="430">
        <v>0.0</v>
      </c>
      <c r="K588" s="376" t="s">
        <v>6667</v>
      </c>
      <c r="L588" s="376">
        <v>3.224542425E9</v>
      </c>
      <c r="M588" s="376" t="s">
        <v>286</v>
      </c>
      <c r="N588" s="376" t="s">
        <v>3806</v>
      </c>
      <c r="O588" s="376" t="s">
        <v>6668</v>
      </c>
      <c r="P588" s="376" t="s">
        <v>3941</v>
      </c>
      <c r="Q588" s="16">
        <f>COUNTIF('hedef liste'!A:A,A588)</f>
        <v>1</v>
      </c>
    </row>
    <row r="589" hidden="1">
      <c r="A589" s="376" t="s">
        <v>2825</v>
      </c>
      <c r="B589" s="376" t="s">
        <v>2826</v>
      </c>
      <c r="C589" s="428" t="s">
        <v>7011</v>
      </c>
      <c r="D589" s="376" t="s">
        <v>3801</v>
      </c>
      <c r="E589" s="429">
        <v>54.0</v>
      </c>
      <c r="F589" s="431"/>
      <c r="G589" s="429">
        <v>8.0</v>
      </c>
      <c r="H589" s="429">
        <v>0.0</v>
      </c>
      <c r="I589" s="429">
        <v>8.0</v>
      </c>
      <c r="J589" s="430">
        <v>1.0</v>
      </c>
      <c r="K589" s="376" t="s">
        <v>3927</v>
      </c>
      <c r="L589" s="376">
        <v>5.447203988E9</v>
      </c>
      <c r="M589" s="376" t="s">
        <v>286</v>
      </c>
      <c r="N589" s="376" t="s">
        <v>3758</v>
      </c>
      <c r="O589" s="376" t="s">
        <v>2828</v>
      </c>
      <c r="P589" s="376" t="s">
        <v>3941</v>
      </c>
      <c r="Q589" s="16">
        <f>COUNTIF('hedef liste'!A:A,A589)</f>
        <v>1</v>
      </c>
    </row>
    <row r="590" hidden="1">
      <c r="A590" s="376" t="s">
        <v>2659</v>
      </c>
      <c r="B590" s="376" t="s">
        <v>2660</v>
      </c>
      <c r="C590" s="428" t="s">
        <v>6979</v>
      </c>
      <c r="D590" s="376" t="s">
        <v>3759</v>
      </c>
      <c r="E590" s="429">
        <v>2824.0</v>
      </c>
      <c r="F590" s="429">
        <v>153.0</v>
      </c>
      <c r="G590" s="429">
        <v>11.0</v>
      </c>
      <c r="H590" s="429">
        <v>9.0</v>
      </c>
      <c r="I590" s="429">
        <v>20.0</v>
      </c>
      <c r="J590" s="430">
        <v>0.55</v>
      </c>
      <c r="K590" s="376" t="s">
        <v>6055</v>
      </c>
      <c r="L590" s="376">
        <v>3.22227999E9</v>
      </c>
      <c r="M590" s="376" t="s">
        <v>14</v>
      </c>
      <c r="N590" s="376" t="s">
        <v>3767</v>
      </c>
      <c r="O590" s="376" t="s">
        <v>6056</v>
      </c>
      <c r="P590" s="376" t="s">
        <v>3941</v>
      </c>
      <c r="Q590" s="16">
        <f>COUNTIF('hedef liste'!A:A,A590)</f>
        <v>1</v>
      </c>
    </row>
    <row r="591" hidden="1">
      <c r="A591" s="376" t="s">
        <v>2848</v>
      </c>
      <c r="B591" s="376" t="s">
        <v>2849</v>
      </c>
      <c r="C591" s="428" t="s">
        <v>6979</v>
      </c>
      <c r="D591" s="376" t="s">
        <v>3699</v>
      </c>
      <c r="E591" s="429">
        <v>458.0</v>
      </c>
      <c r="F591" s="429">
        <v>59.0</v>
      </c>
      <c r="G591" s="429">
        <v>15.0</v>
      </c>
      <c r="H591" s="429">
        <v>17.0</v>
      </c>
      <c r="I591" s="429">
        <v>32.0</v>
      </c>
      <c r="J591" s="430">
        <v>0.47</v>
      </c>
      <c r="K591" s="376" t="s">
        <v>5226</v>
      </c>
      <c r="L591" s="376">
        <v>5.416814214E9</v>
      </c>
      <c r="M591" s="376" t="s">
        <v>14</v>
      </c>
      <c r="N591" s="376" t="s">
        <v>5227</v>
      </c>
      <c r="O591" s="376" t="s">
        <v>2851</v>
      </c>
      <c r="P591" s="376" t="s">
        <v>3941</v>
      </c>
      <c r="Q591" s="16">
        <f>COUNTIF('hedef liste'!A:A,A591)</f>
        <v>1</v>
      </c>
    </row>
    <row r="592" hidden="1">
      <c r="A592" s="376" t="s">
        <v>3083</v>
      </c>
      <c r="B592" s="376" t="s">
        <v>3084</v>
      </c>
      <c r="C592" s="428" t="s">
        <v>6979</v>
      </c>
      <c r="D592" s="376" t="s">
        <v>3676</v>
      </c>
      <c r="E592" s="429">
        <v>673.0</v>
      </c>
      <c r="F592" s="429">
        <v>35.0</v>
      </c>
      <c r="G592" s="429">
        <v>0.0</v>
      </c>
      <c r="H592" s="429">
        <v>26.0</v>
      </c>
      <c r="I592" s="429">
        <v>26.0</v>
      </c>
      <c r="J592" s="430">
        <v>0.0</v>
      </c>
      <c r="K592" s="376" t="s">
        <v>5768</v>
      </c>
      <c r="L592" s="376">
        <v>5.079821682E9</v>
      </c>
      <c r="M592" s="376" t="s">
        <v>286</v>
      </c>
      <c r="N592" s="376" t="s">
        <v>3782</v>
      </c>
      <c r="O592" s="376" t="s">
        <v>3087</v>
      </c>
      <c r="P592" s="376" t="s">
        <v>3941</v>
      </c>
      <c r="Q592" s="16">
        <f>COUNTIF('hedef liste'!A:A,A592)</f>
        <v>1</v>
      </c>
    </row>
    <row r="593" hidden="1">
      <c r="A593" s="376" t="s">
        <v>1747</v>
      </c>
      <c r="B593" s="376" t="s">
        <v>1748</v>
      </c>
      <c r="C593" s="428" t="s">
        <v>6979</v>
      </c>
      <c r="D593" s="376" t="s">
        <v>3676</v>
      </c>
      <c r="E593" s="429">
        <v>2835.0</v>
      </c>
      <c r="F593" s="429">
        <v>95.0</v>
      </c>
      <c r="G593" s="429">
        <v>9.0</v>
      </c>
      <c r="H593" s="429">
        <v>10.0</v>
      </c>
      <c r="I593" s="429">
        <v>19.0</v>
      </c>
      <c r="J593" s="430">
        <v>0.47</v>
      </c>
      <c r="K593" s="376" t="s">
        <v>6541</v>
      </c>
      <c r="L593" s="376">
        <v>3.229995579E9</v>
      </c>
      <c r="M593" s="376" t="s">
        <v>14</v>
      </c>
      <c r="N593" s="376" t="s">
        <v>3678</v>
      </c>
      <c r="O593" s="376" t="s">
        <v>1750</v>
      </c>
      <c r="P593" s="376" t="s">
        <v>3941</v>
      </c>
      <c r="Q593" s="16">
        <f>COUNTIF('hedef liste'!A:A,A593)</f>
        <v>1</v>
      </c>
    </row>
    <row r="594" hidden="1">
      <c r="A594" s="376" t="s">
        <v>2113</v>
      </c>
      <c r="B594" s="376" t="s">
        <v>7356</v>
      </c>
      <c r="C594" s="428" t="s">
        <v>6979</v>
      </c>
      <c r="D594" s="376" t="s">
        <v>3759</v>
      </c>
      <c r="E594" s="429">
        <v>2276.0</v>
      </c>
      <c r="F594" s="429">
        <v>68.0</v>
      </c>
      <c r="G594" s="429">
        <v>3.0</v>
      </c>
      <c r="H594" s="429">
        <v>5.0</v>
      </c>
      <c r="I594" s="429">
        <v>8.0</v>
      </c>
      <c r="J594" s="430">
        <v>0.38</v>
      </c>
      <c r="K594" s="376" t="s">
        <v>3760</v>
      </c>
      <c r="L594" s="376">
        <v>3.223283535E9</v>
      </c>
      <c r="M594" s="376" t="s">
        <v>3707</v>
      </c>
      <c r="N594" s="376" t="s">
        <v>3708</v>
      </c>
      <c r="O594" s="376" t="s">
        <v>2117</v>
      </c>
      <c r="P594" s="376" t="s">
        <v>3941</v>
      </c>
      <c r="Q594" s="16">
        <f>COUNTIF('hedef liste'!A:A,A594)</f>
        <v>1</v>
      </c>
    </row>
    <row r="595" hidden="1">
      <c r="A595" s="376" t="s">
        <v>3937</v>
      </c>
      <c r="B595" s="376" t="s">
        <v>3938</v>
      </c>
      <c r="C595" s="428" t="s">
        <v>6979</v>
      </c>
      <c r="D595" s="376" t="s">
        <v>3676</v>
      </c>
      <c r="E595" s="429">
        <v>4320.0</v>
      </c>
      <c r="F595" s="429">
        <v>256.0</v>
      </c>
      <c r="G595" s="429">
        <v>9.0</v>
      </c>
      <c r="H595" s="429">
        <v>25.0</v>
      </c>
      <c r="I595" s="429">
        <v>34.0</v>
      </c>
      <c r="J595" s="430">
        <v>0.26</v>
      </c>
      <c r="K595" s="376" t="s">
        <v>3939</v>
      </c>
      <c r="L595" s="376">
        <v>3.222563333E9</v>
      </c>
      <c r="M595" s="376" t="s">
        <v>14</v>
      </c>
      <c r="N595" s="376" t="s">
        <v>3678</v>
      </c>
      <c r="O595" s="376" t="s">
        <v>3940</v>
      </c>
      <c r="P595" s="376" t="s">
        <v>3941</v>
      </c>
      <c r="Q595" s="16">
        <f>COUNTIF('hedef liste'!A:A,A595)</f>
        <v>1</v>
      </c>
    </row>
    <row r="596" hidden="1">
      <c r="A596" s="376" t="s">
        <v>6623</v>
      </c>
      <c r="B596" s="376" t="s">
        <v>6624</v>
      </c>
      <c r="C596" s="428" t="s">
        <v>6979</v>
      </c>
      <c r="D596" s="376" t="s">
        <v>3912</v>
      </c>
      <c r="E596" s="429">
        <v>554.0</v>
      </c>
      <c r="F596" s="429">
        <v>30.0</v>
      </c>
      <c r="G596" s="429">
        <v>0.0</v>
      </c>
      <c r="H596" s="429">
        <v>26.0</v>
      </c>
      <c r="I596" s="429">
        <v>26.0</v>
      </c>
      <c r="J596" s="430">
        <v>0.0</v>
      </c>
      <c r="K596" s="376" t="s">
        <v>6625</v>
      </c>
      <c r="L596" s="376">
        <v>5.436503101E9</v>
      </c>
      <c r="M596" s="376" t="s">
        <v>3701</v>
      </c>
      <c r="N596" s="376" t="s">
        <v>3702</v>
      </c>
      <c r="O596" s="376" t="s">
        <v>6626</v>
      </c>
      <c r="P596" s="376" t="s">
        <v>3941</v>
      </c>
      <c r="Q596" s="16">
        <f>COUNTIF('hedef liste'!A:A,A596)</f>
        <v>1</v>
      </c>
    </row>
    <row r="597" hidden="1">
      <c r="A597" s="376" t="s">
        <v>938</v>
      </c>
      <c r="B597" s="376" t="s">
        <v>939</v>
      </c>
      <c r="C597" s="428" t="s">
        <v>6979</v>
      </c>
      <c r="D597" s="376" t="s">
        <v>3699</v>
      </c>
      <c r="E597" s="429">
        <v>1037.0</v>
      </c>
      <c r="F597" s="429">
        <v>37.0</v>
      </c>
      <c r="G597" s="429">
        <v>3.0</v>
      </c>
      <c r="H597" s="429">
        <v>6.0</v>
      </c>
      <c r="I597" s="429">
        <v>9.0</v>
      </c>
      <c r="J597" s="430">
        <v>0.33</v>
      </c>
      <c r="K597" s="376" t="s">
        <v>6071</v>
      </c>
      <c r="L597" s="376">
        <v>5.539594629E9</v>
      </c>
      <c r="M597" s="376" t="s">
        <v>14</v>
      </c>
      <c r="N597" s="376" t="s">
        <v>3935</v>
      </c>
      <c r="O597" s="376" t="s">
        <v>941</v>
      </c>
      <c r="P597" s="376" t="s">
        <v>3941</v>
      </c>
      <c r="Q597" s="16">
        <f>COUNTIF('hedef liste'!A:A,A597)</f>
        <v>1</v>
      </c>
    </row>
    <row r="598" hidden="1">
      <c r="A598" s="376" t="s">
        <v>6357</v>
      </c>
      <c r="B598" s="376" t="s">
        <v>6358</v>
      </c>
      <c r="C598" s="428" t="s">
        <v>6979</v>
      </c>
      <c r="D598" s="376" t="s">
        <v>3713</v>
      </c>
      <c r="E598" s="429">
        <v>870.0</v>
      </c>
      <c r="F598" s="429">
        <v>19.0</v>
      </c>
      <c r="G598" s="429">
        <v>0.0</v>
      </c>
      <c r="H598" s="429">
        <v>7.0</v>
      </c>
      <c r="I598" s="429">
        <v>7.0</v>
      </c>
      <c r="J598" s="430">
        <v>0.0</v>
      </c>
      <c r="K598" s="376" t="s">
        <v>6359</v>
      </c>
      <c r="L598" s="376">
        <v>3.225162323E9</v>
      </c>
      <c r="M598" s="376" t="s">
        <v>3814</v>
      </c>
      <c r="N598" s="376" t="s">
        <v>6360</v>
      </c>
      <c r="O598" s="376" t="s">
        <v>6361</v>
      </c>
      <c r="P598" s="376" t="s">
        <v>3941</v>
      </c>
      <c r="Q598" s="16">
        <f>COUNTIF('hedef liste'!A:A,A598)</f>
        <v>1</v>
      </c>
    </row>
    <row r="599" hidden="1">
      <c r="A599" s="376" t="s">
        <v>7357</v>
      </c>
      <c r="B599" s="376" t="s">
        <v>7358</v>
      </c>
      <c r="C599" s="428" t="s">
        <v>6979</v>
      </c>
      <c r="D599" s="376" t="s">
        <v>3801</v>
      </c>
      <c r="E599" s="429">
        <v>1301.0</v>
      </c>
      <c r="F599" s="429">
        <v>94.0</v>
      </c>
      <c r="G599" s="429">
        <v>58.0</v>
      </c>
      <c r="H599" s="429">
        <v>3.0</v>
      </c>
      <c r="I599" s="429">
        <v>61.0</v>
      </c>
      <c r="J599" s="430">
        <v>0.95</v>
      </c>
      <c r="K599" s="376" t="s">
        <v>6998</v>
      </c>
      <c r="L599" s="376">
        <v>5.451754045E9</v>
      </c>
      <c r="M599" s="376" t="s">
        <v>3814</v>
      </c>
      <c r="N599" s="376" t="s">
        <v>5297</v>
      </c>
      <c r="O599" s="376" t="s">
        <v>7359</v>
      </c>
      <c r="P599" s="376" t="s">
        <v>6982</v>
      </c>
      <c r="Q599" s="16">
        <f>COUNTIF('hedef liste'!A:A,A599)</f>
        <v>0</v>
      </c>
    </row>
    <row r="600" hidden="1">
      <c r="A600" s="376" t="s">
        <v>6502</v>
      </c>
      <c r="B600" s="376" t="s">
        <v>6503</v>
      </c>
      <c r="C600" s="428" t="s">
        <v>7011</v>
      </c>
      <c r="D600" s="376" t="s">
        <v>3690</v>
      </c>
      <c r="E600" s="429">
        <v>82.0</v>
      </c>
      <c r="F600" s="431"/>
      <c r="G600" s="429">
        <v>0.0</v>
      </c>
      <c r="H600" s="429">
        <v>13.0</v>
      </c>
      <c r="I600" s="429">
        <v>13.0</v>
      </c>
      <c r="J600" s="430">
        <v>0.0</v>
      </c>
      <c r="K600" s="376" t="s">
        <v>6504</v>
      </c>
      <c r="L600" s="376">
        <v>5.451260201E9</v>
      </c>
      <c r="M600" s="376" t="s">
        <v>14</v>
      </c>
      <c r="N600" s="376" t="s">
        <v>3797</v>
      </c>
      <c r="O600" s="376" t="s">
        <v>6505</v>
      </c>
      <c r="P600" s="376" t="s">
        <v>3941</v>
      </c>
      <c r="Q600" s="16">
        <f>COUNTIF('hedef liste'!A:A,A600)</f>
        <v>1</v>
      </c>
    </row>
    <row r="601" hidden="1">
      <c r="A601" s="376" t="s">
        <v>1367</v>
      </c>
      <c r="B601" s="376" t="s">
        <v>1368</v>
      </c>
      <c r="C601" s="428" t="s">
        <v>6979</v>
      </c>
      <c r="D601" s="376" t="s">
        <v>3907</v>
      </c>
      <c r="E601" s="429">
        <v>119.0</v>
      </c>
      <c r="F601" s="431"/>
      <c r="G601" s="429">
        <v>12.0</v>
      </c>
      <c r="H601" s="429">
        <v>21.0</v>
      </c>
      <c r="I601" s="429">
        <v>33.0</v>
      </c>
      <c r="J601" s="430">
        <v>0.36</v>
      </c>
      <c r="K601" s="376" t="s">
        <v>4272</v>
      </c>
      <c r="L601" s="376">
        <v>5.32604642E9</v>
      </c>
      <c r="M601" s="376" t="s">
        <v>286</v>
      </c>
      <c r="N601" s="376" t="s">
        <v>3737</v>
      </c>
      <c r="O601" s="376" t="s">
        <v>301</v>
      </c>
      <c r="P601" s="376" t="s">
        <v>3941</v>
      </c>
      <c r="Q601" s="16">
        <f>COUNTIF('hedef liste'!A:A,A601)</f>
        <v>1</v>
      </c>
    </row>
    <row r="602" hidden="1">
      <c r="A602" s="376" t="s">
        <v>2993</v>
      </c>
      <c r="B602" s="376" t="s">
        <v>2994</v>
      </c>
      <c r="C602" s="428" t="s">
        <v>6979</v>
      </c>
      <c r="D602" s="376" t="s">
        <v>3878</v>
      </c>
      <c r="E602" s="429">
        <v>151.0</v>
      </c>
      <c r="F602" s="429">
        <v>26.0</v>
      </c>
      <c r="G602" s="429">
        <v>0.0</v>
      </c>
      <c r="H602" s="429">
        <v>65.0</v>
      </c>
      <c r="I602" s="429">
        <v>65.0</v>
      </c>
      <c r="J602" s="430">
        <v>0.0</v>
      </c>
      <c r="K602" s="376" t="s">
        <v>6312</v>
      </c>
      <c r="L602" s="376">
        <v>5.050703611E9</v>
      </c>
      <c r="M602" s="376" t="s">
        <v>286</v>
      </c>
      <c r="N602" s="376" t="s">
        <v>3737</v>
      </c>
      <c r="O602" s="376" t="s">
        <v>2996</v>
      </c>
      <c r="P602" s="376" t="s">
        <v>3941</v>
      </c>
      <c r="Q602" s="16">
        <f>COUNTIF('hedef liste'!A:A,A602)</f>
        <v>1</v>
      </c>
    </row>
    <row r="603" hidden="1">
      <c r="A603" s="376" t="s">
        <v>7360</v>
      </c>
      <c r="B603" s="376" t="s">
        <v>7361</v>
      </c>
      <c r="C603" s="428" t="s">
        <v>6979</v>
      </c>
      <c r="D603" s="376" t="s">
        <v>3699</v>
      </c>
      <c r="E603" s="429">
        <v>803.0</v>
      </c>
      <c r="F603" s="431"/>
      <c r="G603" s="429">
        <v>24.0</v>
      </c>
      <c r="H603" s="429">
        <v>20.0</v>
      </c>
      <c r="I603" s="429">
        <v>44.0</v>
      </c>
      <c r="J603" s="430">
        <v>0.55</v>
      </c>
      <c r="K603" s="376" t="s">
        <v>7362</v>
      </c>
      <c r="L603" s="376">
        <v>5.528331614E9</v>
      </c>
      <c r="M603" s="376" t="s">
        <v>286</v>
      </c>
      <c r="N603" s="376" t="s">
        <v>3782</v>
      </c>
      <c r="O603" s="376" t="s">
        <v>7363</v>
      </c>
      <c r="P603" s="376" t="s">
        <v>3941</v>
      </c>
      <c r="Q603" s="16">
        <f>COUNTIF('hedef liste'!A:A,A603)</f>
        <v>0</v>
      </c>
    </row>
    <row r="604" hidden="1">
      <c r="A604" s="376" t="s">
        <v>3048</v>
      </c>
      <c r="B604" s="376" t="s">
        <v>3049</v>
      </c>
      <c r="C604" s="428" t="s">
        <v>6979</v>
      </c>
      <c r="D604" s="376" t="s">
        <v>3690</v>
      </c>
      <c r="E604" s="429">
        <v>1251.0</v>
      </c>
      <c r="F604" s="429">
        <v>95.0</v>
      </c>
      <c r="G604" s="429">
        <v>11.0</v>
      </c>
      <c r="H604" s="429">
        <v>3.0</v>
      </c>
      <c r="I604" s="429">
        <v>14.0</v>
      </c>
      <c r="J604" s="430">
        <v>0.79</v>
      </c>
      <c r="K604" s="376" t="s">
        <v>4155</v>
      </c>
      <c r="L604" s="376">
        <v>5.357292874E9</v>
      </c>
      <c r="M604" s="376" t="s">
        <v>3692</v>
      </c>
      <c r="N604" s="376" t="s">
        <v>7050</v>
      </c>
      <c r="O604" s="376" t="s">
        <v>3051</v>
      </c>
      <c r="P604" s="376" t="s">
        <v>3941</v>
      </c>
      <c r="Q604" s="16">
        <f>COUNTIF('hedef liste'!A:A,A604)</f>
        <v>1</v>
      </c>
    </row>
    <row r="605" hidden="1">
      <c r="A605" s="376" t="s">
        <v>486</v>
      </c>
      <c r="B605" s="376" t="s">
        <v>487</v>
      </c>
      <c r="C605" s="428" t="s">
        <v>6979</v>
      </c>
      <c r="D605" s="376" t="s">
        <v>3690</v>
      </c>
      <c r="E605" s="429">
        <v>1368.0</v>
      </c>
      <c r="F605" s="429">
        <v>56.0</v>
      </c>
      <c r="G605" s="429">
        <v>10.0</v>
      </c>
      <c r="H605" s="429">
        <v>5.0</v>
      </c>
      <c r="I605" s="429">
        <v>15.0</v>
      </c>
      <c r="J605" s="430">
        <v>0.67</v>
      </c>
      <c r="K605" s="376" t="s">
        <v>6395</v>
      </c>
      <c r="L605" s="376">
        <v>5.44938018E9</v>
      </c>
      <c r="M605" s="376" t="s">
        <v>14</v>
      </c>
      <c r="N605" s="376" t="s">
        <v>3718</v>
      </c>
      <c r="O605" s="376" t="s">
        <v>490</v>
      </c>
      <c r="P605" s="376" t="s">
        <v>3941</v>
      </c>
      <c r="Q605" s="16">
        <f>COUNTIF('hedef liste'!A:A,A605)</f>
        <v>1</v>
      </c>
    </row>
    <row r="606" hidden="1">
      <c r="A606" s="376" t="s">
        <v>7364</v>
      </c>
      <c r="B606" s="376" t="s">
        <v>7365</v>
      </c>
      <c r="C606" s="428" t="s">
        <v>6979</v>
      </c>
      <c r="D606" s="376" t="s">
        <v>3994</v>
      </c>
      <c r="E606" s="429">
        <v>3798.0</v>
      </c>
      <c r="F606" s="429">
        <v>213.0</v>
      </c>
      <c r="G606" s="429">
        <v>76.0</v>
      </c>
      <c r="H606" s="429">
        <v>19.0</v>
      </c>
      <c r="I606" s="429">
        <v>95.0</v>
      </c>
      <c r="J606" s="430">
        <v>0.8</v>
      </c>
      <c r="K606" s="376" t="s">
        <v>7178</v>
      </c>
      <c r="L606" s="376">
        <v>3.226112E9</v>
      </c>
      <c r="M606" s="376" t="s">
        <v>3701</v>
      </c>
      <c r="N606" s="376" t="s">
        <v>3702</v>
      </c>
      <c r="O606" s="376" t="s">
        <v>7366</v>
      </c>
      <c r="P606" s="376" t="s">
        <v>6982</v>
      </c>
      <c r="Q606" s="16">
        <f>COUNTIF('hedef liste'!A:A,A606)</f>
        <v>0</v>
      </c>
    </row>
    <row r="607" hidden="1">
      <c r="A607" s="376" t="s">
        <v>2862</v>
      </c>
      <c r="B607" s="376" t="s">
        <v>2863</v>
      </c>
      <c r="C607" s="428" t="s">
        <v>6979</v>
      </c>
      <c r="D607" s="376" t="s">
        <v>3699</v>
      </c>
      <c r="E607" s="429">
        <v>109.0</v>
      </c>
      <c r="F607" s="429">
        <v>14.0</v>
      </c>
      <c r="G607" s="429">
        <v>18.0</v>
      </c>
      <c r="H607" s="429">
        <v>24.0</v>
      </c>
      <c r="I607" s="429">
        <v>42.0</v>
      </c>
      <c r="J607" s="430">
        <v>0.43</v>
      </c>
      <c r="K607" s="376" t="s">
        <v>6168</v>
      </c>
      <c r="L607" s="376">
        <v>3.224578585E9</v>
      </c>
      <c r="M607" s="376" t="s">
        <v>286</v>
      </c>
      <c r="N607" s="376" t="s">
        <v>3806</v>
      </c>
      <c r="O607" s="376" t="s">
        <v>6169</v>
      </c>
      <c r="P607" s="376" t="s">
        <v>3941</v>
      </c>
      <c r="Q607" s="16">
        <f>COUNTIF('hedef liste'!A:A,A607)</f>
        <v>1</v>
      </c>
    </row>
    <row r="608" hidden="1">
      <c r="A608" s="376" t="s">
        <v>4615</v>
      </c>
      <c r="B608" s="376" t="s">
        <v>7367</v>
      </c>
      <c r="C608" s="428" t="s">
        <v>6979</v>
      </c>
      <c r="D608" s="376" t="s">
        <v>3801</v>
      </c>
      <c r="E608" s="429">
        <v>600.0</v>
      </c>
      <c r="F608" s="429">
        <v>17.0</v>
      </c>
      <c r="G608" s="429">
        <v>14.0</v>
      </c>
      <c r="H608" s="429">
        <v>2.0</v>
      </c>
      <c r="I608" s="429">
        <v>16.0</v>
      </c>
      <c r="J608" s="430">
        <v>0.88</v>
      </c>
      <c r="K608" s="376" t="s">
        <v>4617</v>
      </c>
      <c r="L608" s="376">
        <v>3.22323001E9</v>
      </c>
      <c r="M608" s="376" t="s">
        <v>3707</v>
      </c>
      <c r="N608" s="376" t="s">
        <v>4570</v>
      </c>
      <c r="O608" s="376" t="s">
        <v>4618</v>
      </c>
      <c r="P608" s="376" t="s">
        <v>3941</v>
      </c>
      <c r="Q608" s="16">
        <f>COUNTIF('hedef liste'!A:A,A608)</f>
        <v>1</v>
      </c>
    </row>
    <row r="609" hidden="1">
      <c r="A609" s="376" t="s">
        <v>2348</v>
      </c>
      <c r="B609" s="376" t="s">
        <v>2349</v>
      </c>
      <c r="C609" s="428" t="s">
        <v>6979</v>
      </c>
      <c r="D609" s="376" t="s">
        <v>3842</v>
      </c>
      <c r="E609" s="429">
        <v>1957.0</v>
      </c>
      <c r="F609" s="429">
        <v>59.0</v>
      </c>
      <c r="G609" s="429">
        <v>7.0</v>
      </c>
      <c r="H609" s="429">
        <v>2.0</v>
      </c>
      <c r="I609" s="429">
        <v>9.0</v>
      </c>
      <c r="J609" s="430">
        <v>0.78</v>
      </c>
      <c r="K609" s="376" t="s">
        <v>6556</v>
      </c>
      <c r="L609" s="376">
        <v>5.349379214E9</v>
      </c>
      <c r="M609" s="376" t="s">
        <v>14</v>
      </c>
      <c r="N609" s="376" t="s">
        <v>3767</v>
      </c>
      <c r="O609" s="376" t="s">
        <v>2351</v>
      </c>
      <c r="P609" s="376" t="s">
        <v>3941</v>
      </c>
      <c r="Q609" s="16">
        <f>COUNTIF('hedef liste'!A:A,A609)</f>
        <v>1</v>
      </c>
    </row>
    <row r="610" hidden="1">
      <c r="A610" s="376" t="s">
        <v>7368</v>
      </c>
      <c r="B610" s="376" t="s">
        <v>7369</v>
      </c>
      <c r="C610" s="428" t="s">
        <v>6979</v>
      </c>
      <c r="D610" s="376" t="s">
        <v>3801</v>
      </c>
      <c r="E610" s="429">
        <v>787.0</v>
      </c>
      <c r="F610" s="429">
        <v>30.0</v>
      </c>
      <c r="G610" s="429">
        <v>91.0</v>
      </c>
      <c r="H610" s="429">
        <v>7.0</v>
      </c>
      <c r="I610" s="429">
        <v>98.0</v>
      </c>
      <c r="J610" s="430">
        <v>0.93</v>
      </c>
      <c r="K610" s="376" t="s">
        <v>6998</v>
      </c>
      <c r="L610" s="376">
        <v>5.515900552E9</v>
      </c>
      <c r="M610" s="376" t="s">
        <v>286</v>
      </c>
      <c r="N610" s="376" t="s">
        <v>3746</v>
      </c>
      <c r="O610" s="376" t="s">
        <v>7370</v>
      </c>
      <c r="P610" s="376" t="s">
        <v>6982</v>
      </c>
      <c r="Q610" s="16">
        <f>COUNTIF('hedef liste'!A:A,A610)</f>
        <v>0</v>
      </c>
    </row>
    <row r="611" hidden="1">
      <c r="A611" s="376" t="s">
        <v>7371</v>
      </c>
      <c r="B611" s="376" t="s">
        <v>7372</v>
      </c>
      <c r="C611" s="428" t="s">
        <v>6979</v>
      </c>
      <c r="D611" s="376" t="s">
        <v>3801</v>
      </c>
      <c r="E611" s="429">
        <v>1748.0</v>
      </c>
      <c r="F611" s="429">
        <v>104.0</v>
      </c>
      <c r="G611" s="429">
        <v>24.0</v>
      </c>
      <c r="H611" s="429">
        <v>0.0</v>
      </c>
      <c r="I611" s="429">
        <v>24.0</v>
      </c>
      <c r="J611" s="430">
        <v>1.0</v>
      </c>
      <c r="K611" s="376" t="s">
        <v>7373</v>
      </c>
      <c r="L611" s="376">
        <v>5.306225688E9</v>
      </c>
      <c r="M611" s="376" t="s">
        <v>286</v>
      </c>
      <c r="N611" s="376" t="s">
        <v>6438</v>
      </c>
      <c r="O611" s="376" t="s">
        <v>7374</v>
      </c>
      <c r="P611" s="376" t="s">
        <v>6982</v>
      </c>
      <c r="Q611" s="16">
        <f>COUNTIF('hedef liste'!A:A,A611)</f>
        <v>0</v>
      </c>
    </row>
    <row r="612" hidden="1">
      <c r="A612" s="376" t="s">
        <v>2776</v>
      </c>
      <c r="B612" s="376" t="s">
        <v>7375</v>
      </c>
      <c r="C612" s="428" t="s">
        <v>6979</v>
      </c>
      <c r="D612" s="376" t="s">
        <v>3690</v>
      </c>
      <c r="E612" s="429">
        <v>179.0</v>
      </c>
      <c r="F612" s="431"/>
      <c r="G612" s="429">
        <v>0.0</v>
      </c>
      <c r="H612" s="429">
        <v>5.0</v>
      </c>
      <c r="I612" s="429">
        <v>5.0</v>
      </c>
      <c r="J612" s="430">
        <v>0.0</v>
      </c>
      <c r="K612" s="376" t="s">
        <v>5398</v>
      </c>
      <c r="L612" s="376">
        <v>5.30499871E9</v>
      </c>
      <c r="M612" s="376" t="s">
        <v>286</v>
      </c>
      <c r="N612" s="376" t="s">
        <v>4400</v>
      </c>
      <c r="O612" s="376" t="s">
        <v>2780</v>
      </c>
      <c r="P612" s="376" t="s">
        <v>3941</v>
      </c>
      <c r="Q612" s="16">
        <f>COUNTIF('hedef liste'!A:A,A612)</f>
        <v>1</v>
      </c>
    </row>
    <row r="613" hidden="1">
      <c r="A613" s="376" t="s">
        <v>2128</v>
      </c>
      <c r="B613" s="376" t="s">
        <v>2129</v>
      </c>
      <c r="C613" s="428" t="s">
        <v>6979</v>
      </c>
      <c r="D613" s="376" t="s">
        <v>3713</v>
      </c>
      <c r="E613" s="429">
        <v>199.0</v>
      </c>
      <c r="F613" s="429">
        <v>8.0</v>
      </c>
      <c r="G613" s="429">
        <v>14.0</v>
      </c>
      <c r="H613" s="429">
        <v>6.0</v>
      </c>
      <c r="I613" s="429">
        <v>20.0</v>
      </c>
      <c r="J613" s="430">
        <v>0.7</v>
      </c>
      <c r="K613" s="376" t="s">
        <v>3781</v>
      </c>
      <c r="L613" s="376">
        <v>3.222257171E9</v>
      </c>
      <c r="M613" s="376" t="s">
        <v>286</v>
      </c>
      <c r="N613" s="376" t="s">
        <v>3754</v>
      </c>
      <c r="O613" s="376" t="s">
        <v>2132</v>
      </c>
      <c r="P613" s="376" t="s">
        <v>3941</v>
      </c>
      <c r="Q613" s="16">
        <f>COUNTIF('hedef liste'!A:A,A613)</f>
        <v>1</v>
      </c>
    </row>
    <row r="614" hidden="1">
      <c r="A614" s="376" t="s">
        <v>5660</v>
      </c>
      <c r="B614" s="376" t="s">
        <v>5661</v>
      </c>
      <c r="C614" s="428" t="s">
        <v>6979</v>
      </c>
      <c r="D614" s="376" t="s">
        <v>3878</v>
      </c>
      <c r="E614" s="429">
        <v>4098.0</v>
      </c>
      <c r="F614" s="429">
        <v>267.0</v>
      </c>
      <c r="G614" s="429">
        <v>0.0</v>
      </c>
      <c r="H614" s="429">
        <v>22.0</v>
      </c>
      <c r="I614" s="429">
        <v>22.0</v>
      </c>
      <c r="J614" s="430">
        <v>0.0</v>
      </c>
      <c r="K614" s="376" t="s">
        <v>4821</v>
      </c>
      <c r="L614" s="376">
        <v>3.229994942E9</v>
      </c>
      <c r="M614" s="376" t="s">
        <v>14</v>
      </c>
      <c r="N614" s="376" t="s">
        <v>3797</v>
      </c>
      <c r="O614" s="376" t="s">
        <v>5662</v>
      </c>
      <c r="P614" s="376" t="s">
        <v>3941</v>
      </c>
      <c r="Q614" s="16">
        <f>COUNTIF('hedef liste'!A:A,A614)</f>
        <v>1</v>
      </c>
    </row>
    <row r="615" hidden="1">
      <c r="A615" s="376" t="s">
        <v>2445</v>
      </c>
      <c r="B615" s="376" t="s">
        <v>2446</v>
      </c>
      <c r="C615" s="428" t="s">
        <v>6979</v>
      </c>
      <c r="D615" s="376" t="s">
        <v>3676</v>
      </c>
      <c r="E615" s="429">
        <v>996.0</v>
      </c>
      <c r="F615" s="429">
        <v>32.0</v>
      </c>
      <c r="G615" s="429">
        <v>0.0</v>
      </c>
      <c r="H615" s="429">
        <v>18.0</v>
      </c>
      <c r="I615" s="429">
        <v>18.0</v>
      </c>
      <c r="J615" s="430">
        <v>0.0</v>
      </c>
      <c r="K615" s="376" t="s">
        <v>4554</v>
      </c>
      <c r="L615" s="376">
        <v>3.222279E9</v>
      </c>
      <c r="M615" s="376" t="s">
        <v>14</v>
      </c>
      <c r="N615" s="376" t="s">
        <v>3767</v>
      </c>
      <c r="O615" s="376" t="s">
        <v>2448</v>
      </c>
      <c r="P615" s="376" t="s">
        <v>3941</v>
      </c>
      <c r="Q615" s="16">
        <f>COUNTIF('hedef liste'!A:A,A615)</f>
        <v>1</v>
      </c>
    </row>
    <row r="616" hidden="1">
      <c r="A616" s="376" t="s">
        <v>5604</v>
      </c>
      <c r="B616" s="376" t="s">
        <v>5605</v>
      </c>
      <c r="C616" s="428" t="s">
        <v>6979</v>
      </c>
      <c r="D616" s="376" t="s">
        <v>3994</v>
      </c>
      <c r="E616" s="429">
        <v>159.0</v>
      </c>
      <c r="F616" s="431"/>
      <c r="G616" s="429">
        <v>0.0</v>
      </c>
      <c r="H616" s="429">
        <v>62.0</v>
      </c>
      <c r="I616" s="429">
        <v>62.0</v>
      </c>
      <c r="J616" s="430">
        <v>0.0</v>
      </c>
      <c r="K616" s="376" t="s">
        <v>5606</v>
      </c>
      <c r="L616" s="376">
        <v>5.421571234E9</v>
      </c>
      <c r="M616" s="376" t="s">
        <v>286</v>
      </c>
      <c r="N616" s="376" t="s">
        <v>3688</v>
      </c>
      <c r="O616" s="376" t="s">
        <v>5607</v>
      </c>
      <c r="P616" s="376" t="s">
        <v>3941</v>
      </c>
      <c r="Q616" s="16">
        <f>COUNTIF('hedef liste'!A:A,A616)</f>
        <v>1</v>
      </c>
    </row>
    <row r="617" hidden="1">
      <c r="A617" s="376" t="s">
        <v>4927</v>
      </c>
      <c r="B617" s="376" t="s">
        <v>4928</v>
      </c>
      <c r="C617" s="428" t="s">
        <v>6979</v>
      </c>
      <c r="D617" s="376" t="s">
        <v>3676</v>
      </c>
      <c r="E617" s="429">
        <v>7113.0</v>
      </c>
      <c r="F617" s="429">
        <v>373.0</v>
      </c>
      <c r="G617" s="429">
        <v>8.0</v>
      </c>
      <c r="H617" s="429">
        <v>17.0</v>
      </c>
      <c r="I617" s="429">
        <v>25.0</v>
      </c>
      <c r="J617" s="430">
        <v>0.32</v>
      </c>
      <c r="K617" s="376" t="s">
        <v>4929</v>
      </c>
      <c r="L617" s="376">
        <v>3.225032525E9</v>
      </c>
      <c r="M617" s="376" t="s">
        <v>286</v>
      </c>
      <c r="N617" s="376" t="s">
        <v>3855</v>
      </c>
      <c r="O617" s="376" t="s">
        <v>4930</v>
      </c>
      <c r="P617" s="376" t="s">
        <v>3941</v>
      </c>
      <c r="Q617" s="16">
        <f>COUNTIF('hedef liste'!A:A,A617)</f>
        <v>1</v>
      </c>
    </row>
    <row r="618" hidden="1">
      <c r="A618" s="376" t="s">
        <v>2960</v>
      </c>
      <c r="B618" s="376" t="s">
        <v>7376</v>
      </c>
      <c r="C618" s="428" t="s">
        <v>6979</v>
      </c>
      <c r="D618" s="376" t="s">
        <v>3690</v>
      </c>
      <c r="E618" s="429">
        <v>1864.0</v>
      </c>
      <c r="F618" s="429">
        <v>70.0</v>
      </c>
      <c r="G618" s="429">
        <v>0.0</v>
      </c>
      <c r="H618" s="429">
        <v>9.0</v>
      </c>
      <c r="I618" s="429">
        <v>9.0</v>
      </c>
      <c r="J618" s="430">
        <v>0.0</v>
      </c>
      <c r="K618" s="376" t="s">
        <v>6609</v>
      </c>
      <c r="L618" s="376">
        <v>5.42117544E9</v>
      </c>
      <c r="M618" s="376" t="s">
        <v>3692</v>
      </c>
      <c r="N618" s="376" t="s">
        <v>3869</v>
      </c>
      <c r="O618" s="376" t="s">
        <v>2963</v>
      </c>
      <c r="P618" s="376" t="s">
        <v>3941</v>
      </c>
      <c r="Q618" s="16">
        <f>COUNTIF('hedef liste'!A:A,A618)</f>
        <v>1</v>
      </c>
    </row>
    <row r="619" hidden="1">
      <c r="A619" s="376" t="s">
        <v>2219</v>
      </c>
      <c r="B619" s="376" t="s">
        <v>7377</v>
      </c>
      <c r="C619" s="428" t="s">
        <v>6979</v>
      </c>
      <c r="D619" s="376" t="s">
        <v>3676</v>
      </c>
      <c r="E619" s="429">
        <v>579.0</v>
      </c>
      <c r="F619" s="429">
        <v>20.0</v>
      </c>
      <c r="G619" s="429">
        <v>0.0</v>
      </c>
      <c r="H619" s="429">
        <v>10.0</v>
      </c>
      <c r="I619" s="429">
        <v>10.0</v>
      </c>
      <c r="J619" s="430">
        <v>0.0</v>
      </c>
      <c r="K619" s="376" t="s">
        <v>5000</v>
      </c>
      <c r="L619" s="376">
        <v>3.222471199E9</v>
      </c>
      <c r="M619" s="376" t="s">
        <v>14</v>
      </c>
      <c r="N619" s="376" t="s">
        <v>3935</v>
      </c>
      <c r="O619" s="376" t="s">
        <v>2222</v>
      </c>
      <c r="P619" s="376" t="s">
        <v>3941</v>
      </c>
      <c r="Q619" s="16">
        <f>COUNTIF('hedef liste'!A:A,A619)</f>
        <v>1</v>
      </c>
    </row>
    <row r="620" hidden="1">
      <c r="A620" s="376" t="s">
        <v>7378</v>
      </c>
      <c r="B620" s="376" t="s">
        <v>7379</v>
      </c>
      <c r="C620" s="428" t="s">
        <v>6979</v>
      </c>
      <c r="D620" s="376" t="s">
        <v>3801</v>
      </c>
      <c r="E620" s="429">
        <v>111.0</v>
      </c>
      <c r="F620" s="431"/>
      <c r="G620" s="429">
        <v>52.0</v>
      </c>
      <c r="H620" s="429">
        <v>2.0</v>
      </c>
      <c r="I620" s="429">
        <v>54.0</v>
      </c>
      <c r="J620" s="430">
        <v>0.96</v>
      </c>
      <c r="K620" s="376" t="s">
        <v>6998</v>
      </c>
      <c r="L620" s="376">
        <v>5.538962171E9</v>
      </c>
      <c r="M620" s="376" t="s">
        <v>286</v>
      </c>
      <c r="N620" s="376" t="s">
        <v>5192</v>
      </c>
      <c r="O620" s="376" t="s">
        <v>7380</v>
      </c>
      <c r="P620" s="376" t="s">
        <v>6982</v>
      </c>
      <c r="Q620" s="16">
        <f>COUNTIF('hedef liste'!A:A,A620)</f>
        <v>0</v>
      </c>
    </row>
    <row r="621" hidden="1">
      <c r="A621" s="376" t="s">
        <v>1255</v>
      </c>
      <c r="B621" s="376" t="s">
        <v>7381</v>
      </c>
      <c r="C621" s="428" t="s">
        <v>6979</v>
      </c>
      <c r="D621" s="376" t="s">
        <v>3759</v>
      </c>
      <c r="E621" s="429">
        <v>544.0</v>
      </c>
      <c r="F621" s="429">
        <v>30.0</v>
      </c>
      <c r="G621" s="429">
        <v>55.0</v>
      </c>
      <c r="H621" s="429">
        <v>15.0</v>
      </c>
      <c r="I621" s="429">
        <v>70.0</v>
      </c>
      <c r="J621" s="430">
        <v>0.79</v>
      </c>
      <c r="K621" s="376" t="s">
        <v>6099</v>
      </c>
      <c r="L621" s="376">
        <v>3.222350725E9</v>
      </c>
      <c r="M621" s="376" t="s">
        <v>14</v>
      </c>
      <c r="N621" s="376" t="s">
        <v>3797</v>
      </c>
      <c r="O621" s="376" t="s">
        <v>1258</v>
      </c>
      <c r="P621" s="376" t="s">
        <v>3941</v>
      </c>
      <c r="Q621" s="16">
        <f>COUNTIF('hedef liste'!A:A,A621)</f>
        <v>1</v>
      </c>
    </row>
    <row r="622" hidden="1">
      <c r="A622" s="376" t="s">
        <v>5290</v>
      </c>
      <c r="B622" s="376" t="s">
        <v>7382</v>
      </c>
      <c r="C622" s="428" t="s">
        <v>6979</v>
      </c>
      <c r="D622" s="376" t="s">
        <v>3713</v>
      </c>
      <c r="E622" s="429">
        <v>1496.0</v>
      </c>
      <c r="F622" s="429">
        <v>31.0</v>
      </c>
      <c r="G622" s="429">
        <v>0.0</v>
      </c>
      <c r="H622" s="429">
        <v>7.0</v>
      </c>
      <c r="I622" s="429">
        <v>7.0</v>
      </c>
      <c r="J622" s="430">
        <v>0.0</v>
      </c>
      <c r="K622" s="376" t="s">
        <v>5292</v>
      </c>
      <c r="L622" s="376">
        <v>5.510772661E9</v>
      </c>
      <c r="M622" s="376" t="s">
        <v>3814</v>
      </c>
      <c r="N622" s="376" t="s">
        <v>3815</v>
      </c>
      <c r="O622" s="376" t="s">
        <v>5293</v>
      </c>
      <c r="P622" s="376" t="s">
        <v>3941</v>
      </c>
      <c r="Q622" s="16">
        <f>COUNTIF('hedef liste'!A:A,A622)</f>
        <v>1</v>
      </c>
    </row>
    <row r="623" hidden="1">
      <c r="A623" s="376" t="s">
        <v>2853</v>
      </c>
      <c r="B623" s="376" t="s">
        <v>2854</v>
      </c>
      <c r="C623" s="428" t="s">
        <v>6979</v>
      </c>
      <c r="D623" s="376" t="s">
        <v>3713</v>
      </c>
      <c r="E623" s="429">
        <v>3613.0</v>
      </c>
      <c r="F623" s="429">
        <v>169.0</v>
      </c>
      <c r="G623" s="429">
        <v>12.0</v>
      </c>
      <c r="H623" s="429">
        <v>27.0</v>
      </c>
      <c r="I623" s="429">
        <v>39.0</v>
      </c>
      <c r="J623" s="430">
        <v>0.31</v>
      </c>
      <c r="K623" s="376" t="s">
        <v>3766</v>
      </c>
      <c r="L623" s="376">
        <v>5.064670177E9</v>
      </c>
      <c r="M623" s="376" t="s">
        <v>14</v>
      </c>
      <c r="N623" s="376" t="s">
        <v>3767</v>
      </c>
      <c r="O623" s="376" t="s">
        <v>160</v>
      </c>
      <c r="P623" s="376" t="s">
        <v>3941</v>
      </c>
      <c r="Q623" s="16">
        <f>COUNTIF('hedef liste'!A:A,A623)</f>
        <v>1</v>
      </c>
    </row>
    <row r="624" hidden="1">
      <c r="A624" s="376" t="s">
        <v>4316</v>
      </c>
      <c r="B624" s="376" t="s">
        <v>4317</v>
      </c>
      <c r="C624" s="428" t="s">
        <v>6979</v>
      </c>
      <c r="D624" s="376" t="s">
        <v>4000</v>
      </c>
      <c r="E624" s="429">
        <v>1685.0</v>
      </c>
      <c r="F624" s="429">
        <v>115.0</v>
      </c>
      <c r="G624" s="429">
        <v>0.0</v>
      </c>
      <c r="H624" s="429">
        <v>27.0</v>
      </c>
      <c r="I624" s="429">
        <v>27.0</v>
      </c>
      <c r="J624" s="430">
        <v>0.0</v>
      </c>
      <c r="K624" s="376" t="s">
        <v>4318</v>
      </c>
      <c r="L624" s="376">
        <v>5.459557E9</v>
      </c>
      <c r="M624" s="376" t="s">
        <v>3814</v>
      </c>
      <c r="N624" s="376" t="s">
        <v>3815</v>
      </c>
      <c r="O624" s="376" t="s">
        <v>4319</v>
      </c>
      <c r="P624" s="376" t="s">
        <v>3941</v>
      </c>
      <c r="Q624" s="16">
        <f>COUNTIF('hedef liste'!A:A,A624)</f>
        <v>1</v>
      </c>
    </row>
    <row r="625" hidden="1">
      <c r="A625" s="376" t="s">
        <v>5480</v>
      </c>
      <c r="B625" s="376" t="s">
        <v>5481</v>
      </c>
      <c r="C625" s="428" t="s">
        <v>6979</v>
      </c>
      <c r="D625" s="376" t="s">
        <v>3801</v>
      </c>
      <c r="E625" s="429">
        <v>55.0</v>
      </c>
      <c r="F625" s="431"/>
      <c r="G625" s="429">
        <v>0.0</v>
      </c>
      <c r="H625" s="429">
        <v>17.0</v>
      </c>
      <c r="I625" s="429">
        <v>17.0</v>
      </c>
      <c r="J625" s="430">
        <v>0.0</v>
      </c>
      <c r="K625" s="376" t="s">
        <v>5482</v>
      </c>
      <c r="L625" s="376">
        <v>5.070855066E9</v>
      </c>
      <c r="M625" s="376" t="s">
        <v>286</v>
      </c>
      <c r="N625" s="376" t="s">
        <v>3754</v>
      </c>
      <c r="O625" s="376" t="s">
        <v>5483</v>
      </c>
      <c r="P625" s="376" t="s">
        <v>3941</v>
      </c>
      <c r="Q625" s="16">
        <f>COUNTIF('hedef liste'!A:A,A625)</f>
        <v>1</v>
      </c>
    </row>
    <row r="626" hidden="1">
      <c r="A626" s="376" t="s">
        <v>7383</v>
      </c>
      <c r="B626" s="376" t="s">
        <v>7384</v>
      </c>
      <c r="C626" s="428" t="s">
        <v>6979</v>
      </c>
      <c r="D626" s="376" t="s">
        <v>3994</v>
      </c>
      <c r="E626" s="429">
        <v>3002.0</v>
      </c>
      <c r="F626" s="429">
        <v>146.0</v>
      </c>
      <c r="G626" s="429">
        <v>76.0</v>
      </c>
      <c r="H626" s="429">
        <v>17.0</v>
      </c>
      <c r="I626" s="429">
        <v>93.0</v>
      </c>
      <c r="J626" s="430">
        <v>0.82</v>
      </c>
      <c r="K626" s="376" t="s">
        <v>7178</v>
      </c>
      <c r="L626" s="376">
        <v>3.225151111E9</v>
      </c>
      <c r="M626" s="376" t="s">
        <v>3814</v>
      </c>
      <c r="N626" s="376" t="s">
        <v>3815</v>
      </c>
      <c r="O626" s="376" t="s">
        <v>7385</v>
      </c>
      <c r="P626" s="376" t="s">
        <v>6982</v>
      </c>
      <c r="Q626" s="16">
        <f>COUNTIF('hedef liste'!A:A,A626)</f>
        <v>0</v>
      </c>
    </row>
    <row r="627" hidden="1">
      <c r="A627" s="376" t="s">
        <v>2617</v>
      </c>
      <c r="B627" s="376" t="s">
        <v>2618</v>
      </c>
      <c r="C627" s="428" t="s">
        <v>6979</v>
      </c>
      <c r="D627" s="376" t="s">
        <v>3676</v>
      </c>
      <c r="E627" s="429">
        <v>941.0</v>
      </c>
      <c r="F627" s="429">
        <v>33.0</v>
      </c>
      <c r="G627" s="429">
        <v>8.0</v>
      </c>
      <c r="H627" s="429">
        <v>21.0</v>
      </c>
      <c r="I627" s="429">
        <v>29.0</v>
      </c>
      <c r="J627" s="430">
        <v>0.28</v>
      </c>
      <c r="K627" s="376" t="s">
        <v>6551</v>
      </c>
      <c r="L627" s="376">
        <v>3.223442121E9</v>
      </c>
      <c r="M627" s="376" t="s">
        <v>3707</v>
      </c>
      <c r="N627" s="376" t="s">
        <v>5130</v>
      </c>
      <c r="O627" s="376" t="s">
        <v>2621</v>
      </c>
      <c r="P627" s="376" t="s">
        <v>3941</v>
      </c>
      <c r="Q627" s="16">
        <f>COUNTIF('hedef liste'!A:A,A627)</f>
        <v>1</v>
      </c>
    </row>
    <row r="628" hidden="1">
      <c r="A628" s="376" t="s">
        <v>2227</v>
      </c>
      <c r="B628" s="376" t="s">
        <v>2228</v>
      </c>
      <c r="C628" s="428" t="s">
        <v>6979</v>
      </c>
      <c r="D628" s="376" t="s">
        <v>3912</v>
      </c>
      <c r="E628" s="429">
        <v>410.0</v>
      </c>
      <c r="F628" s="429">
        <v>9.0</v>
      </c>
      <c r="G628" s="429">
        <v>9.0</v>
      </c>
      <c r="H628" s="429">
        <v>23.0</v>
      </c>
      <c r="I628" s="429">
        <v>32.0</v>
      </c>
      <c r="J628" s="430">
        <v>0.28</v>
      </c>
      <c r="K628" s="376" t="s">
        <v>4745</v>
      </c>
      <c r="L628" s="376">
        <v>5.326593191E9</v>
      </c>
      <c r="M628" s="376" t="s">
        <v>286</v>
      </c>
      <c r="N628" s="376" t="s">
        <v>3688</v>
      </c>
      <c r="O628" s="376" t="s">
        <v>2230</v>
      </c>
      <c r="P628" s="376" t="s">
        <v>3941</v>
      </c>
      <c r="Q628" s="16">
        <f>COUNTIF('hedef liste'!A:A,A628)</f>
        <v>1</v>
      </c>
    </row>
    <row r="629" hidden="1">
      <c r="A629" s="376" t="s">
        <v>2516</v>
      </c>
      <c r="B629" s="376" t="s">
        <v>2517</v>
      </c>
      <c r="C629" s="428" t="s">
        <v>6979</v>
      </c>
      <c r="D629" s="376" t="s">
        <v>3699</v>
      </c>
      <c r="E629" s="429">
        <v>1828.0</v>
      </c>
      <c r="F629" s="429">
        <v>71.0</v>
      </c>
      <c r="G629" s="429">
        <v>10.0</v>
      </c>
      <c r="H629" s="429">
        <v>7.0</v>
      </c>
      <c r="I629" s="429">
        <v>17.0</v>
      </c>
      <c r="J629" s="430">
        <v>0.59</v>
      </c>
      <c r="K629" s="376" t="s">
        <v>5646</v>
      </c>
      <c r="L629" s="376">
        <v>5.35727303E9</v>
      </c>
      <c r="M629" s="376" t="s">
        <v>286</v>
      </c>
      <c r="N629" s="376" t="s">
        <v>3961</v>
      </c>
      <c r="O629" s="376" t="s">
        <v>5647</v>
      </c>
      <c r="P629" s="376" t="s">
        <v>3941</v>
      </c>
      <c r="Q629" s="16">
        <f>COUNTIF('hedef liste'!A:A,A629)</f>
        <v>1</v>
      </c>
    </row>
    <row r="630" hidden="1">
      <c r="A630" s="376" t="s">
        <v>7386</v>
      </c>
      <c r="B630" s="376" t="s">
        <v>7387</v>
      </c>
      <c r="C630" s="428" t="s">
        <v>6979</v>
      </c>
      <c r="D630" s="376" t="s">
        <v>3994</v>
      </c>
      <c r="E630" s="429">
        <v>1905.0</v>
      </c>
      <c r="F630" s="429">
        <v>104.0</v>
      </c>
      <c r="G630" s="429">
        <v>58.0</v>
      </c>
      <c r="H630" s="429">
        <v>2.0</v>
      </c>
      <c r="I630" s="429">
        <v>60.0</v>
      </c>
      <c r="J630" s="430">
        <v>0.97</v>
      </c>
      <c r="K630" s="376" t="s">
        <v>7249</v>
      </c>
      <c r="L630" s="376">
        <v>3.229991994E9</v>
      </c>
      <c r="M630" s="376" t="s">
        <v>3692</v>
      </c>
      <c r="N630" s="376" t="s">
        <v>7080</v>
      </c>
      <c r="O630" s="376" t="s">
        <v>7388</v>
      </c>
      <c r="P630" s="376" t="s">
        <v>6982</v>
      </c>
      <c r="Q630" s="16">
        <f>COUNTIF('hedef liste'!A:A,A630)</f>
        <v>0</v>
      </c>
    </row>
    <row r="631" hidden="1">
      <c r="A631" s="376" t="s">
        <v>5043</v>
      </c>
      <c r="B631" s="376" t="s">
        <v>5044</v>
      </c>
      <c r="C631" s="428" t="s">
        <v>6979</v>
      </c>
      <c r="D631" s="376" t="s">
        <v>3699</v>
      </c>
      <c r="E631" s="429">
        <v>3333.0</v>
      </c>
      <c r="F631" s="429">
        <v>120.0</v>
      </c>
      <c r="G631" s="429">
        <v>3.0</v>
      </c>
      <c r="H631" s="429">
        <v>4.0</v>
      </c>
      <c r="I631" s="429">
        <v>7.0</v>
      </c>
      <c r="J631" s="430">
        <v>0.43</v>
      </c>
      <c r="K631" s="376" t="s">
        <v>5045</v>
      </c>
      <c r="L631" s="376">
        <v>5.392246131E9</v>
      </c>
      <c r="M631" s="376" t="s">
        <v>286</v>
      </c>
      <c r="N631" s="376" t="s">
        <v>3855</v>
      </c>
      <c r="O631" s="376" t="s">
        <v>5046</v>
      </c>
      <c r="P631" s="376" t="s">
        <v>3941</v>
      </c>
      <c r="Q631" s="16">
        <f>COUNTIF('hedef liste'!A:A,A631)</f>
        <v>1</v>
      </c>
    </row>
    <row r="632" hidden="1">
      <c r="A632" s="376" t="s">
        <v>2840</v>
      </c>
      <c r="B632" s="376" t="s">
        <v>2841</v>
      </c>
      <c r="C632" s="428" t="s">
        <v>6979</v>
      </c>
      <c r="D632" s="376" t="s">
        <v>3699</v>
      </c>
      <c r="E632" s="429">
        <v>501.0</v>
      </c>
      <c r="F632" s="431"/>
      <c r="G632" s="429">
        <v>0.0</v>
      </c>
      <c r="H632" s="429">
        <v>34.0</v>
      </c>
      <c r="I632" s="429">
        <v>34.0</v>
      </c>
      <c r="J632" s="430">
        <v>0.0</v>
      </c>
      <c r="K632" s="376" t="s">
        <v>5697</v>
      </c>
      <c r="L632" s="376">
        <v>5.44542028E9</v>
      </c>
      <c r="M632" s="376" t="s">
        <v>14</v>
      </c>
      <c r="N632" s="376" t="s">
        <v>3678</v>
      </c>
      <c r="O632" s="376" t="s">
        <v>1143</v>
      </c>
      <c r="P632" s="376" t="s">
        <v>3941</v>
      </c>
      <c r="Q632" s="16">
        <f>COUNTIF('hedef liste'!A:A,A632)</f>
        <v>1</v>
      </c>
    </row>
    <row r="633" hidden="1">
      <c r="A633" s="376" t="s">
        <v>6375</v>
      </c>
      <c r="B633" s="376" t="s">
        <v>6376</v>
      </c>
      <c r="C633" s="428" t="s">
        <v>7011</v>
      </c>
      <c r="D633" s="376" t="s">
        <v>3749</v>
      </c>
      <c r="E633" s="429">
        <v>389.0</v>
      </c>
      <c r="F633" s="431"/>
      <c r="G633" s="429">
        <v>1.0</v>
      </c>
      <c r="H633" s="429">
        <v>13.0</v>
      </c>
      <c r="I633" s="429">
        <v>14.0</v>
      </c>
      <c r="J633" s="430">
        <v>0.07</v>
      </c>
      <c r="K633" s="376" t="s">
        <v>6377</v>
      </c>
      <c r="L633" s="376">
        <v>5.307004263E9</v>
      </c>
      <c r="M633" s="376" t="s">
        <v>286</v>
      </c>
      <c r="N633" s="376" t="s">
        <v>3855</v>
      </c>
      <c r="O633" s="376" t="s">
        <v>6378</v>
      </c>
      <c r="P633" s="376" t="s">
        <v>3941</v>
      </c>
      <c r="Q633" s="16">
        <f>COUNTIF('hedef liste'!A:A,A633)</f>
        <v>1</v>
      </c>
    </row>
    <row r="634" hidden="1">
      <c r="A634" s="376" t="s">
        <v>2649</v>
      </c>
      <c r="B634" s="376" t="s">
        <v>2650</v>
      </c>
      <c r="C634" s="428" t="s">
        <v>6979</v>
      </c>
      <c r="D634" s="376" t="s">
        <v>4000</v>
      </c>
      <c r="E634" s="429">
        <v>2640.0</v>
      </c>
      <c r="F634" s="429">
        <v>163.0</v>
      </c>
      <c r="G634" s="429">
        <v>15.0</v>
      </c>
      <c r="H634" s="429">
        <v>7.0</v>
      </c>
      <c r="I634" s="429">
        <v>22.0</v>
      </c>
      <c r="J634" s="430">
        <v>0.68</v>
      </c>
      <c r="K634" s="376" t="s">
        <v>5097</v>
      </c>
      <c r="L634" s="376">
        <v>5.323337279E9</v>
      </c>
      <c r="M634" s="376" t="s">
        <v>14</v>
      </c>
      <c r="N634" s="376" t="s">
        <v>3797</v>
      </c>
      <c r="O634" s="376" t="s">
        <v>2653</v>
      </c>
      <c r="P634" s="376" t="s">
        <v>3941</v>
      </c>
      <c r="Q634" s="16">
        <f>COUNTIF('hedef liste'!A:A,A634)</f>
        <v>1</v>
      </c>
    </row>
    <row r="635" hidden="1">
      <c r="A635" s="376" t="s">
        <v>6269</v>
      </c>
      <c r="B635" s="376" t="s">
        <v>6270</v>
      </c>
      <c r="C635" s="428" t="s">
        <v>6979</v>
      </c>
      <c r="D635" s="376" t="s">
        <v>3994</v>
      </c>
      <c r="E635" s="429">
        <v>2518.0</v>
      </c>
      <c r="F635" s="429">
        <v>109.0</v>
      </c>
      <c r="G635" s="429">
        <v>10.0</v>
      </c>
      <c r="H635" s="429">
        <v>77.0</v>
      </c>
      <c r="I635" s="429">
        <v>87.0</v>
      </c>
      <c r="J635" s="430">
        <v>0.11</v>
      </c>
      <c r="K635" s="376" t="s">
        <v>6271</v>
      </c>
      <c r="L635" s="376">
        <v>3.224502121E9</v>
      </c>
      <c r="M635" s="376" t="s">
        <v>3692</v>
      </c>
      <c r="N635" s="376" t="s">
        <v>3721</v>
      </c>
      <c r="O635" s="376" t="s">
        <v>6272</v>
      </c>
      <c r="P635" s="376" t="s">
        <v>3941</v>
      </c>
      <c r="Q635" s="16">
        <f>COUNTIF('hedef liste'!A:A,A635)</f>
        <v>1</v>
      </c>
    </row>
    <row r="636" hidden="1">
      <c r="A636" s="376" t="s">
        <v>5901</v>
      </c>
      <c r="B636" s="376" t="s">
        <v>7389</v>
      </c>
      <c r="C636" s="428" t="s">
        <v>6979</v>
      </c>
      <c r="D636" s="376" t="s">
        <v>3994</v>
      </c>
      <c r="E636" s="429">
        <v>1362.0</v>
      </c>
      <c r="F636" s="429">
        <v>118.0</v>
      </c>
      <c r="G636" s="429">
        <v>18.0</v>
      </c>
      <c r="H636" s="429">
        <v>59.0</v>
      </c>
      <c r="I636" s="429">
        <v>77.0</v>
      </c>
      <c r="J636" s="430">
        <v>0.23</v>
      </c>
      <c r="K636" s="376" t="s">
        <v>5903</v>
      </c>
      <c r="L636" s="376">
        <v>3.222614747E9</v>
      </c>
      <c r="M636" s="376" t="s">
        <v>286</v>
      </c>
      <c r="N636" s="376" t="s">
        <v>5904</v>
      </c>
      <c r="O636" s="376" t="s">
        <v>5905</v>
      </c>
      <c r="P636" s="376" t="s">
        <v>3941</v>
      </c>
      <c r="Q636" s="16">
        <f>COUNTIF('hedef liste'!A:A,A636)</f>
        <v>1</v>
      </c>
    </row>
    <row r="637" hidden="1">
      <c r="A637" s="376" t="s">
        <v>4837</v>
      </c>
      <c r="B637" s="376" t="s">
        <v>4838</v>
      </c>
      <c r="C637" s="428" t="s">
        <v>6979</v>
      </c>
      <c r="D637" s="376" t="s">
        <v>3676</v>
      </c>
      <c r="E637" s="429">
        <v>1388.0</v>
      </c>
      <c r="F637" s="429">
        <v>88.0</v>
      </c>
      <c r="G637" s="429">
        <v>17.0</v>
      </c>
      <c r="H637" s="429">
        <v>7.0</v>
      </c>
      <c r="I637" s="429">
        <v>24.0</v>
      </c>
      <c r="J637" s="430">
        <v>0.71</v>
      </c>
      <c r="K637" s="376" t="s">
        <v>4839</v>
      </c>
      <c r="L637" s="376">
        <v>5.305849901E9</v>
      </c>
      <c r="M637" s="376" t="s">
        <v>286</v>
      </c>
      <c r="N637" s="376" t="s">
        <v>3855</v>
      </c>
      <c r="O637" s="376" t="s">
        <v>4840</v>
      </c>
      <c r="P637" s="376" t="s">
        <v>3941</v>
      </c>
      <c r="Q637" s="16">
        <f>COUNTIF('hedef liste'!A:A,A637)</f>
        <v>1</v>
      </c>
    </row>
    <row r="638" hidden="1">
      <c r="A638" s="376" t="s">
        <v>6786</v>
      </c>
      <c r="B638" s="376" t="s">
        <v>6787</v>
      </c>
      <c r="C638" s="428" t="s">
        <v>7011</v>
      </c>
      <c r="D638" s="376" t="s">
        <v>3749</v>
      </c>
      <c r="E638" s="429">
        <v>394.0</v>
      </c>
      <c r="F638" s="431"/>
      <c r="G638" s="429">
        <v>0.0</v>
      </c>
      <c r="H638" s="429">
        <v>13.0</v>
      </c>
      <c r="I638" s="429">
        <v>13.0</v>
      </c>
      <c r="J638" s="430">
        <v>0.0</v>
      </c>
      <c r="K638" s="376" t="s">
        <v>6788</v>
      </c>
      <c r="L638" s="376">
        <v>5.435133717E9</v>
      </c>
      <c r="M638" s="376" t="s">
        <v>286</v>
      </c>
      <c r="N638" s="376" t="s">
        <v>4152</v>
      </c>
      <c r="O638" s="376" t="s">
        <v>4153</v>
      </c>
      <c r="P638" s="376" t="s">
        <v>3941</v>
      </c>
      <c r="Q638" s="16">
        <f>COUNTIF('hedef liste'!A:A,A638)</f>
        <v>1</v>
      </c>
    </row>
    <row r="639" hidden="1">
      <c r="A639" s="376" t="s">
        <v>2753</v>
      </c>
      <c r="B639" s="376" t="s">
        <v>2754</v>
      </c>
      <c r="C639" s="428" t="s">
        <v>6979</v>
      </c>
      <c r="D639" s="376" t="s">
        <v>3699</v>
      </c>
      <c r="E639" s="429">
        <v>54.0</v>
      </c>
      <c r="F639" s="431"/>
      <c r="G639" s="429">
        <v>0.0</v>
      </c>
      <c r="H639" s="429">
        <v>14.0</v>
      </c>
      <c r="I639" s="429">
        <v>14.0</v>
      </c>
      <c r="J639" s="430">
        <v>0.0</v>
      </c>
      <c r="K639" s="376" t="s">
        <v>6170</v>
      </c>
      <c r="L639" s="376">
        <v>5.357697918E9</v>
      </c>
      <c r="M639" s="376" t="s">
        <v>14</v>
      </c>
      <c r="N639" s="376" t="s">
        <v>3767</v>
      </c>
      <c r="O639" s="376" t="s">
        <v>779</v>
      </c>
      <c r="P639" s="376" t="s">
        <v>3941</v>
      </c>
      <c r="Q639" s="16">
        <f>COUNTIF('hedef liste'!A:A,A639)</f>
        <v>1</v>
      </c>
    </row>
    <row r="640" hidden="1">
      <c r="A640" s="376" t="s">
        <v>1762</v>
      </c>
      <c r="B640" s="376" t="s">
        <v>7390</v>
      </c>
      <c r="C640" s="428" t="s">
        <v>6979</v>
      </c>
      <c r="D640" s="376" t="s">
        <v>4249</v>
      </c>
      <c r="E640" s="429">
        <v>1594.0</v>
      </c>
      <c r="F640" s="429">
        <v>137.0</v>
      </c>
      <c r="G640" s="429">
        <v>25.0</v>
      </c>
      <c r="H640" s="429">
        <v>10.0</v>
      </c>
      <c r="I640" s="429">
        <v>35.0</v>
      </c>
      <c r="J640" s="430">
        <v>0.71</v>
      </c>
      <c r="K640" s="376" t="s">
        <v>6326</v>
      </c>
      <c r="L640" s="376">
        <v>5.331441753E9</v>
      </c>
      <c r="M640" s="376" t="s">
        <v>286</v>
      </c>
      <c r="N640" s="376" t="s">
        <v>4135</v>
      </c>
      <c r="O640" s="376" t="s">
        <v>1766</v>
      </c>
      <c r="P640" s="376" t="s">
        <v>3941</v>
      </c>
      <c r="Q640" s="16">
        <f>COUNTIF('hedef liste'!A:A,A640)</f>
        <v>1</v>
      </c>
    </row>
    <row r="641" hidden="1">
      <c r="A641" s="376" t="s">
        <v>2138</v>
      </c>
      <c r="B641" s="376" t="s">
        <v>2139</v>
      </c>
      <c r="C641" s="428" t="s">
        <v>6979</v>
      </c>
      <c r="D641" s="376" t="s">
        <v>3759</v>
      </c>
      <c r="E641" s="429">
        <v>1441.0</v>
      </c>
      <c r="F641" s="429">
        <v>96.0</v>
      </c>
      <c r="G641" s="429">
        <v>1.0</v>
      </c>
      <c r="H641" s="429">
        <v>6.0</v>
      </c>
      <c r="I641" s="429">
        <v>7.0</v>
      </c>
      <c r="J641" s="430">
        <v>0.14</v>
      </c>
      <c r="K641" s="376" t="s">
        <v>4162</v>
      </c>
      <c r="L641" s="376">
        <v>3.222620063E9</v>
      </c>
      <c r="M641" s="376" t="s">
        <v>286</v>
      </c>
      <c r="N641" s="376" t="s">
        <v>3855</v>
      </c>
      <c r="O641" s="376" t="s">
        <v>2141</v>
      </c>
      <c r="P641" s="376" t="s">
        <v>3941</v>
      </c>
      <c r="Q641" s="16">
        <f>COUNTIF('hedef liste'!A:A,A641)</f>
        <v>1</v>
      </c>
    </row>
    <row r="642" hidden="1">
      <c r="A642" s="376" t="s">
        <v>432</v>
      </c>
      <c r="B642" s="376" t="s">
        <v>433</v>
      </c>
      <c r="C642" s="428" t="s">
        <v>6979</v>
      </c>
      <c r="D642" s="376" t="s">
        <v>4000</v>
      </c>
      <c r="E642" s="429">
        <v>537.0</v>
      </c>
      <c r="F642" s="429">
        <v>46.0</v>
      </c>
      <c r="G642" s="429">
        <v>6.0</v>
      </c>
      <c r="H642" s="429">
        <v>6.0</v>
      </c>
      <c r="I642" s="429">
        <v>12.0</v>
      </c>
      <c r="J642" s="430">
        <v>0.5</v>
      </c>
      <c r="K642" s="376" t="s">
        <v>4165</v>
      </c>
      <c r="L642" s="376">
        <v>5.453097068E9</v>
      </c>
      <c r="M642" s="376" t="s">
        <v>14</v>
      </c>
      <c r="N642" s="376" t="s">
        <v>3914</v>
      </c>
      <c r="O642" s="376" t="s">
        <v>435</v>
      </c>
      <c r="P642" s="376" t="s">
        <v>3941</v>
      </c>
      <c r="Q642" s="16">
        <f>COUNTIF('hedef liste'!A:A,A642)</f>
        <v>1</v>
      </c>
    </row>
    <row r="643" hidden="1">
      <c r="A643" s="376" t="s">
        <v>2899</v>
      </c>
      <c r="B643" s="376" t="s">
        <v>2900</v>
      </c>
      <c r="C643" s="428" t="s">
        <v>6979</v>
      </c>
      <c r="D643" s="376" t="s">
        <v>3713</v>
      </c>
      <c r="E643" s="429">
        <v>854.0</v>
      </c>
      <c r="F643" s="429">
        <v>12.0</v>
      </c>
      <c r="G643" s="429">
        <v>8.0</v>
      </c>
      <c r="H643" s="429">
        <v>3.0</v>
      </c>
      <c r="I643" s="429">
        <v>11.0</v>
      </c>
      <c r="J643" s="430">
        <v>0.73</v>
      </c>
      <c r="K643" s="376" t="s">
        <v>5420</v>
      </c>
      <c r="L643" s="376">
        <v>3.222611515E9</v>
      </c>
      <c r="M643" s="376" t="s">
        <v>286</v>
      </c>
      <c r="N643" s="376" t="s">
        <v>3769</v>
      </c>
      <c r="O643" s="376" t="s">
        <v>2902</v>
      </c>
      <c r="P643" s="376" t="s">
        <v>3941</v>
      </c>
      <c r="Q643" s="16">
        <f>COUNTIF('hedef liste'!A:A,A643)</f>
        <v>1</v>
      </c>
    </row>
    <row r="644" hidden="1">
      <c r="A644" s="376" t="s">
        <v>509</v>
      </c>
      <c r="B644" s="376" t="s">
        <v>510</v>
      </c>
      <c r="C644" s="428" t="s">
        <v>6979</v>
      </c>
      <c r="D644" s="376" t="s">
        <v>3699</v>
      </c>
      <c r="E644" s="429">
        <v>1800.0</v>
      </c>
      <c r="F644" s="429">
        <v>46.0</v>
      </c>
      <c r="G644" s="429">
        <v>8.0</v>
      </c>
      <c r="H644" s="429">
        <v>5.0</v>
      </c>
      <c r="I644" s="429">
        <v>13.0</v>
      </c>
      <c r="J644" s="430">
        <v>0.62</v>
      </c>
      <c r="K644" s="376" t="s">
        <v>5363</v>
      </c>
      <c r="L644" s="376">
        <v>3.224577707E9</v>
      </c>
      <c r="M644" s="376" t="s">
        <v>286</v>
      </c>
      <c r="N644" s="376" t="s">
        <v>3737</v>
      </c>
      <c r="O644" s="376" t="s">
        <v>512</v>
      </c>
      <c r="P644" s="376" t="s">
        <v>3941</v>
      </c>
      <c r="Q644" s="16">
        <f>COUNTIF('hedef liste'!A:A,A644)</f>
        <v>1</v>
      </c>
    </row>
    <row r="645" hidden="1">
      <c r="A645" s="376" t="s">
        <v>2844</v>
      </c>
      <c r="B645" s="376" t="s">
        <v>2845</v>
      </c>
      <c r="C645" s="428" t="s">
        <v>6979</v>
      </c>
      <c r="D645" s="376" t="s">
        <v>3994</v>
      </c>
      <c r="E645" s="429">
        <v>51.0</v>
      </c>
      <c r="F645" s="429">
        <v>1.0</v>
      </c>
      <c r="G645" s="429">
        <v>6.0</v>
      </c>
      <c r="H645" s="429">
        <v>0.0</v>
      </c>
      <c r="I645" s="429">
        <v>6.0</v>
      </c>
      <c r="J645" s="430">
        <v>1.0</v>
      </c>
      <c r="K645" s="376" t="s">
        <v>4412</v>
      </c>
      <c r="L645" s="376">
        <v>5.34290623E9</v>
      </c>
      <c r="M645" s="376" t="s">
        <v>14</v>
      </c>
      <c r="N645" s="376" t="s">
        <v>3797</v>
      </c>
      <c r="O645" s="376" t="s">
        <v>2847</v>
      </c>
      <c r="P645" s="376" t="s">
        <v>3941</v>
      </c>
      <c r="Q645" s="16">
        <f>COUNTIF('hedef liste'!A:A,A645)</f>
        <v>1</v>
      </c>
    </row>
    <row r="646" hidden="1">
      <c r="A646" s="376" t="s">
        <v>2867</v>
      </c>
      <c r="B646" s="376" t="s">
        <v>2868</v>
      </c>
      <c r="C646" s="428" t="s">
        <v>6979</v>
      </c>
      <c r="D646" s="376" t="s">
        <v>3699</v>
      </c>
      <c r="E646" s="429">
        <v>297.0</v>
      </c>
      <c r="F646" s="429">
        <v>4.0</v>
      </c>
      <c r="G646" s="429">
        <v>41.0</v>
      </c>
      <c r="H646" s="429">
        <v>16.0</v>
      </c>
      <c r="I646" s="429">
        <v>57.0</v>
      </c>
      <c r="J646" s="430">
        <v>0.72</v>
      </c>
      <c r="K646" s="376" t="s">
        <v>6166</v>
      </c>
      <c r="L646" s="376">
        <v>5.368930798E9</v>
      </c>
      <c r="M646" s="376" t="s">
        <v>286</v>
      </c>
      <c r="N646" s="376" t="s">
        <v>3754</v>
      </c>
      <c r="O646" s="376" t="s">
        <v>2870</v>
      </c>
      <c r="P646" s="376" t="s">
        <v>3941</v>
      </c>
      <c r="Q646" s="16">
        <f>COUNTIF('hedef liste'!A:A,A646)</f>
        <v>1</v>
      </c>
    </row>
    <row r="647" hidden="1">
      <c r="A647" s="376" t="s">
        <v>3052</v>
      </c>
      <c r="B647" s="376" t="s">
        <v>3053</v>
      </c>
      <c r="C647" s="428" t="s">
        <v>6979</v>
      </c>
      <c r="D647" s="376" t="s">
        <v>3676</v>
      </c>
      <c r="E647" s="429">
        <v>953.0</v>
      </c>
      <c r="F647" s="429">
        <v>41.0</v>
      </c>
      <c r="G647" s="429">
        <v>0.0</v>
      </c>
      <c r="H647" s="429">
        <v>26.0</v>
      </c>
      <c r="I647" s="429">
        <v>26.0</v>
      </c>
      <c r="J647" s="430">
        <v>0.0</v>
      </c>
      <c r="K647" s="376" t="s">
        <v>6699</v>
      </c>
      <c r="L647" s="376">
        <v>3.225023339E9</v>
      </c>
      <c r="M647" s="376" t="s">
        <v>3692</v>
      </c>
      <c r="N647" s="376" t="s">
        <v>3869</v>
      </c>
      <c r="O647" s="376" t="s">
        <v>3055</v>
      </c>
      <c r="P647" s="376" t="s">
        <v>3941</v>
      </c>
      <c r="Q647" s="16">
        <f>COUNTIF('hedef liste'!A:A,A647)</f>
        <v>1</v>
      </c>
    </row>
    <row r="648" hidden="1">
      <c r="A648" s="376" t="s">
        <v>2871</v>
      </c>
      <c r="B648" s="376" t="s">
        <v>2872</v>
      </c>
      <c r="C648" s="428" t="s">
        <v>6979</v>
      </c>
      <c r="D648" s="376" t="s">
        <v>3699</v>
      </c>
      <c r="E648" s="429">
        <v>40.0</v>
      </c>
      <c r="F648" s="429">
        <v>2.0</v>
      </c>
      <c r="G648" s="429">
        <v>8.0</v>
      </c>
      <c r="H648" s="429">
        <v>2.0</v>
      </c>
      <c r="I648" s="429">
        <v>10.0</v>
      </c>
      <c r="J648" s="430">
        <v>0.8</v>
      </c>
      <c r="K648" s="376" t="s">
        <v>5041</v>
      </c>
      <c r="L648" s="376">
        <v>3.229995339E9</v>
      </c>
      <c r="M648" s="376" t="s">
        <v>286</v>
      </c>
      <c r="N648" s="376" t="s">
        <v>3737</v>
      </c>
      <c r="O648" s="376" t="s">
        <v>2874</v>
      </c>
      <c r="P648" s="376" t="s">
        <v>3941</v>
      </c>
      <c r="Q648" s="16">
        <f>COUNTIF('hedef liste'!A:A,A648)</f>
        <v>1</v>
      </c>
    </row>
    <row r="649" hidden="1">
      <c r="A649" s="376" t="s">
        <v>6182</v>
      </c>
      <c r="B649" s="376" t="s">
        <v>6183</v>
      </c>
      <c r="C649" s="428" t="s">
        <v>6979</v>
      </c>
      <c r="D649" s="376" t="s">
        <v>3842</v>
      </c>
      <c r="E649" s="429">
        <v>1378.0</v>
      </c>
      <c r="F649" s="429">
        <v>119.0</v>
      </c>
      <c r="G649" s="429">
        <v>0.0</v>
      </c>
      <c r="H649" s="429">
        <v>48.0</v>
      </c>
      <c r="I649" s="429">
        <v>48.0</v>
      </c>
      <c r="J649" s="430">
        <v>0.0</v>
      </c>
      <c r="K649" s="376" t="s">
        <v>6184</v>
      </c>
      <c r="L649" s="376">
        <v>5.52516077E9</v>
      </c>
      <c r="M649" s="376" t="s">
        <v>3814</v>
      </c>
      <c r="N649" s="376" t="s">
        <v>4072</v>
      </c>
      <c r="O649" s="376" t="s">
        <v>6185</v>
      </c>
      <c r="P649" s="376" t="s">
        <v>3941</v>
      </c>
      <c r="Q649" s="16">
        <f>COUNTIF('hedef liste'!A:A,A649)</f>
        <v>1</v>
      </c>
    </row>
    <row r="650" hidden="1">
      <c r="A650" s="376" t="s">
        <v>1597</v>
      </c>
      <c r="B650" s="376" t="s">
        <v>1598</v>
      </c>
      <c r="C650" s="428" t="s">
        <v>7011</v>
      </c>
      <c r="D650" s="376" t="s">
        <v>3759</v>
      </c>
      <c r="E650" s="429">
        <v>108.0</v>
      </c>
      <c r="F650" s="431"/>
      <c r="G650" s="429">
        <v>5.0</v>
      </c>
      <c r="H650" s="429">
        <v>4.0</v>
      </c>
      <c r="I650" s="429">
        <v>9.0</v>
      </c>
      <c r="J650" s="430">
        <v>0.56</v>
      </c>
      <c r="K650" s="376" t="s">
        <v>4375</v>
      </c>
      <c r="L650" s="376">
        <v>5.428207683E9</v>
      </c>
      <c r="M650" s="376" t="s">
        <v>3707</v>
      </c>
      <c r="N650" s="376" t="s">
        <v>6447</v>
      </c>
      <c r="O650" s="376" t="s">
        <v>1601</v>
      </c>
      <c r="P650" s="376" t="s">
        <v>3941</v>
      </c>
      <c r="Q650" s="16">
        <f>COUNTIF('hedef liste'!A:A,A650)</f>
        <v>1</v>
      </c>
    </row>
    <row r="651" hidden="1">
      <c r="A651" s="376" t="s">
        <v>3096</v>
      </c>
      <c r="B651" s="376" t="s">
        <v>3097</v>
      </c>
      <c r="C651" s="428" t="s">
        <v>6979</v>
      </c>
      <c r="D651" s="376" t="s">
        <v>3676</v>
      </c>
      <c r="E651" s="429">
        <v>118.0</v>
      </c>
      <c r="F651" s="431"/>
      <c r="G651" s="429">
        <v>16.0</v>
      </c>
      <c r="H651" s="429">
        <v>13.0</v>
      </c>
      <c r="I651" s="429">
        <v>29.0</v>
      </c>
      <c r="J651" s="430">
        <v>0.55</v>
      </c>
      <c r="K651" s="376" t="s">
        <v>3687</v>
      </c>
      <c r="L651" s="376">
        <v>3.225033803E9</v>
      </c>
      <c r="M651" s="376" t="s">
        <v>286</v>
      </c>
      <c r="N651" s="376" t="s">
        <v>3737</v>
      </c>
      <c r="O651" s="376" t="s">
        <v>3099</v>
      </c>
      <c r="P651" s="376" t="s">
        <v>3941</v>
      </c>
      <c r="Q651" s="16">
        <f>COUNTIF('hedef liste'!A:A,A651)</f>
        <v>1</v>
      </c>
    </row>
    <row r="652" hidden="1">
      <c r="A652" s="376" t="s">
        <v>3175</v>
      </c>
      <c r="B652" s="376" t="s">
        <v>3176</v>
      </c>
      <c r="C652" s="428" t="s">
        <v>6979</v>
      </c>
      <c r="D652" s="376" t="s">
        <v>3713</v>
      </c>
      <c r="E652" s="429">
        <v>1496.0</v>
      </c>
      <c r="F652" s="429">
        <v>183.0</v>
      </c>
      <c r="G652" s="429">
        <v>0.0</v>
      </c>
      <c r="H652" s="429">
        <v>49.0</v>
      </c>
      <c r="I652" s="429">
        <v>49.0</v>
      </c>
      <c r="J652" s="430">
        <v>0.0</v>
      </c>
      <c r="K652" s="376" t="s">
        <v>5081</v>
      </c>
      <c r="L652" s="376">
        <v>3.222903735E9</v>
      </c>
      <c r="M652" s="376" t="s">
        <v>286</v>
      </c>
      <c r="N652" s="376" t="s">
        <v>3688</v>
      </c>
      <c r="O652" s="376" t="s">
        <v>3178</v>
      </c>
      <c r="P652" s="376" t="s">
        <v>3941</v>
      </c>
      <c r="Q652" s="16">
        <f>COUNTIF('hedef liste'!A:A,A652)</f>
        <v>1</v>
      </c>
    </row>
    <row r="653" hidden="1">
      <c r="A653" s="376" t="s">
        <v>5029</v>
      </c>
      <c r="B653" s="376" t="s">
        <v>5030</v>
      </c>
      <c r="C653" s="428" t="s">
        <v>7011</v>
      </c>
      <c r="D653" s="376" t="s">
        <v>4907</v>
      </c>
      <c r="E653" s="429">
        <v>69.0</v>
      </c>
      <c r="F653" s="431"/>
      <c r="G653" s="429">
        <v>10.0</v>
      </c>
      <c r="H653" s="429">
        <v>107.0</v>
      </c>
      <c r="I653" s="429">
        <v>117.0</v>
      </c>
      <c r="J653" s="430">
        <v>0.09</v>
      </c>
      <c r="K653" s="376" t="s">
        <v>5009</v>
      </c>
      <c r="L653" s="376">
        <v>5.365110118E9</v>
      </c>
      <c r="M653" s="376" t="s">
        <v>14</v>
      </c>
      <c r="N653" s="376" t="s">
        <v>3797</v>
      </c>
      <c r="O653" s="376" t="s">
        <v>5010</v>
      </c>
      <c r="P653" s="376" t="s">
        <v>3941</v>
      </c>
      <c r="Q653" s="16">
        <f>COUNTIF('hedef liste'!A:A,A653)</f>
        <v>1</v>
      </c>
    </row>
    <row r="654" hidden="1">
      <c r="A654" s="376" t="s">
        <v>3147</v>
      </c>
      <c r="B654" s="376" t="s">
        <v>3148</v>
      </c>
      <c r="C654" s="428" t="s">
        <v>6979</v>
      </c>
      <c r="D654" s="376" t="s">
        <v>3749</v>
      </c>
      <c r="E654" s="429">
        <v>1279.0</v>
      </c>
      <c r="F654" s="429">
        <v>106.0</v>
      </c>
      <c r="G654" s="429">
        <v>0.0</v>
      </c>
      <c r="H654" s="429">
        <v>15.0</v>
      </c>
      <c r="I654" s="429">
        <v>15.0</v>
      </c>
      <c r="J654" s="430">
        <v>0.0</v>
      </c>
      <c r="K654" s="376" t="s">
        <v>6790</v>
      </c>
      <c r="L654" s="376">
        <v>3.222256225E9</v>
      </c>
      <c r="M654" s="376" t="s">
        <v>286</v>
      </c>
      <c r="N654" s="376" t="s">
        <v>3688</v>
      </c>
      <c r="O654" s="376" t="s">
        <v>3150</v>
      </c>
      <c r="P654" s="376" t="s">
        <v>3941</v>
      </c>
      <c r="Q654" s="16">
        <f>COUNTIF('hedef liste'!A:A,A654)</f>
        <v>1</v>
      </c>
    </row>
    <row r="655" hidden="1">
      <c r="A655" s="376" t="s">
        <v>5218</v>
      </c>
      <c r="B655" s="376" t="s">
        <v>5219</v>
      </c>
      <c r="C655" s="428" t="s">
        <v>6979</v>
      </c>
      <c r="D655" s="376" t="s">
        <v>3912</v>
      </c>
      <c r="E655" s="429">
        <v>90.0</v>
      </c>
      <c r="F655" s="429">
        <v>7.0</v>
      </c>
      <c r="G655" s="429">
        <v>0.0</v>
      </c>
      <c r="H655" s="429">
        <v>74.0</v>
      </c>
      <c r="I655" s="429">
        <v>74.0</v>
      </c>
      <c r="J655" s="430">
        <v>0.0</v>
      </c>
      <c r="K655" s="376" t="s">
        <v>5220</v>
      </c>
      <c r="L655" s="376">
        <v>3.224225992E9</v>
      </c>
      <c r="M655" s="376" t="s">
        <v>286</v>
      </c>
      <c r="N655" s="376" t="s">
        <v>3688</v>
      </c>
      <c r="O655" s="376" t="s">
        <v>7391</v>
      </c>
      <c r="P655" s="376" t="s">
        <v>3941</v>
      </c>
      <c r="Q655" s="16">
        <f>COUNTIF('hedef liste'!A:A,A655)</f>
        <v>1</v>
      </c>
    </row>
    <row r="656" hidden="1">
      <c r="A656" s="376" t="s">
        <v>548</v>
      </c>
      <c r="B656" s="376" t="s">
        <v>7392</v>
      </c>
      <c r="C656" s="428" t="s">
        <v>6979</v>
      </c>
      <c r="D656" s="376" t="s">
        <v>3713</v>
      </c>
      <c r="E656" s="429">
        <v>91.0</v>
      </c>
      <c r="F656" s="431"/>
      <c r="G656" s="429">
        <v>10.0</v>
      </c>
      <c r="H656" s="429">
        <v>9.0</v>
      </c>
      <c r="I656" s="429">
        <v>19.0</v>
      </c>
      <c r="J656" s="430">
        <v>0.53</v>
      </c>
      <c r="K656" s="376" t="s">
        <v>6553</v>
      </c>
      <c r="L656" s="376">
        <v>5.347001688E9</v>
      </c>
      <c r="M656" s="376" t="s">
        <v>14</v>
      </c>
      <c r="N656" s="376" t="s">
        <v>3797</v>
      </c>
      <c r="O656" s="376" t="s">
        <v>551</v>
      </c>
      <c r="P656" s="376" t="s">
        <v>3941</v>
      </c>
      <c r="Q656" s="16">
        <f>COUNTIF('hedef liste'!A:A,A656)</f>
        <v>1</v>
      </c>
    </row>
    <row r="657" hidden="1">
      <c r="A657" s="376" t="s">
        <v>3198</v>
      </c>
      <c r="B657" s="376" t="s">
        <v>3199</v>
      </c>
      <c r="C657" s="428" t="s">
        <v>6979</v>
      </c>
      <c r="D657" s="376" t="s">
        <v>3713</v>
      </c>
      <c r="E657" s="429">
        <v>1439.0</v>
      </c>
      <c r="F657" s="429">
        <v>98.0</v>
      </c>
      <c r="G657" s="429">
        <v>0.0</v>
      </c>
      <c r="H657" s="429">
        <v>25.0</v>
      </c>
      <c r="I657" s="429">
        <v>25.0</v>
      </c>
      <c r="J657" s="430">
        <v>0.0</v>
      </c>
      <c r="K657" s="376" t="s">
        <v>5649</v>
      </c>
      <c r="L657" s="376">
        <v>5.44239493E9</v>
      </c>
      <c r="M657" s="376" t="s">
        <v>14</v>
      </c>
      <c r="N657" s="376" t="s">
        <v>3826</v>
      </c>
      <c r="O657" s="376" t="s">
        <v>3201</v>
      </c>
      <c r="P657" s="376" t="s">
        <v>3941</v>
      </c>
      <c r="Q657" s="16">
        <f>COUNTIF('hedef liste'!A:A,A657)</f>
        <v>1</v>
      </c>
    </row>
    <row r="658" hidden="1">
      <c r="A658" s="376" t="s">
        <v>5007</v>
      </c>
      <c r="B658" s="376" t="s">
        <v>5008</v>
      </c>
      <c r="C658" s="428" t="s">
        <v>7011</v>
      </c>
      <c r="D658" s="376" t="s">
        <v>4000</v>
      </c>
      <c r="E658" s="429">
        <v>555.0</v>
      </c>
      <c r="F658" s="431"/>
      <c r="G658" s="429">
        <v>0.0</v>
      </c>
      <c r="H658" s="429">
        <v>55.0</v>
      </c>
      <c r="I658" s="429">
        <v>55.0</v>
      </c>
      <c r="J658" s="430">
        <v>0.0</v>
      </c>
      <c r="K658" s="376" t="s">
        <v>5009</v>
      </c>
      <c r="L658" s="376">
        <v>5.365110118E9</v>
      </c>
      <c r="M658" s="376" t="s">
        <v>14</v>
      </c>
      <c r="N658" s="376" t="s">
        <v>3797</v>
      </c>
      <c r="O658" s="376" t="s">
        <v>5010</v>
      </c>
      <c r="P658" s="376" t="s">
        <v>3941</v>
      </c>
      <c r="Q658" s="16">
        <f>COUNTIF('hedef liste'!A:A,A658)</f>
        <v>1</v>
      </c>
    </row>
    <row r="659" hidden="1">
      <c r="A659" s="376" t="s">
        <v>788</v>
      </c>
      <c r="B659" s="376" t="s">
        <v>7393</v>
      </c>
      <c r="C659" s="428" t="s">
        <v>6979</v>
      </c>
      <c r="D659" s="376" t="s">
        <v>4249</v>
      </c>
      <c r="E659" s="429">
        <v>218.0</v>
      </c>
      <c r="F659" s="429">
        <v>23.0</v>
      </c>
      <c r="G659" s="429">
        <v>5.0</v>
      </c>
      <c r="H659" s="429">
        <v>48.0</v>
      </c>
      <c r="I659" s="429">
        <v>53.0</v>
      </c>
      <c r="J659" s="430">
        <v>0.09</v>
      </c>
      <c r="K659" s="376" t="s">
        <v>5059</v>
      </c>
      <c r="L659" s="376">
        <v>3.222351557E9</v>
      </c>
      <c r="M659" s="376" t="s">
        <v>14</v>
      </c>
      <c r="N659" s="376" t="s">
        <v>3797</v>
      </c>
      <c r="O659" s="376" t="s">
        <v>791</v>
      </c>
      <c r="P659" s="376" t="s">
        <v>3941</v>
      </c>
      <c r="Q659" s="16">
        <f>COUNTIF('hedef liste'!A:A,A659)</f>
        <v>1</v>
      </c>
    </row>
    <row r="660" hidden="1">
      <c r="A660" s="376" t="s">
        <v>4991</v>
      </c>
      <c r="B660" s="376" t="s">
        <v>4992</v>
      </c>
      <c r="C660" s="428" t="s">
        <v>6979</v>
      </c>
      <c r="D660" s="376" t="s">
        <v>3713</v>
      </c>
      <c r="E660" s="429">
        <v>1659.0</v>
      </c>
      <c r="F660" s="429">
        <v>90.0</v>
      </c>
      <c r="G660" s="429">
        <v>0.0</v>
      </c>
      <c r="H660" s="429">
        <v>9.0</v>
      </c>
      <c r="I660" s="429">
        <v>9.0</v>
      </c>
      <c r="J660" s="430">
        <v>0.0</v>
      </c>
      <c r="K660" s="376" t="s">
        <v>4993</v>
      </c>
      <c r="L660" s="376">
        <v>3.224532529E9</v>
      </c>
      <c r="M660" s="376" t="s">
        <v>286</v>
      </c>
      <c r="N660" s="376" t="s">
        <v>4263</v>
      </c>
      <c r="O660" s="376" t="s">
        <v>4994</v>
      </c>
      <c r="P660" s="376" t="s">
        <v>3941</v>
      </c>
      <c r="Q660" s="16">
        <f>COUNTIF('hedef liste'!A:A,A660)</f>
        <v>1</v>
      </c>
    </row>
    <row r="661" hidden="1">
      <c r="A661" s="376" t="s">
        <v>5629</v>
      </c>
      <c r="B661" s="376" t="s">
        <v>5630</v>
      </c>
      <c r="C661" s="428" t="s">
        <v>6979</v>
      </c>
      <c r="D661" s="376" t="s">
        <v>3690</v>
      </c>
      <c r="E661" s="429">
        <v>222.0</v>
      </c>
      <c r="F661" s="429">
        <v>7.0</v>
      </c>
      <c r="G661" s="429">
        <v>0.0</v>
      </c>
      <c r="H661" s="429">
        <v>6.0</v>
      </c>
      <c r="I661" s="429">
        <v>6.0</v>
      </c>
      <c r="J661" s="430">
        <v>0.0</v>
      </c>
      <c r="K661" s="376" t="s">
        <v>5631</v>
      </c>
      <c r="L661" s="376">
        <v>5.444452008E9</v>
      </c>
      <c r="M661" s="376" t="s">
        <v>3707</v>
      </c>
      <c r="N661" s="376" t="s">
        <v>3815</v>
      </c>
      <c r="O661" s="376" t="s">
        <v>5632</v>
      </c>
      <c r="P661" s="376" t="s">
        <v>3941</v>
      </c>
      <c r="Q661" s="16">
        <f>COUNTIF('hedef liste'!A:A,A661)</f>
        <v>1</v>
      </c>
    </row>
    <row r="662" hidden="1">
      <c r="A662" s="376" t="s">
        <v>2004</v>
      </c>
      <c r="B662" s="376" t="s">
        <v>7394</v>
      </c>
      <c r="C662" s="428" t="s">
        <v>6979</v>
      </c>
      <c r="D662" s="376" t="s">
        <v>3676</v>
      </c>
      <c r="E662" s="429">
        <v>1486.0</v>
      </c>
      <c r="F662" s="429">
        <v>106.0</v>
      </c>
      <c r="G662" s="429">
        <v>7.0</v>
      </c>
      <c r="H662" s="429">
        <v>11.0</v>
      </c>
      <c r="I662" s="429">
        <v>18.0</v>
      </c>
      <c r="J662" s="430">
        <v>0.39</v>
      </c>
      <c r="K662" s="376" t="s">
        <v>5529</v>
      </c>
      <c r="L662" s="376">
        <v>3.224313331E9</v>
      </c>
      <c r="M662" s="376" t="s">
        <v>286</v>
      </c>
      <c r="N662" s="376" t="s">
        <v>7395</v>
      </c>
      <c r="O662" s="376" t="s">
        <v>2008</v>
      </c>
      <c r="P662" s="376" t="s">
        <v>3941</v>
      </c>
      <c r="Q662" s="16">
        <f>COUNTIF('hedef liste'!A:A,A662)</f>
        <v>1</v>
      </c>
    </row>
    <row r="663" hidden="1">
      <c r="A663" s="376" t="s">
        <v>5599</v>
      </c>
      <c r="B663" s="376" t="s">
        <v>5600</v>
      </c>
      <c r="C663" s="428" t="s">
        <v>6979</v>
      </c>
      <c r="D663" s="376" t="s">
        <v>3994</v>
      </c>
      <c r="E663" s="429">
        <v>1037.0</v>
      </c>
      <c r="F663" s="429">
        <v>54.0</v>
      </c>
      <c r="G663" s="429">
        <v>0.0</v>
      </c>
      <c r="H663" s="429">
        <v>65.0</v>
      </c>
      <c r="I663" s="429">
        <v>65.0</v>
      </c>
      <c r="J663" s="430">
        <v>0.0</v>
      </c>
      <c r="K663" s="376" t="s">
        <v>5601</v>
      </c>
      <c r="L663" s="376">
        <v>5.365005457E9</v>
      </c>
      <c r="M663" s="376" t="s">
        <v>286</v>
      </c>
      <c r="N663" s="376" t="s">
        <v>3746</v>
      </c>
      <c r="O663" s="376" t="s">
        <v>5602</v>
      </c>
      <c r="P663" s="376" t="s">
        <v>3941</v>
      </c>
      <c r="Q663" s="16">
        <f>COUNTIF('hedef liste'!A:A,A663)</f>
        <v>1</v>
      </c>
    </row>
    <row r="664" hidden="1">
      <c r="A664" s="376" t="s">
        <v>2891</v>
      </c>
      <c r="B664" s="376" t="s">
        <v>2892</v>
      </c>
      <c r="C664" s="428" t="s">
        <v>6979</v>
      </c>
      <c r="D664" s="376" t="s">
        <v>3699</v>
      </c>
      <c r="E664" s="429">
        <v>348.0</v>
      </c>
      <c r="F664" s="429">
        <v>27.0</v>
      </c>
      <c r="G664" s="429">
        <v>60.0</v>
      </c>
      <c r="H664" s="429">
        <v>23.0</v>
      </c>
      <c r="I664" s="429">
        <v>83.0</v>
      </c>
      <c r="J664" s="430">
        <v>0.72</v>
      </c>
      <c r="K664" s="376" t="s">
        <v>4265</v>
      </c>
      <c r="L664" s="376">
        <v>5.380510547E9</v>
      </c>
      <c r="M664" s="376" t="s">
        <v>286</v>
      </c>
      <c r="N664" s="376" t="s">
        <v>3688</v>
      </c>
      <c r="O664" s="376" t="s">
        <v>2894</v>
      </c>
      <c r="P664" s="376" t="s">
        <v>3941</v>
      </c>
      <c r="Q664" s="16">
        <f>COUNTIF('hedef liste'!A:A,A664)</f>
        <v>1</v>
      </c>
    </row>
    <row r="665" hidden="1">
      <c r="A665" s="376" t="s">
        <v>1450</v>
      </c>
      <c r="B665" s="376" t="s">
        <v>7396</v>
      </c>
      <c r="C665" s="428" t="s">
        <v>6979</v>
      </c>
      <c r="D665" s="376" t="s">
        <v>3713</v>
      </c>
      <c r="E665" s="429">
        <v>916.0</v>
      </c>
      <c r="F665" s="429">
        <v>68.0</v>
      </c>
      <c r="G665" s="429">
        <v>6.0</v>
      </c>
      <c r="H665" s="429">
        <v>5.0</v>
      </c>
      <c r="I665" s="429">
        <v>11.0</v>
      </c>
      <c r="J665" s="430">
        <v>0.55</v>
      </c>
      <c r="K665" s="376" t="s">
        <v>4246</v>
      </c>
      <c r="L665" s="376">
        <v>3.222610506E9</v>
      </c>
      <c r="M665" s="376" t="s">
        <v>286</v>
      </c>
      <c r="N665" s="376" t="s">
        <v>3855</v>
      </c>
      <c r="O665" s="376" t="s">
        <v>4247</v>
      </c>
      <c r="P665" s="376" t="s">
        <v>3941</v>
      </c>
      <c r="Q665" s="16">
        <f>COUNTIF('hedef liste'!A:A,A665)</f>
        <v>1</v>
      </c>
    </row>
    <row r="666" hidden="1">
      <c r="A666" s="376" t="s">
        <v>5556</v>
      </c>
      <c r="B666" s="376" t="s">
        <v>5557</v>
      </c>
      <c r="C666" s="428" t="s">
        <v>6979</v>
      </c>
      <c r="D666" s="376" t="s">
        <v>3759</v>
      </c>
      <c r="E666" s="429">
        <v>7157.0</v>
      </c>
      <c r="F666" s="429">
        <v>236.0</v>
      </c>
      <c r="G666" s="429">
        <v>3.0</v>
      </c>
      <c r="H666" s="429">
        <v>11.0</v>
      </c>
      <c r="I666" s="429">
        <v>14.0</v>
      </c>
      <c r="J666" s="430">
        <v>0.21</v>
      </c>
      <c r="K666" s="376" t="s">
        <v>5558</v>
      </c>
      <c r="L666" s="376">
        <v>3.222280634E9</v>
      </c>
      <c r="M666" s="376" t="s">
        <v>286</v>
      </c>
      <c r="N666" s="376" t="s">
        <v>3754</v>
      </c>
      <c r="O666" s="376" t="s">
        <v>5559</v>
      </c>
      <c r="P666" s="376" t="s">
        <v>3941</v>
      </c>
      <c r="Q666" s="16">
        <f>COUNTIF('hedef liste'!A:A,A666)</f>
        <v>1</v>
      </c>
    </row>
    <row r="667" hidden="1">
      <c r="A667" s="376" t="s">
        <v>1340</v>
      </c>
      <c r="B667" s="376" t="s">
        <v>1341</v>
      </c>
      <c r="C667" s="428" t="s">
        <v>6979</v>
      </c>
      <c r="D667" s="376" t="s">
        <v>3994</v>
      </c>
      <c r="E667" s="429">
        <v>2695.0</v>
      </c>
      <c r="F667" s="429">
        <v>84.0</v>
      </c>
      <c r="G667" s="429">
        <v>8.0</v>
      </c>
      <c r="H667" s="429">
        <v>1.0</v>
      </c>
      <c r="I667" s="429">
        <v>9.0</v>
      </c>
      <c r="J667" s="430">
        <v>0.89</v>
      </c>
      <c r="K667" s="376" t="s">
        <v>4053</v>
      </c>
      <c r="L667" s="376">
        <v>3.222279292E9</v>
      </c>
      <c r="M667" s="376" t="s">
        <v>286</v>
      </c>
      <c r="N667" s="376" t="s">
        <v>3782</v>
      </c>
      <c r="O667" s="376" t="s">
        <v>4059</v>
      </c>
      <c r="P667" s="376" t="s">
        <v>3941</v>
      </c>
      <c r="Q667" s="16">
        <f>COUNTIF('hedef liste'!A:A,A667)</f>
        <v>1</v>
      </c>
    </row>
    <row r="668" hidden="1">
      <c r="A668" s="376" t="s">
        <v>2428</v>
      </c>
      <c r="B668" s="376" t="s">
        <v>2429</v>
      </c>
      <c r="C668" s="428" t="s">
        <v>6979</v>
      </c>
      <c r="D668" s="376" t="s">
        <v>5027</v>
      </c>
      <c r="E668" s="429">
        <v>1645.0</v>
      </c>
      <c r="F668" s="429">
        <v>96.0</v>
      </c>
      <c r="G668" s="429">
        <v>4.0</v>
      </c>
      <c r="H668" s="429">
        <v>7.0</v>
      </c>
      <c r="I668" s="429">
        <v>11.0</v>
      </c>
      <c r="J668" s="430">
        <v>0.36</v>
      </c>
      <c r="K668" s="376" t="s">
        <v>5664</v>
      </c>
      <c r="L668" s="376">
        <v>5.332852664E9</v>
      </c>
      <c r="M668" s="376" t="s">
        <v>286</v>
      </c>
      <c r="N668" s="376" t="s">
        <v>3737</v>
      </c>
      <c r="O668" s="376" t="s">
        <v>2431</v>
      </c>
      <c r="P668" s="376" t="s">
        <v>3941</v>
      </c>
      <c r="Q668" s="16">
        <f>COUNTIF('hedef liste'!A:A,A668)</f>
        <v>1</v>
      </c>
    </row>
    <row r="669" hidden="1">
      <c r="A669" s="376" t="s">
        <v>5808</v>
      </c>
      <c r="B669" s="376" t="s">
        <v>5809</v>
      </c>
      <c r="C669" s="428" t="s">
        <v>7011</v>
      </c>
      <c r="D669" s="376" t="s">
        <v>4000</v>
      </c>
      <c r="E669" s="429">
        <v>3.0</v>
      </c>
      <c r="F669" s="431"/>
      <c r="G669" s="429">
        <v>0.0</v>
      </c>
      <c r="H669" s="429">
        <v>46.0</v>
      </c>
      <c r="I669" s="429">
        <v>46.0</v>
      </c>
      <c r="J669" s="430">
        <v>0.0</v>
      </c>
      <c r="K669" s="376" t="s">
        <v>5810</v>
      </c>
      <c r="L669" s="376">
        <v>5.524723009E9</v>
      </c>
      <c r="M669" s="376" t="s">
        <v>14</v>
      </c>
      <c r="N669" s="376" t="s">
        <v>3718</v>
      </c>
      <c r="O669" s="376" t="s">
        <v>5811</v>
      </c>
      <c r="P669" s="376" t="s">
        <v>3941</v>
      </c>
      <c r="Q669" s="16">
        <f>COUNTIF('hedef liste'!A:A,A669)</f>
        <v>1</v>
      </c>
    </row>
    <row r="670" hidden="1">
      <c r="A670" s="376" t="s">
        <v>1232</v>
      </c>
      <c r="B670" s="376" t="s">
        <v>1233</v>
      </c>
      <c r="C670" s="428" t="s">
        <v>6979</v>
      </c>
      <c r="D670" s="376" t="s">
        <v>3690</v>
      </c>
      <c r="E670" s="429">
        <v>1555.0</v>
      </c>
      <c r="F670" s="429">
        <v>44.0</v>
      </c>
      <c r="G670" s="429">
        <v>0.0</v>
      </c>
      <c r="H670" s="429">
        <v>25.0</v>
      </c>
      <c r="I670" s="429">
        <v>25.0</v>
      </c>
      <c r="J670" s="430">
        <v>0.0</v>
      </c>
      <c r="K670" s="376" t="s">
        <v>6539</v>
      </c>
      <c r="L670" s="376">
        <v>5.306785826E9</v>
      </c>
      <c r="M670" s="376" t="s">
        <v>286</v>
      </c>
      <c r="N670" s="376" t="s">
        <v>3737</v>
      </c>
      <c r="O670" s="376" t="s">
        <v>1235</v>
      </c>
      <c r="P670" s="376" t="s">
        <v>3941</v>
      </c>
      <c r="Q670" s="16">
        <f>COUNTIF('hedef liste'!A:A,A670)</f>
        <v>1</v>
      </c>
    </row>
    <row r="671" hidden="1">
      <c r="A671" s="376" t="s">
        <v>5281</v>
      </c>
      <c r="B671" s="376" t="s">
        <v>5282</v>
      </c>
      <c r="C671" s="428" t="s">
        <v>6979</v>
      </c>
      <c r="D671" s="376" t="s">
        <v>3699</v>
      </c>
      <c r="E671" s="429">
        <v>1868.0</v>
      </c>
      <c r="F671" s="429">
        <v>120.0</v>
      </c>
      <c r="G671" s="429">
        <v>0.0</v>
      </c>
      <c r="H671" s="429">
        <v>92.0</v>
      </c>
      <c r="I671" s="429">
        <v>92.0</v>
      </c>
      <c r="J671" s="430">
        <v>0.0</v>
      </c>
      <c r="K671" s="376" t="s">
        <v>5283</v>
      </c>
      <c r="L671" s="376">
        <v>3.222480248E9</v>
      </c>
      <c r="M671" s="376" t="s">
        <v>14</v>
      </c>
      <c r="N671" s="376" t="s">
        <v>3826</v>
      </c>
      <c r="O671" s="376" t="s">
        <v>5284</v>
      </c>
      <c r="P671" s="376" t="s">
        <v>3941</v>
      </c>
      <c r="Q671" s="16">
        <f>COUNTIF('hedef liste'!A:A,A671)</f>
        <v>1</v>
      </c>
    </row>
    <row r="672" hidden="1">
      <c r="A672" s="376" t="s">
        <v>7397</v>
      </c>
      <c r="B672" s="376" t="s">
        <v>7398</v>
      </c>
      <c r="C672" s="428" t="s">
        <v>6979</v>
      </c>
      <c r="D672" s="376" t="s">
        <v>4000</v>
      </c>
      <c r="E672" s="429">
        <v>1929.0</v>
      </c>
      <c r="F672" s="429">
        <v>185.0</v>
      </c>
      <c r="G672" s="429">
        <v>8.0</v>
      </c>
      <c r="H672" s="429">
        <v>18.0</v>
      </c>
      <c r="I672" s="429">
        <v>26.0</v>
      </c>
      <c r="J672" s="430">
        <v>0.31</v>
      </c>
      <c r="K672" s="376" t="s">
        <v>7399</v>
      </c>
      <c r="L672" s="376">
        <v>5.413222324E9</v>
      </c>
      <c r="M672" s="376" t="s">
        <v>14</v>
      </c>
      <c r="N672" s="376" t="s">
        <v>3678</v>
      </c>
      <c r="O672" s="376" t="s">
        <v>7400</v>
      </c>
      <c r="P672" s="376" t="s">
        <v>3941</v>
      </c>
      <c r="Q672" s="16">
        <f>COUNTIF('hedef liste'!A:A,A672)</f>
        <v>0</v>
      </c>
    </row>
    <row r="673" hidden="1">
      <c r="A673" s="376" t="s">
        <v>7401</v>
      </c>
      <c r="B673" s="376" t="s">
        <v>7402</v>
      </c>
      <c r="C673" s="428" t="s">
        <v>7011</v>
      </c>
      <c r="D673" s="376" t="s">
        <v>4907</v>
      </c>
      <c r="E673" s="429">
        <v>925.0</v>
      </c>
      <c r="F673" s="431"/>
      <c r="G673" s="429">
        <v>89.0</v>
      </c>
      <c r="H673" s="429">
        <v>2.0</v>
      </c>
      <c r="I673" s="429">
        <v>91.0</v>
      </c>
      <c r="J673" s="430">
        <v>0.98</v>
      </c>
      <c r="K673" s="376" t="s">
        <v>7089</v>
      </c>
      <c r="L673" s="376">
        <v>3.225039102E9</v>
      </c>
      <c r="M673" s="376" t="s">
        <v>286</v>
      </c>
      <c r="N673" s="376" t="s">
        <v>3758</v>
      </c>
      <c r="O673" s="376" t="s">
        <v>7403</v>
      </c>
      <c r="P673" s="376" t="s">
        <v>6982</v>
      </c>
      <c r="Q673" s="16">
        <f>COUNTIF('hedef liste'!A:A,A673)</f>
        <v>0</v>
      </c>
    </row>
    <row r="674" hidden="1">
      <c r="A674" s="376" t="s">
        <v>1103</v>
      </c>
      <c r="B674" s="376" t="s">
        <v>1104</v>
      </c>
      <c r="C674" s="428" t="s">
        <v>6979</v>
      </c>
      <c r="D674" s="376" t="s">
        <v>3801</v>
      </c>
      <c r="E674" s="429">
        <v>1368.0</v>
      </c>
      <c r="F674" s="429">
        <v>47.0</v>
      </c>
      <c r="G674" s="429">
        <v>7.0</v>
      </c>
      <c r="H674" s="429">
        <v>15.0</v>
      </c>
      <c r="I674" s="429">
        <v>22.0</v>
      </c>
      <c r="J674" s="430">
        <v>0.32</v>
      </c>
      <c r="K674" s="376" t="s">
        <v>4620</v>
      </c>
      <c r="L674" s="376">
        <v>3.228810181E9</v>
      </c>
      <c r="M674" s="376" t="s">
        <v>14</v>
      </c>
      <c r="N674" s="376" t="s">
        <v>3935</v>
      </c>
      <c r="O674" s="376" t="s">
        <v>1106</v>
      </c>
      <c r="P674" s="376" t="s">
        <v>3941</v>
      </c>
      <c r="Q674" s="16">
        <f>COUNTIF('hedef liste'!A:A,A674)</f>
        <v>1</v>
      </c>
    </row>
    <row r="675" hidden="1">
      <c r="A675" s="376" t="s">
        <v>3057</v>
      </c>
      <c r="B675" s="376" t="s">
        <v>3058</v>
      </c>
      <c r="C675" s="428" t="s">
        <v>6979</v>
      </c>
      <c r="D675" s="376" t="s">
        <v>3713</v>
      </c>
      <c r="E675" s="429">
        <v>299.0</v>
      </c>
      <c r="F675" s="429">
        <v>2.0</v>
      </c>
      <c r="G675" s="429">
        <v>12.0</v>
      </c>
      <c r="H675" s="429">
        <v>35.0</v>
      </c>
      <c r="I675" s="429">
        <v>47.0</v>
      </c>
      <c r="J675" s="430">
        <v>0.26</v>
      </c>
      <c r="K675" s="376" t="s">
        <v>3975</v>
      </c>
      <c r="L675" s="376">
        <v>3.224588606E9</v>
      </c>
      <c r="M675" s="376" t="s">
        <v>286</v>
      </c>
      <c r="N675" s="376" t="s">
        <v>3737</v>
      </c>
      <c r="O675" s="376" t="s">
        <v>3060</v>
      </c>
      <c r="P675" s="376" t="s">
        <v>3941</v>
      </c>
      <c r="Q675" s="16">
        <f>COUNTIF('hedef liste'!A:A,A675)</f>
        <v>1</v>
      </c>
    </row>
    <row r="676" hidden="1">
      <c r="A676" s="376" t="s">
        <v>1397</v>
      </c>
      <c r="B676" s="376" t="s">
        <v>7404</v>
      </c>
      <c r="C676" s="428" t="s">
        <v>6979</v>
      </c>
      <c r="D676" s="376" t="s">
        <v>3759</v>
      </c>
      <c r="E676" s="429">
        <v>843.0</v>
      </c>
      <c r="F676" s="429">
        <v>36.0</v>
      </c>
      <c r="G676" s="429">
        <v>0.0</v>
      </c>
      <c r="H676" s="429">
        <v>18.0</v>
      </c>
      <c r="I676" s="429">
        <v>18.0</v>
      </c>
      <c r="J676" s="430">
        <v>0.0</v>
      </c>
      <c r="K676" s="376" t="s">
        <v>6535</v>
      </c>
      <c r="L676" s="376">
        <v>3.224585522E9</v>
      </c>
      <c r="M676" s="376" t="s">
        <v>286</v>
      </c>
      <c r="N676" s="376" t="s">
        <v>4550</v>
      </c>
      <c r="O676" s="376" t="s">
        <v>1400</v>
      </c>
      <c r="P676" s="376" t="s">
        <v>3941</v>
      </c>
      <c r="Q676" s="16">
        <f>COUNTIF('hedef liste'!A:A,A676)</f>
        <v>1</v>
      </c>
    </row>
    <row r="677" hidden="1">
      <c r="A677" s="376" t="s">
        <v>792</v>
      </c>
      <c r="B677" s="376" t="s">
        <v>793</v>
      </c>
      <c r="C677" s="428" t="s">
        <v>6979</v>
      </c>
      <c r="D677" s="376" t="s">
        <v>4000</v>
      </c>
      <c r="E677" s="429">
        <v>327.0</v>
      </c>
      <c r="F677" s="429">
        <v>20.0</v>
      </c>
      <c r="G677" s="429">
        <v>0.0</v>
      </c>
      <c r="H677" s="429">
        <v>25.0</v>
      </c>
      <c r="I677" s="429">
        <v>25.0</v>
      </c>
      <c r="J677" s="430">
        <v>0.0</v>
      </c>
      <c r="K677" s="376" t="s">
        <v>4300</v>
      </c>
      <c r="L677" s="376">
        <v>3.222332334E9</v>
      </c>
      <c r="M677" s="376" t="s">
        <v>14</v>
      </c>
      <c r="N677" s="376" t="s">
        <v>3797</v>
      </c>
      <c r="O677" s="376" t="s">
        <v>795</v>
      </c>
      <c r="P677" s="376" t="s">
        <v>3941</v>
      </c>
      <c r="Q677" s="16">
        <f>COUNTIF('hedef liste'!A:A,A677)</f>
        <v>1</v>
      </c>
    </row>
    <row r="678" hidden="1">
      <c r="A678" s="376" t="s">
        <v>3133</v>
      </c>
      <c r="B678" s="376" t="s">
        <v>3134</v>
      </c>
      <c r="C678" s="428" t="s">
        <v>6979</v>
      </c>
      <c r="D678" s="376" t="s">
        <v>3912</v>
      </c>
      <c r="E678" s="429">
        <v>32.0</v>
      </c>
      <c r="F678" s="431"/>
      <c r="G678" s="429">
        <v>8.0</v>
      </c>
      <c r="H678" s="429">
        <v>2.0</v>
      </c>
      <c r="I678" s="429">
        <v>10.0</v>
      </c>
      <c r="J678" s="430">
        <v>0.8</v>
      </c>
      <c r="K678" s="376" t="s">
        <v>6355</v>
      </c>
      <c r="L678" s="376">
        <v>5.01329286E9</v>
      </c>
      <c r="M678" s="376" t="s">
        <v>14</v>
      </c>
      <c r="N678" s="376" t="s">
        <v>3733</v>
      </c>
      <c r="O678" s="376" t="s">
        <v>3136</v>
      </c>
      <c r="P678" s="376" t="s">
        <v>3941</v>
      </c>
      <c r="Q678" s="16">
        <f>COUNTIF('hedef liste'!A:A,A678)</f>
        <v>1</v>
      </c>
    </row>
    <row r="679" hidden="1">
      <c r="A679" s="376" t="s">
        <v>2921</v>
      </c>
      <c r="B679" s="376" t="s">
        <v>2922</v>
      </c>
      <c r="C679" s="428" t="s">
        <v>6979</v>
      </c>
      <c r="D679" s="376" t="s">
        <v>4249</v>
      </c>
      <c r="E679" s="429">
        <v>310.0</v>
      </c>
      <c r="F679" s="431"/>
      <c r="G679" s="429">
        <v>14.0</v>
      </c>
      <c r="H679" s="429">
        <v>14.0</v>
      </c>
      <c r="I679" s="429">
        <v>28.0</v>
      </c>
      <c r="J679" s="430">
        <v>0.5</v>
      </c>
      <c r="K679" s="376" t="s">
        <v>4431</v>
      </c>
      <c r="L679" s="376">
        <v>5.31294931E9</v>
      </c>
      <c r="M679" s="376" t="s">
        <v>3707</v>
      </c>
      <c r="N679" s="376" t="s">
        <v>4432</v>
      </c>
      <c r="O679" s="376" t="s">
        <v>4433</v>
      </c>
      <c r="P679" s="376" t="s">
        <v>3941</v>
      </c>
      <c r="Q679" s="16">
        <f>COUNTIF('hedef liste'!A:A,A679)</f>
        <v>1</v>
      </c>
    </row>
    <row r="680" hidden="1">
      <c r="A680" s="376" t="s">
        <v>2377</v>
      </c>
      <c r="B680" s="376" t="s">
        <v>2378</v>
      </c>
      <c r="C680" s="428" t="s">
        <v>6979</v>
      </c>
      <c r="D680" s="376" t="s">
        <v>3912</v>
      </c>
      <c r="E680" s="429">
        <v>1840.0</v>
      </c>
      <c r="F680" s="429">
        <v>128.0</v>
      </c>
      <c r="G680" s="429">
        <v>9.0</v>
      </c>
      <c r="H680" s="429">
        <v>18.0</v>
      </c>
      <c r="I680" s="429">
        <v>27.0</v>
      </c>
      <c r="J680" s="430">
        <v>0.33</v>
      </c>
      <c r="K680" s="376" t="s">
        <v>5541</v>
      </c>
      <c r="L680" s="376">
        <v>3.222338888E9</v>
      </c>
      <c r="M680" s="376" t="s">
        <v>14</v>
      </c>
      <c r="N680" s="376" t="s">
        <v>3718</v>
      </c>
      <c r="O680" s="376" t="s">
        <v>2380</v>
      </c>
      <c r="P680" s="376" t="s">
        <v>3941</v>
      </c>
      <c r="Q680" s="16">
        <f>COUNTIF('hedef liste'!A:A,A680)</f>
        <v>1</v>
      </c>
    </row>
    <row r="681" hidden="1">
      <c r="A681" s="376" t="s">
        <v>6036</v>
      </c>
      <c r="B681" s="376" t="s">
        <v>6037</v>
      </c>
      <c r="C681" s="428" t="s">
        <v>6979</v>
      </c>
      <c r="D681" s="376" t="s">
        <v>3801</v>
      </c>
      <c r="E681" s="429">
        <v>314.0</v>
      </c>
      <c r="F681" s="429">
        <v>34.0</v>
      </c>
      <c r="G681" s="429">
        <v>31.0</v>
      </c>
      <c r="H681" s="429">
        <v>0.0</v>
      </c>
      <c r="I681" s="429">
        <v>31.0</v>
      </c>
      <c r="J681" s="430">
        <v>1.0</v>
      </c>
      <c r="K681" s="376" t="s">
        <v>7405</v>
      </c>
      <c r="L681" s="376">
        <v>5.30449121E9</v>
      </c>
      <c r="M681" s="376" t="s">
        <v>3692</v>
      </c>
      <c r="N681" s="376" t="s">
        <v>3901</v>
      </c>
      <c r="O681" s="376" t="s">
        <v>6039</v>
      </c>
      <c r="P681" s="376" t="s">
        <v>6982</v>
      </c>
      <c r="Q681" s="16">
        <f>COUNTIF('hedef liste'!A:A,A681)</f>
        <v>1</v>
      </c>
    </row>
    <row r="682" hidden="1">
      <c r="A682" s="376" t="s">
        <v>7406</v>
      </c>
      <c r="B682" s="376" t="s">
        <v>7407</v>
      </c>
      <c r="C682" s="428" t="s">
        <v>7011</v>
      </c>
      <c r="D682" s="376" t="s">
        <v>3676</v>
      </c>
      <c r="E682" s="429">
        <v>630.0</v>
      </c>
      <c r="F682" s="431"/>
      <c r="G682" s="429">
        <v>30.0</v>
      </c>
      <c r="H682" s="429">
        <v>3.0</v>
      </c>
      <c r="I682" s="429">
        <v>33.0</v>
      </c>
      <c r="J682" s="430">
        <v>0.91</v>
      </c>
      <c r="K682" s="376" t="s">
        <v>3684</v>
      </c>
      <c r="L682" s="376">
        <v>5.437174747E9</v>
      </c>
      <c r="M682" s="376" t="s">
        <v>286</v>
      </c>
      <c r="N682" s="376" t="s">
        <v>3754</v>
      </c>
      <c r="O682" s="376" t="s">
        <v>7408</v>
      </c>
      <c r="P682" s="376" t="s">
        <v>3941</v>
      </c>
      <c r="Q682" s="16">
        <f>COUNTIF('hedef liste'!A:A,A682)</f>
        <v>0</v>
      </c>
    </row>
    <row r="683" hidden="1">
      <c r="A683" s="376" t="s">
        <v>2989</v>
      </c>
      <c r="B683" s="376" t="s">
        <v>2990</v>
      </c>
      <c r="C683" s="428" t="s">
        <v>6979</v>
      </c>
      <c r="D683" s="376" t="s">
        <v>4249</v>
      </c>
      <c r="E683" s="429">
        <v>744.0</v>
      </c>
      <c r="F683" s="429">
        <v>21.0</v>
      </c>
      <c r="G683" s="429">
        <v>10.0</v>
      </c>
      <c r="H683" s="429">
        <v>2.0</v>
      </c>
      <c r="I683" s="429">
        <v>12.0</v>
      </c>
      <c r="J683" s="430">
        <v>0.83</v>
      </c>
      <c r="K683" s="376" t="s">
        <v>6465</v>
      </c>
      <c r="L683" s="376">
        <v>5.079587878E9</v>
      </c>
      <c r="M683" s="376" t="s">
        <v>286</v>
      </c>
      <c r="N683" s="376" t="s">
        <v>3746</v>
      </c>
      <c r="O683" s="376" t="s">
        <v>2992</v>
      </c>
      <c r="P683" s="376" t="s">
        <v>3941</v>
      </c>
      <c r="Q683" s="16">
        <f>COUNTIF('hedef liste'!A:A,A683)</f>
        <v>1</v>
      </c>
    </row>
    <row r="684" hidden="1">
      <c r="A684" s="376" t="s">
        <v>7409</v>
      </c>
      <c r="B684" s="376" t="s">
        <v>7410</v>
      </c>
      <c r="C684" s="428" t="s">
        <v>6979</v>
      </c>
      <c r="D684" s="376" t="s">
        <v>3801</v>
      </c>
      <c r="E684" s="429">
        <v>911.0</v>
      </c>
      <c r="F684" s="429">
        <v>49.0</v>
      </c>
      <c r="G684" s="429">
        <v>38.0</v>
      </c>
      <c r="H684" s="429">
        <v>3.0</v>
      </c>
      <c r="I684" s="429">
        <v>41.0</v>
      </c>
      <c r="J684" s="430">
        <v>0.93</v>
      </c>
      <c r="K684" s="376" t="s">
        <v>6998</v>
      </c>
      <c r="L684" s="376">
        <v>5.526052847E9</v>
      </c>
      <c r="M684" s="376" t="s">
        <v>286</v>
      </c>
      <c r="N684" s="376" t="s">
        <v>4075</v>
      </c>
      <c r="O684" s="376" t="s">
        <v>7411</v>
      </c>
      <c r="P684" s="376" t="s">
        <v>6982</v>
      </c>
      <c r="Q684" s="16">
        <f>COUNTIF('hedef liste'!A:A,A684)</f>
        <v>0</v>
      </c>
    </row>
    <row r="685" hidden="1">
      <c r="A685" s="376" t="s">
        <v>4889</v>
      </c>
      <c r="B685" s="376" t="s">
        <v>4890</v>
      </c>
      <c r="C685" s="428" t="s">
        <v>6979</v>
      </c>
      <c r="D685" s="376" t="s">
        <v>3713</v>
      </c>
      <c r="E685" s="429">
        <v>408.0</v>
      </c>
      <c r="F685" s="431"/>
      <c r="G685" s="429">
        <v>0.0</v>
      </c>
      <c r="H685" s="429">
        <v>14.0</v>
      </c>
      <c r="I685" s="429">
        <v>14.0</v>
      </c>
      <c r="J685" s="430">
        <v>0.0</v>
      </c>
      <c r="K685" s="376" t="s">
        <v>4891</v>
      </c>
      <c r="L685" s="376">
        <v>5.337948178E9</v>
      </c>
      <c r="M685" s="376" t="s">
        <v>14</v>
      </c>
      <c r="N685" s="376" t="s">
        <v>3935</v>
      </c>
      <c r="O685" s="376" t="s">
        <v>4892</v>
      </c>
      <c r="P685" s="376" t="s">
        <v>3941</v>
      </c>
      <c r="Q685" s="16">
        <f>COUNTIF('hedef liste'!A:A,A685)</f>
        <v>1</v>
      </c>
    </row>
    <row r="686" hidden="1">
      <c r="A686" s="376" t="s">
        <v>3116</v>
      </c>
      <c r="B686" s="376" t="s">
        <v>3117</v>
      </c>
      <c r="C686" s="428" t="s">
        <v>6979</v>
      </c>
      <c r="D686" s="376" t="s">
        <v>3699</v>
      </c>
      <c r="E686" s="429">
        <v>138.0</v>
      </c>
      <c r="F686" s="429">
        <v>4.0</v>
      </c>
      <c r="G686" s="429">
        <v>13.0</v>
      </c>
      <c r="H686" s="429">
        <v>46.0</v>
      </c>
      <c r="I686" s="429">
        <v>59.0</v>
      </c>
      <c r="J686" s="430">
        <v>0.22</v>
      </c>
      <c r="K686" s="376" t="s">
        <v>3891</v>
      </c>
      <c r="L686" s="376">
        <v>5.306552464E9</v>
      </c>
      <c r="M686" s="376" t="s">
        <v>14</v>
      </c>
      <c r="N686" s="376" t="s">
        <v>3797</v>
      </c>
      <c r="O686" s="376" t="s">
        <v>3119</v>
      </c>
      <c r="P686" s="376" t="s">
        <v>3941</v>
      </c>
      <c r="Q686" s="16">
        <f>COUNTIF('hedef liste'!A:A,A686)</f>
        <v>1</v>
      </c>
    </row>
    <row r="687" hidden="1">
      <c r="A687" s="376" t="s">
        <v>3100</v>
      </c>
      <c r="B687" s="376" t="s">
        <v>3101</v>
      </c>
      <c r="C687" s="428" t="s">
        <v>6979</v>
      </c>
      <c r="D687" s="376" t="s">
        <v>3676</v>
      </c>
      <c r="E687" s="429">
        <v>1357.0</v>
      </c>
      <c r="F687" s="429">
        <v>87.0</v>
      </c>
      <c r="G687" s="429">
        <v>14.0</v>
      </c>
      <c r="H687" s="429">
        <v>1.0</v>
      </c>
      <c r="I687" s="429">
        <v>15.0</v>
      </c>
      <c r="J687" s="430">
        <v>0.93</v>
      </c>
      <c r="K687" s="376" t="s">
        <v>4562</v>
      </c>
      <c r="L687" s="376">
        <v>5.431873301E9</v>
      </c>
      <c r="M687" s="376" t="s">
        <v>286</v>
      </c>
      <c r="N687" s="376" t="s">
        <v>3769</v>
      </c>
      <c r="O687" s="376" t="s">
        <v>3103</v>
      </c>
      <c r="P687" s="376" t="s">
        <v>3941</v>
      </c>
      <c r="Q687" s="16">
        <f>COUNTIF('hedef liste'!A:A,A687)</f>
        <v>1</v>
      </c>
    </row>
    <row r="688" hidden="1">
      <c r="A688" s="376" t="s">
        <v>6852</v>
      </c>
      <c r="B688" s="376" t="s">
        <v>6853</v>
      </c>
      <c r="C688" s="428" t="s">
        <v>6979</v>
      </c>
      <c r="D688" s="376" t="s">
        <v>6854</v>
      </c>
      <c r="E688" s="429">
        <v>286.0</v>
      </c>
      <c r="F688" s="429">
        <v>62.0</v>
      </c>
      <c r="G688" s="429">
        <v>0.0</v>
      </c>
      <c r="H688" s="429">
        <v>62.0</v>
      </c>
      <c r="I688" s="429">
        <v>62.0</v>
      </c>
      <c r="J688" s="430">
        <v>0.0</v>
      </c>
      <c r="K688" s="376" t="s">
        <v>6855</v>
      </c>
      <c r="L688" s="376">
        <v>5.427738377E9</v>
      </c>
      <c r="M688" s="376" t="s">
        <v>286</v>
      </c>
      <c r="N688" s="376" t="s">
        <v>3688</v>
      </c>
      <c r="O688" s="376" t="s">
        <v>6856</v>
      </c>
      <c r="P688" s="376" t="s">
        <v>3941</v>
      </c>
      <c r="Q688" s="16">
        <f>COUNTIF('hedef liste'!A:A,A688)</f>
        <v>1</v>
      </c>
    </row>
    <row r="689" hidden="1">
      <c r="A689" s="376" t="s">
        <v>4453</v>
      </c>
      <c r="B689" s="376" t="s">
        <v>7412</v>
      </c>
      <c r="C689" s="428" t="s">
        <v>6979</v>
      </c>
      <c r="D689" s="376" t="s">
        <v>4000</v>
      </c>
      <c r="E689" s="429">
        <v>1500.0</v>
      </c>
      <c r="F689" s="429">
        <v>25.0</v>
      </c>
      <c r="G689" s="429">
        <v>0.0</v>
      </c>
      <c r="H689" s="429">
        <v>32.0</v>
      </c>
      <c r="I689" s="429">
        <v>32.0</v>
      </c>
      <c r="J689" s="430">
        <v>0.0</v>
      </c>
      <c r="K689" s="376" t="s">
        <v>4454</v>
      </c>
      <c r="L689" s="376">
        <v>5.444352433E9</v>
      </c>
      <c r="M689" s="376" t="s">
        <v>14</v>
      </c>
      <c r="N689" s="376" t="s">
        <v>3733</v>
      </c>
      <c r="O689" s="376" t="s">
        <v>4455</v>
      </c>
      <c r="P689" s="376" t="s">
        <v>3941</v>
      </c>
      <c r="Q689" s="16">
        <f>COUNTIF('hedef liste'!A:A,A689)</f>
        <v>1</v>
      </c>
    </row>
    <row r="690" hidden="1">
      <c r="A690" s="376" t="s">
        <v>3137</v>
      </c>
      <c r="B690" s="376" t="s">
        <v>3138</v>
      </c>
      <c r="C690" s="428" t="s">
        <v>6979</v>
      </c>
      <c r="D690" s="376" t="s">
        <v>3713</v>
      </c>
      <c r="E690" s="429">
        <v>1239.0</v>
      </c>
      <c r="F690" s="429">
        <v>143.0</v>
      </c>
      <c r="G690" s="429">
        <v>0.0</v>
      </c>
      <c r="H690" s="429">
        <v>17.0</v>
      </c>
      <c r="I690" s="429">
        <v>17.0</v>
      </c>
      <c r="J690" s="430">
        <v>0.0</v>
      </c>
      <c r="K690" s="376" t="s">
        <v>4257</v>
      </c>
      <c r="L690" s="376">
        <v>3.222570505E9</v>
      </c>
      <c r="M690" s="376" t="s">
        <v>14</v>
      </c>
      <c r="N690" s="376" t="s">
        <v>5433</v>
      </c>
      <c r="O690" s="376" t="s">
        <v>3140</v>
      </c>
      <c r="P690" s="376" t="s">
        <v>3941</v>
      </c>
      <c r="Q690" s="16">
        <f>COUNTIF('hedef liste'!A:A,A690)</f>
        <v>1</v>
      </c>
    </row>
    <row r="691" hidden="1">
      <c r="A691" s="376" t="s">
        <v>3159</v>
      </c>
      <c r="B691" s="376" t="s">
        <v>3023</v>
      </c>
      <c r="C691" s="428" t="s">
        <v>6979</v>
      </c>
      <c r="D691" s="376" t="s">
        <v>3801</v>
      </c>
      <c r="E691" s="429">
        <v>71.0</v>
      </c>
      <c r="F691" s="429">
        <v>17.0</v>
      </c>
      <c r="G691" s="429">
        <v>6.0</v>
      </c>
      <c r="H691" s="429">
        <v>7.0</v>
      </c>
      <c r="I691" s="429">
        <v>13.0</v>
      </c>
      <c r="J691" s="430">
        <v>0.46</v>
      </c>
      <c r="K691" s="376" t="s">
        <v>5305</v>
      </c>
      <c r="L691" s="376">
        <v>5.347143127E9</v>
      </c>
      <c r="M691" s="376" t="s">
        <v>286</v>
      </c>
      <c r="N691" s="376" t="s">
        <v>3782</v>
      </c>
      <c r="O691" s="376" t="s">
        <v>3161</v>
      </c>
      <c r="P691" s="376" t="s">
        <v>3941</v>
      </c>
      <c r="Q691" s="16">
        <f>COUNTIF('hedef liste'!A:A,A691)</f>
        <v>1</v>
      </c>
    </row>
    <row r="692" hidden="1">
      <c r="A692" s="376" t="s">
        <v>6857</v>
      </c>
      <c r="B692" s="376" t="s">
        <v>6858</v>
      </c>
      <c r="C692" s="428" t="s">
        <v>6979</v>
      </c>
      <c r="D692" s="376" t="s">
        <v>3749</v>
      </c>
      <c r="E692" s="429">
        <v>509.0</v>
      </c>
      <c r="F692" s="429">
        <v>22.0</v>
      </c>
      <c r="G692" s="429">
        <v>0.0</v>
      </c>
      <c r="H692" s="429">
        <v>23.0</v>
      </c>
      <c r="I692" s="429">
        <v>23.0</v>
      </c>
      <c r="J692" s="430">
        <v>0.0</v>
      </c>
      <c r="K692" s="376" t="s">
        <v>6859</v>
      </c>
      <c r="L692" s="376">
        <v>5.462662556E9</v>
      </c>
      <c r="M692" s="376" t="s">
        <v>3814</v>
      </c>
      <c r="N692" s="376" t="s">
        <v>3815</v>
      </c>
      <c r="O692" s="376" t="s">
        <v>6860</v>
      </c>
      <c r="P692" s="376" t="s">
        <v>3941</v>
      </c>
      <c r="Q692" s="16">
        <f>COUNTIF('hedef liste'!A:A,A692)</f>
        <v>1</v>
      </c>
    </row>
    <row r="693" hidden="1">
      <c r="A693" s="376" t="s">
        <v>1082</v>
      </c>
      <c r="B693" s="376" t="s">
        <v>1083</v>
      </c>
      <c r="C693" s="428" t="s">
        <v>6979</v>
      </c>
      <c r="D693" s="376" t="s">
        <v>3713</v>
      </c>
      <c r="E693" s="429">
        <v>2135.0</v>
      </c>
      <c r="F693" s="429">
        <v>37.0</v>
      </c>
      <c r="G693" s="429">
        <v>2.0</v>
      </c>
      <c r="H693" s="429">
        <v>2.0</v>
      </c>
      <c r="I693" s="429">
        <v>4.0</v>
      </c>
      <c r="J693" s="430">
        <v>0.5</v>
      </c>
      <c r="K693" s="376" t="s">
        <v>4821</v>
      </c>
      <c r="L693" s="376">
        <v>3.229992224E9</v>
      </c>
      <c r="M693" s="376" t="s">
        <v>14</v>
      </c>
      <c r="N693" s="376" t="s">
        <v>3797</v>
      </c>
      <c r="O693" s="376" t="s">
        <v>1085</v>
      </c>
      <c r="P693" s="376" t="s">
        <v>3941</v>
      </c>
      <c r="Q693" s="16">
        <f>COUNTIF('hedef liste'!A:A,A693)</f>
        <v>1</v>
      </c>
    </row>
    <row r="694" hidden="1">
      <c r="A694" s="376" t="s">
        <v>492</v>
      </c>
      <c r="B694" s="376" t="s">
        <v>493</v>
      </c>
      <c r="C694" s="428" t="s">
        <v>6979</v>
      </c>
      <c r="D694" s="376" t="s">
        <v>3759</v>
      </c>
      <c r="E694" s="429">
        <v>2758.0</v>
      </c>
      <c r="F694" s="429">
        <v>127.0</v>
      </c>
      <c r="G694" s="429">
        <v>9.0</v>
      </c>
      <c r="H694" s="429">
        <v>7.0</v>
      </c>
      <c r="I694" s="429">
        <v>16.0</v>
      </c>
      <c r="J694" s="430">
        <v>0.56</v>
      </c>
      <c r="K694" s="376" t="s">
        <v>5562</v>
      </c>
      <c r="L694" s="376">
        <v>3.222391817E9</v>
      </c>
      <c r="M694" s="376" t="s">
        <v>14</v>
      </c>
      <c r="N694" s="376" t="s">
        <v>3826</v>
      </c>
      <c r="O694" s="376" t="s">
        <v>495</v>
      </c>
      <c r="P694" s="376" t="s">
        <v>3941</v>
      </c>
      <c r="Q694" s="16">
        <f>COUNTIF('hedef liste'!A:A,A694)</f>
        <v>1</v>
      </c>
    </row>
    <row r="695" hidden="1">
      <c r="A695" s="376" t="s">
        <v>3600</v>
      </c>
      <c r="B695" s="376" t="s">
        <v>3601</v>
      </c>
      <c r="C695" s="428" t="s">
        <v>6979</v>
      </c>
      <c r="D695" s="376" t="s">
        <v>3676</v>
      </c>
      <c r="E695" s="429">
        <v>86.0</v>
      </c>
      <c r="F695" s="429">
        <v>6.0</v>
      </c>
      <c r="G695" s="429">
        <v>0.0</v>
      </c>
      <c r="H695" s="429">
        <v>25.0</v>
      </c>
      <c r="I695" s="429">
        <v>25.0</v>
      </c>
      <c r="J695" s="430">
        <v>0.0</v>
      </c>
      <c r="K695" s="376" t="s">
        <v>4822</v>
      </c>
      <c r="L695" s="376">
        <v>3.222710808E9</v>
      </c>
      <c r="M695" s="376" t="s">
        <v>286</v>
      </c>
      <c r="N695" s="376" t="s">
        <v>4235</v>
      </c>
      <c r="O695" s="376" t="s">
        <v>4823</v>
      </c>
      <c r="P695" s="376" t="s">
        <v>3941</v>
      </c>
      <c r="Q695" s="16">
        <f>COUNTIF('hedef liste'!A:A,A695)</f>
        <v>1</v>
      </c>
    </row>
    <row r="696" hidden="1">
      <c r="A696" s="376" t="s">
        <v>4472</v>
      </c>
      <c r="B696" s="376" t="s">
        <v>4473</v>
      </c>
      <c r="C696" s="428" t="s">
        <v>6979</v>
      </c>
      <c r="D696" s="376" t="s">
        <v>3713</v>
      </c>
      <c r="E696" s="429">
        <v>43.0</v>
      </c>
      <c r="F696" s="429">
        <v>1.0</v>
      </c>
      <c r="G696" s="429">
        <v>0.0</v>
      </c>
      <c r="H696" s="429">
        <v>15.0</v>
      </c>
      <c r="I696" s="429">
        <v>15.0</v>
      </c>
      <c r="J696" s="430">
        <v>0.0</v>
      </c>
      <c r="K696" s="376" t="s">
        <v>4474</v>
      </c>
      <c r="L696" s="376">
        <v>5.388219166E9</v>
      </c>
      <c r="M696" s="376" t="s">
        <v>286</v>
      </c>
      <c r="N696" s="376" t="s">
        <v>3855</v>
      </c>
      <c r="O696" s="376" t="s">
        <v>4475</v>
      </c>
      <c r="P696" s="376" t="s">
        <v>3941</v>
      </c>
      <c r="Q696" s="16">
        <f>COUNTIF('hedef liste'!A:A,A696)</f>
        <v>1</v>
      </c>
    </row>
    <row r="697" hidden="1">
      <c r="A697" s="376" t="s">
        <v>2318</v>
      </c>
      <c r="B697" s="376" t="s">
        <v>2319</v>
      </c>
      <c r="C697" s="428" t="s">
        <v>6979</v>
      </c>
      <c r="D697" s="376" t="s">
        <v>3801</v>
      </c>
      <c r="E697" s="429">
        <v>681.0</v>
      </c>
      <c r="F697" s="429">
        <v>23.0</v>
      </c>
      <c r="G697" s="429">
        <v>7.0</v>
      </c>
      <c r="H697" s="429">
        <v>1.0</v>
      </c>
      <c r="I697" s="429">
        <v>8.0</v>
      </c>
      <c r="J697" s="430">
        <v>0.88</v>
      </c>
      <c r="K697" s="376" t="s">
        <v>5788</v>
      </c>
      <c r="L697" s="376">
        <v>5.370393877E9</v>
      </c>
      <c r="M697" s="376" t="s">
        <v>286</v>
      </c>
      <c r="N697" s="376" t="s">
        <v>3758</v>
      </c>
      <c r="O697" s="376" t="s">
        <v>2321</v>
      </c>
      <c r="P697" s="376" t="s">
        <v>3941</v>
      </c>
      <c r="Q697" s="16">
        <f>COUNTIF('hedef liste'!A:A,A697)</f>
        <v>1</v>
      </c>
    </row>
    <row r="698" hidden="1">
      <c r="A698" s="376" t="s">
        <v>3280</v>
      </c>
      <c r="B698" s="376" t="s">
        <v>3281</v>
      </c>
      <c r="C698" s="428" t="s">
        <v>7011</v>
      </c>
      <c r="D698" s="376" t="s">
        <v>3690</v>
      </c>
      <c r="E698" s="429">
        <v>77.0</v>
      </c>
      <c r="F698" s="431"/>
      <c r="G698" s="429">
        <v>0.0</v>
      </c>
      <c r="H698" s="429">
        <v>17.0</v>
      </c>
      <c r="I698" s="429">
        <v>17.0</v>
      </c>
      <c r="J698" s="430">
        <v>0.0</v>
      </c>
      <c r="K698" s="376" t="s">
        <v>5795</v>
      </c>
      <c r="L698" s="376">
        <v>5.464421443E9</v>
      </c>
      <c r="M698" s="376" t="s">
        <v>14</v>
      </c>
      <c r="N698" s="376" t="s">
        <v>3797</v>
      </c>
      <c r="O698" s="376" t="s">
        <v>5796</v>
      </c>
      <c r="P698" s="376" t="s">
        <v>3941</v>
      </c>
      <c r="Q698" s="16">
        <f>COUNTIF('hedef liste'!A:A,A698)</f>
        <v>1</v>
      </c>
    </row>
    <row r="699" hidden="1">
      <c r="A699" s="376" t="s">
        <v>6569</v>
      </c>
      <c r="B699" s="376" t="s">
        <v>6570</v>
      </c>
      <c r="C699" s="428" t="s">
        <v>6979</v>
      </c>
      <c r="D699" s="376" t="s">
        <v>3690</v>
      </c>
      <c r="E699" s="429">
        <v>4.0</v>
      </c>
      <c r="F699" s="429">
        <v>1.0</v>
      </c>
      <c r="G699" s="429">
        <v>0.0</v>
      </c>
      <c r="H699" s="429">
        <v>12.0</v>
      </c>
      <c r="I699" s="429">
        <v>12.0</v>
      </c>
      <c r="J699" s="430">
        <v>0.0</v>
      </c>
      <c r="K699" s="376" t="s">
        <v>6571</v>
      </c>
      <c r="L699" s="376">
        <v>5.417898488E9</v>
      </c>
      <c r="M699" s="376" t="s">
        <v>3707</v>
      </c>
      <c r="N699" s="376" t="s">
        <v>4376</v>
      </c>
      <c r="O699" s="376" t="s">
        <v>6572</v>
      </c>
      <c r="P699" s="376" t="s">
        <v>3941</v>
      </c>
      <c r="Q699" s="16">
        <f>COUNTIF('hedef liste'!A:A,A699)</f>
        <v>1</v>
      </c>
    </row>
    <row r="700" hidden="1">
      <c r="A700" s="376" t="s">
        <v>4948</v>
      </c>
      <c r="B700" s="376" t="s">
        <v>4949</v>
      </c>
      <c r="C700" s="428" t="s">
        <v>6979</v>
      </c>
      <c r="D700" s="376" t="s">
        <v>4944</v>
      </c>
      <c r="E700" s="429">
        <v>697.0</v>
      </c>
      <c r="F700" s="429">
        <v>35.0</v>
      </c>
      <c r="G700" s="429">
        <v>0.0</v>
      </c>
      <c r="H700" s="429">
        <v>32.0</v>
      </c>
      <c r="I700" s="429">
        <v>32.0</v>
      </c>
      <c r="J700" s="430">
        <v>0.0</v>
      </c>
      <c r="K700" s="376" t="s">
        <v>4950</v>
      </c>
      <c r="L700" s="376">
        <v>3.224288811E9</v>
      </c>
      <c r="M700" s="376" t="s">
        <v>286</v>
      </c>
      <c r="N700" s="376" t="s">
        <v>3980</v>
      </c>
      <c r="O700" s="376" t="s">
        <v>4951</v>
      </c>
      <c r="P700" s="376" t="s">
        <v>3941</v>
      </c>
      <c r="Q700" s="16">
        <f>COUNTIF('hedef liste'!A:A,A700)</f>
        <v>1</v>
      </c>
    </row>
    <row r="701" hidden="1">
      <c r="A701" s="376" t="s">
        <v>3853</v>
      </c>
      <c r="B701" s="376" t="s">
        <v>3854</v>
      </c>
      <c r="C701" s="428" t="s">
        <v>6979</v>
      </c>
      <c r="D701" s="376" t="s">
        <v>3699</v>
      </c>
      <c r="E701" s="429">
        <v>1719.0</v>
      </c>
      <c r="F701" s="429">
        <v>194.0</v>
      </c>
      <c r="G701" s="429">
        <v>0.0</v>
      </c>
      <c r="H701" s="429">
        <v>98.0</v>
      </c>
      <c r="I701" s="429">
        <v>98.0</v>
      </c>
      <c r="J701" s="430">
        <v>0.0</v>
      </c>
      <c r="K701" s="376" t="s">
        <v>3851</v>
      </c>
      <c r="L701" s="376">
        <v>3.226060099E9</v>
      </c>
      <c r="M701" s="376" t="s">
        <v>286</v>
      </c>
      <c r="N701" s="376" t="s">
        <v>3855</v>
      </c>
      <c r="O701" s="376" t="s">
        <v>3856</v>
      </c>
      <c r="P701" s="376" t="s">
        <v>3941</v>
      </c>
      <c r="Q701" s="16">
        <f>COUNTIF('hedef liste'!A:A,A701)</f>
        <v>1</v>
      </c>
    </row>
    <row r="702" hidden="1">
      <c r="A702" s="376" t="s">
        <v>3772</v>
      </c>
      <c r="B702" s="376" t="s">
        <v>3773</v>
      </c>
      <c r="C702" s="428" t="s">
        <v>6979</v>
      </c>
      <c r="D702" s="376" t="s">
        <v>3690</v>
      </c>
      <c r="E702" s="429">
        <v>198.0</v>
      </c>
      <c r="F702" s="429">
        <v>9.0</v>
      </c>
      <c r="G702" s="429">
        <v>0.0</v>
      </c>
      <c r="H702" s="429">
        <v>15.0</v>
      </c>
      <c r="I702" s="429">
        <v>15.0</v>
      </c>
      <c r="J702" s="430">
        <v>0.0</v>
      </c>
      <c r="K702" s="376" t="s">
        <v>3774</v>
      </c>
      <c r="L702" s="376">
        <v>5.433741115E9</v>
      </c>
      <c r="M702" s="376" t="s">
        <v>3692</v>
      </c>
      <c r="N702" s="376" t="s">
        <v>3775</v>
      </c>
      <c r="O702" s="376" t="s">
        <v>3776</v>
      </c>
      <c r="P702" s="376" t="s">
        <v>3941</v>
      </c>
      <c r="Q702" s="16">
        <f>COUNTIF('hedef liste'!A:A,A702)</f>
        <v>1</v>
      </c>
    </row>
    <row r="703" hidden="1">
      <c r="A703" s="376" t="s">
        <v>3311</v>
      </c>
      <c r="B703" s="376" t="s">
        <v>3312</v>
      </c>
      <c r="C703" s="428" t="s">
        <v>6979</v>
      </c>
      <c r="D703" s="376" t="s">
        <v>3676</v>
      </c>
      <c r="E703" s="429">
        <v>475.0</v>
      </c>
      <c r="F703" s="429">
        <v>43.0</v>
      </c>
      <c r="G703" s="429">
        <v>7.0</v>
      </c>
      <c r="H703" s="429">
        <v>11.0</v>
      </c>
      <c r="I703" s="429">
        <v>18.0</v>
      </c>
      <c r="J703" s="430">
        <v>0.39</v>
      </c>
      <c r="K703" s="376" t="s">
        <v>6048</v>
      </c>
      <c r="L703" s="376">
        <v>3.222620606E9</v>
      </c>
      <c r="M703" s="376" t="s">
        <v>286</v>
      </c>
      <c r="N703" s="376" t="s">
        <v>3769</v>
      </c>
      <c r="O703" s="376" t="s">
        <v>3314</v>
      </c>
      <c r="P703" s="376" t="s">
        <v>3941</v>
      </c>
      <c r="Q703" s="16">
        <f>COUNTIF('hedef liste'!A:A,A703)</f>
        <v>1</v>
      </c>
    </row>
    <row r="704" hidden="1">
      <c r="A704" s="376" t="s">
        <v>3301</v>
      </c>
      <c r="B704" s="376" t="s">
        <v>3302</v>
      </c>
      <c r="C704" s="428" t="s">
        <v>6979</v>
      </c>
      <c r="D704" s="376" t="s">
        <v>3842</v>
      </c>
      <c r="E704" s="429">
        <v>719.0</v>
      </c>
      <c r="F704" s="429">
        <v>38.0</v>
      </c>
      <c r="G704" s="429">
        <v>0.0</v>
      </c>
      <c r="H704" s="429">
        <v>31.0</v>
      </c>
      <c r="I704" s="429">
        <v>31.0</v>
      </c>
      <c r="J704" s="430">
        <v>0.0</v>
      </c>
      <c r="K704" s="376" t="s">
        <v>4460</v>
      </c>
      <c r="L704" s="376">
        <v>5.348557485E9</v>
      </c>
      <c r="M704" s="376" t="s">
        <v>14</v>
      </c>
      <c r="N704" s="376" t="s">
        <v>3733</v>
      </c>
      <c r="O704" s="376" t="s">
        <v>3304</v>
      </c>
      <c r="P704" s="376" t="s">
        <v>3941</v>
      </c>
      <c r="Q704" s="16">
        <f>COUNTIF('hedef liste'!A:A,A704)</f>
        <v>1</v>
      </c>
    </row>
    <row r="705" hidden="1">
      <c r="A705" s="376" t="s">
        <v>3183</v>
      </c>
      <c r="B705" s="376" t="s">
        <v>3184</v>
      </c>
      <c r="C705" s="428" t="s">
        <v>6979</v>
      </c>
      <c r="D705" s="376" t="s">
        <v>4907</v>
      </c>
      <c r="E705" s="429">
        <v>436.0</v>
      </c>
      <c r="F705" s="429">
        <v>17.0</v>
      </c>
      <c r="G705" s="429">
        <v>0.0</v>
      </c>
      <c r="H705" s="429">
        <v>72.0</v>
      </c>
      <c r="I705" s="429">
        <v>72.0</v>
      </c>
      <c r="J705" s="430">
        <v>0.0</v>
      </c>
      <c r="K705" s="376" t="s">
        <v>4908</v>
      </c>
      <c r="L705" s="376">
        <v>3.222050505E9</v>
      </c>
      <c r="M705" s="376" t="s">
        <v>286</v>
      </c>
      <c r="N705" s="376" t="s">
        <v>3855</v>
      </c>
      <c r="O705" s="376" t="s">
        <v>3186</v>
      </c>
      <c r="P705" s="376" t="s">
        <v>3941</v>
      </c>
      <c r="Q705" s="16">
        <f>COUNTIF('hedef liste'!A:A,A705)</f>
        <v>1</v>
      </c>
    </row>
    <row r="706" hidden="1">
      <c r="A706" s="376" t="s">
        <v>5466</v>
      </c>
      <c r="B706" s="376" t="s">
        <v>5467</v>
      </c>
      <c r="C706" s="428" t="s">
        <v>6979</v>
      </c>
      <c r="D706" s="376" t="s">
        <v>3699</v>
      </c>
      <c r="E706" s="429">
        <v>284.0</v>
      </c>
      <c r="F706" s="429">
        <v>24.0</v>
      </c>
      <c r="G706" s="429">
        <v>0.0</v>
      </c>
      <c r="H706" s="429">
        <v>6.0</v>
      </c>
      <c r="I706" s="429">
        <v>6.0</v>
      </c>
      <c r="J706" s="430">
        <v>0.0</v>
      </c>
      <c r="K706" s="376" t="s">
        <v>5468</v>
      </c>
      <c r="L706" s="376">
        <v>5.456524087E9</v>
      </c>
      <c r="M706" s="376" t="s">
        <v>3701</v>
      </c>
      <c r="N706" s="376" t="s">
        <v>3803</v>
      </c>
      <c r="O706" s="376" t="s">
        <v>5469</v>
      </c>
      <c r="P706" s="376" t="s">
        <v>3941</v>
      </c>
      <c r="Q706" s="16">
        <f>COUNTIF('hedef liste'!A:A,A706)</f>
        <v>1</v>
      </c>
    </row>
    <row r="707" hidden="1">
      <c r="A707" s="376" t="s">
        <v>4069</v>
      </c>
      <c r="B707" s="376" t="s">
        <v>4070</v>
      </c>
      <c r="C707" s="428" t="s">
        <v>6979</v>
      </c>
      <c r="D707" s="376" t="s">
        <v>3994</v>
      </c>
      <c r="E707" s="429">
        <v>700.0</v>
      </c>
      <c r="F707" s="429">
        <v>46.0</v>
      </c>
      <c r="G707" s="429">
        <v>0.0</v>
      </c>
      <c r="H707" s="429">
        <v>15.0</v>
      </c>
      <c r="I707" s="429">
        <v>15.0</v>
      </c>
      <c r="J707" s="430">
        <v>0.0</v>
      </c>
      <c r="K707" s="376" t="s">
        <v>4071</v>
      </c>
      <c r="L707" s="376">
        <v>3.22515677E9</v>
      </c>
      <c r="M707" s="376" t="s">
        <v>3814</v>
      </c>
      <c r="N707" s="376" t="s">
        <v>4072</v>
      </c>
      <c r="O707" s="376" t="s">
        <v>4073</v>
      </c>
      <c r="P707" s="376" t="s">
        <v>3941</v>
      </c>
      <c r="Q707" s="16">
        <f>COUNTIF('hedef liste'!A:A,A707)</f>
        <v>1</v>
      </c>
    </row>
    <row r="708" hidden="1">
      <c r="A708" s="376" t="s">
        <v>3224</v>
      </c>
      <c r="B708" s="376" t="s">
        <v>3225</v>
      </c>
      <c r="C708" s="428" t="s">
        <v>6979</v>
      </c>
      <c r="D708" s="376" t="s">
        <v>3699</v>
      </c>
      <c r="E708" s="429">
        <v>866.0</v>
      </c>
      <c r="F708" s="429">
        <v>33.0</v>
      </c>
      <c r="G708" s="429">
        <v>23.0</v>
      </c>
      <c r="H708" s="429">
        <v>35.0</v>
      </c>
      <c r="I708" s="429">
        <v>58.0</v>
      </c>
      <c r="J708" s="430">
        <v>0.4</v>
      </c>
      <c r="K708" s="376" t="s">
        <v>5696</v>
      </c>
      <c r="L708" s="376">
        <v>5.355693203E9</v>
      </c>
      <c r="M708" s="376" t="s">
        <v>286</v>
      </c>
      <c r="N708" s="376" t="s">
        <v>3688</v>
      </c>
      <c r="O708" s="376" t="s">
        <v>2515</v>
      </c>
      <c r="P708" s="376" t="s">
        <v>3941</v>
      </c>
      <c r="Q708" s="16">
        <f>COUNTIF('hedef liste'!A:A,A708)</f>
        <v>1</v>
      </c>
    </row>
    <row r="709" hidden="1">
      <c r="A709" s="376" t="s">
        <v>1652</v>
      </c>
      <c r="B709" s="376" t="s">
        <v>1653</v>
      </c>
      <c r="C709" s="428" t="s">
        <v>6979</v>
      </c>
      <c r="D709" s="376" t="s">
        <v>3699</v>
      </c>
      <c r="E709" s="429">
        <v>653.0</v>
      </c>
      <c r="F709" s="429">
        <v>44.0</v>
      </c>
      <c r="G709" s="429">
        <v>16.0</v>
      </c>
      <c r="H709" s="429">
        <v>5.0</v>
      </c>
      <c r="I709" s="429">
        <v>21.0</v>
      </c>
      <c r="J709" s="430">
        <v>0.76</v>
      </c>
      <c r="K709" s="376" t="s">
        <v>6400</v>
      </c>
      <c r="L709" s="376">
        <v>5.354408881E9</v>
      </c>
      <c r="M709" s="376" t="s">
        <v>3692</v>
      </c>
      <c r="N709" s="376" t="s">
        <v>3721</v>
      </c>
      <c r="O709" s="376" t="s">
        <v>1655</v>
      </c>
      <c r="P709" s="376" t="s">
        <v>3941</v>
      </c>
      <c r="Q709" s="16">
        <f>COUNTIF('hedef liste'!A:A,A709)</f>
        <v>1</v>
      </c>
    </row>
    <row r="710" hidden="1">
      <c r="A710" s="376" t="s">
        <v>982</v>
      </c>
      <c r="B710" s="376" t="s">
        <v>983</v>
      </c>
      <c r="C710" s="428" t="s">
        <v>6979</v>
      </c>
      <c r="D710" s="376" t="s">
        <v>3676</v>
      </c>
      <c r="E710" s="429">
        <v>1190.0</v>
      </c>
      <c r="F710" s="429">
        <v>15.0</v>
      </c>
      <c r="G710" s="429">
        <v>6.0</v>
      </c>
      <c r="H710" s="429">
        <v>4.0</v>
      </c>
      <c r="I710" s="429">
        <v>10.0</v>
      </c>
      <c r="J710" s="430">
        <v>0.6</v>
      </c>
      <c r="K710" s="376" t="s">
        <v>6433</v>
      </c>
      <c r="L710" s="376">
        <v>3.222484878E9</v>
      </c>
      <c r="M710" s="376" t="s">
        <v>14</v>
      </c>
      <c r="N710" s="376" t="s">
        <v>3935</v>
      </c>
      <c r="O710" s="376" t="s">
        <v>985</v>
      </c>
      <c r="P710" s="376" t="s">
        <v>3941</v>
      </c>
      <c r="Q710" s="16">
        <f>COUNTIF('hedef liste'!A:A,A710)</f>
        <v>1</v>
      </c>
    </row>
    <row r="711" hidden="1">
      <c r="A711" s="376" t="s">
        <v>7413</v>
      </c>
      <c r="B711" s="376" t="s">
        <v>7414</v>
      </c>
      <c r="C711" s="428" t="s">
        <v>6979</v>
      </c>
      <c r="D711" s="376" t="s">
        <v>3801</v>
      </c>
      <c r="E711" s="429">
        <v>57.0</v>
      </c>
      <c r="F711" s="429">
        <v>25.0</v>
      </c>
      <c r="G711" s="429">
        <v>91.0</v>
      </c>
      <c r="H711" s="429">
        <v>89.0</v>
      </c>
      <c r="I711" s="429">
        <v>180.0</v>
      </c>
      <c r="J711" s="430">
        <v>0.51</v>
      </c>
      <c r="K711" s="376" t="s">
        <v>7415</v>
      </c>
      <c r="L711" s="376">
        <v>3.222275152E9</v>
      </c>
      <c r="M711" s="376" t="s">
        <v>286</v>
      </c>
      <c r="N711" s="376" t="s">
        <v>3769</v>
      </c>
      <c r="O711" s="376" t="s">
        <v>7416</v>
      </c>
      <c r="P711" s="376" t="s">
        <v>6982</v>
      </c>
      <c r="Q711" s="16">
        <f>COUNTIF('hedef liste'!A:A,A711)</f>
        <v>0</v>
      </c>
    </row>
    <row r="712" hidden="1">
      <c r="A712" s="376" t="s">
        <v>3833</v>
      </c>
      <c r="B712" s="376" t="s">
        <v>3834</v>
      </c>
      <c r="C712" s="428" t="s">
        <v>6979</v>
      </c>
      <c r="D712" s="376" t="s">
        <v>3676</v>
      </c>
      <c r="E712" s="429">
        <v>629.0</v>
      </c>
      <c r="F712" s="429">
        <v>8.0</v>
      </c>
      <c r="G712" s="429">
        <v>0.0</v>
      </c>
      <c r="H712" s="429">
        <v>6.0</v>
      </c>
      <c r="I712" s="429">
        <v>6.0</v>
      </c>
      <c r="J712" s="430">
        <v>0.0</v>
      </c>
      <c r="K712" s="376" t="s">
        <v>3835</v>
      </c>
      <c r="L712" s="376">
        <v>3.222261998E9</v>
      </c>
      <c r="M712" s="376" t="s">
        <v>286</v>
      </c>
      <c r="N712" s="376" t="s">
        <v>3754</v>
      </c>
      <c r="O712" s="376" t="s">
        <v>3836</v>
      </c>
      <c r="P712" s="376" t="s">
        <v>3941</v>
      </c>
      <c r="Q712" s="16">
        <f>COUNTIF('hedef liste'!A:A,A712)</f>
        <v>1</v>
      </c>
    </row>
    <row r="713" hidden="1">
      <c r="A713" s="376" t="s">
        <v>4253</v>
      </c>
      <c r="B713" s="376" t="s">
        <v>4254</v>
      </c>
      <c r="C713" s="428" t="s">
        <v>6979</v>
      </c>
      <c r="D713" s="376" t="s">
        <v>3713</v>
      </c>
      <c r="E713" s="429">
        <v>90.0</v>
      </c>
      <c r="F713" s="431"/>
      <c r="G713" s="429">
        <v>0.0</v>
      </c>
      <c r="H713" s="429">
        <v>22.0</v>
      </c>
      <c r="I713" s="429">
        <v>22.0</v>
      </c>
      <c r="J713" s="430">
        <v>0.0</v>
      </c>
      <c r="K713" s="376" t="s">
        <v>4255</v>
      </c>
      <c r="L713" s="376">
        <v>3.222340102E9</v>
      </c>
      <c r="M713" s="376" t="s">
        <v>14</v>
      </c>
      <c r="N713" s="376" t="s">
        <v>3797</v>
      </c>
      <c r="O713" s="376" t="s">
        <v>4256</v>
      </c>
      <c r="P713" s="376" t="s">
        <v>3941</v>
      </c>
      <c r="Q713" s="16">
        <f>COUNTIF('hedef liste'!A:A,A713)</f>
        <v>1</v>
      </c>
    </row>
    <row r="714" hidden="1">
      <c r="A714" s="376" t="s">
        <v>742</v>
      </c>
      <c r="B714" s="376" t="s">
        <v>743</v>
      </c>
      <c r="C714" s="428" t="s">
        <v>6979</v>
      </c>
      <c r="D714" s="376" t="s">
        <v>3676</v>
      </c>
      <c r="E714" s="429">
        <v>1541.0</v>
      </c>
      <c r="F714" s="429">
        <v>29.0</v>
      </c>
      <c r="G714" s="429">
        <v>28.0</v>
      </c>
      <c r="H714" s="429">
        <v>2.0</v>
      </c>
      <c r="I714" s="429">
        <v>30.0</v>
      </c>
      <c r="J714" s="430">
        <v>0.93</v>
      </c>
      <c r="K714" s="376" t="s">
        <v>4408</v>
      </c>
      <c r="L714" s="376">
        <v>5.426944424E9</v>
      </c>
      <c r="M714" s="376" t="s">
        <v>14</v>
      </c>
      <c r="N714" s="376" t="s">
        <v>3678</v>
      </c>
      <c r="O714" s="376" t="s">
        <v>746</v>
      </c>
      <c r="P714" s="376" t="s">
        <v>3941</v>
      </c>
      <c r="Q714" s="16">
        <f>COUNTIF('hedef liste'!A:A,A714)</f>
        <v>1</v>
      </c>
    </row>
    <row r="715" hidden="1">
      <c r="A715" s="376" t="s">
        <v>5454</v>
      </c>
      <c r="B715" s="376" t="s">
        <v>5455</v>
      </c>
      <c r="C715" s="428" t="s">
        <v>7011</v>
      </c>
      <c r="D715" s="376" t="s">
        <v>3690</v>
      </c>
      <c r="E715" s="429">
        <v>277.0</v>
      </c>
      <c r="F715" s="431"/>
      <c r="G715" s="429">
        <v>0.0</v>
      </c>
      <c r="H715" s="429">
        <v>11.0</v>
      </c>
      <c r="I715" s="429">
        <v>11.0</v>
      </c>
      <c r="J715" s="430">
        <v>0.0</v>
      </c>
      <c r="K715" s="376" t="s">
        <v>4501</v>
      </c>
      <c r="L715" s="376">
        <v>5.46194194E9</v>
      </c>
      <c r="M715" s="376" t="s">
        <v>286</v>
      </c>
      <c r="N715" s="376" t="s">
        <v>3737</v>
      </c>
      <c r="O715" s="376" t="s">
        <v>5456</v>
      </c>
      <c r="P715" s="376" t="s">
        <v>3941</v>
      </c>
      <c r="Q715" s="16">
        <f>COUNTIF('hedef liste'!A:A,A715)</f>
        <v>1</v>
      </c>
    </row>
    <row r="716" hidden="1">
      <c r="A716" s="376" t="s">
        <v>5852</v>
      </c>
      <c r="B716" s="376" t="s">
        <v>5853</v>
      </c>
      <c r="C716" s="428" t="s">
        <v>6979</v>
      </c>
      <c r="D716" s="376" t="s">
        <v>3713</v>
      </c>
      <c r="E716" s="429">
        <v>1565.0</v>
      </c>
      <c r="F716" s="429">
        <v>40.0</v>
      </c>
      <c r="G716" s="429">
        <v>0.0</v>
      </c>
      <c r="H716" s="429">
        <v>17.0</v>
      </c>
      <c r="I716" s="429">
        <v>17.0</v>
      </c>
      <c r="J716" s="430">
        <v>0.0</v>
      </c>
      <c r="K716" s="376" t="s">
        <v>5854</v>
      </c>
      <c r="L716" s="376">
        <v>5.459767204E9</v>
      </c>
      <c r="M716" s="376" t="s">
        <v>3701</v>
      </c>
      <c r="N716" s="376" t="s">
        <v>5095</v>
      </c>
      <c r="O716" s="376" t="s">
        <v>5855</v>
      </c>
      <c r="P716" s="376" t="s">
        <v>3941</v>
      </c>
      <c r="Q716" s="16">
        <f>COUNTIF('hedef liste'!A:A,A716)</f>
        <v>1</v>
      </c>
    </row>
    <row r="717" hidden="1">
      <c r="A717" s="376" t="s">
        <v>3180</v>
      </c>
      <c r="B717" s="376" t="s">
        <v>2438</v>
      </c>
      <c r="C717" s="428" t="s">
        <v>6979</v>
      </c>
      <c r="D717" s="376" t="s">
        <v>3676</v>
      </c>
      <c r="E717" s="429">
        <v>1704.0</v>
      </c>
      <c r="F717" s="429">
        <v>166.0</v>
      </c>
      <c r="G717" s="429">
        <v>0.0</v>
      </c>
      <c r="H717" s="429">
        <v>15.0</v>
      </c>
      <c r="I717" s="429">
        <v>15.0</v>
      </c>
      <c r="J717" s="430">
        <v>0.0</v>
      </c>
      <c r="K717" s="376" t="s">
        <v>5513</v>
      </c>
      <c r="L717" s="376">
        <v>5.34306076E9</v>
      </c>
      <c r="M717" s="376" t="s">
        <v>286</v>
      </c>
      <c r="N717" s="376" t="s">
        <v>3754</v>
      </c>
      <c r="O717" s="376" t="s">
        <v>3182</v>
      </c>
      <c r="P717" s="376" t="s">
        <v>3941</v>
      </c>
      <c r="Q717" s="16">
        <f>COUNTIF('hedef liste'!A:A,A717)</f>
        <v>1</v>
      </c>
    </row>
    <row r="718" hidden="1">
      <c r="A718" s="376" t="s">
        <v>2965</v>
      </c>
      <c r="B718" s="376" t="s">
        <v>2966</v>
      </c>
      <c r="C718" s="428" t="s">
        <v>7011</v>
      </c>
      <c r="D718" s="376" t="s">
        <v>3690</v>
      </c>
      <c r="E718" s="429">
        <v>88.0</v>
      </c>
      <c r="F718" s="431"/>
      <c r="G718" s="429">
        <v>0.0</v>
      </c>
      <c r="H718" s="429">
        <v>10.0</v>
      </c>
      <c r="I718" s="429">
        <v>10.0</v>
      </c>
      <c r="J718" s="430">
        <v>0.0</v>
      </c>
      <c r="K718" s="376" t="s">
        <v>3786</v>
      </c>
      <c r="L718" s="376">
        <v>5.322814079E9</v>
      </c>
      <c r="M718" s="376" t="s">
        <v>286</v>
      </c>
      <c r="N718" s="376" t="s">
        <v>3737</v>
      </c>
      <c r="O718" s="376" t="s">
        <v>2968</v>
      </c>
      <c r="P718" s="376" t="s">
        <v>3941</v>
      </c>
      <c r="Q718" s="16">
        <f>COUNTIF('hedef liste'!A:A,A718)</f>
        <v>1</v>
      </c>
    </row>
    <row r="719" hidden="1">
      <c r="A719" s="376" t="s">
        <v>5744</v>
      </c>
      <c r="B719" s="376" t="s">
        <v>7417</v>
      </c>
      <c r="C719" s="428" t="s">
        <v>6979</v>
      </c>
      <c r="D719" s="376" t="s">
        <v>3801</v>
      </c>
      <c r="E719" s="429">
        <v>1660.0</v>
      </c>
      <c r="F719" s="429">
        <v>64.0</v>
      </c>
      <c r="G719" s="429">
        <v>7.0</v>
      </c>
      <c r="H719" s="429">
        <v>2.0</v>
      </c>
      <c r="I719" s="429">
        <v>9.0</v>
      </c>
      <c r="J719" s="430">
        <v>0.78</v>
      </c>
      <c r="K719" s="376" t="s">
        <v>5746</v>
      </c>
      <c r="L719" s="376">
        <v>5.354478551E9</v>
      </c>
      <c r="M719" s="376" t="s">
        <v>3814</v>
      </c>
      <c r="N719" s="376" t="s">
        <v>3815</v>
      </c>
      <c r="O719" s="376" t="s">
        <v>5747</v>
      </c>
      <c r="P719" s="376" t="s">
        <v>3941</v>
      </c>
      <c r="Q719" s="16">
        <f>COUNTIF('hedef liste'!A:A,A719)</f>
        <v>1</v>
      </c>
    </row>
    <row r="720" hidden="1">
      <c r="A720" s="376" t="s">
        <v>2538</v>
      </c>
      <c r="B720" s="376" t="s">
        <v>2539</v>
      </c>
      <c r="C720" s="428" t="s">
        <v>6979</v>
      </c>
      <c r="D720" s="376" t="s">
        <v>3690</v>
      </c>
      <c r="E720" s="429">
        <v>524.0</v>
      </c>
      <c r="F720" s="431"/>
      <c r="G720" s="429">
        <v>11.0</v>
      </c>
      <c r="H720" s="429">
        <v>3.0</v>
      </c>
      <c r="I720" s="429">
        <v>14.0</v>
      </c>
      <c r="J720" s="430">
        <v>0.79</v>
      </c>
      <c r="K720" s="376" t="s">
        <v>6581</v>
      </c>
      <c r="L720" s="376">
        <v>3.2243101E9</v>
      </c>
      <c r="M720" s="376" t="s">
        <v>286</v>
      </c>
      <c r="N720" s="376" t="s">
        <v>3758</v>
      </c>
      <c r="O720" s="376" t="s">
        <v>2541</v>
      </c>
      <c r="P720" s="376" t="s">
        <v>3941</v>
      </c>
      <c r="Q720" s="16">
        <f>COUNTIF('hedef liste'!A:A,A720)</f>
        <v>1</v>
      </c>
    </row>
    <row r="721" hidden="1">
      <c r="A721" s="376" t="s">
        <v>3193</v>
      </c>
      <c r="B721" s="376" t="s">
        <v>3194</v>
      </c>
      <c r="C721" s="428" t="s">
        <v>6979</v>
      </c>
      <c r="D721" s="376" t="s">
        <v>3699</v>
      </c>
      <c r="E721" s="429">
        <v>462.0</v>
      </c>
      <c r="F721" s="429">
        <v>20.0</v>
      </c>
      <c r="G721" s="429">
        <v>0.0</v>
      </c>
      <c r="H721" s="429">
        <v>15.0</v>
      </c>
      <c r="I721" s="429">
        <v>15.0</v>
      </c>
      <c r="J721" s="430">
        <v>0.0</v>
      </c>
      <c r="K721" s="376" t="s">
        <v>6340</v>
      </c>
      <c r="L721" s="376">
        <v>3.222335358E9</v>
      </c>
      <c r="M721" s="376" t="s">
        <v>14</v>
      </c>
      <c r="N721" s="376" t="s">
        <v>3733</v>
      </c>
      <c r="O721" s="376" t="s">
        <v>3196</v>
      </c>
      <c r="P721" s="376" t="s">
        <v>3941</v>
      </c>
      <c r="Q721" s="16">
        <f>COUNTIF('hedef liste'!A:A,A721)</f>
        <v>1</v>
      </c>
    </row>
    <row r="722" hidden="1">
      <c r="A722" s="376" t="s">
        <v>3208</v>
      </c>
      <c r="B722" s="376" t="s">
        <v>3209</v>
      </c>
      <c r="C722" s="428" t="s">
        <v>6979</v>
      </c>
      <c r="D722" s="376" t="s">
        <v>3699</v>
      </c>
      <c r="E722" s="429">
        <v>865.0</v>
      </c>
      <c r="F722" s="429">
        <v>107.0</v>
      </c>
      <c r="G722" s="429">
        <v>48.0</v>
      </c>
      <c r="H722" s="429">
        <v>23.0</v>
      </c>
      <c r="I722" s="429">
        <v>71.0</v>
      </c>
      <c r="J722" s="430">
        <v>0.68</v>
      </c>
      <c r="K722" s="376" t="s">
        <v>4825</v>
      </c>
      <c r="L722" s="376">
        <v>5.335120969E9</v>
      </c>
      <c r="M722" s="376" t="s">
        <v>14</v>
      </c>
      <c r="N722" s="376" t="s">
        <v>3797</v>
      </c>
      <c r="O722" s="376" t="s">
        <v>3211</v>
      </c>
      <c r="P722" s="376" t="s">
        <v>3941</v>
      </c>
      <c r="Q722" s="16">
        <f>COUNTIF('hedef liste'!A:A,A722)</f>
        <v>1</v>
      </c>
    </row>
    <row r="723" hidden="1">
      <c r="A723" s="376" t="s">
        <v>3233</v>
      </c>
      <c r="B723" s="376" t="s">
        <v>3234</v>
      </c>
      <c r="C723" s="428" t="s">
        <v>6979</v>
      </c>
      <c r="D723" s="376" t="s">
        <v>3699</v>
      </c>
      <c r="E723" s="429">
        <v>1490.0</v>
      </c>
      <c r="F723" s="429">
        <v>143.0</v>
      </c>
      <c r="G723" s="429">
        <v>0.0</v>
      </c>
      <c r="H723" s="429">
        <v>110.0</v>
      </c>
      <c r="I723" s="429">
        <v>110.0</v>
      </c>
      <c r="J723" s="430">
        <v>0.0</v>
      </c>
      <c r="K723" s="376" t="s">
        <v>3851</v>
      </c>
      <c r="L723" s="376">
        <v>3.222331717E9</v>
      </c>
      <c r="M723" s="376" t="s">
        <v>14</v>
      </c>
      <c r="N723" s="376" t="s">
        <v>3797</v>
      </c>
      <c r="O723" s="376" t="s">
        <v>3236</v>
      </c>
      <c r="P723" s="376" t="s">
        <v>3941</v>
      </c>
      <c r="Q723" s="16">
        <f>COUNTIF('hedef liste'!A:A,A723)</f>
        <v>1</v>
      </c>
    </row>
    <row r="724" hidden="1">
      <c r="A724" s="376" t="s">
        <v>3265</v>
      </c>
      <c r="B724" s="376" t="s">
        <v>3266</v>
      </c>
      <c r="C724" s="428" t="s">
        <v>6979</v>
      </c>
      <c r="D724" s="376" t="s">
        <v>3676</v>
      </c>
      <c r="E724" s="429">
        <v>856.0</v>
      </c>
      <c r="F724" s="429">
        <v>43.0</v>
      </c>
      <c r="G724" s="429">
        <v>0.0</v>
      </c>
      <c r="H724" s="429">
        <v>15.0</v>
      </c>
      <c r="I724" s="429">
        <v>15.0</v>
      </c>
      <c r="J724" s="430">
        <v>0.0</v>
      </c>
      <c r="K724" s="376" t="s">
        <v>5699</v>
      </c>
      <c r="L724" s="376">
        <v>5.524519301E9</v>
      </c>
      <c r="M724" s="376" t="s">
        <v>286</v>
      </c>
      <c r="N724" s="376" t="s">
        <v>4956</v>
      </c>
      <c r="O724" s="376" t="s">
        <v>3268</v>
      </c>
      <c r="P724" s="376" t="s">
        <v>3941</v>
      </c>
      <c r="Q724" s="16">
        <f>COUNTIF('hedef liste'!A:A,A724)</f>
        <v>1</v>
      </c>
    </row>
    <row r="725" hidden="1">
      <c r="A725" s="376" t="s">
        <v>7418</v>
      </c>
      <c r="B725" s="376" t="s">
        <v>7419</v>
      </c>
      <c r="C725" s="428" t="s">
        <v>6979</v>
      </c>
      <c r="D725" s="376" t="s">
        <v>3801</v>
      </c>
      <c r="E725" s="429">
        <v>602.0</v>
      </c>
      <c r="F725" s="429">
        <v>3.0</v>
      </c>
      <c r="G725" s="429">
        <v>61.0</v>
      </c>
      <c r="H725" s="429">
        <v>0.0</v>
      </c>
      <c r="I725" s="429">
        <v>61.0</v>
      </c>
      <c r="J725" s="430">
        <v>1.0</v>
      </c>
      <c r="K725" s="376" t="s">
        <v>7420</v>
      </c>
      <c r="L725" s="376">
        <v>3.224491463E9</v>
      </c>
      <c r="M725" s="376" t="s">
        <v>286</v>
      </c>
      <c r="N725" s="376" t="s">
        <v>7421</v>
      </c>
      <c r="O725" s="376" t="s">
        <v>7422</v>
      </c>
      <c r="P725" s="376" t="s">
        <v>6982</v>
      </c>
      <c r="Q725" s="16">
        <f>COUNTIF('hedef liste'!A:A,A725)</f>
        <v>0</v>
      </c>
    </row>
    <row r="726" hidden="1">
      <c r="A726" s="376" t="s">
        <v>3738</v>
      </c>
      <c r="B726" s="376" t="s">
        <v>3739</v>
      </c>
      <c r="C726" s="428" t="s">
        <v>6979</v>
      </c>
      <c r="D726" s="376" t="s">
        <v>3713</v>
      </c>
      <c r="E726" s="429">
        <v>9.0</v>
      </c>
      <c r="F726" s="431"/>
      <c r="G726" s="429">
        <v>0.0</v>
      </c>
      <c r="H726" s="429">
        <v>35.0</v>
      </c>
      <c r="I726" s="429">
        <v>35.0</v>
      </c>
      <c r="J726" s="430">
        <v>0.0</v>
      </c>
      <c r="K726" s="376" t="s">
        <v>3740</v>
      </c>
      <c r="L726" s="376">
        <v>5.339298859E9</v>
      </c>
      <c r="M726" s="376" t="s">
        <v>14</v>
      </c>
      <c r="N726" s="376" t="s">
        <v>3733</v>
      </c>
      <c r="O726" s="376" t="s">
        <v>3741</v>
      </c>
      <c r="P726" s="376" t="s">
        <v>3941</v>
      </c>
      <c r="Q726" s="16">
        <f>COUNTIF('hedef liste'!A:A,A726)</f>
        <v>1</v>
      </c>
    </row>
    <row r="727" hidden="1">
      <c r="A727" s="376" t="s">
        <v>3998</v>
      </c>
      <c r="B727" s="376" t="s">
        <v>3999</v>
      </c>
      <c r="C727" s="428" t="s">
        <v>6979</v>
      </c>
      <c r="D727" s="376" t="s">
        <v>4000</v>
      </c>
      <c r="E727" s="429">
        <v>311.0</v>
      </c>
      <c r="F727" s="429">
        <v>14.0</v>
      </c>
      <c r="G727" s="429">
        <v>0.0</v>
      </c>
      <c r="H727" s="429">
        <v>19.0</v>
      </c>
      <c r="I727" s="429">
        <v>19.0</v>
      </c>
      <c r="J727" s="430">
        <v>0.0</v>
      </c>
      <c r="K727" s="376" t="s">
        <v>4001</v>
      </c>
      <c r="L727" s="376">
        <v>3.229995768E9</v>
      </c>
      <c r="M727" s="376" t="s">
        <v>286</v>
      </c>
      <c r="N727" s="376" t="s">
        <v>3855</v>
      </c>
      <c r="O727" s="376" t="s">
        <v>4002</v>
      </c>
      <c r="P727" s="376" t="s">
        <v>3941</v>
      </c>
      <c r="Q727" s="16">
        <f>COUNTIF('hedef liste'!A:A,A727)</f>
        <v>1</v>
      </c>
    </row>
    <row r="728" hidden="1">
      <c r="A728" s="376" t="s">
        <v>6942</v>
      </c>
      <c r="B728" s="376" t="s">
        <v>6943</v>
      </c>
      <c r="C728" s="428" t="s">
        <v>6979</v>
      </c>
      <c r="D728" s="376" t="s">
        <v>6854</v>
      </c>
      <c r="E728" s="429">
        <v>507.0</v>
      </c>
      <c r="F728" s="429">
        <v>42.0</v>
      </c>
      <c r="G728" s="429">
        <v>0.0</v>
      </c>
      <c r="H728" s="429">
        <v>61.0</v>
      </c>
      <c r="I728" s="429">
        <v>61.0</v>
      </c>
      <c r="J728" s="430">
        <v>0.0</v>
      </c>
      <c r="K728" s="376" t="s">
        <v>4001</v>
      </c>
      <c r="L728" s="376">
        <v>3.229995768E9</v>
      </c>
      <c r="M728" s="376" t="s">
        <v>286</v>
      </c>
      <c r="N728" s="376" t="s">
        <v>3855</v>
      </c>
      <c r="O728" s="376" t="s">
        <v>4002</v>
      </c>
      <c r="P728" s="376" t="s">
        <v>3941</v>
      </c>
      <c r="Q728" s="16">
        <f>COUNTIF('hedef liste'!A:A,A728)</f>
        <v>1</v>
      </c>
    </row>
    <row r="729" hidden="1">
      <c r="A729" s="376" t="s">
        <v>4656</v>
      </c>
      <c r="B729" s="376" t="s">
        <v>7423</v>
      </c>
      <c r="C729" s="428" t="s">
        <v>6979</v>
      </c>
      <c r="D729" s="376" t="s">
        <v>3801</v>
      </c>
      <c r="E729" s="429">
        <v>3828.0</v>
      </c>
      <c r="F729" s="429">
        <v>183.0</v>
      </c>
      <c r="G729" s="429">
        <v>27.0</v>
      </c>
      <c r="H729" s="429">
        <v>2.0</v>
      </c>
      <c r="I729" s="429">
        <v>29.0</v>
      </c>
      <c r="J729" s="430">
        <v>0.93</v>
      </c>
      <c r="K729" s="376" t="s">
        <v>4658</v>
      </c>
      <c r="L729" s="376">
        <v>5.059641491E9</v>
      </c>
      <c r="M729" s="376" t="s">
        <v>14</v>
      </c>
      <c r="N729" s="376" t="s">
        <v>3733</v>
      </c>
      <c r="O729" s="376" t="s">
        <v>4659</v>
      </c>
      <c r="P729" s="376" t="s">
        <v>6982</v>
      </c>
      <c r="Q729" s="16">
        <f>COUNTIF('hedef liste'!A:A,A729)</f>
        <v>1</v>
      </c>
    </row>
    <row r="730" hidden="1">
      <c r="A730" s="376" t="s">
        <v>5672</v>
      </c>
      <c r="B730" s="376" t="s">
        <v>5673</v>
      </c>
      <c r="C730" s="428" t="s">
        <v>6979</v>
      </c>
      <c r="D730" s="376" t="s">
        <v>3759</v>
      </c>
      <c r="E730" s="429">
        <v>802.0</v>
      </c>
      <c r="F730" s="429">
        <v>84.0</v>
      </c>
      <c r="G730" s="429">
        <v>0.0</v>
      </c>
      <c r="H730" s="429">
        <v>39.0</v>
      </c>
      <c r="I730" s="429">
        <v>39.0</v>
      </c>
      <c r="J730" s="430">
        <v>0.0</v>
      </c>
      <c r="K730" s="376" t="s">
        <v>5674</v>
      </c>
      <c r="L730" s="376">
        <v>5.419792949E9</v>
      </c>
      <c r="M730" s="376" t="s">
        <v>14</v>
      </c>
      <c r="N730" s="376" t="s">
        <v>3767</v>
      </c>
      <c r="O730" s="376" t="s">
        <v>5675</v>
      </c>
      <c r="P730" s="376" t="s">
        <v>3941</v>
      </c>
      <c r="Q730" s="16">
        <f>COUNTIF('hedef liste'!A:A,A730)</f>
        <v>1</v>
      </c>
    </row>
    <row r="731" hidden="1">
      <c r="A731" s="376" t="s">
        <v>4214</v>
      </c>
      <c r="B731" s="376" t="s">
        <v>4215</v>
      </c>
      <c r="C731" s="428" t="s">
        <v>7011</v>
      </c>
      <c r="D731" s="376" t="s">
        <v>3699</v>
      </c>
      <c r="E731" s="429">
        <v>2.0</v>
      </c>
      <c r="F731" s="431"/>
      <c r="G731" s="429">
        <v>0.0</v>
      </c>
      <c r="H731" s="429">
        <v>9.0</v>
      </c>
      <c r="I731" s="429">
        <v>9.0</v>
      </c>
      <c r="J731" s="430">
        <v>0.0</v>
      </c>
      <c r="K731" s="376" t="s">
        <v>4216</v>
      </c>
      <c r="L731" s="376">
        <v>5.414301077E9</v>
      </c>
      <c r="M731" s="376" t="s">
        <v>286</v>
      </c>
      <c r="N731" s="376" t="s">
        <v>4217</v>
      </c>
      <c r="O731" s="376" t="s">
        <v>4218</v>
      </c>
      <c r="P731" s="376" t="s">
        <v>3941</v>
      </c>
      <c r="Q731" s="16">
        <f>COUNTIF('hedef liste'!A:A,A731)</f>
        <v>1</v>
      </c>
    </row>
    <row r="732" hidden="1">
      <c r="A732" s="376" t="s">
        <v>5740</v>
      </c>
      <c r="B732" s="376" t="s">
        <v>5741</v>
      </c>
      <c r="C732" s="428" t="s">
        <v>6979</v>
      </c>
      <c r="D732" s="376" t="s">
        <v>3801</v>
      </c>
      <c r="E732" s="429">
        <v>225.0</v>
      </c>
      <c r="F732" s="429">
        <v>14.0</v>
      </c>
      <c r="G732" s="429">
        <v>8.0</v>
      </c>
      <c r="H732" s="429">
        <v>16.0</v>
      </c>
      <c r="I732" s="429">
        <v>24.0</v>
      </c>
      <c r="J732" s="430">
        <v>0.33</v>
      </c>
      <c r="K732" s="376" t="s">
        <v>5742</v>
      </c>
      <c r="L732" s="376">
        <v>5.459533342E9</v>
      </c>
      <c r="M732" s="376" t="s">
        <v>286</v>
      </c>
      <c r="N732" s="376" t="s">
        <v>4874</v>
      </c>
      <c r="O732" s="376" t="s">
        <v>5743</v>
      </c>
      <c r="P732" s="376" t="s">
        <v>3941</v>
      </c>
      <c r="Q732" s="16">
        <f>COUNTIF('hedef liste'!A:A,A732)</f>
        <v>1</v>
      </c>
    </row>
    <row r="733" hidden="1">
      <c r="A733" s="376" t="s">
        <v>7424</v>
      </c>
      <c r="B733" s="376" t="s">
        <v>2343</v>
      </c>
      <c r="C733" s="428" t="s">
        <v>6979</v>
      </c>
      <c r="D733" s="376" t="s">
        <v>4000</v>
      </c>
      <c r="E733" s="429">
        <v>988.0</v>
      </c>
      <c r="F733" s="429">
        <v>87.0</v>
      </c>
      <c r="G733" s="429">
        <v>21.0</v>
      </c>
      <c r="H733" s="429">
        <v>27.0</v>
      </c>
      <c r="I733" s="429">
        <v>48.0</v>
      </c>
      <c r="J733" s="430">
        <v>0.44</v>
      </c>
      <c r="K733" s="376" t="s">
        <v>7425</v>
      </c>
      <c r="L733" s="376">
        <v>3.229994546E9</v>
      </c>
      <c r="M733" s="376" t="s">
        <v>14</v>
      </c>
      <c r="N733" s="376" t="s">
        <v>3767</v>
      </c>
      <c r="O733" s="376" t="s">
        <v>2346</v>
      </c>
      <c r="P733" s="376" t="s">
        <v>3941</v>
      </c>
      <c r="Q733" s="16">
        <f>COUNTIF('hedef liste'!A:A,A733)</f>
        <v>0</v>
      </c>
    </row>
    <row r="734" hidden="1">
      <c r="A734" s="376" t="s">
        <v>5789</v>
      </c>
      <c r="B734" s="376" t="s">
        <v>5790</v>
      </c>
      <c r="C734" s="428" t="s">
        <v>6979</v>
      </c>
      <c r="D734" s="376" t="s">
        <v>3801</v>
      </c>
      <c r="E734" s="429">
        <v>942.0</v>
      </c>
      <c r="F734" s="429">
        <v>25.0</v>
      </c>
      <c r="G734" s="429">
        <v>13.0</v>
      </c>
      <c r="H734" s="429">
        <v>1.0</v>
      </c>
      <c r="I734" s="429">
        <v>14.0</v>
      </c>
      <c r="J734" s="430">
        <v>0.93</v>
      </c>
      <c r="K734" s="376" t="s">
        <v>5788</v>
      </c>
      <c r="L734" s="376">
        <v>3.224282163E9</v>
      </c>
      <c r="M734" s="376" t="s">
        <v>286</v>
      </c>
      <c r="N734" s="376" t="s">
        <v>5690</v>
      </c>
      <c r="O734" s="376" t="s">
        <v>5792</v>
      </c>
      <c r="P734" s="376" t="s">
        <v>3941</v>
      </c>
      <c r="Q734" s="16">
        <f>COUNTIF('hedef liste'!A:A,A734)</f>
        <v>1</v>
      </c>
    </row>
    <row r="735" hidden="1">
      <c r="A735" s="376" t="s">
        <v>3352</v>
      </c>
      <c r="B735" s="376" t="s">
        <v>7426</v>
      </c>
      <c r="C735" s="428" t="s">
        <v>6979</v>
      </c>
      <c r="D735" s="376" t="s">
        <v>3676</v>
      </c>
      <c r="E735" s="429">
        <v>646.0</v>
      </c>
      <c r="F735" s="429">
        <v>87.0</v>
      </c>
      <c r="G735" s="429">
        <v>0.0</v>
      </c>
      <c r="H735" s="429">
        <v>66.0</v>
      </c>
      <c r="I735" s="429">
        <v>66.0</v>
      </c>
      <c r="J735" s="430">
        <v>0.0</v>
      </c>
      <c r="K735" s="376" t="s">
        <v>6870</v>
      </c>
      <c r="L735" s="376">
        <v>5.369919901E9</v>
      </c>
      <c r="M735" s="376" t="s">
        <v>3707</v>
      </c>
      <c r="N735" s="376" t="s">
        <v>3715</v>
      </c>
      <c r="O735" s="376" t="s">
        <v>2929</v>
      </c>
      <c r="P735" s="376" t="s">
        <v>3941</v>
      </c>
      <c r="Q735" s="16">
        <f>COUNTIF('hedef liste'!A:A,A735)</f>
        <v>1</v>
      </c>
    </row>
    <row r="736" hidden="1">
      <c r="A736" s="376" t="s">
        <v>758</v>
      </c>
      <c r="B736" s="376" t="s">
        <v>759</v>
      </c>
      <c r="C736" s="428" t="s">
        <v>6979</v>
      </c>
      <c r="D736" s="376" t="s">
        <v>3912</v>
      </c>
      <c r="E736" s="429">
        <v>523.0</v>
      </c>
      <c r="F736" s="429">
        <v>62.0</v>
      </c>
      <c r="G736" s="429">
        <v>3.0</v>
      </c>
      <c r="H736" s="429">
        <v>1.0</v>
      </c>
      <c r="I736" s="429">
        <v>4.0</v>
      </c>
      <c r="J736" s="430">
        <v>0.75</v>
      </c>
      <c r="K736" s="376" t="s">
        <v>4158</v>
      </c>
      <c r="L736" s="376">
        <v>5.467361116E9</v>
      </c>
      <c r="M736" s="376" t="s">
        <v>286</v>
      </c>
      <c r="N736" s="376" t="s">
        <v>4263</v>
      </c>
      <c r="O736" s="376" t="s">
        <v>761</v>
      </c>
      <c r="P736" s="376" t="s">
        <v>3941</v>
      </c>
      <c r="Q736" s="16">
        <f>COUNTIF('hedef liste'!A:A,A736)</f>
        <v>1</v>
      </c>
    </row>
    <row r="737" hidden="1">
      <c r="A737" s="376" t="s">
        <v>5294</v>
      </c>
      <c r="B737" s="376" t="s">
        <v>5295</v>
      </c>
      <c r="C737" s="428" t="s">
        <v>6979</v>
      </c>
      <c r="D737" s="376" t="s">
        <v>3676</v>
      </c>
      <c r="E737" s="431"/>
      <c r="F737" s="431"/>
      <c r="G737" s="429">
        <v>0.0</v>
      </c>
      <c r="H737" s="429">
        <v>15.0</v>
      </c>
      <c r="I737" s="429">
        <v>15.0</v>
      </c>
      <c r="J737" s="430">
        <v>0.0</v>
      </c>
      <c r="K737" s="376" t="s">
        <v>5296</v>
      </c>
      <c r="L737" s="376">
        <v>5.446986206E9</v>
      </c>
      <c r="M737" s="376" t="s">
        <v>3814</v>
      </c>
      <c r="N737" s="376" t="s">
        <v>5297</v>
      </c>
      <c r="O737" s="376" t="s">
        <v>5298</v>
      </c>
      <c r="P737" s="376" t="s">
        <v>3941</v>
      </c>
      <c r="Q737" s="16">
        <f>COUNTIF('hedef liste'!A:A,A737)</f>
        <v>1</v>
      </c>
    </row>
    <row r="738" hidden="1">
      <c r="A738" s="376" t="s">
        <v>5422</v>
      </c>
      <c r="B738" s="376" t="s">
        <v>5423</v>
      </c>
      <c r="C738" s="428" t="s">
        <v>6979</v>
      </c>
      <c r="D738" s="376" t="s">
        <v>3713</v>
      </c>
      <c r="E738" s="429">
        <v>1146.0</v>
      </c>
      <c r="F738" s="429">
        <v>142.0</v>
      </c>
      <c r="G738" s="429">
        <v>1.0</v>
      </c>
      <c r="H738" s="429">
        <v>51.0</v>
      </c>
      <c r="I738" s="429">
        <v>52.0</v>
      </c>
      <c r="J738" s="430">
        <v>0.02</v>
      </c>
      <c r="K738" s="376" t="s">
        <v>5424</v>
      </c>
      <c r="L738" s="376">
        <v>3.225160449E9</v>
      </c>
      <c r="M738" s="376" t="s">
        <v>3814</v>
      </c>
      <c r="N738" s="376" t="s">
        <v>4072</v>
      </c>
      <c r="O738" s="376" t="s">
        <v>5425</v>
      </c>
      <c r="P738" s="376" t="s">
        <v>3941</v>
      </c>
      <c r="Q738" s="16">
        <f>COUNTIF('hedef liste'!A:A,A738)</f>
        <v>1</v>
      </c>
    </row>
    <row r="739" hidden="1">
      <c r="A739" s="376" t="s">
        <v>7427</v>
      </c>
      <c r="B739" s="376" t="s">
        <v>7428</v>
      </c>
      <c r="C739" s="428" t="s">
        <v>6979</v>
      </c>
      <c r="D739" s="376" t="s">
        <v>4907</v>
      </c>
      <c r="E739" s="429">
        <v>65.0</v>
      </c>
      <c r="F739" s="429">
        <v>13.0</v>
      </c>
      <c r="G739" s="429">
        <v>27.0</v>
      </c>
      <c r="H739" s="429">
        <v>10.0</v>
      </c>
      <c r="I739" s="429">
        <v>37.0</v>
      </c>
      <c r="J739" s="430">
        <v>0.73</v>
      </c>
      <c r="K739" s="376" t="s">
        <v>7429</v>
      </c>
      <c r="L739" s="376">
        <v>3.223333389E9</v>
      </c>
      <c r="M739" s="376" t="s">
        <v>3707</v>
      </c>
      <c r="N739" s="376" t="s">
        <v>5245</v>
      </c>
      <c r="O739" s="376" t="s">
        <v>7430</v>
      </c>
      <c r="P739" s="376" t="s">
        <v>7431</v>
      </c>
      <c r="Q739" s="16">
        <f>COUNTIF('hedef liste'!A:A,A739)</f>
        <v>0</v>
      </c>
    </row>
    <row r="740" hidden="1">
      <c r="A740" s="376" t="s">
        <v>3586</v>
      </c>
      <c r="B740" s="376" t="s">
        <v>3587</v>
      </c>
      <c r="C740" s="428" t="s">
        <v>6979</v>
      </c>
      <c r="D740" s="376" t="s">
        <v>3676</v>
      </c>
      <c r="E740" s="429">
        <v>107.0</v>
      </c>
      <c r="F740" s="429">
        <v>14.0</v>
      </c>
      <c r="G740" s="429">
        <v>0.0</v>
      </c>
      <c r="H740" s="429">
        <v>18.0</v>
      </c>
      <c r="I740" s="429">
        <v>18.0</v>
      </c>
      <c r="J740" s="430">
        <v>0.0</v>
      </c>
      <c r="K740" s="376" t="s">
        <v>5708</v>
      </c>
      <c r="L740" s="376">
        <v>5.428151943E9</v>
      </c>
      <c r="M740" s="376" t="s">
        <v>286</v>
      </c>
      <c r="N740" s="376" t="s">
        <v>5690</v>
      </c>
      <c r="O740" s="376" t="s">
        <v>3589</v>
      </c>
      <c r="P740" s="376" t="s">
        <v>3941</v>
      </c>
      <c r="Q740" s="16">
        <f>COUNTIF('hedef liste'!A:A,A740)</f>
        <v>1</v>
      </c>
    </row>
    <row r="741" hidden="1">
      <c r="A741" s="376" t="s">
        <v>5457</v>
      </c>
      <c r="B741" s="376" t="s">
        <v>5458</v>
      </c>
      <c r="C741" s="428" t="s">
        <v>6979</v>
      </c>
      <c r="D741" s="376" t="s">
        <v>3713</v>
      </c>
      <c r="E741" s="429">
        <v>764.0</v>
      </c>
      <c r="F741" s="429">
        <v>13.0</v>
      </c>
      <c r="G741" s="429">
        <v>0.0</v>
      </c>
      <c r="H741" s="429">
        <v>25.0</v>
      </c>
      <c r="I741" s="429">
        <v>25.0</v>
      </c>
      <c r="J741" s="433">
        <v>0.0</v>
      </c>
      <c r="K741" s="376" t="s">
        <v>5459</v>
      </c>
      <c r="L741" s="376">
        <v>3.222281744E9</v>
      </c>
      <c r="M741" s="376" t="s">
        <v>14</v>
      </c>
      <c r="N741" s="376" t="s">
        <v>3767</v>
      </c>
      <c r="O741" s="376" t="s">
        <v>5460</v>
      </c>
      <c r="P741" s="376" t="s">
        <v>3941</v>
      </c>
      <c r="Q741" s="16">
        <f>COUNTIF('hedef liste'!A:A,A741)</f>
        <v>1</v>
      </c>
    </row>
    <row r="742" hidden="1">
      <c r="A742" s="376" t="s">
        <v>2895</v>
      </c>
      <c r="B742" s="376" t="s">
        <v>7432</v>
      </c>
      <c r="C742" s="428" t="s">
        <v>6979</v>
      </c>
      <c r="D742" s="376" t="s">
        <v>3749</v>
      </c>
      <c r="E742" s="429">
        <v>473.0</v>
      </c>
      <c r="F742" s="431"/>
      <c r="G742" s="429">
        <v>0.0</v>
      </c>
      <c r="H742" s="429">
        <v>5.0</v>
      </c>
      <c r="I742" s="429">
        <v>5.0</v>
      </c>
      <c r="J742" s="430">
        <v>0.0</v>
      </c>
      <c r="K742" s="376" t="s">
        <v>6966</v>
      </c>
      <c r="L742" s="376">
        <v>5.38553155E9</v>
      </c>
      <c r="M742" s="376" t="s">
        <v>286</v>
      </c>
      <c r="N742" s="376" t="s">
        <v>3688</v>
      </c>
      <c r="O742" s="376" t="s">
        <v>2898</v>
      </c>
      <c r="P742" s="376" t="s">
        <v>3941</v>
      </c>
      <c r="Q742" s="16">
        <f>COUNTIF('hedef liste'!A:A,A742)</f>
        <v>1</v>
      </c>
    </row>
    <row r="743" hidden="1">
      <c r="A743" s="376" t="s">
        <v>7433</v>
      </c>
      <c r="B743" s="376" t="s">
        <v>103</v>
      </c>
      <c r="C743" s="428" t="s">
        <v>6979</v>
      </c>
      <c r="D743" s="376" t="s">
        <v>3801</v>
      </c>
      <c r="E743" s="429">
        <v>364.0</v>
      </c>
      <c r="F743" s="429">
        <v>32.0</v>
      </c>
      <c r="G743" s="429">
        <v>9.0</v>
      </c>
      <c r="H743" s="429">
        <v>7.0</v>
      </c>
      <c r="I743" s="429">
        <v>16.0</v>
      </c>
      <c r="J743" s="430">
        <v>0.56</v>
      </c>
      <c r="K743" s="376" t="s">
        <v>7434</v>
      </c>
      <c r="L743" s="376">
        <v>5.520966164E9</v>
      </c>
      <c r="M743" s="376" t="s">
        <v>14</v>
      </c>
      <c r="N743" s="376" t="s">
        <v>3678</v>
      </c>
      <c r="O743" s="376" t="s">
        <v>105</v>
      </c>
      <c r="P743" s="376" t="s">
        <v>3941</v>
      </c>
      <c r="Q743" s="16">
        <f>COUNTIF('hedef liste'!A:A,A743)</f>
        <v>0</v>
      </c>
    </row>
    <row r="744" hidden="1">
      <c r="A744" s="376" t="s">
        <v>4485</v>
      </c>
      <c r="B744" s="376" t="s">
        <v>4486</v>
      </c>
      <c r="C744" s="428" t="s">
        <v>6979</v>
      </c>
      <c r="D744" s="376" t="s">
        <v>3713</v>
      </c>
      <c r="E744" s="429">
        <v>967.0</v>
      </c>
      <c r="F744" s="429">
        <v>125.0</v>
      </c>
      <c r="G744" s="429">
        <v>0.0</v>
      </c>
      <c r="H744" s="429">
        <v>27.0</v>
      </c>
      <c r="I744" s="429">
        <v>27.0</v>
      </c>
      <c r="J744" s="430">
        <v>0.0</v>
      </c>
      <c r="K744" s="376" t="s">
        <v>4487</v>
      </c>
      <c r="L744" s="376">
        <v>3.222614142E9</v>
      </c>
      <c r="M744" s="376" t="s">
        <v>286</v>
      </c>
      <c r="N744" s="376" t="s">
        <v>3746</v>
      </c>
      <c r="O744" s="376" t="s">
        <v>4488</v>
      </c>
      <c r="P744" s="376" t="s">
        <v>3941</v>
      </c>
      <c r="Q744" s="16">
        <f>COUNTIF('hedef liste'!A:A,A744)</f>
        <v>1</v>
      </c>
    </row>
    <row r="745" hidden="1">
      <c r="A745" s="376" t="s">
        <v>1752</v>
      </c>
      <c r="B745" s="376" t="s">
        <v>1753</v>
      </c>
      <c r="C745" s="428" t="s">
        <v>6979</v>
      </c>
      <c r="D745" s="376" t="s">
        <v>3801</v>
      </c>
      <c r="E745" s="429">
        <v>1549.0</v>
      </c>
      <c r="F745" s="429">
        <v>20.0</v>
      </c>
      <c r="G745" s="429">
        <v>12.0</v>
      </c>
      <c r="H745" s="429">
        <v>22.0</v>
      </c>
      <c r="I745" s="429">
        <v>34.0</v>
      </c>
      <c r="J745" s="430">
        <v>0.35</v>
      </c>
      <c r="K745" s="376" t="s">
        <v>4580</v>
      </c>
      <c r="L745" s="376">
        <v>5.364403889E9</v>
      </c>
      <c r="M745" s="376" t="s">
        <v>14</v>
      </c>
      <c r="N745" s="376" t="s">
        <v>3935</v>
      </c>
      <c r="O745" s="376" t="s">
        <v>1755</v>
      </c>
      <c r="P745" s="376" t="s">
        <v>3941</v>
      </c>
      <c r="Q745" s="16">
        <f>COUNTIF('hedef liste'!A:A,A745)</f>
        <v>1</v>
      </c>
    </row>
    <row r="746" hidden="1">
      <c r="A746" s="376" t="s">
        <v>1150</v>
      </c>
      <c r="B746" s="376" t="s">
        <v>7435</v>
      </c>
      <c r="C746" s="428" t="s">
        <v>6979</v>
      </c>
      <c r="D746" s="376" t="s">
        <v>3690</v>
      </c>
      <c r="E746" s="429">
        <v>4245.0</v>
      </c>
      <c r="F746" s="429">
        <v>85.0</v>
      </c>
      <c r="G746" s="429">
        <v>8.0</v>
      </c>
      <c r="H746" s="429">
        <v>4.0</v>
      </c>
      <c r="I746" s="429">
        <v>12.0</v>
      </c>
      <c r="J746" s="430">
        <v>0.67</v>
      </c>
      <c r="K746" s="376" t="s">
        <v>6522</v>
      </c>
      <c r="L746" s="376">
        <v>5.462212276E9</v>
      </c>
      <c r="M746" s="376" t="s">
        <v>14</v>
      </c>
      <c r="N746" s="376" t="s">
        <v>3767</v>
      </c>
      <c r="O746" s="376" t="s">
        <v>1153</v>
      </c>
      <c r="P746" s="376" t="s">
        <v>3941</v>
      </c>
      <c r="Q746" s="16">
        <f>COUNTIF('hedef liste'!A:A,A746)</f>
        <v>1</v>
      </c>
    </row>
    <row r="747" hidden="1">
      <c r="A747" s="376" t="s">
        <v>3009</v>
      </c>
      <c r="B747" s="376" t="s">
        <v>3010</v>
      </c>
      <c r="C747" s="428" t="s">
        <v>6979</v>
      </c>
      <c r="D747" s="376" t="s">
        <v>3994</v>
      </c>
      <c r="E747" s="429">
        <v>723.0</v>
      </c>
      <c r="F747" s="429">
        <v>31.0</v>
      </c>
      <c r="G747" s="429">
        <v>6.0</v>
      </c>
      <c r="H747" s="429">
        <v>8.0</v>
      </c>
      <c r="I747" s="429">
        <v>14.0</v>
      </c>
      <c r="J747" s="430">
        <v>0.43</v>
      </c>
      <c r="K747" s="376" t="s">
        <v>4569</v>
      </c>
      <c r="L747" s="376">
        <v>5.414020104E9</v>
      </c>
      <c r="M747" s="376" t="s">
        <v>3707</v>
      </c>
      <c r="N747" s="376" t="s">
        <v>4570</v>
      </c>
      <c r="O747" s="376" t="s">
        <v>3012</v>
      </c>
      <c r="P747" s="376" t="s">
        <v>3941</v>
      </c>
      <c r="Q747" s="16">
        <f>COUNTIF('hedef liste'!A:A,A747)</f>
        <v>1</v>
      </c>
    </row>
    <row r="748" hidden="1">
      <c r="A748" s="376" t="s">
        <v>3501</v>
      </c>
      <c r="B748" s="376" t="s">
        <v>3502</v>
      </c>
      <c r="C748" s="428" t="s">
        <v>6979</v>
      </c>
      <c r="D748" s="376" t="s">
        <v>3801</v>
      </c>
      <c r="E748" s="429">
        <v>230.0</v>
      </c>
      <c r="F748" s="429">
        <v>5.0</v>
      </c>
      <c r="G748" s="429">
        <v>15.0</v>
      </c>
      <c r="H748" s="429">
        <v>9.0</v>
      </c>
      <c r="I748" s="429">
        <v>24.0</v>
      </c>
      <c r="J748" s="430">
        <v>0.63</v>
      </c>
      <c r="K748" s="376" t="s">
        <v>5176</v>
      </c>
      <c r="L748" s="376">
        <v>5.446965223E9</v>
      </c>
      <c r="M748" s="376" t="s">
        <v>14</v>
      </c>
      <c r="N748" s="376" t="s">
        <v>3718</v>
      </c>
      <c r="O748" s="376" t="s">
        <v>3504</v>
      </c>
      <c r="P748" s="376" t="s">
        <v>3941</v>
      </c>
      <c r="Q748" s="16">
        <f>COUNTIF('hedef liste'!A:A,A748)</f>
        <v>1</v>
      </c>
    </row>
    <row r="749" hidden="1">
      <c r="A749" s="376" t="s">
        <v>3451</v>
      </c>
      <c r="B749" s="376" t="s">
        <v>3452</v>
      </c>
      <c r="C749" s="428" t="s">
        <v>6979</v>
      </c>
      <c r="D749" s="376" t="s">
        <v>3676</v>
      </c>
      <c r="E749" s="429">
        <v>70.0</v>
      </c>
      <c r="F749" s="431"/>
      <c r="G749" s="429">
        <v>4.0</v>
      </c>
      <c r="H749" s="429">
        <v>5.0</v>
      </c>
      <c r="I749" s="429">
        <v>9.0</v>
      </c>
      <c r="J749" s="430">
        <v>0.44</v>
      </c>
      <c r="K749" s="376" t="s">
        <v>6934</v>
      </c>
      <c r="L749" s="376">
        <v>5.437167882E9</v>
      </c>
      <c r="M749" s="376" t="s">
        <v>286</v>
      </c>
      <c r="N749" s="376" t="s">
        <v>4057</v>
      </c>
      <c r="O749" s="376" t="s">
        <v>3454</v>
      </c>
      <c r="P749" s="376" t="s">
        <v>3941</v>
      </c>
      <c r="Q749" s="16">
        <f>COUNTIF('hedef liste'!A:A,A749)</f>
        <v>1</v>
      </c>
    </row>
    <row r="750" hidden="1">
      <c r="A750" s="376" t="s">
        <v>7436</v>
      </c>
      <c r="B750" s="376" t="s">
        <v>7437</v>
      </c>
      <c r="C750" s="428" t="s">
        <v>6979</v>
      </c>
      <c r="D750" s="376" t="s">
        <v>3801</v>
      </c>
      <c r="E750" s="429">
        <v>780.0</v>
      </c>
      <c r="F750" s="429">
        <v>149.0</v>
      </c>
      <c r="G750" s="429">
        <v>39.0</v>
      </c>
      <c r="H750" s="429">
        <v>4.0</v>
      </c>
      <c r="I750" s="429">
        <v>43.0</v>
      </c>
      <c r="J750" s="430">
        <v>0.91</v>
      </c>
      <c r="K750" s="376" t="s">
        <v>7438</v>
      </c>
      <c r="L750" s="376">
        <v>5.397477455E9</v>
      </c>
      <c r="M750" s="376" t="s">
        <v>14</v>
      </c>
      <c r="N750" s="376" t="s">
        <v>3935</v>
      </c>
      <c r="O750" s="376" t="s">
        <v>7439</v>
      </c>
      <c r="P750" s="376" t="s">
        <v>6982</v>
      </c>
      <c r="Q750" s="16">
        <f>COUNTIF('hedef liste'!A:A,A750)</f>
        <v>0</v>
      </c>
    </row>
    <row r="751" hidden="1">
      <c r="A751" s="376" t="s">
        <v>7440</v>
      </c>
      <c r="B751" s="376" t="s">
        <v>7441</v>
      </c>
      <c r="C751" s="428" t="s">
        <v>6979</v>
      </c>
      <c r="D751" s="376" t="s">
        <v>3842</v>
      </c>
      <c r="E751" s="429">
        <v>18396.0</v>
      </c>
      <c r="F751" s="429">
        <v>739.0</v>
      </c>
      <c r="G751" s="429">
        <v>93.0</v>
      </c>
      <c r="H751" s="429">
        <v>1.0</v>
      </c>
      <c r="I751" s="429">
        <v>94.0</v>
      </c>
      <c r="J751" s="430">
        <v>0.99</v>
      </c>
      <c r="K751" s="376" t="s">
        <v>6980</v>
      </c>
      <c r="L751" s="376">
        <v>1.111111111E9</v>
      </c>
      <c r="M751" s="376" t="s">
        <v>286</v>
      </c>
      <c r="N751" s="376" t="s">
        <v>3688</v>
      </c>
      <c r="O751" s="376" t="s">
        <v>7442</v>
      </c>
      <c r="P751" s="376" t="s">
        <v>6982</v>
      </c>
      <c r="Q751" s="16">
        <f>COUNTIF('hedef liste'!A:A,A751)</f>
        <v>0</v>
      </c>
    </row>
    <row r="752" hidden="1">
      <c r="A752" s="376" t="s">
        <v>5981</v>
      </c>
      <c r="B752" s="376" t="s">
        <v>7443</v>
      </c>
      <c r="C752" s="428" t="s">
        <v>6979</v>
      </c>
      <c r="D752" s="376" t="s">
        <v>3801</v>
      </c>
      <c r="E752" s="429">
        <v>1321.0</v>
      </c>
      <c r="F752" s="429">
        <v>61.0</v>
      </c>
      <c r="G752" s="429">
        <v>25.0</v>
      </c>
      <c r="H752" s="429">
        <v>3.0</v>
      </c>
      <c r="I752" s="429">
        <v>28.0</v>
      </c>
      <c r="J752" s="430">
        <v>0.89</v>
      </c>
      <c r="K752" s="376" t="s">
        <v>5983</v>
      </c>
      <c r="L752" s="376">
        <v>3.222210055E9</v>
      </c>
      <c r="M752" s="376" t="s">
        <v>286</v>
      </c>
      <c r="N752" s="376" t="s">
        <v>3754</v>
      </c>
      <c r="O752" s="376" t="s">
        <v>5984</v>
      </c>
      <c r="P752" s="376" t="s">
        <v>6982</v>
      </c>
      <c r="Q752" s="16">
        <f>COUNTIF('hedef liste'!A:A,A752)</f>
        <v>1</v>
      </c>
    </row>
    <row r="753" hidden="1">
      <c r="A753" s="376" t="s">
        <v>4106</v>
      </c>
      <c r="B753" s="376" t="s">
        <v>4107</v>
      </c>
      <c r="C753" s="428" t="s">
        <v>7011</v>
      </c>
      <c r="D753" s="376" t="s">
        <v>3713</v>
      </c>
      <c r="E753" s="429">
        <v>153.0</v>
      </c>
      <c r="F753" s="431"/>
      <c r="G753" s="429">
        <v>0.0</v>
      </c>
      <c r="H753" s="429">
        <v>20.0</v>
      </c>
      <c r="I753" s="429">
        <v>20.0</v>
      </c>
      <c r="J753" s="430">
        <v>0.0</v>
      </c>
      <c r="K753" s="376" t="s">
        <v>4108</v>
      </c>
      <c r="L753" s="376">
        <v>5.457375539E9</v>
      </c>
      <c r="M753" s="376" t="s">
        <v>3814</v>
      </c>
      <c r="N753" s="376" t="s">
        <v>4109</v>
      </c>
      <c r="O753" s="376" t="s">
        <v>4110</v>
      </c>
      <c r="P753" s="376" t="s">
        <v>3941</v>
      </c>
      <c r="Q753" s="16">
        <f>COUNTIF('hedef liste'!A:A,A753)</f>
        <v>1</v>
      </c>
    </row>
    <row r="754" hidden="1">
      <c r="A754" s="376" t="s">
        <v>5347</v>
      </c>
      <c r="B754" s="376" t="s">
        <v>5348</v>
      </c>
      <c r="C754" s="428" t="s">
        <v>6979</v>
      </c>
      <c r="D754" s="376" t="s">
        <v>3676</v>
      </c>
      <c r="E754" s="429">
        <v>2689.0</v>
      </c>
      <c r="F754" s="429">
        <v>300.0</v>
      </c>
      <c r="G754" s="429">
        <v>0.0</v>
      </c>
      <c r="H754" s="429">
        <v>16.0</v>
      </c>
      <c r="I754" s="429">
        <v>16.0</v>
      </c>
      <c r="J754" s="430">
        <v>0.0</v>
      </c>
      <c r="K754" s="376" t="s">
        <v>5349</v>
      </c>
      <c r="L754" s="376">
        <v>3.225045226E9</v>
      </c>
      <c r="M754" s="376" t="s">
        <v>3692</v>
      </c>
      <c r="N754" s="376" t="s">
        <v>3721</v>
      </c>
      <c r="O754" s="376" t="s">
        <v>5350</v>
      </c>
      <c r="P754" s="376" t="s">
        <v>3941</v>
      </c>
      <c r="Q754" s="16">
        <f>COUNTIF('hedef liste'!A:A,A754)</f>
        <v>1</v>
      </c>
    </row>
    <row r="755" hidden="1">
      <c r="A755" s="376" t="s">
        <v>1403</v>
      </c>
      <c r="B755" s="376" t="s">
        <v>7444</v>
      </c>
      <c r="C755" s="428" t="s">
        <v>6979</v>
      </c>
      <c r="D755" s="376" t="s">
        <v>3676</v>
      </c>
      <c r="E755" s="429">
        <v>1648.0</v>
      </c>
      <c r="F755" s="429">
        <v>37.0</v>
      </c>
      <c r="G755" s="429">
        <v>13.0</v>
      </c>
      <c r="H755" s="429">
        <v>3.0</v>
      </c>
      <c r="I755" s="429">
        <v>16.0</v>
      </c>
      <c r="J755" s="430">
        <v>0.81</v>
      </c>
      <c r="K755" s="376" t="s">
        <v>4797</v>
      </c>
      <c r="L755" s="376">
        <v>3.224597479E9</v>
      </c>
      <c r="M755" s="376" t="s">
        <v>286</v>
      </c>
      <c r="N755" s="376" t="s">
        <v>4057</v>
      </c>
      <c r="O755" s="376" t="s">
        <v>1407</v>
      </c>
      <c r="P755" s="376" t="s">
        <v>3941</v>
      </c>
      <c r="Q755" s="16">
        <f>COUNTIF('hedef liste'!A:A,A755)</f>
        <v>1</v>
      </c>
    </row>
    <row r="756" hidden="1">
      <c r="A756" s="376" t="s">
        <v>6968</v>
      </c>
      <c r="B756" s="376" t="s">
        <v>6969</v>
      </c>
      <c r="C756" s="428" t="s">
        <v>7011</v>
      </c>
      <c r="D756" s="376" t="s">
        <v>3713</v>
      </c>
      <c r="E756" s="429">
        <v>3.0</v>
      </c>
      <c r="F756" s="431"/>
      <c r="G756" s="429">
        <v>0.0</v>
      </c>
      <c r="H756" s="429">
        <v>41.0</v>
      </c>
      <c r="I756" s="429">
        <v>41.0</v>
      </c>
      <c r="J756" s="430">
        <v>0.0</v>
      </c>
      <c r="K756" s="376" t="s">
        <v>6970</v>
      </c>
      <c r="L756" s="376">
        <v>5.545898677E9</v>
      </c>
      <c r="M756" s="376" t="s">
        <v>286</v>
      </c>
      <c r="N756" s="376" t="s">
        <v>3737</v>
      </c>
      <c r="O756" s="376" t="s">
        <v>6971</v>
      </c>
      <c r="P756" s="376" t="s">
        <v>3941</v>
      </c>
      <c r="Q756" s="16">
        <f>COUNTIF('hedef liste'!A:A,A756)</f>
        <v>1</v>
      </c>
    </row>
    <row r="757" hidden="1">
      <c r="A757" s="376" t="s">
        <v>1905</v>
      </c>
      <c r="B757" s="376" t="s">
        <v>1906</v>
      </c>
      <c r="C757" s="428" t="s">
        <v>6979</v>
      </c>
      <c r="D757" s="376" t="s">
        <v>3676</v>
      </c>
      <c r="E757" s="429">
        <v>24528.0</v>
      </c>
      <c r="F757" s="429">
        <v>886.0</v>
      </c>
      <c r="G757" s="429">
        <v>1.0</v>
      </c>
      <c r="H757" s="429">
        <v>39.0</v>
      </c>
      <c r="I757" s="429">
        <v>40.0</v>
      </c>
      <c r="J757" s="430">
        <v>0.03</v>
      </c>
      <c r="K757" s="376" t="s">
        <v>4351</v>
      </c>
      <c r="L757" s="376">
        <v>3.222488684E9</v>
      </c>
      <c r="M757" s="376" t="s">
        <v>14</v>
      </c>
      <c r="N757" s="376" t="s">
        <v>3718</v>
      </c>
      <c r="O757" s="376" t="s">
        <v>1909</v>
      </c>
      <c r="P757" s="376" t="s">
        <v>3941</v>
      </c>
      <c r="Q757" s="16">
        <f>COUNTIF('hedef liste'!A:A,A757)</f>
        <v>1</v>
      </c>
    </row>
    <row r="758" hidden="1">
      <c r="A758" s="376" t="s">
        <v>2123</v>
      </c>
      <c r="B758" s="376" t="s">
        <v>2124</v>
      </c>
      <c r="C758" s="428" t="s">
        <v>6979</v>
      </c>
      <c r="D758" s="376" t="s">
        <v>3699</v>
      </c>
      <c r="E758" s="429">
        <v>506.0</v>
      </c>
      <c r="F758" s="429">
        <v>89.0</v>
      </c>
      <c r="G758" s="429">
        <v>16.0</v>
      </c>
      <c r="H758" s="429">
        <v>4.0</v>
      </c>
      <c r="I758" s="429">
        <v>20.0</v>
      </c>
      <c r="J758" s="430">
        <v>0.8</v>
      </c>
      <c r="K758" s="376" t="s">
        <v>5846</v>
      </c>
      <c r="L758" s="376">
        <v>5.451150405E9</v>
      </c>
      <c r="M758" s="376" t="s">
        <v>286</v>
      </c>
      <c r="N758" s="376" t="s">
        <v>4263</v>
      </c>
      <c r="O758" s="376" t="s">
        <v>2127</v>
      </c>
      <c r="P758" s="376" t="s">
        <v>3941</v>
      </c>
      <c r="Q758" s="16">
        <f>COUNTIF('hedef liste'!A:A,A758)</f>
        <v>1</v>
      </c>
    </row>
    <row r="759" hidden="1">
      <c r="A759" s="376" t="s">
        <v>2405</v>
      </c>
      <c r="B759" s="376" t="s">
        <v>2406</v>
      </c>
      <c r="C759" s="428" t="s">
        <v>6979</v>
      </c>
      <c r="D759" s="376" t="s">
        <v>3713</v>
      </c>
      <c r="E759" s="429">
        <v>1023.0</v>
      </c>
      <c r="F759" s="429">
        <v>34.0</v>
      </c>
      <c r="G759" s="429">
        <v>8.0</v>
      </c>
      <c r="H759" s="429">
        <v>17.0</v>
      </c>
      <c r="I759" s="429">
        <v>25.0</v>
      </c>
      <c r="J759" s="430">
        <v>0.32</v>
      </c>
      <c r="K759" s="376" t="s">
        <v>6866</v>
      </c>
      <c r="L759" s="376">
        <v>5.327702319E9</v>
      </c>
      <c r="M759" s="376" t="s">
        <v>14</v>
      </c>
      <c r="N759" s="376" t="s">
        <v>3733</v>
      </c>
      <c r="O759" s="376" t="s">
        <v>2408</v>
      </c>
      <c r="P759" s="376" t="s">
        <v>3941</v>
      </c>
      <c r="Q759" s="16">
        <f>COUNTIF('hedef liste'!A:A,A759)</f>
        <v>1</v>
      </c>
    </row>
    <row r="760" hidden="1">
      <c r="A760" s="376" t="s">
        <v>2449</v>
      </c>
      <c r="B760" s="376" t="s">
        <v>2450</v>
      </c>
      <c r="C760" s="428" t="s">
        <v>7011</v>
      </c>
      <c r="D760" s="376" t="s">
        <v>4124</v>
      </c>
      <c r="F760" s="431"/>
      <c r="G760" s="429">
        <v>0.0</v>
      </c>
      <c r="H760" s="429">
        <v>12.0</v>
      </c>
      <c r="I760" s="429">
        <v>12.0</v>
      </c>
      <c r="J760" s="430">
        <v>0.0</v>
      </c>
      <c r="K760" s="376" t="s">
        <v>6099</v>
      </c>
      <c r="L760" s="376">
        <v>3.222350725E9</v>
      </c>
      <c r="M760" s="376" t="s">
        <v>14</v>
      </c>
      <c r="N760" s="376" t="s">
        <v>3797</v>
      </c>
      <c r="O760" s="376" t="s">
        <v>1258</v>
      </c>
      <c r="P760" s="376" t="s">
        <v>3941</v>
      </c>
      <c r="Q760" s="16">
        <f>COUNTIF('hedef liste'!A:A,A760)</f>
        <v>1</v>
      </c>
    </row>
    <row r="761" hidden="1">
      <c r="A761" s="376" t="s">
        <v>6813</v>
      </c>
      <c r="B761" s="376" t="s">
        <v>6814</v>
      </c>
      <c r="C761" s="428" t="s">
        <v>7011</v>
      </c>
      <c r="D761" s="376" t="s">
        <v>4124</v>
      </c>
      <c r="F761" s="431"/>
      <c r="G761" s="429">
        <v>0.0</v>
      </c>
      <c r="H761" s="429">
        <v>12.0</v>
      </c>
      <c r="I761" s="429">
        <v>12.0</v>
      </c>
      <c r="J761" s="430">
        <v>0.0</v>
      </c>
      <c r="K761" s="376" t="s">
        <v>6815</v>
      </c>
      <c r="L761" s="376">
        <v>3.224595152E9</v>
      </c>
      <c r="M761" s="376" t="s">
        <v>286</v>
      </c>
      <c r="N761" s="376" t="s">
        <v>3737</v>
      </c>
      <c r="O761" s="376" t="s">
        <v>698</v>
      </c>
      <c r="P761" s="376" t="s">
        <v>3941</v>
      </c>
      <c r="Q761" s="16">
        <f>COUNTIF('hedef liste'!A:A,A761)</f>
        <v>1</v>
      </c>
    </row>
    <row r="762" hidden="1">
      <c r="A762" s="376" t="s">
        <v>1685</v>
      </c>
      <c r="B762" s="376" t="s">
        <v>1686</v>
      </c>
      <c r="C762" s="428" t="s">
        <v>6979</v>
      </c>
      <c r="D762" s="376" t="s">
        <v>3713</v>
      </c>
      <c r="E762" s="429">
        <v>652.0</v>
      </c>
      <c r="F762" s="429">
        <v>33.0</v>
      </c>
      <c r="G762" s="429">
        <v>10.0</v>
      </c>
      <c r="H762" s="429">
        <v>1.0</v>
      </c>
      <c r="I762" s="429">
        <v>11.0</v>
      </c>
      <c r="J762" s="430">
        <v>0.91</v>
      </c>
      <c r="K762" s="376" t="s">
        <v>4568</v>
      </c>
      <c r="L762" s="376">
        <v>5.453903078E9</v>
      </c>
      <c r="M762" s="376" t="s">
        <v>3692</v>
      </c>
      <c r="N762" s="376" t="s">
        <v>7050</v>
      </c>
      <c r="O762" s="376" t="s">
        <v>1689</v>
      </c>
      <c r="P762" s="376" t="s">
        <v>3941</v>
      </c>
      <c r="Q762" s="16">
        <f>COUNTIF('hedef liste'!A:A,A762)</f>
        <v>1</v>
      </c>
    </row>
    <row r="763" hidden="1">
      <c r="A763" s="376" t="s">
        <v>5813</v>
      </c>
      <c r="B763" s="376" t="s">
        <v>5814</v>
      </c>
      <c r="C763" s="428" t="s">
        <v>6979</v>
      </c>
      <c r="D763" s="376" t="s">
        <v>3878</v>
      </c>
      <c r="E763" s="429">
        <v>806.0</v>
      </c>
      <c r="F763" s="429">
        <v>13.0</v>
      </c>
      <c r="G763" s="429">
        <v>0.0</v>
      </c>
      <c r="H763" s="429">
        <v>52.0</v>
      </c>
      <c r="I763" s="429">
        <v>52.0</v>
      </c>
      <c r="J763" s="430">
        <v>0.0</v>
      </c>
      <c r="K763" s="376" t="s">
        <v>5815</v>
      </c>
      <c r="L763" s="376">
        <v>3.229995529E9</v>
      </c>
      <c r="M763" s="376" t="s">
        <v>286</v>
      </c>
      <c r="N763" s="376" t="s">
        <v>3737</v>
      </c>
      <c r="O763" s="376" t="s">
        <v>5816</v>
      </c>
      <c r="P763" s="376" t="s">
        <v>3941</v>
      </c>
      <c r="Q763" s="16">
        <f>COUNTIF('hedef liste'!A:A,A763)</f>
        <v>1</v>
      </c>
    </row>
    <row r="764" hidden="1">
      <c r="A764" s="376" t="s">
        <v>3293</v>
      </c>
      <c r="B764" s="376" t="s">
        <v>3294</v>
      </c>
      <c r="C764" s="428" t="s">
        <v>6979</v>
      </c>
      <c r="D764" s="376" t="s">
        <v>3713</v>
      </c>
      <c r="E764" s="429">
        <v>295.0</v>
      </c>
      <c r="F764" s="429">
        <v>8.0</v>
      </c>
      <c r="G764" s="429">
        <v>0.0</v>
      </c>
      <c r="H764" s="429">
        <v>19.0</v>
      </c>
      <c r="I764" s="429">
        <v>19.0</v>
      </c>
      <c r="J764" s="430">
        <v>0.0</v>
      </c>
      <c r="K764" s="376" t="s">
        <v>5356</v>
      </c>
      <c r="L764" s="376">
        <v>3.224291428E9</v>
      </c>
      <c r="M764" s="376" t="s">
        <v>286</v>
      </c>
      <c r="N764" s="376" t="s">
        <v>4874</v>
      </c>
      <c r="O764" s="376" t="s">
        <v>5357</v>
      </c>
      <c r="P764" s="376" t="s">
        <v>3941</v>
      </c>
      <c r="Q764" s="16">
        <f>COUNTIF('hedef liste'!A:A,A764)</f>
        <v>1</v>
      </c>
    </row>
    <row r="765" hidden="1">
      <c r="A765" s="376" t="s">
        <v>5625</v>
      </c>
      <c r="B765" s="376" t="s">
        <v>5626</v>
      </c>
      <c r="C765" s="428" t="s">
        <v>6979</v>
      </c>
      <c r="D765" s="376" t="s">
        <v>4000</v>
      </c>
      <c r="E765" s="429">
        <v>1331.0</v>
      </c>
      <c r="F765" s="429">
        <v>52.0</v>
      </c>
      <c r="G765" s="429">
        <v>9.0</v>
      </c>
      <c r="H765" s="429">
        <v>2.0</v>
      </c>
      <c r="I765" s="429">
        <v>11.0</v>
      </c>
      <c r="J765" s="430">
        <v>0.82</v>
      </c>
      <c r="K765" s="376" t="s">
        <v>5627</v>
      </c>
      <c r="L765" s="376">
        <v>3.22233506E9</v>
      </c>
      <c r="M765" s="376" t="s">
        <v>14</v>
      </c>
      <c r="N765" s="376" t="s">
        <v>3733</v>
      </c>
      <c r="O765" s="376" t="s">
        <v>998</v>
      </c>
      <c r="P765" s="376" t="s">
        <v>3941</v>
      </c>
      <c r="Q765" s="16">
        <f>COUNTIF('hedef liste'!A:A,A765)</f>
        <v>1</v>
      </c>
    </row>
    <row r="766" hidden="1">
      <c r="A766" s="376" t="s">
        <v>3520</v>
      </c>
      <c r="B766" s="376" t="s">
        <v>3521</v>
      </c>
      <c r="C766" s="428" t="s">
        <v>6979</v>
      </c>
      <c r="D766" s="376" t="s">
        <v>4249</v>
      </c>
      <c r="E766" s="429">
        <v>728.0</v>
      </c>
      <c r="F766" s="429">
        <v>87.0</v>
      </c>
      <c r="G766" s="429">
        <v>2.0</v>
      </c>
      <c r="H766" s="429">
        <v>69.0</v>
      </c>
      <c r="I766" s="429">
        <v>71.0</v>
      </c>
      <c r="J766" s="430">
        <v>0.03</v>
      </c>
      <c r="K766" s="376" t="s">
        <v>4250</v>
      </c>
      <c r="L766" s="376">
        <v>5.30642266E9</v>
      </c>
      <c r="M766" s="376" t="s">
        <v>14</v>
      </c>
      <c r="N766" s="376" t="s">
        <v>3678</v>
      </c>
      <c r="O766" s="376" t="s">
        <v>3523</v>
      </c>
      <c r="P766" s="376" t="s">
        <v>3941</v>
      </c>
      <c r="Q766" s="16">
        <f>COUNTIF('hedef liste'!A:A,A766)</f>
        <v>1</v>
      </c>
    </row>
    <row r="767" hidden="1">
      <c r="A767" s="376" t="s">
        <v>3342</v>
      </c>
      <c r="B767" s="376" t="s">
        <v>3343</v>
      </c>
      <c r="C767" s="428" t="s">
        <v>6979</v>
      </c>
      <c r="D767" s="376" t="s">
        <v>3759</v>
      </c>
      <c r="E767" s="429">
        <v>302.0</v>
      </c>
      <c r="F767" s="431"/>
      <c r="G767" s="429">
        <v>9.0</v>
      </c>
      <c r="H767" s="429">
        <v>3.0</v>
      </c>
      <c r="I767" s="429">
        <v>12.0</v>
      </c>
      <c r="J767" s="430">
        <v>0.75</v>
      </c>
      <c r="K767" s="376" t="s">
        <v>4763</v>
      </c>
      <c r="L767" s="376">
        <v>3.223220509E9</v>
      </c>
      <c r="M767" s="376" t="s">
        <v>3707</v>
      </c>
      <c r="N767" s="376" t="s">
        <v>4631</v>
      </c>
      <c r="O767" s="376" t="s">
        <v>3346</v>
      </c>
      <c r="P767" s="376" t="s">
        <v>3941</v>
      </c>
      <c r="Q767" s="16">
        <f>COUNTIF('hedef liste'!A:A,A767)</f>
        <v>1</v>
      </c>
    </row>
    <row r="768" hidden="1">
      <c r="A768" s="376" t="s">
        <v>7445</v>
      </c>
      <c r="B768" s="376" t="s">
        <v>7446</v>
      </c>
      <c r="C768" s="428" t="s">
        <v>6979</v>
      </c>
      <c r="D768" s="376" t="s">
        <v>3801</v>
      </c>
      <c r="E768" s="429">
        <v>960.0</v>
      </c>
      <c r="F768" s="429">
        <v>107.0</v>
      </c>
      <c r="G768" s="429">
        <v>66.0</v>
      </c>
      <c r="H768" s="429">
        <v>6.0</v>
      </c>
      <c r="I768" s="429">
        <v>72.0</v>
      </c>
      <c r="J768" s="430">
        <v>0.92</v>
      </c>
      <c r="K768" s="376" t="s">
        <v>6998</v>
      </c>
      <c r="L768" s="376">
        <v>5.355721006E9</v>
      </c>
      <c r="M768" s="376" t="s">
        <v>14</v>
      </c>
      <c r="N768" s="376" t="s">
        <v>3826</v>
      </c>
      <c r="O768" s="376" t="s">
        <v>7447</v>
      </c>
      <c r="P768" s="376" t="s">
        <v>6982</v>
      </c>
      <c r="Q768" s="16">
        <f>COUNTIF('hedef liste'!A:A,A768)</f>
        <v>0</v>
      </c>
    </row>
    <row r="769" hidden="1">
      <c r="A769" s="376" t="s">
        <v>3394</v>
      </c>
      <c r="B769" s="376" t="s">
        <v>3395</v>
      </c>
      <c r="C769" s="428" t="s">
        <v>6979</v>
      </c>
      <c r="D769" s="376" t="s">
        <v>3713</v>
      </c>
      <c r="E769" s="429">
        <v>47.0</v>
      </c>
      <c r="F769" s="429">
        <v>8.0</v>
      </c>
      <c r="G769" s="429">
        <v>11.0</v>
      </c>
      <c r="H769" s="429">
        <v>8.0</v>
      </c>
      <c r="I769" s="429">
        <v>19.0</v>
      </c>
      <c r="J769" s="430">
        <v>0.58</v>
      </c>
      <c r="K769" s="376" t="s">
        <v>4266</v>
      </c>
      <c r="L769" s="376">
        <v>3.223210202E9</v>
      </c>
      <c r="M769" s="376" t="s">
        <v>286</v>
      </c>
      <c r="N769" s="376" t="s">
        <v>3782</v>
      </c>
      <c r="O769" s="376" t="s">
        <v>4267</v>
      </c>
      <c r="P769" s="376" t="s">
        <v>3941</v>
      </c>
      <c r="Q769" s="16">
        <f>COUNTIF('hedef liste'!A:A,A769)</f>
        <v>1</v>
      </c>
    </row>
    <row r="770" hidden="1">
      <c r="A770" s="376" t="s">
        <v>4444</v>
      </c>
      <c r="B770" s="376" t="s">
        <v>4445</v>
      </c>
      <c r="C770" s="428" t="s">
        <v>6979</v>
      </c>
      <c r="D770" s="376" t="s">
        <v>3676</v>
      </c>
      <c r="E770" s="429">
        <v>71.0</v>
      </c>
      <c r="F770" s="429">
        <v>11.0</v>
      </c>
      <c r="G770" s="429">
        <v>0.0</v>
      </c>
      <c r="H770" s="429">
        <v>13.0</v>
      </c>
      <c r="I770" s="429">
        <v>13.0</v>
      </c>
      <c r="J770" s="430">
        <v>0.0</v>
      </c>
      <c r="K770" s="376" t="s">
        <v>4446</v>
      </c>
      <c r="L770" s="376">
        <v>5.388599888E9</v>
      </c>
      <c r="M770" s="376" t="s">
        <v>3692</v>
      </c>
      <c r="N770" s="376" t="s">
        <v>4447</v>
      </c>
      <c r="O770" s="376" t="s">
        <v>4448</v>
      </c>
      <c r="P770" s="376" t="s">
        <v>3941</v>
      </c>
      <c r="Q770" s="16">
        <f>COUNTIF('hedef liste'!A:A,A770)</f>
        <v>1</v>
      </c>
    </row>
    <row r="771" hidden="1">
      <c r="A771" s="376" t="s">
        <v>3457</v>
      </c>
      <c r="B771" s="376" t="s">
        <v>3458</v>
      </c>
      <c r="C771" s="428" t="s">
        <v>6979</v>
      </c>
      <c r="D771" s="376" t="s">
        <v>3699</v>
      </c>
      <c r="E771" s="429">
        <v>160.0</v>
      </c>
      <c r="F771" s="429">
        <v>26.0</v>
      </c>
      <c r="G771" s="429">
        <v>33.0</v>
      </c>
      <c r="H771" s="429">
        <v>35.0</v>
      </c>
      <c r="I771" s="429">
        <v>68.0</v>
      </c>
      <c r="J771" s="430">
        <v>0.49</v>
      </c>
      <c r="K771" s="376" t="s">
        <v>4856</v>
      </c>
      <c r="L771" s="376">
        <v>5.443125823E9</v>
      </c>
      <c r="M771" s="376" t="s">
        <v>14</v>
      </c>
      <c r="N771" s="376" t="s">
        <v>3733</v>
      </c>
      <c r="O771" s="376" t="s">
        <v>3461</v>
      </c>
      <c r="P771" s="376" t="s">
        <v>3941</v>
      </c>
      <c r="Q771" s="16">
        <f>COUNTIF('hedef liste'!A:A,A771)</f>
        <v>1</v>
      </c>
    </row>
    <row r="772" hidden="1">
      <c r="A772" s="376" t="s">
        <v>5018</v>
      </c>
      <c r="B772" s="376" t="s">
        <v>5019</v>
      </c>
      <c r="C772" s="428" t="s">
        <v>6979</v>
      </c>
      <c r="D772" s="376" t="s">
        <v>3676</v>
      </c>
      <c r="E772" s="429">
        <v>441.0</v>
      </c>
      <c r="F772" s="429">
        <v>60.0</v>
      </c>
      <c r="G772" s="429">
        <v>0.0</v>
      </c>
      <c r="H772" s="429">
        <v>21.0</v>
      </c>
      <c r="I772" s="429">
        <v>21.0</v>
      </c>
      <c r="J772" s="430">
        <v>0.0</v>
      </c>
      <c r="K772" s="376" t="s">
        <v>5020</v>
      </c>
      <c r="L772" s="376">
        <v>3.223216666E9</v>
      </c>
      <c r="M772" s="376" t="s">
        <v>3707</v>
      </c>
      <c r="N772" s="376" t="s">
        <v>4291</v>
      </c>
      <c r="O772" s="376" t="s">
        <v>5021</v>
      </c>
      <c r="P772" s="376" t="s">
        <v>3941</v>
      </c>
      <c r="Q772" s="16">
        <f>COUNTIF('hedef liste'!A:A,A772)</f>
        <v>1</v>
      </c>
    </row>
    <row r="773" hidden="1">
      <c r="A773" s="376" t="s">
        <v>3444</v>
      </c>
      <c r="B773" s="376" t="s">
        <v>1316</v>
      </c>
      <c r="C773" s="428" t="s">
        <v>6979</v>
      </c>
      <c r="D773" s="376" t="s">
        <v>3699</v>
      </c>
      <c r="E773" s="429">
        <v>43.0</v>
      </c>
      <c r="F773" s="429">
        <v>3.0</v>
      </c>
      <c r="G773" s="429">
        <v>0.0</v>
      </c>
      <c r="H773" s="429">
        <v>29.0</v>
      </c>
      <c r="I773" s="429">
        <v>29.0</v>
      </c>
      <c r="J773" s="430">
        <v>0.0</v>
      </c>
      <c r="K773" s="376" t="s">
        <v>6748</v>
      </c>
      <c r="L773" s="376">
        <v>3.224210174E9</v>
      </c>
      <c r="M773" s="376" t="s">
        <v>286</v>
      </c>
      <c r="N773" s="376" t="s">
        <v>4956</v>
      </c>
      <c r="O773" s="376" t="s">
        <v>3447</v>
      </c>
      <c r="P773" s="376" t="s">
        <v>3941</v>
      </c>
      <c r="Q773" s="16">
        <f>COUNTIF('hedef liste'!A:A,A773)</f>
        <v>1</v>
      </c>
    </row>
    <row r="774" hidden="1">
      <c r="A774" s="376" t="s">
        <v>6114</v>
      </c>
      <c r="B774" s="376" t="s">
        <v>6115</v>
      </c>
      <c r="C774" s="428" t="s">
        <v>6979</v>
      </c>
      <c r="D774" s="376" t="s">
        <v>3699</v>
      </c>
      <c r="E774" s="429">
        <v>209.0</v>
      </c>
      <c r="F774" s="429">
        <v>36.0</v>
      </c>
      <c r="G774" s="429">
        <v>0.0</v>
      </c>
      <c r="H774" s="429">
        <v>62.0</v>
      </c>
      <c r="I774" s="429">
        <v>62.0</v>
      </c>
      <c r="J774" s="430">
        <v>0.0</v>
      </c>
      <c r="K774" s="376" t="s">
        <v>6116</v>
      </c>
      <c r="L774" s="376">
        <v>3.222264656E9</v>
      </c>
      <c r="M774" s="376" t="s">
        <v>286</v>
      </c>
      <c r="N774" s="376" t="s">
        <v>3754</v>
      </c>
      <c r="O774" s="376" t="s">
        <v>6117</v>
      </c>
      <c r="P774" s="376" t="s">
        <v>3941</v>
      </c>
      <c r="Q774" s="16">
        <f>COUNTIF('hedef liste'!A:A,A774)</f>
        <v>1</v>
      </c>
    </row>
    <row r="775" hidden="1">
      <c r="A775" s="376" t="s">
        <v>1510</v>
      </c>
      <c r="B775" s="376" t="s">
        <v>1511</v>
      </c>
      <c r="C775" s="428" t="s">
        <v>6979</v>
      </c>
      <c r="D775" s="376" t="s">
        <v>3713</v>
      </c>
      <c r="E775" s="429">
        <v>885.0</v>
      </c>
      <c r="F775" s="429">
        <v>40.0</v>
      </c>
      <c r="G775" s="429">
        <v>10.0</v>
      </c>
      <c r="H775" s="429">
        <v>8.0</v>
      </c>
      <c r="I775" s="429">
        <v>18.0</v>
      </c>
      <c r="J775" s="430">
        <v>0.56</v>
      </c>
      <c r="K775" s="376" t="s">
        <v>6321</v>
      </c>
      <c r="L775" s="376">
        <v>5.051254865E9</v>
      </c>
      <c r="M775" s="376" t="s">
        <v>3707</v>
      </c>
      <c r="N775" s="376" t="s">
        <v>5130</v>
      </c>
      <c r="O775" s="376" t="s">
        <v>6322</v>
      </c>
      <c r="P775" s="376" t="s">
        <v>3941</v>
      </c>
      <c r="Q775" s="16">
        <f>COUNTIF('hedef liste'!A:A,A775)</f>
        <v>1</v>
      </c>
    </row>
    <row r="776" hidden="1">
      <c r="A776" s="376" t="s">
        <v>3379</v>
      </c>
      <c r="B776" s="376" t="s">
        <v>3380</v>
      </c>
      <c r="C776" s="428" t="s">
        <v>6979</v>
      </c>
      <c r="D776" s="376" t="s">
        <v>3699</v>
      </c>
      <c r="E776" s="429">
        <v>30.0</v>
      </c>
      <c r="F776" s="429">
        <v>10.0</v>
      </c>
      <c r="G776" s="429">
        <v>30.0</v>
      </c>
      <c r="H776" s="429">
        <v>42.0</v>
      </c>
      <c r="I776" s="429">
        <v>72.0</v>
      </c>
      <c r="J776" s="430">
        <v>0.42</v>
      </c>
      <c r="K776" s="376" t="s">
        <v>5391</v>
      </c>
      <c r="L776" s="376">
        <v>5.434108913E9</v>
      </c>
      <c r="M776" s="376" t="s">
        <v>286</v>
      </c>
      <c r="N776" s="376" t="s">
        <v>5904</v>
      </c>
      <c r="O776" s="376" t="s">
        <v>3383</v>
      </c>
      <c r="P776" s="376" t="s">
        <v>3941</v>
      </c>
      <c r="Q776" s="16">
        <f>COUNTIF('hedef liste'!A:A,A776)</f>
        <v>1</v>
      </c>
    </row>
    <row r="777" hidden="1">
      <c r="A777" s="376" t="s">
        <v>7448</v>
      </c>
      <c r="B777" s="376" t="s">
        <v>7449</v>
      </c>
      <c r="C777" s="428" t="s">
        <v>6979</v>
      </c>
      <c r="D777" s="376" t="s">
        <v>3676</v>
      </c>
      <c r="E777" s="429">
        <v>353.0</v>
      </c>
      <c r="F777" s="429">
        <v>49.0</v>
      </c>
      <c r="G777" s="429">
        <v>14.0</v>
      </c>
      <c r="H777" s="429">
        <v>3.0</v>
      </c>
      <c r="I777" s="429">
        <v>17.0</v>
      </c>
      <c r="J777" s="430">
        <v>0.82</v>
      </c>
      <c r="K777" s="376" t="s">
        <v>7450</v>
      </c>
      <c r="L777" s="376">
        <v>5.42458596E9</v>
      </c>
      <c r="M777" s="376" t="s">
        <v>286</v>
      </c>
      <c r="N777" s="376" t="s">
        <v>3737</v>
      </c>
      <c r="O777" s="376" t="s">
        <v>710</v>
      </c>
      <c r="P777" s="376" t="s">
        <v>3941</v>
      </c>
      <c r="Q777" s="16">
        <f>COUNTIF('hedef liste'!A:A,A777)</f>
        <v>0</v>
      </c>
    </row>
    <row r="778" hidden="1">
      <c r="A778" s="376" t="s">
        <v>7451</v>
      </c>
      <c r="B778" s="376" t="s">
        <v>7452</v>
      </c>
      <c r="C778" s="428" t="s">
        <v>6979</v>
      </c>
      <c r="D778" s="376" t="s">
        <v>3676</v>
      </c>
      <c r="E778" s="429">
        <v>1791.0</v>
      </c>
      <c r="F778" s="429">
        <v>346.0</v>
      </c>
      <c r="G778" s="429">
        <v>13.0</v>
      </c>
      <c r="H778" s="429">
        <v>3.0</v>
      </c>
      <c r="I778" s="429">
        <v>16.0</v>
      </c>
      <c r="J778" s="430">
        <v>0.81</v>
      </c>
      <c r="K778" s="376" t="s">
        <v>7453</v>
      </c>
      <c r="L778" s="376">
        <v>5.45432809E9</v>
      </c>
      <c r="M778" s="376" t="s">
        <v>14</v>
      </c>
      <c r="N778" s="376" t="s">
        <v>3733</v>
      </c>
      <c r="O778" s="376" t="s">
        <v>692</v>
      </c>
      <c r="P778" s="376" t="s">
        <v>3941</v>
      </c>
      <c r="Q778" s="16">
        <f>COUNTIF('hedef liste'!A:A,A778)</f>
        <v>0</v>
      </c>
    </row>
    <row r="779" hidden="1">
      <c r="A779" s="376" t="s">
        <v>1858</v>
      </c>
      <c r="B779" s="376" t="s">
        <v>1859</v>
      </c>
      <c r="C779" s="428" t="s">
        <v>6979</v>
      </c>
      <c r="D779" s="376" t="s">
        <v>3759</v>
      </c>
      <c r="E779" s="429">
        <v>1241.0</v>
      </c>
      <c r="F779" s="429">
        <v>93.0</v>
      </c>
      <c r="G779" s="429">
        <v>24.0</v>
      </c>
      <c r="H779" s="429">
        <v>4.0</v>
      </c>
      <c r="I779" s="429">
        <v>28.0</v>
      </c>
      <c r="J779" s="430">
        <v>0.86</v>
      </c>
      <c r="K779" s="376" t="s">
        <v>5337</v>
      </c>
      <c r="L779" s="376">
        <v>5.012420077E9</v>
      </c>
      <c r="M779" s="376" t="s">
        <v>286</v>
      </c>
      <c r="N779" s="376" t="s">
        <v>3961</v>
      </c>
      <c r="O779" s="376" t="s">
        <v>1861</v>
      </c>
      <c r="P779" s="376" t="s">
        <v>3941</v>
      </c>
      <c r="Q779" s="16">
        <f>COUNTIF('hedef liste'!A:A,A779)</f>
        <v>1</v>
      </c>
    </row>
    <row r="780" hidden="1">
      <c r="A780" s="376" t="s">
        <v>3964</v>
      </c>
      <c r="B780" s="376" t="s">
        <v>3965</v>
      </c>
      <c r="C780" s="428" t="s">
        <v>6979</v>
      </c>
      <c r="D780" s="376" t="s">
        <v>3676</v>
      </c>
      <c r="E780" s="429">
        <v>61.0</v>
      </c>
      <c r="F780" s="431"/>
      <c r="G780" s="429">
        <v>0.0</v>
      </c>
      <c r="H780" s="429">
        <v>30.0</v>
      </c>
      <c r="I780" s="429">
        <v>30.0</v>
      </c>
      <c r="J780" s="430">
        <v>0.0</v>
      </c>
      <c r="K780" s="376" t="s">
        <v>3966</v>
      </c>
      <c r="L780" s="376">
        <v>5.425622401E9</v>
      </c>
      <c r="M780" s="376" t="s">
        <v>14</v>
      </c>
      <c r="N780" s="376" t="s">
        <v>3733</v>
      </c>
      <c r="O780" s="376" t="s">
        <v>3967</v>
      </c>
      <c r="P780" s="376" t="s">
        <v>3941</v>
      </c>
      <c r="Q780" s="16">
        <f>COUNTIF('hedef liste'!A:A,A780)</f>
        <v>1</v>
      </c>
    </row>
    <row r="781" hidden="1">
      <c r="A781" s="376" t="s">
        <v>7454</v>
      </c>
      <c r="B781" s="376" t="s">
        <v>7455</v>
      </c>
      <c r="C781" s="428" t="s">
        <v>7011</v>
      </c>
      <c r="D781" s="376" t="s">
        <v>3699</v>
      </c>
      <c r="F781" s="431"/>
      <c r="G781" s="429">
        <v>33.0</v>
      </c>
      <c r="H781" s="429">
        <v>4.0</v>
      </c>
      <c r="I781" s="429">
        <v>37.0</v>
      </c>
      <c r="J781" s="430">
        <v>0.89</v>
      </c>
      <c r="K781" s="376" t="s">
        <v>7456</v>
      </c>
      <c r="L781" s="376">
        <v>3.222351407E9</v>
      </c>
      <c r="M781" s="376" t="s">
        <v>14</v>
      </c>
      <c r="N781" s="376" t="s">
        <v>3767</v>
      </c>
      <c r="O781" s="376" t="s">
        <v>7457</v>
      </c>
      <c r="P781" s="376" t="s">
        <v>3941</v>
      </c>
      <c r="Q781" s="16">
        <f>COUNTIF('hedef liste'!A:A,A781)</f>
        <v>0</v>
      </c>
    </row>
    <row r="782" hidden="1">
      <c r="A782" s="376" t="s">
        <v>5160</v>
      </c>
      <c r="B782" s="376" t="s">
        <v>5161</v>
      </c>
      <c r="C782" s="428" t="s">
        <v>6979</v>
      </c>
      <c r="D782" s="376" t="s">
        <v>3699</v>
      </c>
      <c r="E782" s="429">
        <v>220.0</v>
      </c>
      <c r="F782" s="429">
        <v>2.0</v>
      </c>
      <c r="G782" s="429">
        <v>13.0</v>
      </c>
      <c r="H782" s="429">
        <v>9.0</v>
      </c>
      <c r="I782" s="429">
        <v>22.0</v>
      </c>
      <c r="J782" s="430">
        <v>0.59</v>
      </c>
      <c r="K782" s="376" t="s">
        <v>5110</v>
      </c>
      <c r="L782" s="376">
        <v>5.443909041E9</v>
      </c>
      <c r="M782" s="376" t="s">
        <v>14</v>
      </c>
      <c r="N782" s="376" t="s">
        <v>3678</v>
      </c>
      <c r="O782" s="376" t="s">
        <v>5162</v>
      </c>
      <c r="P782" s="376" t="s">
        <v>3941</v>
      </c>
      <c r="Q782" s="16">
        <f>COUNTIF('hedef liste'!A:A,A782)</f>
        <v>1</v>
      </c>
    </row>
    <row r="783" hidden="1">
      <c r="A783" s="376" t="s">
        <v>7458</v>
      </c>
      <c r="B783" s="376" t="s">
        <v>7459</v>
      </c>
      <c r="C783" s="428" t="s">
        <v>6979</v>
      </c>
      <c r="D783" s="376" t="s">
        <v>3801</v>
      </c>
      <c r="E783" s="429">
        <v>291.0</v>
      </c>
      <c r="F783" s="429">
        <v>40.0</v>
      </c>
      <c r="G783" s="429">
        <v>56.0</v>
      </c>
      <c r="H783" s="429">
        <v>4.0</v>
      </c>
      <c r="I783" s="429">
        <v>60.0</v>
      </c>
      <c r="J783" s="430">
        <v>0.93</v>
      </c>
      <c r="K783" s="376" t="s">
        <v>6998</v>
      </c>
      <c r="L783" s="376">
        <v>5.456410589E9</v>
      </c>
      <c r="M783" s="376" t="s">
        <v>14</v>
      </c>
      <c r="N783" s="376" t="s">
        <v>3935</v>
      </c>
      <c r="O783" s="376" t="s">
        <v>7460</v>
      </c>
      <c r="P783" s="376" t="s">
        <v>6982</v>
      </c>
      <c r="Q783" s="16">
        <f>COUNTIF('hedef liste'!A:A,A783)</f>
        <v>0</v>
      </c>
    </row>
    <row r="784" hidden="1">
      <c r="A784" s="376" t="s">
        <v>7461</v>
      </c>
      <c r="B784" s="376" t="s">
        <v>7462</v>
      </c>
      <c r="C784" s="428" t="s">
        <v>6979</v>
      </c>
      <c r="D784" s="376" t="s">
        <v>3699</v>
      </c>
      <c r="E784" s="429">
        <v>273.0</v>
      </c>
      <c r="F784" s="429">
        <v>78.0</v>
      </c>
      <c r="G784" s="429">
        <v>20.0</v>
      </c>
      <c r="H784" s="429">
        <v>12.0</v>
      </c>
      <c r="I784" s="429">
        <v>32.0</v>
      </c>
      <c r="J784" s="430">
        <v>0.63</v>
      </c>
      <c r="K784" s="376" t="s">
        <v>7463</v>
      </c>
      <c r="L784" s="376">
        <v>3.223651277E9</v>
      </c>
      <c r="M784" s="376" t="s">
        <v>286</v>
      </c>
      <c r="N784" s="376" t="s">
        <v>4143</v>
      </c>
      <c r="O784" s="376" t="s">
        <v>7464</v>
      </c>
      <c r="P784" s="376" t="s">
        <v>3941</v>
      </c>
      <c r="Q784" s="16">
        <f>COUNTIF('hedef liste'!A:A,A784)</f>
        <v>0</v>
      </c>
    </row>
    <row r="785" hidden="1">
      <c r="A785" s="376" t="s">
        <v>5737</v>
      </c>
      <c r="B785" s="376" t="s">
        <v>5738</v>
      </c>
      <c r="C785" s="428" t="s">
        <v>6979</v>
      </c>
      <c r="D785" s="376" t="s">
        <v>3801</v>
      </c>
      <c r="E785" s="429">
        <v>2839.0</v>
      </c>
      <c r="F785" s="429">
        <v>56.0</v>
      </c>
      <c r="G785" s="429">
        <v>4.0</v>
      </c>
      <c r="H785" s="429">
        <v>5.0</v>
      </c>
      <c r="I785" s="429">
        <v>9.0</v>
      </c>
      <c r="J785" s="430">
        <v>0.44</v>
      </c>
      <c r="K785" s="376" t="s">
        <v>5718</v>
      </c>
      <c r="L785" s="376">
        <v>5.318907828E9</v>
      </c>
      <c r="M785" s="376" t="s">
        <v>286</v>
      </c>
      <c r="N785" s="376" t="s">
        <v>3795</v>
      </c>
      <c r="O785" s="376" t="s">
        <v>5739</v>
      </c>
      <c r="P785" s="376" t="s">
        <v>3941</v>
      </c>
      <c r="Q785" s="16">
        <f>COUNTIF('hedef liste'!A:A,A785)</f>
        <v>1</v>
      </c>
    </row>
    <row r="786" hidden="1">
      <c r="A786" s="376" t="s">
        <v>4414</v>
      </c>
      <c r="B786" s="376" t="s">
        <v>4415</v>
      </c>
      <c r="C786" s="428" t="s">
        <v>6979</v>
      </c>
      <c r="D786" s="376" t="s">
        <v>3713</v>
      </c>
      <c r="E786" s="429">
        <v>1217.0</v>
      </c>
      <c r="F786" s="429">
        <v>4.0</v>
      </c>
      <c r="G786" s="429">
        <v>0.0</v>
      </c>
      <c r="H786" s="429">
        <v>36.0</v>
      </c>
      <c r="I786" s="429">
        <v>36.0</v>
      </c>
      <c r="J786" s="430">
        <v>0.0</v>
      </c>
      <c r="K786" s="376" t="s">
        <v>4416</v>
      </c>
      <c r="L786" s="376">
        <v>5.307622401E9</v>
      </c>
      <c r="M786" s="376" t="s">
        <v>3707</v>
      </c>
      <c r="N786" s="376" t="s">
        <v>4417</v>
      </c>
      <c r="O786" s="376" t="s">
        <v>4418</v>
      </c>
      <c r="P786" s="376" t="s">
        <v>3941</v>
      </c>
      <c r="Q786" s="16">
        <f>COUNTIF('hedef liste'!A:A,A786)</f>
        <v>1</v>
      </c>
    </row>
    <row r="787" hidden="1">
      <c r="A787" s="376" t="s">
        <v>5932</v>
      </c>
      <c r="B787" s="376" t="s">
        <v>2018</v>
      </c>
      <c r="C787" s="428" t="s">
        <v>6979</v>
      </c>
      <c r="D787" s="376" t="s">
        <v>3994</v>
      </c>
      <c r="E787" s="429">
        <v>584.0</v>
      </c>
      <c r="F787" s="429">
        <v>121.0</v>
      </c>
      <c r="G787" s="429">
        <v>0.0</v>
      </c>
      <c r="H787" s="429">
        <v>120.0</v>
      </c>
      <c r="I787" s="429">
        <v>120.0</v>
      </c>
      <c r="J787" s="430">
        <v>0.0</v>
      </c>
      <c r="K787" s="376" t="s">
        <v>5933</v>
      </c>
      <c r="L787" s="376">
        <v>5.411192021E9</v>
      </c>
      <c r="M787" s="376" t="s">
        <v>286</v>
      </c>
      <c r="N787" s="376" t="s">
        <v>3855</v>
      </c>
      <c r="O787" s="376" t="s">
        <v>5934</v>
      </c>
      <c r="P787" s="376" t="s">
        <v>3941</v>
      </c>
      <c r="Q787" s="16">
        <f>COUNTIF('hedef liste'!A:A,A787)</f>
        <v>1</v>
      </c>
    </row>
    <row r="788" hidden="1">
      <c r="A788" s="376" t="s">
        <v>6051</v>
      </c>
      <c r="B788" s="376" t="s">
        <v>6052</v>
      </c>
      <c r="C788" s="428" t="s">
        <v>6979</v>
      </c>
      <c r="D788" s="376" t="s">
        <v>4000</v>
      </c>
      <c r="E788" s="429">
        <v>2261.0</v>
      </c>
      <c r="F788" s="429">
        <v>1191.0</v>
      </c>
      <c r="G788" s="429">
        <v>9.0</v>
      </c>
      <c r="H788" s="429">
        <v>16.0</v>
      </c>
      <c r="I788" s="429">
        <v>25.0</v>
      </c>
      <c r="J788" s="433">
        <v>0.36</v>
      </c>
      <c r="K788" s="376" t="s">
        <v>6053</v>
      </c>
      <c r="L788" s="376">
        <v>3.229996589E9</v>
      </c>
      <c r="M788" s="376" t="s">
        <v>14</v>
      </c>
      <c r="N788" s="376" t="s">
        <v>3733</v>
      </c>
      <c r="O788" s="376" t="s">
        <v>6054</v>
      </c>
      <c r="P788" s="376" t="s">
        <v>3941</v>
      </c>
      <c r="Q788" s="16">
        <f>COUNTIF('hedef liste'!A:A,A788)</f>
        <v>1</v>
      </c>
    </row>
    <row r="789" hidden="1">
      <c r="A789" s="376" t="s">
        <v>3468</v>
      </c>
      <c r="B789" s="376" t="s">
        <v>3469</v>
      </c>
      <c r="C789" s="428" t="s">
        <v>6979</v>
      </c>
      <c r="D789" s="376" t="s">
        <v>3883</v>
      </c>
      <c r="E789" s="429">
        <v>270.0</v>
      </c>
      <c r="F789" s="429">
        <v>60.0</v>
      </c>
      <c r="G789" s="429">
        <v>0.0</v>
      </c>
      <c r="H789" s="429">
        <v>80.0</v>
      </c>
      <c r="I789" s="429">
        <v>80.0</v>
      </c>
      <c r="J789" s="430">
        <v>0.0</v>
      </c>
      <c r="K789" s="376" t="s">
        <v>6160</v>
      </c>
      <c r="L789" s="376">
        <v>5.064874475E9</v>
      </c>
      <c r="M789" s="376" t="s">
        <v>14</v>
      </c>
      <c r="N789" s="376" t="s">
        <v>5433</v>
      </c>
      <c r="O789" s="376" t="s">
        <v>3472</v>
      </c>
      <c r="P789" s="376" t="s">
        <v>3941</v>
      </c>
      <c r="Q789" s="16">
        <f>COUNTIF('hedef liste'!A:A,A789)</f>
        <v>1</v>
      </c>
    </row>
    <row r="790" hidden="1">
      <c r="A790" s="376" t="s">
        <v>4640</v>
      </c>
      <c r="B790" s="376" t="s">
        <v>4641</v>
      </c>
      <c r="C790" s="428" t="s">
        <v>6979</v>
      </c>
      <c r="D790" s="376" t="s">
        <v>3801</v>
      </c>
      <c r="E790" s="429">
        <v>647.0</v>
      </c>
      <c r="F790" s="429">
        <v>23.0</v>
      </c>
      <c r="G790" s="429">
        <v>1.0</v>
      </c>
      <c r="H790" s="429">
        <v>13.0</v>
      </c>
      <c r="I790" s="429">
        <v>14.0</v>
      </c>
      <c r="J790" s="430">
        <v>0.07</v>
      </c>
      <c r="K790" s="376" t="s">
        <v>4642</v>
      </c>
      <c r="L790" s="376">
        <v>5.46663561E9</v>
      </c>
      <c r="M790" s="376" t="s">
        <v>3707</v>
      </c>
      <c r="N790" s="376" t="s">
        <v>4553</v>
      </c>
      <c r="O790" s="376" t="s">
        <v>4643</v>
      </c>
      <c r="P790" s="376" t="s">
        <v>3941</v>
      </c>
      <c r="Q790" s="16">
        <f>COUNTIF('hedef liste'!A:A,A790)</f>
        <v>1</v>
      </c>
    </row>
    <row r="791" hidden="1">
      <c r="A791" s="376" t="s">
        <v>2470</v>
      </c>
      <c r="B791" s="376" t="s">
        <v>2471</v>
      </c>
      <c r="C791" s="428" t="s">
        <v>6979</v>
      </c>
      <c r="D791" s="376" t="s">
        <v>3699</v>
      </c>
      <c r="E791" s="429">
        <v>678.0</v>
      </c>
      <c r="F791" s="429">
        <v>42.0</v>
      </c>
      <c r="G791" s="429">
        <v>0.0</v>
      </c>
      <c r="H791" s="429">
        <v>18.0</v>
      </c>
      <c r="I791" s="429">
        <v>18.0</v>
      </c>
      <c r="J791" s="430">
        <v>0.0</v>
      </c>
      <c r="K791" s="376" t="s">
        <v>6492</v>
      </c>
      <c r="L791" s="376">
        <v>5.417750999E9</v>
      </c>
      <c r="M791" s="376" t="s">
        <v>286</v>
      </c>
      <c r="N791" s="376" t="s">
        <v>3737</v>
      </c>
      <c r="O791" s="376" t="s">
        <v>2473</v>
      </c>
      <c r="P791" s="376" t="s">
        <v>3941</v>
      </c>
      <c r="Q791" s="16">
        <f>COUNTIF('hedef liste'!A:A,A791)</f>
        <v>1</v>
      </c>
    </row>
    <row r="792" hidden="1">
      <c r="A792" s="376" t="s">
        <v>6719</v>
      </c>
      <c r="B792" s="376" t="s">
        <v>6720</v>
      </c>
      <c r="C792" s="428" t="s">
        <v>6979</v>
      </c>
      <c r="D792" s="376" t="s">
        <v>3749</v>
      </c>
      <c r="E792" s="429">
        <v>631.0</v>
      </c>
      <c r="F792" s="429">
        <v>79.0</v>
      </c>
      <c r="G792" s="429">
        <v>0.0</v>
      </c>
      <c r="H792" s="429">
        <v>26.0</v>
      </c>
      <c r="I792" s="429">
        <v>26.0</v>
      </c>
      <c r="J792" s="430">
        <v>0.0</v>
      </c>
      <c r="K792" s="376" t="s">
        <v>6721</v>
      </c>
      <c r="L792" s="376">
        <v>3.224581939E9</v>
      </c>
      <c r="M792" s="376" t="s">
        <v>286</v>
      </c>
      <c r="N792" s="376" t="s">
        <v>3737</v>
      </c>
      <c r="O792" s="376" t="s">
        <v>6722</v>
      </c>
      <c r="P792" s="376" t="s">
        <v>3941</v>
      </c>
      <c r="Q792" s="16">
        <f>COUNTIF('hedef liste'!A:A,A792)</f>
        <v>1</v>
      </c>
    </row>
    <row r="793" hidden="1">
      <c r="A793" s="376" t="s">
        <v>7465</v>
      </c>
      <c r="B793" s="376" t="s">
        <v>7466</v>
      </c>
      <c r="C793" s="428" t="s">
        <v>7011</v>
      </c>
      <c r="D793" s="376" t="s">
        <v>3801</v>
      </c>
      <c r="E793" s="429">
        <v>55.0</v>
      </c>
      <c r="F793" s="431"/>
      <c r="G793" s="429">
        <v>9.0</v>
      </c>
      <c r="H793" s="429">
        <v>23.0</v>
      </c>
      <c r="I793" s="429">
        <v>32.0</v>
      </c>
      <c r="J793" s="430">
        <v>0.28</v>
      </c>
      <c r="K793" s="376" t="s">
        <v>7467</v>
      </c>
      <c r="L793" s="376">
        <v>5.464493179E9</v>
      </c>
      <c r="M793" s="376" t="s">
        <v>14</v>
      </c>
      <c r="N793" s="376" t="s">
        <v>3797</v>
      </c>
      <c r="O793" s="376" t="s">
        <v>684</v>
      </c>
      <c r="P793" s="376" t="s">
        <v>3941</v>
      </c>
      <c r="Q793" s="16">
        <f>COUNTIF('hedef liste'!A:A,A793)</f>
        <v>0</v>
      </c>
    </row>
    <row r="794" hidden="1">
      <c r="A794" s="376" t="s">
        <v>4540</v>
      </c>
      <c r="B794" s="376" t="s">
        <v>4541</v>
      </c>
      <c r="C794" s="428" t="s">
        <v>6979</v>
      </c>
      <c r="D794" s="376" t="s">
        <v>3676</v>
      </c>
      <c r="E794" s="429">
        <v>249.0</v>
      </c>
      <c r="F794" s="429">
        <v>24.0</v>
      </c>
      <c r="G794" s="429">
        <v>0.0</v>
      </c>
      <c r="H794" s="429">
        <v>22.0</v>
      </c>
      <c r="I794" s="429">
        <v>22.0</v>
      </c>
      <c r="J794" s="430">
        <v>0.0</v>
      </c>
      <c r="K794" s="376" t="s">
        <v>4542</v>
      </c>
      <c r="L794" s="376">
        <v>3.222256666E9</v>
      </c>
      <c r="M794" s="376" t="s">
        <v>286</v>
      </c>
      <c r="N794" s="376" t="s">
        <v>4075</v>
      </c>
      <c r="O794" s="376" t="s">
        <v>4543</v>
      </c>
      <c r="P794" s="376" t="s">
        <v>3941</v>
      </c>
      <c r="Q794" s="16">
        <f>COUNTIF('hedef liste'!A:A,A794)</f>
        <v>1</v>
      </c>
    </row>
    <row r="795" hidden="1">
      <c r="A795" s="376" t="s">
        <v>7468</v>
      </c>
      <c r="B795" s="376" t="s">
        <v>7469</v>
      </c>
      <c r="C795" s="428" t="s">
        <v>7011</v>
      </c>
      <c r="D795" s="376" t="s">
        <v>4907</v>
      </c>
      <c r="E795" s="429">
        <v>11.0</v>
      </c>
      <c r="F795" s="431"/>
      <c r="G795" s="429">
        <v>20.0</v>
      </c>
      <c r="H795" s="429">
        <v>12.0</v>
      </c>
      <c r="I795" s="429">
        <v>32.0</v>
      </c>
      <c r="J795" s="430">
        <v>0.63</v>
      </c>
      <c r="K795" s="376" t="s">
        <v>7429</v>
      </c>
      <c r="L795" s="376">
        <v>3.222710838E9</v>
      </c>
      <c r="M795" s="376" t="s">
        <v>286</v>
      </c>
      <c r="N795" s="376" t="s">
        <v>4235</v>
      </c>
      <c r="O795" s="376" t="s">
        <v>7470</v>
      </c>
      <c r="P795" s="376" t="s">
        <v>7431</v>
      </c>
      <c r="Q795" s="16">
        <f>COUNTIF('hedef liste'!A:A,A795)</f>
        <v>0</v>
      </c>
    </row>
    <row r="796" hidden="1">
      <c r="A796" s="376" t="s">
        <v>7471</v>
      </c>
      <c r="B796" s="376" t="s">
        <v>7472</v>
      </c>
      <c r="C796" s="428" t="s">
        <v>6979</v>
      </c>
      <c r="D796" s="376" t="s">
        <v>4907</v>
      </c>
      <c r="E796" s="429">
        <v>24.0</v>
      </c>
      <c r="F796" s="429">
        <v>2.0</v>
      </c>
      <c r="G796" s="429">
        <v>22.0</v>
      </c>
      <c r="H796" s="429">
        <v>12.0</v>
      </c>
      <c r="I796" s="429">
        <v>34.0</v>
      </c>
      <c r="J796" s="430">
        <v>0.65</v>
      </c>
      <c r="K796" s="376" t="s">
        <v>7429</v>
      </c>
      <c r="L796" s="376">
        <v>3.222351056E9</v>
      </c>
      <c r="M796" s="376" t="s">
        <v>14</v>
      </c>
      <c r="N796" s="376" t="s">
        <v>3797</v>
      </c>
      <c r="O796" s="376" t="s">
        <v>7473</v>
      </c>
      <c r="P796" s="376" t="s">
        <v>7431</v>
      </c>
      <c r="Q796" s="16">
        <f>COUNTIF('hedef liste'!A:A,A796)</f>
        <v>0</v>
      </c>
    </row>
    <row r="797" hidden="1">
      <c r="A797" s="376" t="s">
        <v>3596</v>
      </c>
      <c r="B797" s="376" t="s">
        <v>3597</v>
      </c>
      <c r="C797" s="428" t="s">
        <v>6979</v>
      </c>
      <c r="D797" s="376" t="s">
        <v>3759</v>
      </c>
      <c r="E797" s="429">
        <v>161.0</v>
      </c>
      <c r="F797" s="429">
        <v>26.0</v>
      </c>
      <c r="G797" s="429">
        <v>0.0</v>
      </c>
      <c r="H797" s="429">
        <v>71.0</v>
      </c>
      <c r="I797" s="429">
        <v>71.0</v>
      </c>
      <c r="J797" s="430">
        <v>0.0</v>
      </c>
      <c r="K797" s="376" t="s">
        <v>5391</v>
      </c>
      <c r="L797" s="376">
        <v>5.399353009E9</v>
      </c>
      <c r="M797" s="376" t="s">
        <v>286</v>
      </c>
      <c r="N797" s="376" t="s">
        <v>3769</v>
      </c>
      <c r="O797" s="376" t="s">
        <v>5392</v>
      </c>
      <c r="P797" s="376" t="s">
        <v>3941</v>
      </c>
      <c r="Q797" s="16">
        <f>COUNTIF('hedef liste'!A:A,A797)</f>
        <v>1</v>
      </c>
    </row>
    <row r="798" hidden="1">
      <c r="A798" s="376" t="s">
        <v>4536</v>
      </c>
      <c r="B798" s="376" t="s">
        <v>4537</v>
      </c>
      <c r="C798" s="428" t="s">
        <v>6979</v>
      </c>
      <c r="D798" s="376" t="s">
        <v>3907</v>
      </c>
      <c r="E798" s="429">
        <v>868.0</v>
      </c>
      <c r="F798" s="429">
        <v>130.0</v>
      </c>
      <c r="G798" s="429">
        <v>0.0</v>
      </c>
      <c r="H798" s="429">
        <v>27.0</v>
      </c>
      <c r="I798" s="429">
        <v>27.0</v>
      </c>
      <c r="J798" s="430">
        <v>0.0</v>
      </c>
      <c r="K798" s="376" t="s">
        <v>4538</v>
      </c>
      <c r="L798" s="376">
        <v>3.225162062E9</v>
      </c>
      <c r="M798" s="376" t="s">
        <v>3814</v>
      </c>
      <c r="N798" s="376" t="s">
        <v>4072</v>
      </c>
      <c r="O798" s="376" t="s">
        <v>7474</v>
      </c>
      <c r="P798" s="376" t="s">
        <v>3941</v>
      </c>
      <c r="Q798" s="16">
        <f>COUNTIF('hedef liste'!A:A,A798)</f>
        <v>1</v>
      </c>
    </row>
    <row r="799" hidden="1">
      <c r="A799" s="376" t="s">
        <v>6118</v>
      </c>
      <c r="B799" s="376" t="s">
        <v>6119</v>
      </c>
      <c r="C799" s="428" t="s">
        <v>6979</v>
      </c>
      <c r="D799" s="376" t="s">
        <v>3699</v>
      </c>
      <c r="E799" s="429">
        <v>105.0</v>
      </c>
      <c r="F799" s="429">
        <v>17.0</v>
      </c>
      <c r="G799" s="429">
        <v>0.0</v>
      </c>
      <c r="H799" s="429">
        <v>49.0</v>
      </c>
      <c r="I799" s="429">
        <v>49.0</v>
      </c>
      <c r="J799" s="433">
        <v>0.0</v>
      </c>
      <c r="K799" s="376" t="s">
        <v>6116</v>
      </c>
      <c r="L799" s="376">
        <v>3.22333334E9</v>
      </c>
      <c r="M799" s="376" t="s">
        <v>3707</v>
      </c>
      <c r="N799" s="376" t="s">
        <v>5245</v>
      </c>
      <c r="O799" s="376" t="s">
        <v>6120</v>
      </c>
      <c r="P799" s="376" t="s">
        <v>3941</v>
      </c>
      <c r="Q799" s="16">
        <f>COUNTIF('hedef liste'!A:A,A799)</f>
        <v>1</v>
      </c>
    </row>
    <row r="800" hidden="1">
      <c r="A800" s="376" t="s">
        <v>3922</v>
      </c>
      <c r="B800" s="376" t="s">
        <v>7475</v>
      </c>
      <c r="C800" s="428" t="s">
        <v>6979</v>
      </c>
      <c r="D800" s="376" t="s">
        <v>3676</v>
      </c>
      <c r="E800" s="429">
        <v>3192.0</v>
      </c>
      <c r="F800" s="429">
        <v>304.0</v>
      </c>
      <c r="G800" s="429">
        <v>11.0</v>
      </c>
      <c r="H800" s="429">
        <v>1.0</v>
      </c>
      <c r="I800" s="429">
        <v>12.0</v>
      </c>
      <c r="J800" s="430">
        <v>0.92</v>
      </c>
      <c r="K800" s="376" t="s">
        <v>7476</v>
      </c>
      <c r="L800" s="376">
        <v>3.224540303E9</v>
      </c>
      <c r="M800" s="376" t="s">
        <v>286</v>
      </c>
      <c r="N800" s="376" t="s">
        <v>3737</v>
      </c>
      <c r="O800" s="376" t="s">
        <v>3925</v>
      </c>
      <c r="P800" s="376" t="s">
        <v>3941</v>
      </c>
      <c r="Q800" s="16">
        <f>COUNTIF('hedef liste'!A:A,A800)</f>
        <v>1</v>
      </c>
    </row>
    <row r="801" hidden="1">
      <c r="A801" s="376" t="s">
        <v>3487</v>
      </c>
      <c r="B801" s="376" t="s">
        <v>3488</v>
      </c>
      <c r="C801" s="428" t="s">
        <v>6979</v>
      </c>
      <c r="D801" s="376" t="s">
        <v>3912</v>
      </c>
      <c r="E801" s="429">
        <v>60.0</v>
      </c>
      <c r="F801" s="429">
        <v>15.0</v>
      </c>
      <c r="G801" s="429">
        <v>0.0</v>
      </c>
      <c r="H801" s="429">
        <v>22.0</v>
      </c>
      <c r="I801" s="429">
        <v>22.0</v>
      </c>
      <c r="J801" s="430">
        <v>0.0</v>
      </c>
      <c r="K801" s="376" t="s">
        <v>4904</v>
      </c>
      <c r="L801" s="376">
        <v>5.442395058E9</v>
      </c>
      <c r="M801" s="376" t="s">
        <v>14</v>
      </c>
      <c r="N801" s="376" t="s">
        <v>3733</v>
      </c>
      <c r="O801" s="376" t="s">
        <v>3490</v>
      </c>
      <c r="P801" s="376" t="s">
        <v>3941</v>
      </c>
      <c r="Q801" s="16">
        <f>COUNTIF('hedef liste'!A:A,A801)</f>
        <v>1</v>
      </c>
    </row>
    <row r="802" hidden="1">
      <c r="A802" s="376" t="s">
        <v>3363</v>
      </c>
      <c r="B802" s="376" t="s">
        <v>3364</v>
      </c>
      <c r="C802" s="428" t="s">
        <v>6979</v>
      </c>
      <c r="D802" s="376" t="s">
        <v>3912</v>
      </c>
      <c r="E802" s="429">
        <v>176.0</v>
      </c>
      <c r="F802" s="429">
        <v>18.0</v>
      </c>
      <c r="G802" s="429">
        <v>7.0</v>
      </c>
      <c r="H802" s="429">
        <v>19.0</v>
      </c>
      <c r="I802" s="429">
        <v>26.0</v>
      </c>
      <c r="J802" s="430">
        <v>0.27</v>
      </c>
      <c r="K802" s="376" t="s">
        <v>5821</v>
      </c>
      <c r="L802" s="376">
        <v>5.396534305E9</v>
      </c>
      <c r="M802" s="376" t="s">
        <v>286</v>
      </c>
      <c r="N802" s="376" t="s">
        <v>3806</v>
      </c>
      <c r="O802" s="376" t="s">
        <v>5822</v>
      </c>
      <c r="P802" s="376" t="s">
        <v>3941</v>
      </c>
      <c r="Q802" s="16">
        <f>COUNTIF('hedef liste'!A:A,A802)</f>
        <v>1</v>
      </c>
    </row>
    <row r="803" hidden="1">
      <c r="A803" s="376" t="s">
        <v>7477</v>
      </c>
      <c r="B803" s="376" t="s">
        <v>7478</v>
      </c>
      <c r="C803" s="428" t="s">
        <v>6979</v>
      </c>
      <c r="D803" s="376" t="s">
        <v>3749</v>
      </c>
      <c r="E803" s="429">
        <v>1187.0</v>
      </c>
      <c r="F803" s="429">
        <v>149.0</v>
      </c>
      <c r="G803" s="429">
        <v>46.0</v>
      </c>
      <c r="H803" s="429">
        <v>15.0</v>
      </c>
      <c r="I803" s="429">
        <v>61.0</v>
      </c>
      <c r="J803" s="430">
        <v>0.75</v>
      </c>
      <c r="K803" s="376" t="s">
        <v>7479</v>
      </c>
      <c r="L803" s="376">
        <v>3.222358383E9</v>
      </c>
      <c r="M803" s="376" t="s">
        <v>14</v>
      </c>
      <c r="N803" s="376" t="s">
        <v>3733</v>
      </c>
      <c r="O803" s="376" t="s">
        <v>7480</v>
      </c>
      <c r="P803" s="376" t="s">
        <v>6982</v>
      </c>
      <c r="Q803" s="16">
        <f>COUNTIF('hedef liste'!A:A,A803)</f>
        <v>0</v>
      </c>
    </row>
    <row r="804" hidden="1">
      <c r="A804" s="376" t="s">
        <v>624</v>
      </c>
      <c r="B804" s="376" t="s">
        <v>7481</v>
      </c>
      <c r="C804" s="428" t="s">
        <v>6979</v>
      </c>
      <c r="D804" s="376" t="s">
        <v>3676</v>
      </c>
      <c r="E804" s="429">
        <v>1229.0</v>
      </c>
      <c r="F804" s="429">
        <v>70.0</v>
      </c>
      <c r="G804" s="429">
        <v>2.0</v>
      </c>
      <c r="H804" s="429">
        <v>13.0</v>
      </c>
      <c r="I804" s="429">
        <v>15.0</v>
      </c>
      <c r="J804" s="430">
        <v>0.13</v>
      </c>
      <c r="K804" s="376" t="s">
        <v>4053</v>
      </c>
      <c r="L804" s="376">
        <v>3.222279292E9</v>
      </c>
      <c r="M804" s="376" t="s">
        <v>286</v>
      </c>
      <c r="N804" s="376" t="s">
        <v>3754</v>
      </c>
      <c r="O804" s="376" t="s">
        <v>627</v>
      </c>
      <c r="P804" s="376" t="s">
        <v>3941</v>
      </c>
      <c r="Q804" s="16">
        <f>COUNTIF('hedef liste'!A:A,A804)</f>
        <v>1</v>
      </c>
    </row>
    <row r="805" hidden="1">
      <c r="A805" s="376" t="s">
        <v>3577</v>
      </c>
      <c r="B805" s="376" t="s">
        <v>3578</v>
      </c>
      <c r="C805" s="428" t="s">
        <v>6979</v>
      </c>
      <c r="D805" s="376" t="s">
        <v>3713</v>
      </c>
      <c r="E805" s="429">
        <v>178.0</v>
      </c>
      <c r="F805" s="429">
        <v>31.0</v>
      </c>
      <c r="G805" s="429">
        <v>0.0</v>
      </c>
      <c r="H805" s="429">
        <v>22.0</v>
      </c>
      <c r="I805" s="429">
        <v>22.0</v>
      </c>
      <c r="J805" s="433">
        <v>0.0</v>
      </c>
      <c r="K805" s="376" t="s">
        <v>6884</v>
      </c>
      <c r="L805" s="376">
        <v>3.224576538E9</v>
      </c>
      <c r="M805" s="376" t="s">
        <v>286</v>
      </c>
      <c r="N805" s="376" t="s">
        <v>4550</v>
      </c>
      <c r="O805" s="376" t="s">
        <v>3580</v>
      </c>
      <c r="P805" s="376" t="s">
        <v>3941</v>
      </c>
      <c r="Q805" s="16">
        <f>COUNTIF('hedef liste'!A:A,A805)</f>
        <v>1</v>
      </c>
    </row>
    <row r="806" hidden="1">
      <c r="A806" s="376" t="s">
        <v>7482</v>
      </c>
      <c r="B806" s="376" t="s">
        <v>7483</v>
      </c>
      <c r="C806" s="428" t="s">
        <v>6979</v>
      </c>
      <c r="D806" s="376" t="s">
        <v>3713</v>
      </c>
      <c r="E806" s="429">
        <v>30.0</v>
      </c>
      <c r="F806" s="431"/>
      <c r="G806" s="429">
        <v>14.0</v>
      </c>
      <c r="H806" s="429">
        <v>4.0</v>
      </c>
      <c r="I806" s="429">
        <v>18.0</v>
      </c>
      <c r="J806" s="430">
        <v>0.78</v>
      </c>
      <c r="K806" s="376" t="s">
        <v>7484</v>
      </c>
      <c r="L806" s="376">
        <v>5.305732663E9</v>
      </c>
      <c r="M806" s="376" t="s">
        <v>14</v>
      </c>
      <c r="N806" s="376" t="s">
        <v>3826</v>
      </c>
      <c r="O806" s="376" t="s">
        <v>1110</v>
      </c>
      <c r="P806" s="376" t="s">
        <v>3941</v>
      </c>
      <c r="Q806" s="16">
        <f>COUNTIF('hedef liste'!A:A,A806)</f>
        <v>0</v>
      </c>
    </row>
    <row r="807" hidden="1">
      <c r="A807" s="376" t="s">
        <v>7485</v>
      </c>
      <c r="B807" s="376" t="s">
        <v>1696</v>
      </c>
      <c r="C807" s="428" t="s">
        <v>6979</v>
      </c>
      <c r="D807" s="376" t="s">
        <v>3676</v>
      </c>
      <c r="E807" s="429">
        <v>514.0</v>
      </c>
      <c r="F807" s="429">
        <v>22.0</v>
      </c>
      <c r="G807" s="429">
        <v>11.0</v>
      </c>
      <c r="H807" s="429">
        <v>11.0</v>
      </c>
      <c r="I807" s="429">
        <v>22.0</v>
      </c>
      <c r="J807" s="430">
        <v>0.5</v>
      </c>
      <c r="K807" s="376" t="s">
        <v>7486</v>
      </c>
      <c r="L807" s="376">
        <v>3.223410565E9</v>
      </c>
      <c r="M807" s="376" t="s">
        <v>3692</v>
      </c>
      <c r="N807" s="376" t="s">
        <v>3721</v>
      </c>
      <c r="O807" s="376" t="s">
        <v>1698</v>
      </c>
      <c r="P807" s="376" t="s">
        <v>3941</v>
      </c>
      <c r="Q807" s="16">
        <f>COUNTIF('hedef liste'!A:A,A807)</f>
        <v>0</v>
      </c>
    </row>
    <row r="808" hidden="1">
      <c r="A808" s="376" t="s">
        <v>3898</v>
      </c>
      <c r="B808" s="376" t="s">
        <v>3899</v>
      </c>
      <c r="C808" s="428" t="s">
        <v>6979</v>
      </c>
      <c r="D808" s="376" t="s">
        <v>3749</v>
      </c>
      <c r="E808" s="429">
        <v>549.0</v>
      </c>
      <c r="F808" s="429">
        <v>80.0</v>
      </c>
      <c r="G808" s="429">
        <v>0.0</v>
      </c>
      <c r="H808" s="429">
        <v>45.0</v>
      </c>
      <c r="I808" s="429">
        <v>45.0</v>
      </c>
      <c r="J808" s="430">
        <v>0.0</v>
      </c>
      <c r="K808" s="376" t="s">
        <v>3900</v>
      </c>
      <c r="L808" s="376">
        <v>5.423228201E9</v>
      </c>
      <c r="M808" s="376" t="s">
        <v>3692</v>
      </c>
      <c r="N808" s="376" t="s">
        <v>3901</v>
      </c>
      <c r="O808" s="376" t="s">
        <v>3902</v>
      </c>
      <c r="P808" s="376" t="s">
        <v>3941</v>
      </c>
      <c r="Q808" s="16">
        <f>COUNTIF('hedef liste'!A:A,A808)</f>
        <v>1</v>
      </c>
    </row>
    <row r="809" hidden="1">
      <c r="A809" s="376" t="s">
        <v>7487</v>
      </c>
      <c r="B809" s="376" t="s">
        <v>7488</v>
      </c>
      <c r="C809" s="428" t="s">
        <v>6979</v>
      </c>
      <c r="D809" s="376" t="s">
        <v>3801</v>
      </c>
      <c r="E809" s="429">
        <v>361.0</v>
      </c>
      <c r="F809" s="429">
        <v>56.0</v>
      </c>
      <c r="G809" s="429">
        <v>76.0</v>
      </c>
      <c r="H809" s="429">
        <v>7.0</v>
      </c>
      <c r="I809" s="429">
        <v>83.0</v>
      </c>
      <c r="J809" s="430">
        <v>0.92</v>
      </c>
      <c r="K809" s="376" t="s">
        <v>6998</v>
      </c>
      <c r="L809" s="376">
        <v>5.423233135E9</v>
      </c>
      <c r="M809" s="376" t="s">
        <v>3707</v>
      </c>
      <c r="N809" s="412">
        <v>44700.0</v>
      </c>
      <c r="O809" s="376" t="s">
        <v>7489</v>
      </c>
      <c r="P809" s="376" t="s">
        <v>6982</v>
      </c>
      <c r="Q809" s="16">
        <f>COUNTIF('hedef liste'!A:A,A809)</f>
        <v>0</v>
      </c>
    </row>
    <row r="810" hidden="1">
      <c r="A810" s="376" t="s">
        <v>7490</v>
      </c>
      <c r="B810" s="376" t="s">
        <v>7491</v>
      </c>
      <c r="C810" s="428" t="s">
        <v>6979</v>
      </c>
      <c r="D810" s="376" t="s">
        <v>3690</v>
      </c>
      <c r="E810" s="429">
        <v>1299.0</v>
      </c>
      <c r="F810" s="429">
        <v>193.0</v>
      </c>
      <c r="G810" s="429">
        <v>9.0</v>
      </c>
      <c r="H810" s="429">
        <v>11.0</v>
      </c>
      <c r="I810" s="429">
        <v>20.0</v>
      </c>
      <c r="J810" s="430">
        <v>0.45</v>
      </c>
      <c r="K810" s="376" t="s">
        <v>6573</v>
      </c>
      <c r="L810" s="376">
        <v>5.452760304E9</v>
      </c>
      <c r="M810" s="376" t="s">
        <v>14</v>
      </c>
      <c r="N810" s="376" t="s">
        <v>3767</v>
      </c>
      <c r="O810" s="376" t="s">
        <v>7492</v>
      </c>
      <c r="P810" s="376" t="s">
        <v>3941</v>
      </c>
      <c r="Q810" s="16">
        <f>COUNTIF('hedef liste'!A:A,A810)</f>
        <v>0</v>
      </c>
    </row>
    <row r="811" hidden="1">
      <c r="A811" s="376" t="s">
        <v>1942</v>
      </c>
      <c r="B811" s="376" t="s">
        <v>1943</v>
      </c>
      <c r="C811" s="428" t="s">
        <v>6979</v>
      </c>
      <c r="D811" s="376" t="s">
        <v>3699</v>
      </c>
      <c r="E811" s="429">
        <v>917.0</v>
      </c>
      <c r="F811" s="429">
        <v>119.0</v>
      </c>
      <c r="G811" s="429">
        <v>3.0</v>
      </c>
      <c r="H811" s="429">
        <v>19.0</v>
      </c>
      <c r="I811" s="429">
        <v>22.0</v>
      </c>
      <c r="J811" s="430">
        <v>0.14</v>
      </c>
      <c r="K811" s="376" t="s">
        <v>6644</v>
      </c>
      <c r="L811" s="376">
        <v>3.224572324E9</v>
      </c>
      <c r="M811" s="376" t="s">
        <v>286</v>
      </c>
      <c r="N811" s="376" t="s">
        <v>3806</v>
      </c>
      <c r="O811" s="376" t="s">
        <v>6645</v>
      </c>
      <c r="P811" s="376" t="s">
        <v>3941</v>
      </c>
      <c r="Q811" s="16">
        <f>COUNTIF('hedef liste'!A:A,A811)</f>
        <v>1</v>
      </c>
    </row>
    <row r="812" hidden="1">
      <c r="A812" s="376" t="s">
        <v>6015</v>
      </c>
      <c r="B812" s="376" t="s">
        <v>6016</v>
      </c>
      <c r="C812" s="428" t="s">
        <v>6979</v>
      </c>
      <c r="D812" s="376" t="s">
        <v>3801</v>
      </c>
      <c r="E812" s="429">
        <v>5079.0</v>
      </c>
      <c r="F812" s="429">
        <v>80.0</v>
      </c>
      <c r="G812" s="429">
        <v>18.0</v>
      </c>
      <c r="H812" s="429">
        <v>2.0</v>
      </c>
      <c r="I812" s="429">
        <v>20.0</v>
      </c>
      <c r="J812" s="430">
        <v>0.9</v>
      </c>
      <c r="K812" s="376" t="s">
        <v>6017</v>
      </c>
      <c r="L812" s="376">
        <v>3.222485116E9</v>
      </c>
      <c r="M812" s="376" t="s">
        <v>14</v>
      </c>
      <c r="N812" s="376" t="s">
        <v>3935</v>
      </c>
      <c r="O812" s="376" t="s">
        <v>6018</v>
      </c>
      <c r="P812" s="376" t="s">
        <v>6982</v>
      </c>
      <c r="Q812" s="16">
        <f>COUNTIF('hedef liste'!A:A,A812)</f>
        <v>1</v>
      </c>
    </row>
    <row r="813" hidden="1">
      <c r="A813" s="376" t="s">
        <v>2052</v>
      </c>
      <c r="B813" s="376" t="s">
        <v>2053</v>
      </c>
      <c r="C813" s="428" t="s">
        <v>6979</v>
      </c>
      <c r="D813" s="376" t="s">
        <v>3676</v>
      </c>
      <c r="E813" s="429">
        <v>333.0</v>
      </c>
      <c r="F813" s="429">
        <v>12.0</v>
      </c>
      <c r="G813" s="429">
        <v>9.0</v>
      </c>
      <c r="H813" s="429">
        <v>1.0</v>
      </c>
      <c r="I813" s="429">
        <v>10.0</v>
      </c>
      <c r="J813" s="430">
        <v>0.9</v>
      </c>
      <c r="K813" s="376" t="s">
        <v>6060</v>
      </c>
      <c r="L813" s="376">
        <v>3.223634329E9</v>
      </c>
      <c r="M813" s="376" t="s">
        <v>286</v>
      </c>
      <c r="N813" s="376" t="s">
        <v>4451</v>
      </c>
      <c r="O813" s="376" t="s">
        <v>2055</v>
      </c>
      <c r="P813" s="376" t="s">
        <v>3941</v>
      </c>
      <c r="Q813" s="16">
        <f>COUNTIF('hedef liste'!A:A,A813)</f>
        <v>1</v>
      </c>
    </row>
    <row r="814" hidden="1">
      <c r="A814" s="376" t="s">
        <v>2298</v>
      </c>
      <c r="B814" s="376" t="s">
        <v>2299</v>
      </c>
      <c r="C814" s="428" t="s">
        <v>6979</v>
      </c>
      <c r="D814" s="376" t="s">
        <v>3907</v>
      </c>
      <c r="E814" s="429">
        <v>468.0</v>
      </c>
      <c r="F814" s="429">
        <v>5.0</v>
      </c>
      <c r="G814" s="429">
        <v>8.0</v>
      </c>
      <c r="H814" s="429">
        <v>4.0</v>
      </c>
      <c r="I814" s="429">
        <v>12.0</v>
      </c>
      <c r="J814" s="430">
        <v>0.67</v>
      </c>
      <c r="K814" s="376" t="s">
        <v>4113</v>
      </c>
      <c r="L814" s="376">
        <v>3.222564656E9</v>
      </c>
      <c r="M814" s="376" t="s">
        <v>14</v>
      </c>
      <c r="N814" s="376" t="s">
        <v>3678</v>
      </c>
      <c r="O814" s="376" t="s">
        <v>4114</v>
      </c>
      <c r="P814" s="376" t="s">
        <v>3941</v>
      </c>
      <c r="Q814" s="16">
        <f>COUNTIF('hedef liste'!A:A,A814)</f>
        <v>1</v>
      </c>
    </row>
    <row r="815" hidden="1">
      <c r="A815" s="376" t="s">
        <v>3315</v>
      </c>
      <c r="B815" s="376" t="s">
        <v>3316</v>
      </c>
      <c r="C815" s="428" t="s">
        <v>6979</v>
      </c>
      <c r="D815" s="376" t="s">
        <v>3912</v>
      </c>
      <c r="F815" s="431"/>
      <c r="G815" s="429">
        <v>16.0</v>
      </c>
      <c r="H815" s="429">
        <v>4.0</v>
      </c>
      <c r="I815" s="429">
        <v>20.0</v>
      </c>
      <c r="J815" s="430">
        <v>0.8</v>
      </c>
      <c r="K815" s="376" t="s">
        <v>4751</v>
      </c>
      <c r="L815" s="376">
        <v>5.365107781E9</v>
      </c>
      <c r="M815" s="376" t="s">
        <v>286</v>
      </c>
      <c r="N815" s="376" t="s">
        <v>4550</v>
      </c>
      <c r="O815" s="376" t="s">
        <v>3319</v>
      </c>
      <c r="P815" s="376" t="s">
        <v>3941</v>
      </c>
      <c r="Q815" s="16">
        <f>COUNTIF('hedef liste'!A:A,A815)</f>
        <v>1</v>
      </c>
    </row>
    <row r="816" hidden="1">
      <c r="A816" s="376" t="s">
        <v>3992</v>
      </c>
      <c r="B816" s="376" t="s">
        <v>3993</v>
      </c>
      <c r="C816" s="428" t="s">
        <v>6979</v>
      </c>
      <c r="D816" s="376" t="s">
        <v>3994</v>
      </c>
      <c r="E816" s="429">
        <v>220.0</v>
      </c>
      <c r="F816" s="429">
        <v>13.0</v>
      </c>
      <c r="G816" s="429">
        <v>0.0</v>
      </c>
      <c r="H816" s="429">
        <v>17.0</v>
      </c>
      <c r="I816" s="429">
        <v>17.0</v>
      </c>
      <c r="J816" s="430">
        <v>0.0</v>
      </c>
      <c r="K816" s="376" t="s">
        <v>3995</v>
      </c>
      <c r="L816" s="376">
        <v>5.399631427E9</v>
      </c>
      <c r="M816" s="376" t="s">
        <v>286</v>
      </c>
      <c r="N816" s="376" t="s">
        <v>3806</v>
      </c>
      <c r="O816" s="376" t="s">
        <v>3996</v>
      </c>
      <c r="P816" s="376" t="s">
        <v>3941</v>
      </c>
      <c r="Q816" s="16">
        <f>COUNTIF('hedef liste'!A:A,A816)</f>
        <v>1</v>
      </c>
    </row>
    <row r="817" hidden="1">
      <c r="A817" s="376" t="s">
        <v>5882</v>
      </c>
      <c r="B817" s="376" t="s">
        <v>5883</v>
      </c>
      <c r="C817" s="428" t="s">
        <v>6979</v>
      </c>
      <c r="D817" s="376" t="s">
        <v>6854</v>
      </c>
      <c r="E817" s="429">
        <v>182.0</v>
      </c>
      <c r="F817" s="429">
        <v>2.0</v>
      </c>
      <c r="G817" s="429">
        <v>0.0</v>
      </c>
      <c r="H817" s="429">
        <v>69.0</v>
      </c>
      <c r="I817" s="429">
        <v>69.0</v>
      </c>
      <c r="J817" s="433">
        <v>0.0</v>
      </c>
      <c r="K817" s="376" t="s">
        <v>7493</v>
      </c>
      <c r="L817" s="376">
        <v>3.224562626E9</v>
      </c>
      <c r="M817" s="376" t="s">
        <v>286</v>
      </c>
      <c r="N817" s="376" t="s">
        <v>3737</v>
      </c>
      <c r="O817" s="376" t="s">
        <v>5885</v>
      </c>
      <c r="P817" s="376" t="s">
        <v>3941</v>
      </c>
      <c r="Q817" s="16">
        <f>COUNTIF('hedef liste'!A:A,A817)</f>
        <v>1</v>
      </c>
    </row>
    <row r="818" hidden="1">
      <c r="A818" s="376" t="s">
        <v>3613</v>
      </c>
      <c r="B818" s="376" t="s">
        <v>3614</v>
      </c>
      <c r="C818" s="428" t="s">
        <v>6979</v>
      </c>
      <c r="D818" s="376" t="s">
        <v>3713</v>
      </c>
      <c r="E818" s="429">
        <v>1679.0</v>
      </c>
      <c r="F818" s="429">
        <v>167.0</v>
      </c>
      <c r="G818" s="429">
        <v>0.0</v>
      </c>
      <c r="H818" s="429">
        <v>16.0</v>
      </c>
      <c r="I818" s="429">
        <v>16.0</v>
      </c>
      <c r="J818" s="430">
        <v>0.0</v>
      </c>
      <c r="K818" s="376" t="s">
        <v>6434</v>
      </c>
      <c r="L818" s="376">
        <v>5.367347036E9</v>
      </c>
      <c r="M818" s="376" t="s">
        <v>286</v>
      </c>
      <c r="N818" s="376" t="s">
        <v>3855</v>
      </c>
      <c r="O818" s="376" t="s">
        <v>3616</v>
      </c>
      <c r="P818" s="376" t="s">
        <v>3941</v>
      </c>
      <c r="Q818" s="16">
        <f>COUNTIF('hedef liste'!A:A,A818)</f>
        <v>1</v>
      </c>
    </row>
    <row r="819" hidden="1">
      <c r="A819" s="376" t="s">
        <v>2325</v>
      </c>
      <c r="B819" s="376" t="s">
        <v>2326</v>
      </c>
      <c r="C819" s="428" t="s">
        <v>6979</v>
      </c>
      <c r="D819" s="376" t="s">
        <v>3713</v>
      </c>
      <c r="E819" s="429">
        <v>239.0</v>
      </c>
      <c r="F819" s="429">
        <v>5.0</v>
      </c>
      <c r="G819" s="429">
        <v>0.0</v>
      </c>
      <c r="H819" s="429">
        <v>13.0</v>
      </c>
      <c r="I819" s="429">
        <v>13.0</v>
      </c>
      <c r="J819" s="430">
        <v>0.0</v>
      </c>
      <c r="K819" s="376" t="s">
        <v>6792</v>
      </c>
      <c r="L819" s="376">
        <v>3.22329298E9</v>
      </c>
      <c r="M819" s="376" t="s">
        <v>3692</v>
      </c>
      <c r="N819" s="376" t="s">
        <v>7050</v>
      </c>
      <c r="O819" s="376" t="s">
        <v>2328</v>
      </c>
      <c r="P819" s="376" t="s">
        <v>3941</v>
      </c>
      <c r="Q819" s="16">
        <f>COUNTIF('hedef liste'!A:A,A819)</f>
        <v>1</v>
      </c>
    </row>
    <row r="820" hidden="1">
      <c r="A820" s="376" t="s">
        <v>4268</v>
      </c>
      <c r="B820" s="376" t="s">
        <v>4269</v>
      </c>
      <c r="C820" s="428" t="s">
        <v>7011</v>
      </c>
      <c r="D820" s="376" t="s">
        <v>3699</v>
      </c>
      <c r="F820" s="431"/>
      <c r="G820" s="429">
        <v>0.0</v>
      </c>
      <c r="H820" s="429">
        <v>27.0</v>
      </c>
      <c r="I820" s="429">
        <v>27.0</v>
      </c>
      <c r="J820" s="430">
        <v>0.0</v>
      </c>
      <c r="K820" s="376" t="s">
        <v>4270</v>
      </c>
      <c r="L820" s="376">
        <v>3.223297686E9</v>
      </c>
      <c r="M820" s="376" t="s">
        <v>3707</v>
      </c>
      <c r="N820" s="376" t="s">
        <v>3761</v>
      </c>
      <c r="O820" s="376" t="s">
        <v>4271</v>
      </c>
      <c r="P820" s="376" t="s">
        <v>3941</v>
      </c>
      <c r="Q820" s="16">
        <f>COUNTIF('hedef liste'!A:A,A820)</f>
        <v>1</v>
      </c>
    </row>
    <row r="821" hidden="1">
      <c r="A821" s="376" t="s">
        <v>6639</v>
      </c>
      <c r="B821" s="376" t="s">
        <v>6640</v>
      </c>
      <c r="C821" s="428" t="s">
        <v>6979</v>
      </c>
      <c r="D821" s="376" t="s">
        <v>3699</v>
      </c>
      <c r="E821" s="429">
        <v>1076.0</v>
      </c>
      <c r="F821" s="429">
        <v>35.0</v>
      </c>
      <c r="G821" s="429">
        <v>5.0</v>
      </c>
      <c r="H821" s="429">
        <v>2.0</v>
      </c>
      <c r="I821" s="429">
        <v>7.0</v>
      </c>
      <c r="J821" s="430">
        <v>0.71</v>
      </c>
      <c r="K821" s="376" t="s">
        <v>6641</v>
      </c>
      <c r="L821" s="376">
        <v>5.551742166E9</v>
      </c>
      <c r="M821" s="376" t="s">
        <v>286</v>
      </c>
      <c r="N821" s="376" t="s">
        <v>6438</v>
      </c>
      <c r="O821" s="376" t="s">
        <v>6642</v>
      </c>
      <c r="P821" s="376" t="s">
        <v>3941</v>
      </c>
      <c r="Q821" s="16">
        <f>COUNTIF('hedef liste'!A:A,A821)</f>
        <v>1</v>
      </c>
    </row>
    <row r="822" hidden="1">
      <c r="A822" s="376" t="s">
        <v>2642</v>
      </c>
      <c r="B822" s="376" t="s">
        <v>2643</v>
      </c>
      <c r="C822" s="428" t="s">
        <v>6979</v>
      </c>
      <c r="D822" s="376" t="s">
        <v>4000</v>
      </c>
      <c r="E822" s="429">
        <v>786.0</v>
      </c>
      <c r="F822" s="429">
        <v>32.0</v>
      </c>
      <c r="G822" s="429">
        <v>11.0</v>
      </c>
      <c r="H822" s="429">
        <v>22.0</v>
      </c>
      <c r="I822" s="429">
        <v>33.0</v>
      </c>
      <c r="J822" s="430">
        <v>0.33</v>
      </c>
      <c r="K822" s="376" t="s">
        <v>4514</v>
      </c>
      <c r="L822" s="376">
        <v>3.222354494E9</v>
      </c>
      <c r="M822" s="376" t="s">
        <v>14</v>
      </c>
      <c r="N822" s="376" t="s">
        <v>3733</v>
      </c>
      <c r="O822" s="376" t="s">
        <v>2646</v>
      </c>
      <c r="P822" s="376" t="s">
        <v>3941</v>
      </c>
      <c r="Q822" s="16">
        <f>COUNTIF('hedef liste'!A:A,A822)</f>
        <v>1</v>
      </c>
    </row>
    <row r="823" hidden="1">
      <c r="A823" s="376" t="s">
        <v>3478</v>
      </c>
      <c r="B823" s="376" t="s">
        <v>3479</v>
      </c>
      <c r="C823" s="428" t="s">
        <v>6979</v>
      </c>
      <c r="D823" s="376" t="s">
        <v>3842</v>
      </c>
      <c r="E823" s="429">
        <v>174.0</v>
      </c>
      <c r="F823" s="429">
        <v>63.0</v>
      </c>
      <c r="G823" s="429">
        <v>0.0</v>
      </c>
      <c r="H823" s="429">
        <v>28.0</v>
      </c>
      <c r="I823" s="429">
        <v>28.0</v>
      </c>
      <c r="J823" s="430">
        <v>0.0</v>
      </c>
      <c r="K823" s="376" t="s">
        <v>6891</v>
      </c>
      <c r="L823" s="376">
        <v>5.315442595E9</v>
      </c>
      <c r="M823" s="376" t="s">
        <v>14</v>
      </c>
      <c r="N823" s="376" t="s">
        <v>3826</v>
      </c>
      <c r="O823" s="376" t="s">
        <v>3481</v>
      </c>
      <c r="P823" s="376" t="s">
        <v>3941</v>
      </c>
      <c r="Q823" s="16">
        <f>COUNTIF('hedef liste'!A:A,A823)</f>
        <v>1</v>
      </c>
    </row>
    <row r="824" hidden="1">
      <c r="A824" s="376" t="s">
        <v>7494</v>
      </c>
      <c r="B824" s="376" t="s">
        <v>7495</v>
      </c>
      <c r="C824" s="428" t="s">
        <v>6979</v>
      </c>
      <c r="D824" s="376" t="s">
        <v>3801</v>
      </c>
      <c r="E824" s="429">
        <v>8.0</v>
      </c>
      <c r="F824" s="429">
        <v>8.0</v>
      </c>
      <c r="G824" s="429">
        <v>92.0</v>
      </c>
      <c r="H824" s="429">
        <v>89.0</v>
      </c>
      <c r="I824" s="429">
        <v>181.0</v>
      </c>
      <c r="J824" s="430">
        <v>0.51</v>
      </c>
      <c r="K824" s="376" t="s">
        <v>7496</v>
      </c>
      <c r="L824" s="376">
        <v>5.442159365E9</v>
      </c>
      <c r="M824" s="376" t="s">
        <v>3692</v>
      </c>
      <c r="N824" s="376" t="s">
        <v>3693</v>
      </c>
      <c r="O824" s="376" t="s">
        <v>7497</v>
      </c>
      <c r="P824" s="376" t="s">
        <v>6982</v>
      </c>
      <c r="Q824" s="16">
        <f>COUNTIF('hedef liste'!A:A,A824)</f>
        <v>0</v>
      </c>
    </row>
    <row r="825" hidden="1">
      <c r="A825" s="376" t="s">
        <v>3426</v>
      </c>
      <c r="B825" s="376" t="s">
        <v>3427</v>
      </c>
      <c r="C825" s="428" t="s">
        <v>6979</v>
      </c>
      <c r="D825" s="376" t="s">
        <v>3699</v>
      </c>
      <c r="E825" s="429">
        <v>19.0</v>
      </c>
      <c r="F825" s="429">
        <v>8.0</v>
      </c>
      <c r="G825" s="429">
        <v>15.0</v>
      </c>
      <c r="H825" s="429">
        <v>5.0</v>
      </c>
      <c r="I825" s="429">
        <v>20.0</v>
      </c>
      <c r="J825" s="430">
        <v>0.75</v>
      </c>
      <c r="K825" s="376" t="s">
        <v>5770</v>
      </c>
      <c r="L825" s="376">
        <v>5.525067316E9</v>
      </c>
      <c r="M825" s="376" t="s">
        <v>286</v>
      </c>
      <c r="N825" s="376" t="s">
        <v>3737</v>
      </c>
      <c r="O825" s="376" t="s">
        <v>3429</v>
      </c>
      <c r="P825" s="376" t="s">
        <v>3941</v>
      </c>
      <c r="Q825" s="16">
        <f>COUNTIF('hedef liste'!A:A,A825)</f>
        <v>1</v>
      </c>
    </row>
    <row r="826" hidden="1">
      <c r="A826" s="376" t="s">
        <v>3492</v>
      </c>
      <c r="B826" s="376" t="s">
        <v>3493</v>
      </c>
      <c r="C826" s="428" t="s">
        <v>6979</v>
      </c>
      <c r="D826" s="376" t="s">
        <v>3713</v>
      </c>
      <c r="E826" s="429">
        <v>236.0</v>
      </c>
      <c r="F826" s="429">
        <v>92.0</v>
      </c>
      <c r="G826" s="429">
        <v>7.0</v>
      </c>
      <c r="H826" s="429">
        <v>5.0</v>
      </c>
      <c r="I826" s="429">
        <v>12.0</v>
      </c>
      <c r="J826" s="430">
        <v>0.58</v>
      </c>
      <c r="K826" s="376" t="s">
        <v>4077</v>
      </c>
      <c r="L826" s="376">
        <v>5.434539356E9</v>
      </c>
      <c r="M826" s="376" t="s">
        <v>14</v>
      </c>
      <c r="N826" s="376" t="s">
        <v>3767</v>
      </c>
      <c r="O826" s="376" t="s">
        <v>3496</v>
      </c>
      <c r="P826" s="376" t="s">
        <v>3941</v>
      </c>
      <c r="Q826" s="16">
        <f>COUNTIF('hedef liste'!A:A,A826)</f>
        <v>1</v>
      </c>
    </row>
    <row r="827" hidden="1">
      <c r="A827" s="376" t="s">
        <v>3790</v>
      </c>
      <c r="B827" s="376" t="s">
        <v>3791</v>
      </c>
      <c r="C827" s="428" t="s">
        <v>6979</v>
      </c>
      <c r="D827" s="376" t="s">
        <v>3713</v>
      </c>
      <c r="E827" s="429">
        <v>220.0</v>
      </c>
      <c r="F827" s="429">
        <v>49.0</v>
      </c>
      <c r="G827" s="429">
        <v>0.0</v>
      </c>
      <c r="H827" s="429">
        <v>32.0</v>
      </c>
      <c r="I827" s="429">
        <v>32.0</v>
      </c>
      <c r="J827" s="430">
        <v>0.0</v>
      </c>
      <c r="K827" s="376" t="s">
        <v>3792</v>
      </c>
      <c r="L827" s="376">
        <v>5.41820921E8</v>
      </c>
      <c r="M827" s="376" t="s">
        <v>3701</v>
      </c>
      <c r="N827" s="376" t="s">
        <v>3702</v>
      </c>
      <c r="O827" s="376" t="s">
        <v>3793</v>
      </c>
      <c r="P827" s="376" t="s">
        <v>3941</v>
      </c>
      <c r="Q827" s="16">
        <f>COUNTIF('hedef liste'!A:A,A827)</f>
        <v>1</v>
      </c>
    </row>
    <row r="828" hidden="1">
      <c r="A828" s="376" t="s">
        <v>5829</v>
      </c>
      <c r="B828" s="376" t="s">
        <v>5830</v>
      </c>
      <c r="C828" s="428" t="s">
        <v>6979</v>
      </c>
      <c r="D828" s="376" t="s">
        <v>4468</v>
      </c>
      <c r="E828" s="429">
        <v>37.0</v>
      </c>
      <c r="F828" s="429">
        <v>14.0</v>
      </c>
      <c r="G828" s="429">
        <v>0.0</v>
      </c>
      <c r="H828" s="429">
        <v>41.0</v>
      </c>
      <c r="I828" s="429">
        <v>41.0</v>
      </c>
      <c r="J828" s="430">
        <v>0.0</v>
      </c>
      <c r="K828" s="376" t="s">
        <v>5831</v>
      </c>
      <c r="L828" s="376">
        <v>5.523510812E9</v>
      </c>
      <c r="M828" s="376" t="s">
        <v>286</v>
      </c>
      <c r="N828" s="376" t="s">
        <v>3754</v>
      </c>
      <c r="O828" s="376" t="s">
        <v>5832</v>
      </c>
      <c r="P828" s="376" t="s">
        <v>3941</v>
      </c>
      <c r="Q828" s="16">
        <f>COUNTIF('hedef liste'!A:A,A828)</f>
        <v>1</v>
      </c>
    </row>
    <row r="829" hidden="1">
      <c r="A829" s="376" t="s">
        <v>5543</v>
      </c>
      <c r="B829" s="376" t="s">
        <v>5544</v>
      </c>
      <c r="C829" s="428" t="s">
        <v>6979</v>
      </c>
      <c r="D829" s="376" t="s">
        <v>3699</v>
      </c>
      <c r="E829" s="429">
        <v>7.0</v>
      </c>
      <c r="F829" s="429">
        <v>1.0</v>
      </c>
      <c r="G829" s="429">
        <v>0.0</v>
      </c>
      <c r="H829" s="429">
        <v>14.0</v>
      </c>
      <c r="I829" s="429">
        <v>14.0</v>
      </c>
      <c r="J829" s="430">
        <v>0.0</v>
      </c>
      <c r="K829" s="376" t="s">
        <v>5545</v>
      </c>
      <c r="L829" s="376">
        <v>5.422778875E9</v>
      </c>
      <c r="M829" s="376" t="s">
        <v>286</v>
      </c>
      <c r="N829" s="376" t="s">
        <v>3746</v>
      </c>
      <c r="O829" s="376" t="s">
        <v>5546</v>
      </c>
      <c r="P829" s="376" t="s">
        <v>3941</v>
      </c>
      <c r="Q829" s="16">
        <f>COUNTIF('hedef liste'!A:A,A829)</f>
        <v>1</v>
      </c>
    </row>
    <row r="830" hidden="1">
      <c r="A830" s="376" t="s">
        <v>5859</v>
      </c>
      <c r="B830" s="376" t="s">
        <v>5860</v>
      </c>
      <c r="C830" s="428" t="s">
        <v>6979</v>
      </c>
      <c r="D830" s="376" t="s">
        <v>4000</v>
      </c>
      <c r="E830" s="429">
        <v>24.0</v>
      </c>
      <c r="F830" s="429">
        <v>7.0</v>
      </c>
      <c r="G830" s="429">
        <v>0.0</v>
      </c>
      <c r="H830" s="429">
        <v>37.0</v>
      </c>
      <c r="I830" s="429">
        <v>37.0</v>
      </c>
      <c r="J830" s="430">
        <v>0.0</v>
      </c>
      <c r="K830" s="376" t="s">
        <v>5861</v>
      </c>
      <c r="L830" s="376">
        <v>5.325223433E9</v>
      </c>
      <c r="M830" s="376" t="s">
        <v>286</v>
      </c>
      <c r="N830" s="376" t="s">
        <v>3754</v>
      </c>
      <c r="O830" s="376" t="s">
        <v>5862</v>
      </c>
      <c r="P830" s="376" t="s">
        <v>3941</v>
      </c>
      <c r="Q830" s="16">
        <f>COUNTIF('hedef liste'!A:A,A830)</f>
        <v>1</v>
      </c>
    </row>
    <row r="831" hidden="1">
      <c r="A831" s="376" t="s">
        <v>7498</v>
      </c>
      <c r="B831" s="376" t="s">
        <v>7499</v>
      </c>
      <c r="C831" s="428" t="s">
        <v>6979</v>
      </c>
      <c r="D831" s="376" t="s">
        <v>3699</v>
      </c>
      <c r="E831" s="429">
        <v>7.0</v>
      </c>
      <c r="F831" s="429">
        <v>7.0</v>
      </c>
      <c r="G831" s="429">
        <v>35.0</v>
      </c>
      <c r="H831" s="429">
        <v>8.0</v>
      </c>
      <c r="I831" s="429">
        <v>43.0</v>
      </c>
      <c r="J831" s="430">
        <v>0.81</v>
      </c>
      <c r="K831" s="376" t="s">
        <v>7500</v>
      </c>
      <c r="L831" s="376">
        <v>5.334253785E9</v>
      </c>
      <c r="M831" s="376" t="s">
        <v>14</v>
      </c>
      <c r="N831" s="376" t="s">
        <v>3733</v>
      </c>
      <c r="O831" s="376" t="s">
        <v>7501</v>
      </c>
      <c r="P831" s="376" t="s">
        <v>7431</v>
      </c>
      <c r="Q831" s="16">
        <f>COUNTIF('hedef liste'!A:A,A831)</f>
        <v>0</v>
      </c>
    </row>
    <row r="832" hidden="1">
      <c r="A832" s="376" t="s">
        <v>7502</v>
      </c>
      <c r="B832" s="376" t="s">
        <v>7503</v>
      </c>
      <c r="C832" s="428" t="s">
        <v>6979</v>
      </c>
      <c r="D832" s="376" t="s">
        <v>3801</v>
      </c>
      <c r="E832" s="429">
        <v>69.0</v>
      </c>
      <c r="F832" s="429">
        <v>51.0</v>
      </c>
      <c r="G832" s="429">
        <v>115.0</v>
      </c>
      <c r="H832" s="429">
        <v>11.0</v>
      </c>
      <c r="I832" s="429">
        <v>126.0</v>
      </c>
      <c r="J832" s="430">
        <v>0.91</v>
      </c>
      <c r="K832" s="376" t="s">
        <v>6998</v>
      </c>
      <c r="L832" s="376">
        <v>5.534539445E9</v>
      </c>
      <c r="M832" s="376" t="s">
        <v>286</v>
      </c>
      <c r="N832" s="376" t="s">
        <v>3751</v>
      </c>
      <c r="O832" s="376" t="s">
        <v>7504</v>
      </c>
      <c r="P832" s="376" t="s">
        <v>6982</v>
      </c>
      <c r="Q832" s="16">
        <f>COUNTIF('hedef liste'!A:A,A832)</f>
        <v>0</v>
      </c>
    </row>
    <row r="833" hidden="1">
      <c r="A833" s="376" t="s">
        <v>6670</v>
      </c>
      <c r="B833" s="376" t="s">
        <v>6671</v>
      </c>
      <c r="C833" s="428" t="s">
        <v>6979</v>
      </c>
      <c r="D833" s="376" t="s">
        <v>4000</v>
      </c>
      <c r="E833" s="429">
        <v>153.0</v>
      </c>
      <c r="F833" s="429">
        <v>88.0</v>
      </c>
      <c r="G833" s="429">
        <v>0.0</v>
      </c>
      <c r="H833" s="429">
        <v>19.0</v>
      </c>
      <c r="I833" s="429">
        <v>19.0</v>
      </c>
      <c r="J833" s="430">
        <v>0.0</v>
      </c>
      <c r="K833" s="376" t="s">
        <v>6672</v>
      </c>
      <c r="L833" s="376">
        <v>3.229995069E9</v>
      </c>
      <c r="M833" s="376" t="s">
        <v>14</v>
      </c>
      <c r="N833" s="376" t="s">
        <v>3733</v>
      </c>
      <c r="O833" s="376" t="s">
        <v>3279</v>
      </c>
      <c r="P833" s="376" t="s">
        <v>3941</v>
      </c>
      <c r="Q833" s="16">
        <f>COUNTIF('hedef liste'!A:A,A833)</f>
        <v>1</v>
      </c>
    </row>
    <row r="834" hidden="1">
      <c r="A834" s="376" t="s">
        <v>3384</v>
      </c>
      <c r="B834" s="376" t="s">
        <v>3385</v>
      </c>
      <c r="C834" s="428" t="s">
        <v>6979</v>
      </c>
      <c r="D834" s="376" t="s">
        <v>3713</v>
      </c>
      <c r="E834" s="429">
        <v>400.0</v>
      </c>
      <c r="F834" s="429">
        <v>26.0</v>
      </c>
      <c r="G834" s="429">
        <v>9.0</v>
      </c>
      <c r="H834" s="429">
        <v>2.0</v>
      </c>
      <c r="I834" s="429">
        <v>11.0</v>
      </c>
      <c r="J834" s="430">
        <v>0.82</v>
      </c>
      <c r="K834" s="376" t="s">
        <v>4863</v>
      </c>
      <c r="L834" s="376">
        <v>3.224331414E9</v>
      </c>
      <c r="M834" s="376" t="s">
        <v>286</v>
      </c>
      <c r="N834" s="376" t="s">
        <v>4217</v>
      </c>
      <c r="O834" s="376" t="s">
        <v>3388</v>
      </c>
      <c r="P834" s="376" t="s">
        <v>3941</v>
      </c>
      <c r="Q834" s="16">
        <f>COUNTIF('hedef liste'!A:A,A834)</f>
        <v>1</v>
      </c>
    </row>
    <row r="835" hidden="1">
      <c r="A835" s="376" t="s">
        <v>7505</v>
      </c>
      <c r="B835" s="376" t="s">
        <v>3220</v>
      </c>
      <c r="C835" s="428" t="s">
        <v>6979</v>
      </c>
      <c r="D835" s="376" t="s">
        <v>3699</v>
      </c>
      <c r="E835" s="429">
        <v>1034.0</v>
      </c>
      <c r="F835" s="429">
        <v>270.0</v>
      </c>
      <c r="G835" s="429">
        <v>31.0</v>
      </c>
      <c r="H835" s="429">
        <v>76.0</v>
      </c>
      <c r="I835" s="429">
        <v>107.0</v>
      </c>
      <c r="J835" s="430">
        <v>0.29</v>
      </c>
      <c r="K835" s="376" t="s">
        <v>7506</v>
      </c>
      <c r="L835" s="376">
        <v>5.306616524E9</v>
      </c>
      <c r="M835" s="376" t="s">
        <v>286</v>
      </c>
      <c r="N835" s="376" t="s">
        <v>3855</v>
      </c>
      <c r="O835" s="376" t="s">
        <v>397</v>
      </c>
      <c r="P835" s="376" t="s">
        <v>3941</v>
      </c>
      <c r="Q835" s="16">
        <f>COUNTIF('hedef liste'!A:A,A835)</f>
        <v>0</v>
      </c>
    </row>
    <row r="836" hidden="1">
      <c r="A836" s="376" t="s">
        <v>3332</v>
      </c>
      <c r="B836" s="376" t="s">
        <v>3333</v>
      </c>
      <c r="C836" s="428" t="s">
        <v>6979</v>
      </c>
      <c r="D836" s="376" t="s">
        <v>3676</v>
      </c>
      <c r="E836" s="429">
        <v>430.0</v>
      </c>
      <c r="F836" s="429">
        <v>55.0</v>
      </c>
      <c r="G836" s="429">
        <v>6.0</v>
      </c>
      <c r="H836" s="429">
        <v>2.0</v>
      </c>
      <c r="I836" s="429">
        <v>8.0</v>
      </c>
      <c r="J836" s="430">
        <v>0.75</v>
      </c>
      <c r="K836" s="376" t="s">
        <v>4137</v>
      </c>
      <c r="L836" s="376">
        <v>5.362961416E9</v>
      </c>
      <c r="M836" s="376" t="s">
        <v>3707</v>
      </c>
      <c r="N836" s="376" t="s">
        <v>3761</v>
      </c>
      <c r="O836" s="376" t="s">
        <v>4138</v>
      </c>
      <c r="P836" s="376" t="s">
        <v>3941</v>
      </c>
      <c r="Q836" s="16">
        <f>COUNTIF('hedef liste'!A:A,A836)</f>
        <v>1</v>
      </c>
    </row>
    <row r="837" hidden="1">
      <c r="A837" s="376" t="s">
        <v>6823</v>
      </c>
      <c r="B837" s="376" t="s">
        <v>6824</v>
      </c>
      <c r="C837" s="428" t="s">
        <v>6979</v>
      </c>
      <c r="D837" s="376" t="s">
        <v>4000</v>
      </c>
      <c r="E837" s="429">
        <v>366.0</v>
      </c>
      <c r="F837" s="429">
        <v>17.0</v>
      </c>
      <c r="G837" s="429">
        <v>0.0</v>
      </c>
      <c r="H837" s="429">
        <v>8.0</v>
      </c>
      <c r="I837" s="429">
        <v>8.0</v>
      </c>
      <c r="J837" s="430">
        <v>0.0</v>
      </c>
      <c r="K837" s="376" t="s">
        <v>6825</v>
      </c>
      <c r="L837" s="376">
        <v>3.224583331E9</v>
      </c>
      <c r="M837" s="376" t="s">
        <v>286</v>
      </c>
      <c r="N837" s="376" t="s">
        <v>3806</v>
      </c>
      <c r="O837" s="376" t="s">
        <v>6826</v>
      </c>
      <c r="P837" s="376" t="s">
        <v>3941</v>
      </c>
      <c r="Q837" s="16">
        <f>COUNTIF('hedef liste'!A:A,A837)</f>
        <v>1</v>
      </c>
    </row>
    <row r="838" hidden="1">
      <c r="A838" s="376" t="s">
        <v>2056</v>
      </c>
      <c r="B838" s="376" t="s">
        <v>2057</v>
      </c>
      <c r="C838" s="428" t="s">
        <v>6979</v>
      </c>
      <c r="D838" s="376" t="s">
        <v>3759</v>
      </c>
      <c r="E838" s="429">
        <v>350.0</v>
      </c>
      <c r="F838" s="429">
        <v>13.0</v>
      </c>
      <c r="G838" s="429">
        <v>2.0</v>
      </c>
      <c r="H838" s="429">
        <v>1.0</v>
      </c>
      <c r="I838" s="429">
        <v>3.0</v>
      </c>
      <c r="J838" s="430">
        <v>0.67</v>
      </c>
      <c r="K838" s="376" t="s">
        <v>4052</v>
      </c>
      <c r="L838" s="376">
        <v>5.52808363E9</v>
      </c>
      <c r="M838" s="376" t="s">
        <v>3692</v>
      </c>
      <c r="N838" s="376" t="s">
        <v>3721</v>
      </c>
      <c r="O838" s="376" t="s">
        <v>2059</v>
      </c>
      <c r="P838" s="376" t="s">
        <v>3941</v>
      </c>
      <c r="Q838" s="16">
        <f>COUNTIF('hedef liste'!A:A,A838)</f>
        <v>1</v>
      </c>
    </row>
    <row r="839" hidden="1">
      <c r="A839" s="376" t="s">
        <v>2193</v>
      </c>
      <c r="B839" s="376" t="s">
        <v>2194</v>
      </c>
      <c r="C839" s="428" t="s">
        <v>6979</v>
      </c>
      <c r="D839" s="376" t="s">
        <v>3994</v>
      </c>
      <c r="E839" s="429">
        <v>511.0</v>
      </c>
      <c r="F839" s="429">
        <v>61.0</v>
      </c>
      <c r="G839" s="429">
        <v>4.0</v>
      </c>
      <c r="H839" s="429">
        <v>4.0</v>
      </c>
      <c r="I839" s="429">
        <v>8.0</v>
      </c>
      <c r="J839" s="430">
        <v>0.5</v>
      </c>
      <c r="K839" s="376" t="s">
        <v>4056</v>
      </c>
      <c r="L839" s="376">
        <v>3.224452554E9</v>
      </c>
      <c r="M839" s="376" t="s">
        <v>286</v>
      </c>
      <c r="N839" s="376" t="s">
        <v>4057</v>
      </c>
      <c r="O839" s="376" t="s">
        <v>2197</v>
      </c>
      <c r="P839" s="376" t="s">
        <v>3941</v>
      </c>
      <c r="Q839" s="16">
        <f>COUNTIF('hedef liste'!A:A,A839)</f>
        <v>1</v>
      </c>
    </row>
    <row r="840" hidden="1">
      <c r="A840" s="376" t="s">
        <v>2013</v>
      </c>
      <c r="B840" s="376" t="s">
        <v>2014</v>
      </c>
      <c r="C840" s="428" t="s">
        <v>6979</v>
      </c>
      <c r="D840" s="376" t="s">
        <v>3883</v>
      </c>
      <c r="E840" s="429">
        <v>1202.0</v>
      </c>
      <c r="F840" s="429">
        <v>60.0</v>
      </c>
      <c r="G840" s="429">
        <v>14.0</v>
      </c>
      <c r="H840" s="429">
        <v>8.0</v>
      </c>
      <c r="I840" s="429">
        <v>22.0</v>
      </c>
      <c r="J840" s="430">
        <v>0.64</v>
      </c>
      <c r="K840" s="376" t="s">
        <v>6354</v>
      </c>
      <c r="L840" s="376">
        <v>5.331305772E9</v>
      </c>
      <c r="M840" s="376" t="s">
        <v>286</v>
      </c>
      <c r="N840" s="376" t="s">
        <v>3980</v>
      </c>
      <c r="O840" s="376" t="s">
        <v>2016</v>
      </c>
      <c r="P840" s="376" t="s">
        <v>3941</v>
      </c>
      <c r="Q840" s="16">
        <f>COUNTIF('hedef liste'!A:A,A840)</f>
        <v>1</v>
      </c>
    </row>
    <row r="841" hidden="1">
      <c r="A841" s="376" t="s">
        <v>1185</v>
      </c>
      <c r="B841" s="376" t="s">
        <v>1186</v>
      </c>
      <c r="C841" s="428" t="s">
        <v>6979</v>
      </c>
      <c r="D841" s="376" t="s">
        <v>3749</v>
      </c>
      <c r="E841" s="429">
        <v>345.0</v>
      </c>
      <c r="F841" s="429">
        <v>11.0</v>
      </c>
      <c r="G841" s="429">
        <v>0.0</v>
      </c>
      <c r="H841" s="429">
        <v>24.0</v>
      </c>
      <c r="I841" s="429">
        <v>24.0</v>
      </c>
      <c r="J841" s="430">
        <v>0.0</v>
      </c>
      <c r="K841" s="376" t="s">
        <v>4747</v>
      </c>
      <c r="L841" s="376">
        <v>5.343934669E9</v>
      </c>
      <c r="M841" s="376" t="s">
        <v>14</v>
      </c>
      <c r="N841" s="376" t="s">
        <v>3797</v>
      </c>
      <c r="O841" s="376" t="s">
        <v>1188</v>
      </c>
      <c r="P841" s="376" t="s">
        <v>3941</v>
      </c>
      <c r="Q841" s="16">
        <f>COUNTIF('hedef liste'!A:A,A841)</f>
        <v>1</v>
      </c>
    </row>
    <row r="842" hidden="1">
      <c r="A842" s="376" t="s">
        <v>4913</v>
      </c>
      <c r="B842" s="376" t="s">
        <v>4914</v>
      </c>
      <c r="C842" s="428" t="s">
        <v>7011</v>
      </c>
      <c r="D842" s="376" t="s">
        <v>3699</v>
      </c>
      <c r="F842" s="431"/>
      <c r="G842" s="429">
        <v>0.0</v>
      </c>
      <c r="H842" s="429">
        <v>8.0</v>
      </c>
      <c r="I842" s="429">
        <v>8.0</v>
      </c>
      <c r="J842" s="430">
        <v>0.0</v>
      </c>
      <c r="K842" s="376" t="s">
        <v>4915</v>
      </c>
      <c r="L842" s="376">
        <v>3.224020072E9</v>
      </c>
      <c r="M842" s="376" t="s">
        <v>286</v>
      </c>
      <c r="N842" s="376" t="s">
        <v>3737</v>
      </c>
      <c r="O842" s="376" t="s">
        <v>4916</v>
      </c>
      <c r="P842" s="376" t="s">
        <v>3941</v>
      </c>
      <c r="Q842" s="16">
        <f>COUNTIF('hedef liste'!A:A,A842)</f>
        <v>1</v>
      </c>
    </row>
    <row r="843" hidden="1">
      <c r="A843" s="376" t="s">
        <v>3105</v>
      </c>
      <c r="B843" s="376" t="s">
        <v>3106</v>
      </c>
      <c r="C843" s="428" t="s">
        <v>6979</v>
      </c>
      <c r="D843" s="376" t="s">
        <v>3699</v>
      </c>
      <c r="E843" s="429">
        <v>1387.0</v>
      </c>
      <c r="F843" s="429">
        <v>58.0</v>
      </c>
      <c r="G843" s="429">
        <v>0.0</v>
      </c>
      <c r="H843" s="429">
        <v>22.0</v>
      </c>
      <c r="I843" s="429">
        <v>22.0</v>
      </c>
      <c r="J843" s="433">
        <v>0.0</v>
      </c>
      <c r="K843" s="376" t="s">
        <v>6833</v>
      </c>
      <c r="L843" s="376">
        <v>5.382257174E9</v>
      </c>
      <c r="M843" s="376" t="s">
        <v>286</v>
      </c>
      <c r="N843" s="376" t="s">
        <v>3855</v>
      </c>
      <c r="O843" s="376" t="s">
        <v>3108</v>
      </c>
      <c r="P843" s="376" t="s">
        <v>3941</v>
      </c>
      <c r="Q843" s="16">
        <f>COUNTIF('hedef liste'!A:A,A843)</f>
        <v>1</v>
      </c>
    </row>
    <row r="844" hidden="1">
      <c r="A844" s="376" t="s">
        <v>7507</v>
      </c>
      <c r="B844" s="376" t="s">
        <v>7508</v>
      </c>
      <c r="C844" s="428" t="s">
        <v>6979</v>
      </c>
      <c r="D844" s="376" t="s">
        <v>3699</v>
      </c>
      <c r="E844" s="429">
        <v>768.0</v>
      </c>
      <c r="F844" s="429">
        <v>177.0</v>
      </c>
      <c r="G844" s="429">
        <v>16.0</v>
      </c>
      <c r="H844" s="429">
        <v>0.0</v>
      </c>
      <c r="I844" s="429">
        <v>16.0</v>
      </c>
      <c r="J844" s="430">
        <v>1.0</v>
      </c>
      <c r="K844" s="376" t="s">
        <v>7463</v>
      </c>
      <c r="L844" s="376">
        <v>3.224585295E9</v>
      </c>
      <c r="M844" s="376" t="s">
        <v>286</v>
      </c>
      <c r="N844" s="376" t="s">
        <v>3758</v>
      </c>
      <c r="O844" s="376" t="s">
        <v>7509</v>
      </c>
      <c r="P844" s="376" t="s">
        <v>3941</v>
      </c>
      <c r="Q844" s="16">
        <f>COUNTIF('hedef liste'!A:A,A844)</f>
        <v>0</v>
      </c>
    </row>
    <row r="845" hidden="1">
      <c r="A845" s="376" t="s">
        <v>6704</v>
      </c>
      <c r="B845" s="376" t="s">
        <v>7510</v>
      </c>
      <c r="C845" s="428" t="s">
        <v>7011</v>
      </c>
      <c r="D845" s="376" t="s">
        <v>3676</v>
      </c>
      <c r="E845" s="429">
        <v>704.0</v>
      </c>
      <c r="F845" s="431"/>
      <c r="G845" s="429">
        <v>0.0</v>
      </c>
      <c r="H845" s="429">
        <v>37.0</v>
      </c>
      <c r="I845" s="429">
        <v>37.0</v>
      </c>
      <c r="J845" s="430">
        <v>0.0</v>
      </c>
      <c r="K845" s="376" t="s">
        <v>6706</v>
      </c>
      <c r="L845" s="376">
        <v>5.418445451E9</v>
      </c>
      <c r="M845" s="376" t="s">
        <v>14</v>
      </c>
      <c r="N845" s="376" t="s">
        <v>3826</v>
      </c>
      <c r="O845" s="376" t="s">
        <v>6707</v>
      </c>
      <c r="P845" s="376" t="s">
        <v>3941</v>
      </c>
      <c r="Q845" s="16">
        <f>COUNTIF('hedef liste'!A:A,A845)</f>
        <v>1</v>
      </c>
    </row>
    <row r="846" hidden="1">
      <c r="A846" s="376" t="s">
        <v>3022</v>
      </c>
      <c r="B846" s="376" t="s">
        <v>7511</v>
      </c>
      <c r="C846" s="428" t="s">
        <v>6979</v>
      </c>
      <c r="D846" s="376" t="s">
        <v>3801</v>
      </c>
      <c r="E846" s="429">
        <v>316.0</v>
      </c>
      <c r="F846" s="429">
        <v>23.0</v>
      </c>
      <c r="G846" s="429">
        <v>15.0</v>
      </c>
      <c r="H846" s="429">
        <v>8.0</v>
      </c>
      <c r="I846" s="429">
        <v>23.0</v>
      </c>
      <c r="J846" s="430">
        <v>0.65</v>
      </c>
      <c r="K846" s="376" t="s">
        <v>5306</v>
      </c>
      <c r="L846" s="376">
        <v>5.423132185E9</v>
      </c>
      <c r="M846" s="376" t="s">
        <v>286</v>
      </c>
      <c r="N846" s="376" t="s">
        <v>3782</v>
      </c>
      <c r="O846" s="376" t="s">
        <v>3026</v>
      </c>
      <c r="P846" s="376" t="s">
        <v>3941</v>
      </c>
      <c r="Q846" s="16">
        <f>COUNTIF('hedef liste'!A:A,A846)</f>
        <v>1</v>
      </c>
    </row>
    <row r="847" hidden="1">
      <c r="A847" s="376" t="s">
        <v>3188</v>
      </c>
      <c r="B847" s="376" t="s">
        <v>3189</v>
      </c>
      <c r="C847" s="428" t="s">
        <v>6979</v>
      </c>
      <c r="D847" s="376" t="s">
        <v>3676</v>
      </c>
      <c r="E847" s="429">
        <v>758.0</v>
      </c>
      <c r="F847" s="431"/>
      <c r="G847" s="429">
        <v>0.0</v>
      </c>
      <c r="H847" s="429">
        <v>14.0</v>
      </c>
      <c r="I847" s="429">
        <v>14.0</v>
      </c>
      <c r="J847" s="430">
        <v>0.0</v>
      </c>
      <c r="K847" s="376" t="s">
        <v>6175</v>
      </c>
      <c r="L847" s="376">
        <v>5.448187999E9</v>
      </c>
      <c r="M847" s="376" t="s">
        <v>286</v>
      </c>
      <c r="N847" s="376" t="s">
        <v>4086</v>
      </c>
      <c r="O847" s="376" t="s">
        <v>3191</v>
      </c>
      <c r="P847" s="376" t="s">
        <v>3941</v>
      </c>
      <c r="Q847" s="16">
        <f>COUNTIF('hedef liste'!A:A,A847)</f>
        <v>1</v>
      </c>
    </row>
    <row r="848" hidden="1">
      <c r="A848" s="376" t="s">
        <v>7512</v>
      </c>
      <c r="B848" s="376" t="s">
        <v>7513</v>
      </c>
      <c r="C848" s="428" t="s">
        <v>6979</v>
      </c>
      <c r="D848" s="376" t="s">
        <v>3801</v>
      </c>
      <c r="E848" s="429">
        <v>400.0</v>
      </c>
      <c r="F848" s="431"/>
      <c r="G848" s="429">
        <v>26.0</v>
      </c>
      <c r="H848" s="429">
        <v>0.0</v>
      </c>
      <c r="I848" s="429">
        <v>26.0</v>
      </c>
      <c r="J848" s="430">
        <v>1.0</v>
      </c>
      <c r="K848" s="376" t="s">
        <v>7514</v>
      </c>
      <c r="L848" s="376">
        <v>5.423670101E9</v>
      </c>
      <c r="M848" s="376" t="s">
        <v>286</v>
      </c>
      <c r="N848" s="376" t="s">
        <v>3688</v>
      </c>
      <c r="O848" s="376" t="s">
        <v>7515</v>
      </c>
      <c r="P848" s="376" t="s">
        <v>6982</v>
      </c>
      <c r="Q848" s="16">
        <f>COUNTIF('hedef liste'!A:A,A848)</f>
        <v>0</v>
      </c>
    </row>
    <row r="849" hidden="1">
      <c r="A849" s="376" t="s">
        <v>3347</v>
      </c>
      <c r="B849" s="376" t="s">
        <v>3348</v>
      </c>
      <c r="C849" s="428" t="s">
        <v>6979</v>
      </c>
      <c r="D849" s="376" t="s">
        <v>3713</v>
      </c>
      <c r="E849" s="429">
        <v>100.0</v>
      </c>
      <c r="F849" s="429">
        <v>11.0</v>
      </c>
      <c r="G849" s="429">
        <v>6.0</v>
      </c>
      <c r="H849" s="429">
        <v>3.0</v>
      </c>
      <c r="I849" s="429">
        <v>9.0</v>
      </c>
      <c r="J849" s="430">
        <v>0.67</v>
      </c>
      <c r="K849" s="376" t="s">
        <v>6073</v>
      </c>
      <c r="L849" s="376">
        <v>5.418724122E9</v>
      </c>
      <c r="M849" s="376" t="s">
        <v>3707</v>
      </c>
      <c r="N849" s="376" t="s">
        <v>3715</v>
      </c>
      <c r="O849" s="376" t="s">
        <v>3351</v>
      </c>
      <c r="P849" s="376" t="s">
        <v>3941</v>
      </c>
      <c r="Q849" s="16">
        <f>COUNTIF('hedef liste'!A:A,A849)</f>
        <v>1</v>
      </c>
    </row>
    <row r="850" hidden="1">
      <c r="A850" s="376" t="s">
        <v>2719</v>
      </c>
      <c r="B850" s="376" t="s">
        <v>7516</v>
      </c>
      <c r="C850" s="428" t="s">
        <v>6979</v>
      </c>
      <c r="D850" s="376" t="s">
        <v>3690</v>
      </c>
      <c r="E850" s="429">
        <v>2718.0</v>
      </c>
      <c r="F850" s="429">
        <v>168.0</v>
      </c>
      <c r="G850" s="429">
        <v>14.0</v>
      </c>
      <c r="H850" s="429">
        <v>13.0</v>
      </c>
      <c r="I850" s="429">
        <v>27.0</v>
      </c>
      <c r="J850" s="430">
        <v>0.52</v>
      </c>
      <c r="K850" s="376" t="s">
        <v>6098</v>
      </c>
      <c r="L850" s="376">
        <v>5.438312101E9</v>
      </c>
      <c r="M850" s="376" t="s">
        <v>286</v>
      </c>
      <c r="N850" s="376" t="s">
        <v>3746</v>
      </c>
      <c r="O850" s="376" t="s">
        <v>2722</v>
      </c>
      <c r="P850" s="376" t="s">
        <v>3941</v>
      </c>
      <c r="Q850" s="16">
        <f>COUNTIF('hedef liste'!A:A,A850)</f>
        <v>1</v>
      </c>
    </row>
    <row r="851" hidden="1">
      <c r="A851" s="376" t="s">
        <v>3276</v>
      </c>
      <c r="B851" s="376" t="s">
        <v>3277</v>
      </c>
      <c r="C851" s="428" t="s">
        <v>6979</v>
      </c>
      <c r="D851" s="376" t="s">
        <v>3676</v>
      </c>
      <c r="E851" s="429">
        <v>3686.0</v>
      </c>
      <c r="F851" s="429">
        <v>181.0</v>
      </c>
      <c r="G851" s="429">
        <v>10.0</v>
      </c>
      <c r="H851" s="429">
        <v>12.0</v>
      </c>
      <c r="I851" s="429">
        <v>22.0</v>
      </c>
      <c r="J851" s="430">
        <v>0.45</v>
      </c>
      <c r="K851" s="376" t="s">
        <v>6173</v>
      </c>
      <c r="L851" s="376">
        <v>3.229995069E9</v>
      </c>
      <c r="M851" s="376" t="s">
        <v>14</v>
      </c>
      <c r="N851" s="376" t="s">
        <v>3733</v>
      </c>
      <c r="O851" s="376" t="s">
        <v>3279</v>
      </c>
      <c r="P851" s="376" t="s">
        <v>3941</v>
      </c>
      <c r="Q851" s="16">
        <f>COUNTIF('hedef liste'!A:A,A851)</f>
        <v>1</v>
      </c>
    </row>
    <row r="852" hidden="1">
      <c r="A852" s="376" t="s">
        <v>2680</v>
      </c>
      <c r="B852" s="376" t="s">
        <v>2681</v>
      </c>
      <c r="C852" s="428" t="s">
        <v>6979</v>
      </c>
      <c r="D852" s="376" t="s">
        <v>3749</v>
      </c>
      <c r="E852" s="432">
        <v>940.0</v>
      </c>
      <c r="F852" s="429">
        <v>31.0</v>
      </c>
      <c r="G852" s="429">
        <v>19.0</v>
      </c>
      <c r="H852" s="429">
        <v>7.0</v>
      </c>
      <c r="I852" s="429">
        <v>26.0</v>
      </c>
      <c r="J852" s="430">
        <v>0.73</v>
      </c>
      <c r="K852" s="376" t="s">
        <v>6443</v>
      </c>
      <c r="L852" s="376">
        <v>5.314046193E9</v>
      </c>
      <c r="M852" s="376" t="s">
        <v>14</v>
      </c>
      <c r="N852" s="376" t="s">
        <v>3733</v>
      </c>
      <c r="O852" s="376" t="s">
        <v>2683</v>
      </c>
      <c r="P852" s="376" t="s">
        <v>3941</v>
      </c>
      <c r="Q852" s="16">
        <f>COUNTIF('hedef liste'!A:A,A852)</f>
        <v>1</v>
      </c>
    </row>
    <row r="853" hidden="1">
      <c r="A853" s="376" t="s">
        <v>2577</v>
      </c>
      <c r="B853" s="376" t="s">
        <v>6635</v>
      </c>
      <c r="C853" s="428" t="s">
        <v>6979</v>
      </c>
      <c r="D853" s="376" t="s">
        <v>3699</v>
      </c>
      <c r="E853" s="429">
        <v>546.0</v>
      </c>
      <c r="F853" s="429">
        <v>50.0</v>
      </c>
      <c r="G853" s="429">
        <v>22.0</v>
      </c>
      <c r="H853" s="429">
        <v>14.0</v>
      </c>
      <c r="I853" s="429">
        <v>36.0</v>
      </c>
      <c r="J853" s="430">
        <v>0.61</v>
      </c>
      <c r="K853" s="376" t="s">
        <v>6636</v>
      </c>
      <c r="L853" s="376">
        <v>5.367489967E9</v>
      </c>
      <c r="M853" s="376" t="s">
        <v>286</v>
      </c>
      <c r="N853" s="376" t="s">
        <v>3782</v>
      </c>
      <c r="O853" s="376" t="s">
        <v>6637</v>
      </c>
      <c r="P853" s="376" t="s">
        <v>3941</v>
      </c>
      <c r="Q853" s="16">
        <f>COUNTIF('hedef liste'!A:A,A853)</f>
        <v>1</v>
      </c>
    </row>
    <row r="854" hidden="1">
      <c r="A854" s="376" t="s">
        <v>2771</v>
      </c>
      <c r="B854" s="376" t="s">
        <v>2772</v>
      </c>
      <c r="C854" s="428" t="s">
        <v>6979</v>
      </c>
      <c r="D854" s="376" t="s">
        <v>3912</v>
      </c>
      <c r="E854" s="429">
        <v>601.0</v>
      </c>
      <c r="F854" s="429">
        <v>47.0</v>
      </c>
      <c r="G854" s="429">
        <v>26.0</v>
      </c>
      <c r="H854" s="429">
        <v>21.0</v>
      </c>
      <c r="I854" s="429">
        <v>47.0</v>
      </c>
      <c r="J854" s="430">
        <v>0.55</v>
      </c>
      <c r="K854" s="376" t="s">
        <v>4450</v>
      </c>
      <c r="L854" s="376">
        <v>5.393630276E9</v>
      </c>
      <c r="M854" s="376" t="s">
        <v>286</v>
      </c>
      <c r="N854" s="376" t="s">
        <v>4451</v>
      </c>
      <c r="O854" s="376" t="s">
        <v>2774</v>
      </c>
      <c r="P854" s="376" t="s">
        <v>3941</v>
      </c>
      <c r="Q854" s="16">
        <f>COUNTIF('hedef liste'!A:A,A854)</f>
        <v>1</v>
      </c>
    </row>
    <row r="855" hidden="1">
      <c r="A855" s="376" t="s">
        <v>7517</v>
      </c>
      <c r="B855" s="376" t="s">
        <v>7518</v>
      </c>
      <c r="C855" s="428" t="s">
        <v>6979</v>
      </c>
      <c r="D855" s="376" t="s">
        <v>3801</v>
      </c>
      <c r="E855" s="429">
        <v>105.0</v>
      </c>
      <c r="F855" s="431"/>
      <c r="G855" s="429">
        <v>15.0</v>
      </c>
      <c r="H855" s="429">
        <v>11.0</v>
      </c>
      <c r="I855" s="429">
        <v>26.0</v>
      </c>
      <c r="J855" s="430">
        <v>0.58</v>
      </c>
      <c r="K855" s="376" t="s">
        <v>7519</v>
      </c>
      <c r="L855" s="376">
        <v>5.363010159E9</v>
      </c>
      <c r="M855" s="376" t="s">
        <v>14</v>
      </c>
      <c r="N855" s="376" t="s">
        <v>3733</v>
      </c>
      <c r="O855" s="376" t="s">
        <v>7520</v>
      </c>
      <c r="P855" s="376" t="s">
        <v>3941</v>
      </c>
      <c r="Q855" s="16">
        <f>COUNTIF('hedef liste'!A:A,A855)</f>
        <v>0</v>
      </c>
    </row>
    <row r="856" hidden="1">
      <c r="A856" s="376" t="s">
        <v>7521</v>
      </c>
      <c r="B856" s="376" t="s">
        <v>7522</v>
      </c>
      <c r="C856" s="428" t="s">
        <v>6979</v>
      </c>
      <c r="D856" s="376" t="s">
        <v>3676</v>
      </c>
      <c r="E856" s="429">
        <v>105.0</v>
      </c>
      <c r="F856" s="429">
        <v>12.0</v>
      </c>
      <c r="G856" s="429">
        <v>18.0</v>
      </c>
      <c r="H856" s="429">
        <v>1.0</v>
      </c>
      <c r="I856" s="429">
        <v>19.0</v>
      </c>
      <c r="J856" s="430">
        <v>0.95</v>
      </c>
      <c r="K856" s="376" t="s">
        <v>7523</v>
      </c>
      <c r="L856" s="376">
        <v>3.223630951E9</v>
      </c>
      <c r="M856" s="376" t="s">
        <v>286</v>
      </c>
      <c r="N856" s="376" t="s">
        <v>4451</v>
      </c>
      <c r="O856" s="376" t="s">
        <v>2257</v>
      </c>
      <c r="P856" s="376" t="s">
        <v>3941</v>
      </c>
      <c r="Q856" s="16">
        <f>COUNTIF('hedef liste'!A:A,A856)</f>
        <v>0</v>
      </c>
    </row>
    <row r="857" hidden="1">
      <c r="A857" s="376" t="s">
        <v>5876</v>
      </c>
      <c r="B857" s="376" t="s">
        <v>5877</v>
      </c>
      <c r="C857" s="428" t="s">
        <v>6979</v>
      </c>
      <c r="D857" s="376" t="s">
        <v>6854</v>
      </c>
      <c r="E857" s="429">
        <v>538.0</v>
      </c>
      <c r="F857" s="429">
        <v>57.0</v>
      </c>
      <c r="G857" s="429">
        <v>0.0</v>
      </c>
      <c r="H857" s="429">
        <v>69.0</v>
      </c>
      <c r="I857" s="429">
        <v>69.0</v>
      </c>
      <c r="J857" s="430">
        <v>0.0</v>
      </c>
      <c r="K857" s="376" t="s">
        <v>5879</v>
      </c>
      <c r="L857" s="376">
        <v>3.222360098E9</v>
      </c>
      <c r="M857" s="376" t="s">
        <v>14</v>
      </c>
      <c r="N857" s="376" t="s">
        <v>3797</v>
      </c>
      <c r="O857" s="376" t="s">
        <v>5880</v>
      </c>
      <c r="P857" s="376" t="s">
        <v>3941</v>
      </c>
      <c r="Q857" s="16">
        <f>COUNTIF('hedef liste'!A:A,A857)</f>
        <v>1</v>
      </c>
    </row>
    <row r="858" hidden="1">
      <c r="A858" s="376" t="s">
        <v>6044</v>
      </c>
      <c r="B858" s="376" t="s">
        <v>6045</v>
      </c>
      <c r="C858" s="428" t="s">
        <v>6979</v>
      </c>
      <c r="D858" s="376" t="s">
        <v>3801</v>
      </c>
      <c r="E858" s="429">
        <v>558.0</v>
      </c>
      <c r="F858" s="429">
        <v>23.0</v>
      </c>
      <c r="G858" s="429">
        <v>20.0</v>
      </c>
      <c r="H858" s="429">
        <v>0.0</v>
      </c>
      <c r="I858" s="429">
        <v>20.0</v>
      </c>
      <c r="J858" s="430">
        <v>1.0</v>
      </c>
      <c r="K858" s="376" t="s">
        <v>6046</v>
      </c>
      <c r="L858" s="376">
        <v>5.31201602E9</v>
      </c>
      <c r="M858" s="376" t="s">
        <v>3707</v>
      </c>
      <c r="N858" s="376" t="s">
        <v>4627</v>
      </c>
      <c r="O858" s="376" t="s">
        <v>6047</v>
      </c>
      <c r="P858" s="376" t="s">
        <v>6982</v>
      </c>
      <c r="Q858" s="16">
        <f>COUNTIF('hedef liste'!A:A,A858)</f>
        <v>1</v>
      </c>
    </row>
    <row r="859" hidden="1">
      <c r="A859" s="376" t="s">
        <v>3027</v>
      </c>
      <c r="B859" s="376" t="s">
        <v>3028</v>
      </c>
      <c r="C859" s="428" t="s">
        <v>6979</v>
      </c>
      <c r="D859" s="376" t="s">
        <v>3801</v>
      </c>
      <c r="E859" s="429">
        <v>63.0</v>
      </c>
      <c r="F859" s="429">
        <v>6.0</v>
      </c>
      <c r="G859" s="429">
        <v>7.0</v>
      </c>
      <c r="H859" s="429">
        <v>1.0</v>
      </c>
      <c r="I859" s="429">
        <v>8.0</v>
      </c>
      <c r="J859" s="430">
        <v>0.88</v>
      </c>
      <c r="K859" s="376" t="s">
        <v>6648</v>
      </c>
      <c r="L859" s="376">
        <v>5.441303101E9</v>
      </c>
      <c r="M859" s="376" t="s">
        <v>286</v>
      </c>
      <c r="N859" s="376" t="s">
        <v>3688</v>
      </c>
      <c r="O859" s="376" t="s">
        <v>6649</v>
      </c>
      <c r="P859" s="376" t="s">
        <v>3941</v>
      </c>
      <c r="Q859" s="16">
        <f>COUNTIF('hedef liste'!A:A,A859)</f>
        <v>1</v>
      </c>
    </row>
    <row r="860" hidden="1">
      <c r="A860" s="376" t="s">
        <v>4504</v>
      </c>
      <c r="B860" s="376" t="s">
        <v>4505</v>
      </c>
      <c r="C860" s="428" t="s">
        <v>6979</v>
      </c>
      <c r="D860" s="376" t="s">
        <v>4000</v>
      </c>
      <c r="E860" s="429">
        <v>3002.0</v>
      </c>
      <c r="F860" s="429">
        <v>102.0</v>
      </c>
      <c r="G860" s="429">
        <v>0.0</v>
      </c>
      <c r="H860" s="429">
        <v>57.0</v>
      </c>
      <c r="I860" s="429">
        <v>57.0</v>
      </c>
      <c r="J860" s="430">
        <v>0.0</v>
      </c>
      <c r="K860" s="376" t="s">
        <v>4506</v>
      </c>
      <c r="L860" s="376">
        <v>3.224593333E9</v>
      </c>
      <c r="M860" s="376" t="s">
        <v>286</v>
      </c>
      <c r="N860" s="376" t="s">
        <v>3737</v>
      </c>
      <c r="O860" s="376" t="s">
        <v>4507</v>
      </c>
      <c r="P860" s="376" t="s">
        <v>3941</v>
      </c>
      <c r="Q860" s="16">
        <f>COUNTIF('hedef liste'!A:A,A860)</f>
        <v>1</v>
      </c>
    </row>
    <row r="861" hidden="1">
      <c r="A861" s="376" t="s">
        <v>3947</v>
      </c>
      <c r="B861" s="376" t="s">
        <v>3948</v>
      </c>
      <c r="C861" s="428" t="s">
        <v>6979</v>
      </c>
      <c r="D861" s="376" t="s">
        <v>3676</v>
      </c>
      <c r="E861" s="429">
        <v>728.0</v>
      </c>
      <c r="F861" s="429">
        <v>109.0</v>
      </c>
      <c r="G861" s="429">
        <v>0.0</v>
      </c>
      <c r="H861" s="429">
        <v>28.0</v>
      </c>
      <c r="I861" s="429">
        <v>28.0</v>
      </c>
      <c r="J861" s="430">
        <v>0.0</v>
      </c>
      <c r="K861" s="376" t="s">
        <v>3949</v>
      </c>
      <c r="L861" s="376">
        <v>3.223417629E9</v>
      </c>
      <c r="M861" s="376" t="s">
        <v>3692</v>
      </c>
      <c r="N861" s="376" t="s">
        <v>3721</v>
      </c>
      <c r="O861" s="376" t="s">
        <v>3950</v>
      </c>
      <c r="P861" s="376" t="s">
        <v>3941</v>
      </c>
      <c r="Q861" s="16">
        <f>COUNTIF('hedef liste'!A:A,A861)</f>
        <v>1</v>
      </c>
    </row>
    <row r="862" hidden="1">
      <c r="A862" s="376" t="s">
        <v>6902</v>
      </c>
      <c r="B862" s="376" t="s">
        <v>6903</v>
      </c>
      <c r="C862" s="428" t="s">
        <v>6979</v>
      </c>
      <c r="D862" s="376" t="s">
        <v>3699</v>
      </c>
      <c r="E862" s="429">
        <v>153.0</v>
      </c>
      <c r="F862" s="429">
        <v>83.0</v>
      </c>
      <c r="G862" s="429">
        <v>0.0</v>
      </c>
      <c r="H862" s="429">
        <v>55.0</v>
      </c>
      <c r="I862" s="429">
        <v>55.0</v>
      </c>
      <c r="J862" s="430">
        <v>0.0</v>
      </c>
      <c r="K862" s="376" t="s">
        <v>6904</v>
      </c>
      <c r="L862" s="376">
        <v>5.364427302E9</v>
      </c>
      <c r="M862" s="376" t="s">
        <v>3707</v>
      </c>
      <c r="N862" s="376" t="s">
        <v>3815</v>
      </c>
      <c r="O862" s="376" t="s">
        <v>6905</v>
      </c>
      <c r="P862" s="376" t="s">
        <v>3941</v>
      </c>
      <c r="Q862" s="16">
        <f>COUNTIF('hedef liste'!A:A,A862)</f>
        <v>1</v>
      </c>
    </row>
    <row r="863" hidden="1">
      <c r="A863" s="376" t="s">
        <v>4771</v>
      </c>
      <c r="B863" s="376" t="s">
        <v>4772</v>
      </c>
      <c r="C863" s="428" t="s">
        <v>6979</v>
      </c>
      <c r="D863" s="376" t="s">
        <v>3676</v>
      </c>
      <c r="E863" s="429">
        <v>497.0</v>
      </c>
      <c r="F863" s="429">
        <v>250.0</v>
      </c>
      <c r="G863" s="429">
        <v>0.0</v>
      </c>
      <c r="H863" s="429">
        <v>5.0</v>
      </c>
      <c r="I863" s="429">
        <v>5.0</v>
      </c>
      <c r="J863" s="430">
        <v>0.0</v>
      </c>
      <c r="K863" s="376" t="s">
        <v>4773</v>
      </c>
      <c r="L863" s="376">
        <v>3.226124222E9</v>
      </c>
      <c r="M863" s="376" t="s">
        <v>3701</v>
      </c>
      <c r="N863" s="376" t="s">
        <v>4342</v>
      </c>
      <c r="O863" s="376" t="s">
        <v>4774</v>
      </c>
      <c r="P863" s="376" t="s">
        <v>3941</v>
      </c>
      <c r="Q863" s="16">
        <f>COUNTIF('hedef liste'!A:A,A863)</f>
        <v>1</v>
      </c>
    </row>
    <row r="864" hidden="1">
      <c r="A864" s="376" t="s">
        <v>7524</v>
      </c>
      <c r="B864" s="376" t="s">
        <v>7525</v>
      </c>
      <c r="C864" s="428" t="s">
        <v>6979</v>
      </c>
      <c r="D864" s="376" t="s">
        <v>3676</v>
      </c>
      <c r="E864" s="429">
        <v>428.0</v>
      </c>
      <c r="F864" s="429">
        <v>264.0</v>
      </c>
      <c r="G864" s="429">
        <v>16.0</v>
      </c>
      <c r="H864" s="429">
        <v>5.0</v>
      </c>
      <c r="I864" s="429">
        <v>21.0</v>
      </c>
      <c r="J864" s="430">
        <v>0.76</v>
      </c>
      <c r="K864" s="376" t="s">
        <v>7526</v>
      </c>
      <c r="L864" s="376">
        <v>5.525100892E9</v>
      </c>
      <c r="M864" s="376" t="s">
        <v>14</v>
      </c>
      <c r="N864" s="376" t="s">
        <v>3718</v>
      </c>
      <c r="O864" s="376" t="s">
        <v>7527</v>
      </c>
      <c r="P864" s="376" t="s">
        <v>3941</v>
      </c>
      <c r="Q864" s="16">
        <f>COUNTIF('hedef liste'!A:A,A864)</f>
        <v>0</v>
      </c>
    </row>
    <row r="865" hidden="1">
      <c r="A865" s="376" t="s">
        <v>5128</v>
      </c>
      <c r="B865" s="376" t="s">
        <v>5129</v>
      </c>
      <c r="C865" s="428" t="s">
        <v>6979</v>
      </c>
      <c r="D865" s="376" t="s">
        <v>3699</v>
      </c>
      <c r="E865" s="429">
        <v>40.0</v>
      </c>
      <c r="F865" s="431"/>
      <c r="G865" s="429">
        <v>60.0</v>
      </c>
      <c r="H865" s="429">
        <v>5.0</v>
      </c>
      <c r="I865" s="429">
        <v>65.0</v>
      </c>
      <c r="J865" s="433">
        <v>0.92</v>
      </c>
      <c r="K865" s="376" t="s">
        <v>5110</v>
      </c>
      <c r="L865" s="376">
        <v>5.443909041E9</v>
      </c>
      <c r="M865" s="376" t="s">
        <v>3707</v>
      </c>
      <c r="N865" s="376" t="s">
        <v>5130</v>
      </c>
      <c r="O865" s="376" t="s">
        <v>5131</v>
      </c>
      <c r="P865" s="376" t="s">
        <v>3941</v>
      </c>
      <c r="Q865" s="16">
        <f>COUNTIF('hedef liste'!A:A,A865)</f>
        <v>1</v>
      </c>
    </row>
    <row r="866" hidden="1">
      <c r="A866" s="376" t="s">
        <v>7528</v>
      </c>
      <c r="B866" s="376" t="s">
        <v>7529</v>
      </c>
      <c r="C866" s="428" t="s">
        <v>7011</v>
      </c>
      <c r="D866" s="376" t="s">
        <v>4000</v>
      </c>
      <c r="E866" s="431"/>
      <c r="F866" s="431"/>
      <c r="G866" s="429">
        <v>99.0</v>
      </c>
      <c r="H866" s="429">
        <v>1.0</v>
      </c>
      <c r="I866" s="429">
        <v>100.0</v>
      </c>
      <c r="J866" s="430">
        <v>0.99</v>
      </c>
      <c r="K866" s="431"/>
      <c r="L866" s="376">
        <v>5.013475647E9</v>
      </c>
      <c r="M866" s="376" t="s">
        <v>286</v>
      </c>
      <c r="N866" s="376" t="s">
        <v>4235</v>
      </c>
      <c r="O866" s="376" t="s">
        <v>7530</v>
      </c>
      <c r="P866" s="376" t="s">
        <v>6982</v>
      </c>
      <c r="Q866" s="16">
        <f>COUNTIF('hedef liste'!A:A,A866)</f>
        <v>0</v>
      </c>
    </row>
    <row r="867">
      <c r="A867" s="376" t="s">
        <v>4402</v>
      </c>
      <c r="B867" s="376" t="s">
        <v>4403</v>
      </c>
      <c r="C867" s="428" t="s">
        <v>6979</v>
      </c>
      <c r="D867" s="376" t="s">
        <v>3713</v>
      </c>
      <c r="E867" s="429">
        <v>140.0</v>
      </c>
      <c r="F867" s="429">
        <v>110.0</v>
      </c>
      <c r="G867" s="429">
        <v>0.0</v>
      </c>
      <c r="H867" s="429">
        <v>41.0</v>
      </c>
      <c r="I867" s="429">
        <v>41.0</v>
      </c>
      <c r="J867" s="430">
        <v>0.0</v>
      </c>
      <c r="K867" s="376" t="s">
        <v>4404</v>
      </c>
      <c r="L867" s="376">
        <v>5.537900201E9</v>
      </c>
      <c r="M867" s="376" t="s">
        <v>3707</v>
      </c>
      <c r="N867" s="376" t="s">
        <v>3715</v>
      </c>
      <c r="O867" s="376" t="s">
        <v>4405</v>
      </c>
      <c r="P867" s="376" t="s">
        <v>3941</v>
      </c>
      <c r="Q867" s="16">
        <f>COUNTIF('hedef liste'!A:A,A867)</f>
        <v>1</v>
      </c>
    </row>
    <row r="868">
      <c r="A868" s="376" t="s">
        <v>6829</v>
      </c>
      <c r="B868" s="376" t="s">
        <v>6830</v>
      </c>
      <c r="C868" s="428" t="s">
        <v>6979</v>
      </c>
      <c r="D868" s="376" t="s">
        <v>3699</v>
      </c>
      <c r="E868" s="429">
        <v>123.0</v>
      </c>
      <c r="F868" s="429">
        <v>101.0</v>
      </c>
      <c r="G868" s="429">
        <v>0.0</v>
      </c>
      <c r="H868" s="429">
        <v>21.0</v>
      </c>
      <c r="I868" s="429">
        <v>21.0</v>
      </c>
      <c r="J868" s="430">
        <v>0.0</v>
      </c>
      <c r="K868" s="376" t="s">
        <v>6831</v>
      </c>
      <c r="L868" s="376">
        <v>5.374422717E9</v>
      </c>
      <c r="M868" s="376" t="s">
        <v>14</v>
      </c>
      <c r="N868" s="376" t="s">
        <v>3733</v>
      </c>
      <c r="O868" s="376" t="s">
        <v>6832</v>
      </c>
      <c r="P868" s="376" t="s">
        <v>3941</v>
      </c>
      <c r="Q868" s="16">
        <f>COUNTIF('hedef liste'!A:A,A868)</f>
        <v>1</v>
      </c>
    </row>
    <row r="869">
      <c r="A869" s="376" t="s">
        <v>6777</v>
      </c>
      <c r="B869" s="376" t="s">
        <v>6778</v>
      </c>
      <c r="C869" s="428" t="s">
        <v>6979</v>
      </c>
      <c r="D869" s="376" t="s">
        <v>3676</v>
      </c>
      <c r="E869" s="429">
        <v>6.0</v>
      </c>
      <c r="F869" s="429">
        <v>5.0</v>
      </c>
      <c r="G869" s="429">
        <v>0.0</v>
      </c>
      <c r="H869" s="429">
        <v>18.0</v>
      </c>
      <c r="I869" s="429">
        <v>18.0</v>
      </c>
      <c r="J869" s="430">
        <v>0.0</v>
      </c>
      <c r="K869" s="376" t="s">
        <v>6779</v>
      </c>
      <c r="L869" s="376">
        <v>3.224541717E9</v>
      </c>
      <c r="M869" s="376" t="s">
        <v>286</v>
      </c>
      <c r="N869" s="376" t="s">
        <v>3737</v>
      </c>
      <c r="O869" s="376" t="s">
        <v>6780</v>
      </c>
      <c r="P869" s="376" t="s">
        <v>3941</v>
      </c>
      <c r="Q869" s="16">
        <f>COUNTIF('hedef liste'!A:A,A869)</f>
        <v>1</v>
      </c>
    </row>
    <row r="870">
      <c r="A870" s="376" t="s">
        <v>5266</v>
      </c>
      <c r="B870" s="376" t="s">
        <v>5267</v>
      </c>
      <c r="C870" s="428" t="s">
        <v>6979</v>
      </c>
      <c r="D870" s="376" t="s">
        <v>4000</v>
      </c>
      <c r="E870" s="429">
        <v>8.0</v>
      </c>
      <c r="F870" s="429">
        <v>8.0</v>
      </c>
      <c r="G870" s="429">
        <v>0.0</v>
      </c>
      <c r="H870" s="429">
        <v>76.0</v>
      </c>
      <c r="I870" s="429">
        <v>76.0</v>
      </c>
      <c r="J870" s="430">
        <v>0.0</v>
      </c>
      <c r="K870" s="376" t="s">
        <v>5268</v>
      </c>
      <c r="L870" s="376">
        <v>3.22325001E9</v>
      </c>
      <c r="M870" s="376" t="s">
        <v>3707</v>
      </c>
      <c r="N870" s="376" t="s">
        <v>4627</v>
      </c>
      <c r="O870" s="376" t="s">
        <v>5269</v>
      </c>
      <c r="P870" s="376" t="s">
        <v>3941</v>
      </c>
      <c r="Q870" s="16">
        <f>COUNTIF('hedef liste'!A:A,A870)</f>
        <v>1</v>
      </c>
    </row>
    <row r="871">
      <c r="A871" s="376" t="s">
        <v>5651</v>
      </c>
      <c r="B871" s="376" t="s">
        <v>5652</v>
      </c>
      <c r="C871" s="428" t="s">
        <v>6979</v>
      </c>
      <c r="D871" s="376" t="s">
        <v>3713</v>
      </c>
      <c r="E871" s="429">
        <v>8.0</v>
      </c>
      <c r="F871" s="429">
        <v>8.0</v>
      </c>
      <c r="G871" s="429">
        <v>0.0</v>
      </c>
      <c r="H871" s="429">
        <v>23.0</v>
      </c>
      <c r="I871" s="429">
        <v>23.0</v>
      </c>
      <c r="J871" s="430">
        <v>0.0</v>
      </c>
      <c r="K871" s="376" t="s">
        <v>5653</v>
      </c>
      <c r="L871" s="376">
        <v>5.457729747E9</v>
      </c>
      <c r="M871" s="376" t="s">
        <v>286</v>
      </c>
      <c r="N871" s="376" t="s">
        <v>4086</v>
      </c>
      <c r="O871" s="376" t="s">
        <v>5654</v>
      </c>
      <c r="P871" s="376" t="s">
        <v>3941</v>
      </c>
      <c r="Q871" s="16">
        <f>COUNTIF('hedef liste'!A:A,A871)</f>
        <v>1</v>
      </c>
    </row>
    <row r="872" hidden="1">
      <c r="A872" s="376" t="s">
        <v>7531</v>
      </c>
      <c r="B872" s="376" t="s">
        <v>7532</v>
      </c>
      <c r="C872" s="428" t="s">
        <v>7011</v>
      </c>
      <c r="D872" s="376" t="s">
        <v>3842</v>
      </c>
      <c r="E872" s="431"/>
      <c r="F872" s="431"/>
      <c r="G872" s="429">
        <v>0.0</v>
      </c>
      <c r="H872" s="429">
        <v>15.0</v>
      </c>
      <c r="I872" s="429">
        <v>15.0</v>
      </c>
      <c r="J872" s="430">
        <v>0.0</v>
      </c>
      <c r="K872" s="376" t="s">
        <v>7533</v>
      </c>
      <c r="L872" s="376">
        <v>5.374864818E9</v>
      </c>
      <c r="M872" s="376" t="s">
        <v>286</v>
      </c>
      <c r="N872" s="376" t="s">
        <v>5012</v>
      </c>
      <c r="O872" s="376" t="s">
        <v>7534</v>
      </c>
      <c r="P872" s="376" t="s">
        <v>3941</v>
      </c>
      <c r="Q872" s="16">
        <f>COUNTIF('hedef liste'!A:A,A872)</f>
        <v>0</v>
      </c>
    </row>
    <row r="873">
      <c r="A873" s="376" t="s">
        <v>4173</v>
      </c>
      <c r="B873" s="376" t="s">
        <v>4174</v>
      </c>
      <c r="C873" s="428" t="s">
        <v>6979</v>
      </c>
      <c r="D873" s="376" t="s">
        <v>3842</v>
      </c>
      <c r="E873" s="429">
        <v>31.0</v>
      </c>
      <c r="F873" s="429">
        <v>31.0</v>
      </c>
      <c r="G873" s="429">
        <v>0.0</v>
      </c>
      <c r="H873" s="429">
        <v>17.0</v>
      </c>
      <c r="I873" s="429">
        <v>17.0</v>
      </c>
      <c r="J873" s="430">
        <v>0.0</v>
      </c>
      <c r="K873" s="376" t="s">
        <v>4175</v>
      </c>
      <c r="L873" s="376">
        <v>3.226132524E9</v>
      </c>
      <c r="M873" s="376" t="s">
        <v>3701</v>
      </c>
      <c r="N873" s="376" t="s">
        <v>4176</v>
      </c>
      <c r="O873" s="376" t="s">
        <v>4177</v>
      </c>
      <c r="P873" s="376" t="s">
        <v>3941</v>
      </c>
      <c r="Q873" s="16">
        <f>COUNTIF('hedef liste'!A:A,A873)</f>
        <v>1</v>
      </c>
    </row>
    <row r="874" hidden="1">
      <c r="A874" s="376" t="s">
        <v>7535</v>
      </c>
      <c r="B874" s="376" t="s">
        <v>7536</v>
      </c>
      <c r="C874" s="428" t="s">
        <v>6979</v>
      </c>
      <c r="D874" s="376" t="s">
        <v>3801</v>
      </c>
      <c r="E874" s="429">
        <v>34.0</v>
      </c>
      <c r="F874" s="429">
        <v>34.0</v>
      </c>
      <c r="G874" s="429">
        <v>65.0</v>
      </c>
      <c r="H874" s="429">
        <v>7.0</v>
      </c>
      <c r="I874" s="429">
        <v>72.0</v>
      </c>
      <c r="J874" s="430">
        <v>0.9</v>
      </c>
      <c r="K874" s="376" t="s">
        <v>6998</v>
      </c>
      <c r="L874" s="376">
        <v>5.301689801E9</v>
      </c>
      <c r="M874" s="376" t="s">
        <v>14</v>
      </c>
      <c r="N874" s="376" t="s">
        <v>3678</v>
      </c>
      <c r="O874" s="376" t="s">
        <v>7537</v>
      </c>
      <c r="P874" s="376" t="s">
        <v>6982</v>
      </c>
      <c r="Q874" s="16">
        <f>COUNTIF('hedef liste'!A:A,A874)</f>
        <v>0</v>
      </c>
    </row>
    <row r="875">
      <c r="A875" s="376" t="s">
        <v>6444</v>
      </c>
      <c r="B875" s="376" t="s">
        <v>6445</v>
      </c>
      <c r="C875" s="428" t="s">
        <v>6979</v>
      </c>
      <c r="D875" s="376" t="s">
        <v>3713</v>
      </c>
      <c r="E875" s="429">
        <v>4.0</v>
      </c>
      <c r="F875" s="429">
        <v>4.0</v>
      </c>
      <c r="G875" s="429">
        <v>0.0</v>
      </c>
      <c r="H875" s="429">
        <v>47.0</v>
      </c>
      <c r="I875" s="429">
        <v>47.0</v>
      </c>
      <c r="J875" s="430">
        <v>0.0</v>
      </c>
      <c r="K875" s="376" t="s">
        <v>6446</v>
      </c>
      <c r="L875" s="376">
        <v>5.322168852E9</v>
      </c>
      <c r="M875" s="376" t="s">
        <v>3707</v>
      </c>
      <c r="N875" s="376" t="s">
        <v>6447</v>
      </c>
      <c r="O875" s="376" t="s">
        <v>6448</v>
      </c>
      <c r="P875" s="376" t="s">
        <v>3941</v>
      </c>
      <c r="Q875" s="16">
        <f>COUNTIF('hedef liste'!A:A,A875)</f>
        <v>1</v>
      </c>
    </row>
    <row r="876">
      <c r="A876" s="376" t="s">
        <v>5636</v>
      </c>
      <c r="B876" s="376" t="s">
        <v>5637</v>
      </c>
      <c r="C876" s="428" t="s">
        <v>6979</v>
      </c>
      <c r="D876" s="376" t="s">
        <v>3699</v>
      </c>
      <c r="E876" s="429">
        <v>10.0</v>
      </c>
      <c r="F876" s="429">
        <v>10.0</v>
      </c>
      <c r="G876" s="429">
        <v>0.0</v>
      </c>
      <c r="H876" s="429">
        <v>70.0</v>
      </c>
      <c r="I876" s="429">
        <v>70.0</v>
      </c>
      <c r="J876" s="430">
        <v>0.0</v>
      </c>
      <c r="K876" s="376" t="s">
        <v>5638</v>
      </c>
      <c r="L876" s="376">
        <v>3.222471212E9</v>
      </c>
      <c r="M876" s="376" t="s">
        <v>14</v>
      </c>
      <c r="N876" s="376" t="s">
        <v>3935</v>
      </c>
      <c r="O876" s="376" t="s">
        <v>5639</v>
      </c>
      <c r="P876" s="376" t="s">
        <v>3941</v>
      </c>
      <c r="Q876" s="16">
        <f>COUNTIF('hedef liste'!A:A,A876)</f>
        <v>1</v>
      </c>
    </row>
    <row r="877">
      <c r="A877" s="376" t="s">
        <v>5640</v>
      </c>
      <c r="B877" s="376" t="s">
        <v>5641</v>
      </c>
      <c r="C877" s="428" t="s">
        <v>6979</v>
      </c>
      <c r="D877" s="376" t="s">
        <v>3699</v>
      </c>
      <c r="E877" s="429">
        <v>8.0</v>
      </c>
      <c r="F877" s="429">
        <v>8.0</v>
      </c>
      <c r="G877" s="429">
        <v>0.0</v>
      </c>
      <c r="H877" s="429">
        <v>78.0</v>
      </c>
      <c r="I877" s="429">
        <v>78.0</v>
      </c>
      <c r="J877" s="430">
        <v>0.0</v>
      </c>
      <c r="K877" s="376" t="s">
        <v>5642</v>
      </c>
      <c r="L877" s="376">
        <v>3.222481818E9</v>
      </c>
      <c r="M877" s="376" t="s">
        <v>14</v>
      </c>
      <c r="N877" s="376" t="s">
        <v>3826</v>
      </c>
      <c r="O877" s="376" t="s">
        <v>5643</v>
      </c>
      <c r="P877" s="376" t="s">
        <v>3941</v>
      </c>
      <c r="Q877" s="16">
        <f>COUNTIF('hedef liste'!A:A,A877)</f>
        <v>1</v>
      </c>
    </row>
    <row r="878" hidden="1">
      <c r="A878" s="376" t="s">
        <v>7538</v>
      </c>
      <c r="B878" s="376" t="s">
        <v>7539</v>
      </c>
      <c r="C878" s="428" t="s">
        <v>6979</v>
      </c>
      <c r="D878" s="376" t="s">
        <v>3713</v>
      </c>
      <c r="E878" s="429">
        <v>206.0</v>
      </c>
      <c r="F878" s="429">
        <v>206.0</v>
      </c>
      <c r="G878" s="429">
        <v>19.0</v>
      </c>
      <c r="H878" s="429">
        <v>15.0</v>
      </c>
      <c r="I878" s="429">
        <v>34.0</v>
      </c>
      <c r="J878" s="430">
        <v>0.56</v>
      </c>
      <c r="K878" s="376" t="s">
        <v>7540</v>
      </c>
      <c r="L878" s="376">
        <v>3.222263815E9</v>
      </c>
      <c r="M878" s="376" t="s">
        <v>286</v>
      </c>
      <c r="N878" s="376" t="s">
        <v>3754</v>
      </c>
      <c r="O878" s="376" t="s">
        <v>1049</v>
      </c>
      <c r="P878" s="376" t="s">
        <v>3941</v>
      </c>
      <c r="Q878" s="16">
        <f>COUNTIF('hedef liste'!A:A,A878)</f>
        <v>0</v>
      </c>
    </row>
    <row r="879">
      <c r="A879" s="376" t="s">
        <v>5329</v>
      </c>
      <c r="B879" s="376" t="s">
        <v>5330</v>
      </c>
      <c r="C879" s="428" t="s">
        <v>6979</v>
      </c>
      <c r="D879" s="376" t="s">
        <v>3690</v>
      </c>
      <c r="F879" s="431"/>
      <c r="G879" s="429">
        <v>0.0</v>
      </c>
      <c r="H879" s="429">
        <v>29.0</v>
      </c>
      <c r="I879" s="429">
        <v>29.0</v>
      </c>
      <c r="J879" s="430">
        <v>0.0</v>
      </c>
      <c r="K879" s="376" t="s">
        <v>5331</v>
      </c>
      <c r="L879" s="376">
        <v>5.393490139E9</v>
      </c>
      <c r="M879" s="376" t="s">
        <v>14</v>
      </c>
      <c r="N879" s="376" t="s">
        <v>3733</v>
      </c>
      <c r="O879" s="376" t="s">
        <v>323</v>
      </c>
      <c r="P879" s="376" t="s">
        <v>3941</v>
      </c>
      <c r="Q879" s="16">
        <f>COUNTIF('hedef liste'!A:A,A879)</f>
        <v>1</v>
      </c>
    </row>
    <row r="880">
      <c r="A880" s="376" t="s">
        <v>5839</v>
      </c>
      <c r="B880" s="376" t="s">
        <v>5840</v>
      </c>
      <c r="C880" s="428" t="s">
        <v>6979</v>
      </c>
      <c r="D880" s="376" t="s">
        <v>3676</v>
      </c>
      <c r="E880" s="429">
        <v>14.0</v>
      </c>
      <c r="F880" s="429">
        <v>14.0</v>
      </c>
      <c r="G880" s="429">
        <v>0.0</v>
      </c>
      <c r="H880" s="429">
        <v>37.0</v>
      </c>
      <c r="I880" s="429">
        <v>37.0</v>
      </c>
      <c r="J880" s="430">
        <v>0.0</v>
      </c>
      <c r="K880" s="376" t="s">
        <v>5841</v>
      </c>
      <c r="L880" s="376">
        <v>3.22271026E9</v>
      </c>
      <c r="M880" s="376" t="s">
        <v>286</v>
      </c>
      <c r="N880" s="376" t="s">
        <v>4235</v>
      </c>
      <c r="O880" s="376" t="s">
        <v>5842</v>
      </c>
      <c r="P880" s="376" t="s">
        <v>3941</v>
      </c>
      <c r="Q880" s="16">
        <f>COUNTIF('hedef liste'!A:A,A880)</f>
        <v>1</v>
      </c>
    </row>
    <row r="881" hidden="1">
      <c r="A881" s="376" t="s">
        <v>3203</v>
      </c>
      <c r="B881" s="376" t="s">
        <v>3204</v>
      </c>
      <c r="C881" s="428" t="s">
        <v>6979</v>
      </c>
      <c r="D881" s="376" t="s">
        <v>4907</v>
      </c>
      <c r="E881" s="429">
        <v>12.0</v>
      </c>
      <c r="F881" s="429">
        <v>1.0</v>
      </c>
      <c r="G881" s="429">
        <v>8.0</v>
      </c>
      <c r="H881" s="429">
        <v>1.0</v>
      </c>
      <c r="I881" s="429">
        <v>9.0</v>
      </c>
      <c r="J881" s="430">
        <v>0.89</v>
      </c>
      <c r="K881" s="376" t="s">
        <v>5260</v>
      </c>
      <c r="L881" s="376">
        <v>5.300628501E9</v>
      </c>
      <c r="M881" s="376" t="s">
        <v>14</v>
      </c>
      <c r="N881" s="376" t="s">
        <v>3797</v>
      </c>
      <c r="O881" s="376" t="s">
        <v>3206</v>
      </c>
      <c r="P881" s="376" t="s">
        <v>3941</v>
      </c>
      <c r="Q881" s="16">
        <f>COUNTIF('hedef liste'!A:A,A881)</f>
        <v>1</v>
      </c>
    </row>
    <row r="882" hidden="1">
      <c r="A882" s="376" t="s">
        <v>3214</v>
      </c>
      <c r="B882" s="376" t="s">
        <v>3215</v>
      </c>
      <c r="C882" s="428" t="s">
        <v>6979</v>
      </c>
      <c r="D882" s="376" t="s">
        <v>4468</v>
      </c>
      <c r="E882" s="429">
        <v>387.0</v>
      </c>
      <c r="F882" s="429">
        <v>23.0</v>
      </c>
      <c r="G882" s="429">
        <v>0.0</v>
      </c>
      <c r="H882" s="429">
        <v>29.0</v>
      </c>
      <c r="I882" s="429">
        <v>29.0</v>
      </c>
      <c r="J882" s="430">
        <v>0.0</v>
      </c>
      <c r="K882" s="376" t="s">
        <v>6760</v>
      </c>
      <c r="L882" s="376">
        <v>5.424137331E9</v>
      </c>
      <c r="M882" s="376" t="s">
        <v>286</v>
      </c>
      <c r="N882" s="376" t="s">
        <v>3855</v>
      </c>
      <c r="O882" s="376" t="s">
        <v>6761</v>
      </c>
      <c r="P882" s="376" t="s">
        <v>3941</v>
      </c>
      <c r="Q882" s="16">
        <f>COUNTIF('hedef liste'!A:A,A882)</f>
        <v>1</v>
      </c>
    </row>
    <row r="883" hidden="1">
      <c r="A883" s="376" t="s">
        <v>5054</v>
      </c>
      <c r="B883" s="376" t="s">
        <v>5055</v>
      </c>
      <c r="C883" s="428" t="s">
        <v>6979</v>
      </c>
      <c r="D883" s="376" t="s">
        <v>3912</v>
      </c>
      <c r="E883" s="429">
        <v>541.0</v>
      </c>
      <c r="F883" s="429">
        <v>16.0</v>
      </c>
      <c r="G883" s="429">
        <v>0.0</v>
      </c>
      <c r="H883" s="429">
        <v>8.0</v>
      </c>
      <c r="I883" s="429">
        <v>8.0</v>
      </c>
      <c r="J883" s="430">
        <v>0.0</v>
      </c>
      <c r="K883" s="376" t="s">
        <v>5056</v>
      </c>
      <c r="L883" s="376">
        <v>5.380106326E9</v>
      </c>
      <c r="M883" s="376" t="s">
        <v>14</v>
      </c>
      <c r="N883" s="376" t="s">
        <v>3718</v>
      </c>
      <c r="O883" s="376" t="s">
        <v>5057</v>
      </c>
      <c r="P883" s="376" t="s">
        <v>3941</v>
      </c>
      <c r="Q883" s="16">
        <f>COUNTIF('hedef liste'!A:A,A883)</f>
        <v>1</v>
      </c>
    </row>
    <row r="884" hidden="1">
      <c r="A884" s="376" t="s">
        <v>6177</v>
      </c>
      <c r="B884" s="376" t="s">
        <v>6178</v>
      </c>
      <c r="C884" s="428" t="s">
        <v>6979</v>
      </c>
      <c r="D884" s="376" t="s">
        <v>3713</v>
      </c>
      <c r="E884" s="429">
        <v>294.0</v>
      </c>
      <c r="F884" s="429">
        <v>16.0</v>
      </c>
      <c r="G884" s="429">
        <v>0.0</v>
      </c>
      <c r="H884" s="429">
        <v>31.0</v>
      </c>
      <c r="I884" s="429">
        <v>31.0</v>
      </c>
      <c r="J884" s="430">
        <v>0.0</v>
      </c>
      <c r="K884" s="376" t="s">
        <v>6179</v>
      </c>
      <c r="L884" s="376">
        <v>3.222471234E9</v>
      </c>
      <c r="M884" s="376" t="s">
        <v>14</v>
      </c>
      <c r="N884" s="376" t="s">
        <v>3826</v>
      </c>
      <c r="O884" s="376" t="s">
        <v>6180</v>
      </c>
      <c r="P884" s="376" t="s">
        <v>3941</v>
      </c>
      <c r="Q884" s="16">
        <f>COUNTIF('hedef liste'!A:A,A884)</f>
        <v>1</v>
      </c>
    </row>
    <row r="885" hidden="1">
      <c r="A885" s="376" t="s">
        <v>3270</v>
      </c>
      <c r="B885" s="376" t="s">
        <v>3271</v>
      </c>
      <c r="C885" s="428" t="s">
        <v>6979</v>
      </c>
      <c r="D885" s="376" t="s">
        <v>3713</v>
      </c>
      <c r="E885" s="429">
        <v>1497.0</v>
      </c>
      <c r="F885" s="429">
        <v>93.0</v>
      </c>
      <c r="G885" s="429">
        <v>0.0</v>
      </c>
      <c r="H885" s="429">
        <v>18.0</v>
      </c>
      <c r="I885" s="429">
        <v>18.0</v>
      </c>
      <c r="J885" s="430">
        <v>0.0</v>
      </c>
      <c r="K885" s="376" t="s">
        <v>6347</v>
      </c>
      <c r="L885" s="376">
        <v>3.222269255E9</v>
      </c>
      <c r="M885" s="376" t="s">
        <v>286</v>
      </c>
      <c r="N885" s="376" t="s">
        <v>3961</v>
      </c>
      <c r="O885" s="376" t="s">
        <v>3273</v>
      </c>
      <c r="P885" s="376" t="s">
        <v>3941</v>
      </c>
      <c r="Q885" s="16">
        <f>COUNTIF('hedef liste'!A:A,A885)</f>
        <v>1</v>
      </c>
    </row>
    <row r="886" hidden="1">
      <c r="A886" s="376" t="s">
        <v>7541</v>
      </c>
      <c r="B886" s="376" t="s">
        <v>7542</v>
      </c>
      <c r="C886" s="428" t="s">
        <v>6979</v>
      </c>
      <c r="D886" s="376" t="s">
        <v>3699</v>
      </c>
      <c r="E886" s="429">
        <v>244.0</v>
      </c>
      <c r="F886" s="429">
        <v>27.0</v>
      </c>
      <c r="G886" s="429">
        <v>37.0</v>
      </c>
      <c r="H886" s="429">
        <v>16.0</v>
      </c>
      <c r="I886" s="429">
        <v>53.0</v>
      </c>
      <c r="J886" s="430">
        <v>0.7</v>
      </c>
      <c r="K886" s="376" t="s">
        <v>7543</v>
      </c>
      <c r="L886" s="376">
        <v>3.224590404E9</v>
      </c>
      <c r="M886" s="376" t="s">
        <v>286</v>
      </c>
      <c r="N886" s="376" t="s">
        <v>3737</v>
      </c>
      <c r="O886" s="376" t="s">
        <v>504</v>
      </c>
      <c r="P886" s="376" t="s">
        <v>3941</v>
      </c>
      <c r="Q886" s="16">
        <f>COUNTIF('hedef liste'!A:A,A886)</f>
        <v>0</v>
      </c>
    </row>
    <row r="887" hidden="1">
      <c r="A887" s="376" t="s">
        <v>6186</v>
      </c>
      <c r="B887" s="376" t="s">
        <v>6187</v>
      </c>
      <c r="C887" s="428" t="s">
        <v>7011</v>
      </c>
      <c r="D887" s="376" t="s">
        <v>3690</v>
      </c>
      <c r="E887" s="429">
        <v>43.0</v>
      </c>
      <c r="F887" s="431"/>
      <c r="G887" s="429">
        <v>0.0</v>
      </c>
      <c r="H887" s="429">
        <v>4.0</v>
      </c>
      <c r="I887" s="429">
        <v>4.0</v>
      </c>
      <c r="J887" s="430">
        <v>0.0</v>
      </c>
      <c r="K887" s="376" t="s">
        <v>6188</v>
      </c>
      <c r="L887" s="376">
        <v>5.491961976E9</v>
      </c>
      <c r="M887" s="376" t="s">
        <v>286</v>
      </c>
      <c r="N887" s="376" t="s">
        <v>3855</v>
      </c>
      <c r="O887" s="376" t="s">
        <v>6189</v>
      </c>
      <c r="P887" s="376" t="s">
        <v>3941</v>
      </c>
      <c r="Q887" s="16">
        <f>COUNTIF('hedef liste'!A:A,A887)</f>
        <v>1</v>
      </c>
    </row>
    <row r="888" hidden="1">
      <c r="A888" s="376" t="s">
        <v>7544</v>
      </c>
      <c r="B888" s="376" t="s">
        <v>7545</v>
      </c>
      <c r="C888" s="428" t="s">
        <v>6979</v>
      </c>
      <c r="D888" s="376" t="s">
        <v>3912</v>
      </c>
      <c r="E888" s="429">
        <v>128.0</v>
      </c>
      <c r="F888" s="429">
        <v>31.0</v>
      </c>
      <c r="G888" s="429">
        <v>2.0</v>
      </c>
      <c r="H888" s="429">
        <v>5.0</v>
      </c>
      <c r="I888" s="429">
        <v>7.0</v>
      </c>
      <c r="J888" s="430">
        <v>0.29</v>
      </c>
      <c r="K888" s="376" t="s">
        <v>7546</v>
      </c>
      <c r="L888" s="376">
        <v>5.362830146E9</v>
      </c>
      <c r="M888" s="376" t="s">
        <v>14</v>
      </c>
      <c r="N888" s="376" t="s">
        <v>3826</v>
      </c>
      <c r="O888" s="376" t="s">
        <v>7547</v>
      </c>
      <c r="P888" s="376" t="s">
        <v>3941</v>
      </c>
      <c r="Q888" s="16">
        <f>COUNTIF('hedef liste'!A:A,A888)</f>
        <v>0</v>
      </c>
    </row>
    <row r="889" hidden="1">
      <c r="A889" s="376" t="s">
        <v>3483</v>
      </c>
      <c r="B889" s="376" t="s">
        <v>3484</v>
      </c>
      <c r="C889" s="428" t="s">
        <v>6979</v>
      </c>
      <c r="D889" s="376" t="s">
        <v>3699</v>
      </c>
      <c r="E889" s="429">
        <v>38.0</v>
      </c>
      <c r="F889" s="429">
        <v>28.0</v>
      </c>
      <c r="G889" s="429">
        <v>2.0</v>
      </c>
      <c r="H889" s="429">
        <v>4.0</v>
      </c>
      <c r="I889" s="429">
        <v>6.0</v>
      </c>
      <c r="J889" s="430">
        <v>0.33</v>
      </c>
      <c r="K889" s="376" t="s">
        <v>6152</v>
      </c>
      <c r="L889" s="376">
        <v>5.425190954E9</v>
      </c>
      <c r="M889" s="376" t="s">
        <v>14</v>
      </c>
      <c r="N889" s="376" t="s">
        <v>3797</v>
      </c>
      <c r="O889" s="376" t="s">
        <v>6153</v>
      </c>
      <c r="P889" s="376" t="s">
        <v>3941</v>
      </c>
      <c r="Q889" s="16">
        <f>COUNTIF('hedef liste'!A:A,A889)</f>
        <v>1</v>
      </c>
    </row>
    <row r="890" hidden="1">
      <c r="A890" s="376" t="s">
        <v>3570</v>
      </c>
      <c r="B890" s="376" t="s">
        <v>3571</v>
      </c>
      <c r="C890" s="428" t="s">
        <v>6979</v>
      </c>
      <c r="D890" s="376" t="s">
        <v>3699</v>
      </c>
      <c r="E890" s="429">
        <v>81.0</v>
      </c>
      <c r="F890" s="429">
        <v>19.0</v>
      </c>
      <c r="G890" s="429">
        <v>0.0</v>
      </c>
      <c r="H890" s="429">
        <v>9.0</v>
      </c>
      <c r="I890" s="429">
        <v>9.0</v>
      </c>
      <c r="J890" s="430">
        <v>0.0</v>
      </c>
      <c r="K890" s="376" t="s">
        <v>5547</v>
      </c>
      <c r="L890" s="376">
        <v>5.071006433E9</v>
      </c>
      <c r="M890" s="376" t="s">
        <v>286</v>
      </c>
      <c r="N890" s="376" t="s">
        <v>4451</v>
      </c>
      <c r="O890" s="376" t="s">
        <v>3573</v>
      </c>
      <c r="P890" s="376" t="s">
        <v>3941</v>
      </c>
      <c r="Q890" s="16">
        <f>COUNTIF('hedef liste'!A:A,A890)</f>
        <v>1</v>
      </c>
    </row>
    <row r="891" hidden="1">
      <c r="A891" s="376" t="s">
        <v>3590</v>
      </c>
      <c r="B891" s="376" t="s">
        <v>3591</v>
      </c>
      <c r="C891" s="428" t="s">
        <v>6979</v>
      </c>
      <c r="D891" s="376" t="s">
        <v>3690</v>
      </c>
      <c r="E891" s="429">
        <v>823.0</v>
      </c>
      <c r="F891" s="429">
        <v>118.0</v>
      </c>
      <c r="G891" s="429">
        <v>0.0</v>
      </c>
      <c r="H891" s="429">
        <v>37.0</v>
      </c>
      <c r="I891" s="429">
        <v>37.0</v>
      </c>
      <c r="J891" s="430">
        <v>0.0</v>
      </c>
      <c r="K891" s="376" t="s">
        <v>5375</v>
      </c>
      <c r="L891" s="376">
        <v>3.223633781E9</v>
      </c>
      <c r="M891" s="376" t="s">
        <v>286</v>
      </c>
      <c r="N891" s="376" t="s">
        <v>4451</v>
      </c>
      <c r="O891" s="376" t="s">
        <v>3594</v>
      </c>
      <c r="P891" s="376" t="s">
        <v>3941</v>
      </c>
      <c r="Q891" s="16">
        <f>COUNTIF('hedef liste'!A:A,A891)</f>
        <v>1</v>
      </c>
    </row>
    <row r="892" hidden="1">
      <c r="A892" s="376" t="s">
        <v>3509</v>
      </c>
      <c r="B892" s="376" t="s">
        <v>3510</v>
      </c>
      <c r="C892" s="428" t="s">
        <v>6979</v>
      </c>
      <c r="D892" s="376" t="s">
        <v>3699</v>
      </c>
      <c r="E892" s="429">
        <v>7.0</v>
      </c>
      <c r="F892" s="429">
        <v>2.0</v>
      </c>
      <c r="G892" s="429">
        <v>0.0</v>
      </c>
      <c r="H892" s="429">
        <v>29.0</v>
      </c>
      <c r="I892" s="429">
        <v>29.0</v>
      </c>
      <c r="J892" s="430">
        <v>0.0</v>
      </c>
      <c r="K892" s="376" t="s">
        <v>6089</v>
      </c>
      <c r="L892" s="376">
        <v>5.538834715E9</v>
      </c>
      <c r="M892" s="376" t="s">
        <v>14</v>
      </c>
      <c r="N892" s="376" t="s">
        <v>3935</v>
      </c>
      <c r="O892" s="376" t="s">
        <v>3512</v>
      </c>
      <c r="P892" s="376" t="s">
        <v>3941</v>
      </c>
      <c r="Q892" s="16">
        <f>COUNTIF('hedef liste'!A:A,A892)</f>
        <v>1</v>
      </c>
    </row>
    <row r="893" hidden="1">
      <c r="A893" s="376" t="s">
        <v>5520</v>
      </c>
      <c r="B893" s="376" t="s">
        <v>5521</v>
      </c>
      <c r="C893" s="428" t="s">
        <v>6979</v>
      </c>
      <c r="D893" s="376" t="s">
        <v>3912</v>
      </c>
      <c r="E893" s="429">
        <v>119.0</v>
      </c>
      <c r="F893" s="429">
        <v>57.0</v>
      </c>
      <c r="G893" s="429">
        <v>0.0</v>
      </c>
      <c r="H893" s="429">
        <v>11.0</v>
      </c>
      <c r="I893" s="429">
        <v>11.0</v>
      </c>
      <c r="J893" s="430">
        <v>0.0</v>
      </c>
      <c r="K893" s="376" t="s">
        <v>5522</v>
      </c>
      <c r="L893" s="376">
        <v>5.51385999E9</v>
      </c>
      <c r="M893" s="376" t="s">
        <v>14</v>
      </c>
      <c r="N893" s="376" t="s">
        <v>3797</v>
      </c>
      <c r="O893" s="376" t="s">
        <v>5523</v>
      </c>
      <c r="P893" s="376" t="s">
        <v>3941</v>
      </c>
      <c r="Q893" s="16">
        <f>COUNTIF('hedef liste'!A:A,A893)</f>
        <v>1</v>
      </c>
    </row>
    <row r="894" hidden="1">
      <c r="A894" s="376" t="s">
        <v>3528</v>
      </c>
      <c r="B894" s="376" t="s">
        <v>3529</v>
      </c>
      <c r="C894" s="428" t="s">
        <v>6979</v>
      </c>
      <c r="D894" s="376" t="s">
        <v>3699</v>
      </c>
      <c r="F894" s="431"/>
      <c r="G894" s="429">
        <v>0.0</v>
      </c>
      <c r="H894" s="429">
        <v>14.0</v>
      </c>
      <c r="I894" s="429">
        <v>14.0</v>
      </c>
      <c r="J894" s="430">
        <v>0.0</v>
      </c>
      <c r="K894" s="376" t="s">
        <v>5820</v>
      </c>
      <c r="L894" s="376">
        <v>5.356911611E9</v>
      </c>
      <c r="M894" s="376" t="s">
        <v>14</v>
      </c>
      <c r="N894" s="376" t="s">
        <v>3718</v>
      </c>
      <c r="O894" s="376" t="s">
        <v>3531</v>
      </c>
      <c r="P894" s="376" t="s">
        <v>3941</v>
      </c>
      <c r="Q894" s="16">
        <f>COUNTIF('hedef liste'!A:A,A894)</f>
        <v>1</v>
      </c>
    </row>
    <row r="895" hidden="1">
      <c r="A895" s="376" t="s">
        <v>3355</v>
      </c>
      <c r="B895" s="376" t="s">
        <v>3356</v>
      </c>
      <c r="C895" s="428" t="s">
        <v>6979</v>
      </c>
      <c r="D895" s="376" t="s">
        <v>3699</v>
      </c>
      <c r="E895" s="429">
        <v>40.0</v>
      </c>
      <c r="F895" s="429">
        <v>23.0</v>
      </c>
      <c r="G895" s="429">
        <v>56.0</v>
      </c>
      <c r="H895" s="429">
        <v>14.0</v>
      </c>
      <c r="I895" s="429">
        <v>70.0</v>
      </c>
      <c r="J895" s="430">
        <v>0.8</v>
      </c>
      <c r="K895" s="376" t="s">
        <v>5926</v>
      </c>
      <c r="L895" s="376">
        <v>5.529322781E9</v>
      </c>
      <c r="M895" s="376" t="s">
        <v>286</v>
      </c>
      <c r="N895" s="376" t="s">
        <v>3754</v>
      </c>
      <c r="O895" s="376" t="s">
        <v>3359</v>
      </c>
      <c r="P895" s="376" t="s">
        <v>3941</v>
      </c>
      <c r="Q895" s="16">
        <f>COUNTIF('hedef liste'!A:A,A895)</f>
        <v>1</v>
      </c>
    </row>
    <row r="896" hidden="1">
      <c r="A896" s="376" t="s">
        <v>7548</v>
      </c>
      <c r="B896" s="376" t="s">
        <v>7549</v>
      </c>
      <c r="C896" s="428" t="s">
        <v>6979</v>
      </c>
      <c r="D896" s="376" t="s">
        <v>3676</v>
      </c>
      <c r="E896" s="431"/>
      <c r="F896" s="431"/>
      <c r="G896" s="429">
        <v>5.0</v>
      </c>
      <c r="H896" s="429">
        <v>1.0</v>
      </c>
      <c r="I896" s="429">
        <v>6.0</v>
      </c>
      <c r="J896" s="430">
        <v>0.83</v>
      </c>
      <c r="K896" s="376" t="s">
        <v>7550</v>
      </c>
      <c r="L896" s="376">
        <v>3.223414136E9</v>
      </c>
      <c r="M896" s="376" t="s">
        <v>3692</v>
      </c>
      <c r="N896" s="376" t="s">
        <v>3693</v>
      </c>
      <c r="O896" s="376" t="s">
        <v>7551</v>
      </c>
      <c r="P896" s="376" t="s">
        <v>3941</v>
      </c>
      <c r="Q896" s="16">
        <f>COUNTIF('hedef liste'!A:A,A896)</f>
        <v>0</v>
      </c>
    </row>
    <row r="897" hidden="1">
      <c r="A897" s="376" t="s">
        <v>5086</v>
      </c>
      <c r="B897" s="376" t="s">
        <v>5087</v>
      </c>
      <c r="C897" s="428" t="s">
        <v>6979</v>
      </c>
      <c r="D897" s="376" t="s">
        <v>3713</v>
      </c>
      <c r="E897" s="429">
        <v>559.0</v>
      </c>
      <c r="F897" s="429">
        <v>96.0</v>
      </c>
      <c r="G897" s="429">
        <v>0.0</v>
      </c>
      <c r="H897" s="429">
        <v>28.0</v>
      </c>
      <c r="I897" s="429">
        <v>28.0</v>
      </c>
      <c r="J897" s="433">
        <v>0.0</v>
      </c>
      <c r="K897" s="376" t="s">
        <v>5088</v>
      </c>
      <c r="L897" s="376">
        <v>3.226124316E9</v>
      </c>
      <c r="M897" s="376" t="s">
        <v>3701</v>
      </c>
      <c r="N897" s="376" t="s">
        <v>3702</v>
      </c>
      <c r="O897" s="376" t="s">
        <v>5089</v>
      </c>
      <c r="P897" s="376" t="s">
        <v>3941</v>
      </c>
      <c r="Q897" s="16">
        <f>COUNTIF('hedef liste'!A:A,A897)</f>
        <v>1</v>
      </c>
    </row>
    <row r="898" hidden="1">
      <c r="A898" s="376" t="s">
        <v>6273</v>
      </c>
      <c r="B898" s="376" t="s">
        <v>2236</v>
      </c>
      <c r="C898" s="428" t="s">
        <v>6979</v>
      </c>
      <c r="D898" s="376" t="s">
        <v>3994</v>
      </c>
      <c r="E898" s="429">
        <v>776.0</v>
      </c>
      <c r="F898" s="429">
        <v>130.0</v>
      </c>
      <c r="G898" s="429">
        <v>0.0</v>
      </c>
      <c r="H898" s="429">
        <v>86.0</v>
      </c>
      <c r="I898" s="429">
        <v>86.0</v>
      </c>
      <c r="J898" s="430">
        <v>0.0</v>
      </c>
      <c r="K898" s="376" t="s">
        <v>6274</v>
      </c>
      <c r="L898" s="376">
        <v>3.222903838E9</v>
      </c>
      <c r="M898" s="376" t="s">
        <v>286</v>
      </c>
      <c r="N898" s="376" t="s">
        <v>3688</v>
      </c>
      <c r="O898" s="376" t="s">
        <v>6275</v>
      </c>
      <c r="P898" s="376" t="s">
        <v>3941</v>
      </c>
      <c r="Q898" s="16">
        <f>COUNTIF('hedef liste'!A:A,A898)</f>
        <v>1</v>
      </c>
    </row>
    <row r="899" hidden="1">
      <c r="A899" s="376" t="s">
        <v>3413</v>
      </c>
      <c r="B899" s="376" t="s">
        <v>3414</v>
      </c>
      <c r="C899" s="428" t="s">
        <v>6979</v>
      </c>
      <c r="D899" s="376" t="s">
        <v>3749</v>
      </c>
      <c r="E899" s="429">
        <v>1193.0</v>
      </c>
      <c r="F899" s="429">
        <v>210.0</v>
      </c>
      <c r="G899" s="429">
        <v>15.0</v>
      </c>
      <c r="H899" s="429">
        <v>6.0</v>
      </c>
      <c r="I899" s="429">
        <v>21.0</v>
      </c>
      <c r="J899" s="430">
        <v>0.71</v>
      </c>
      <c r="K899" s="376" t="s">
        <v>6728</v>
      </c>
      <c r="L899" s="376">
        <v>5.304571236E9</v>
      </c>
      <c r="M899" s="376" t="s">
        <v>286</v>
      </c>
      <c r="N899" s="376" t="s">
        <v>3754</v>
      </c>
      <c r="O899" s="376" t="s">
        <v>6729</v>
      </c>
      <c r="P899" s="376" t="s">
        <v>3941</v>
      </c>
      <c r="Q899" s="16">
        <f>COUNTIF('hedef liste'!A:A,A899)</f>
        <v>1</v>
      </c>
    </row>
    <row r="900" hidden="1">
      <c r="A900" s="376" t="s">
        <v>7552</v>
      </c>
      <c r="B900" s="376" t="s">
        <v>7553</v>
      </c>
      <c r="C900" s="428" t="s">
        <v>6979</v>
      </c>
      <c r="D900" s="376" t="s">
        <v>3699</v>
      </c>
      <c r="E900" s="429">
        <v>1044.0</v>
      </c>
      <c r="F900" s="429">
        <v>245.0</v>
      </c>
      <c r="G900" s="429">
        <v>10.0</v>
      </c>
      <c r="H900" s="429">
        <v>2.0</v>
      </c>
      <c r="I900" s="429">
        <v>12.0</v>
      </c>
      <c r="J900" s="430">
        <v>0.83</v>
      </c>
      <c r="K900" s="376" t="s">
        <v>7554</v>
      </c>
      <c r="L900" s="376">
        <v>3.222336646E9</v>
      </c>
      <c r="M900" s="376" t="s">
        <v>14</v>
      </c>
      <c r="N900" s="376" t="s">
        <v>3718</v>
      </c>
      <c r="O900" s="376" t="s">
        <v>7555</v>
      </c>
      <c r="P900" s="376" t="s">
        <v>3941</v>
      </c>
      <c r="Q900" s="16">
        <f>COUNTIF('hedef liste'!A:A,A900)</f>
        <v>0</v>
      </c>
    </row>
    <row r="901" hidden="1">
      <c r="A901" s="376" t="s">
        <v>5712</v>
      </c>
      <c r="B901" s="376" t="s">
        <v>5713</v>
      </c>
      <c r="C901" s="428" t="s">
        <v>6979</v>
      </c>
      <c r="D901" s="376" t="s">
        <v>3690</v>
      </c>
      <c r="E901" s="429">
        <v>904.0</v>
      </c>
      <c r="F901" s="429">
        <v>119.0</v>
      </c>
      <c r="G901" s="429">
        <v>0.0</v>
      </c>
      <c r="H901" s="429">
        <v>10.0</v>
      </c>
      <c r="I901" s="429">
        <v>10.0</v>
      </c>
      <c r="J901" s="430">
        <v>0.0</v>
      </c>
      <c r="K901" s="376" t="s">
        <v>5714</v>
      </c>
      <c r="L901" s="376">
        <v>3.226122212E9</v>
      </c>
      <c r="M901" s="376" t="s">
        <v>3701</v>
      </c>
      <c r="N901" s="376" t="s">
        <v>3803</v>
      </c>
      <c r="O901" s="376" t="s">
        <v>5715</v>
      </c>
      <c r="P901" s="376" t="s">
        <v>3941</v>
      </c>
      <c r="Q901" s="16">
        <f>COUNTIF('hedef liste'!A:A,A901)</f>
        <v>1</v>
      </c>
    </row>
    <row r="902" hidden="1">
      <c r="A902" s="376" t="s">
        <v>7556</v>
      </c>
      <c r="B902" s="376" t="s">
        <v>7557</v>
      </c>
      <c r="C902" s="428" t="s">
        <v>6979</v>
      </c>
      <c r="D902" s="376" t="s">
        <v>3676</v>
      </c>
      <c r="E902" s="429">
        <v>560.0</v>
      </c>
      <c r="F902" s="429">
        <v>274.0</v>
      </c>
      <c r="G902" s="429">
        <v>4.0</v>
      </c>
      <c r="H902" s="429">
        <v>3.0</v>
      </c>
      <c r="I902" s="429">
        <v>7.0</v>
      </c>
      <c r="J902" s="430">
        <v>0.57</v>
      </c>
      <c r="K902" s="376" t="s">
        <v>7558</v>
      </c>
      <c r="L902" s="376">
        <v>3.22228394E9</v>
      </c>
      <c r="M902" s="376" t="s">
        <v>286</v>
      </c>
      <c r="N902" s="376" t="s">
        <v>3754</v>
      </c>
      <c r="O902" s="376" t="s">
        <v>1900</v>
      </c>
      <c r="P902" s="376" t="s">
        <v>3941</v>
      </c>
      <c r="Q902" s="16">
        <f>COUNTIF('hedef liste'!A:A,A902)</f>
        <v>0</v>
      </c>
    </row>
    <row r="903" hidden="1">
      <c r="A903" s="376" t="s">
        <v>6396</v>
      </c>
      <c r="B903" s="376" t="s">
        <v>6397</v>
      </c>
      <c r="C903" s="428" t="s">
        <v>6979</v>
      </c>
      <c r="D903" s="376" t="s">
        <v>3801</v>
      </c>
      <c r="E903" s="429">
        <v>22.0</v>
      </c>
      <c r="F903" s="431"/>
      <c r="G903" s="429">
        <v>0.0</v>
      </c>
      <c r="H903" s="429">
        <v>5.0</v>
      </c>
      <c r="I903" s="429">
        <v>5.0</v>
      </c>
      <c r="J903" s="430">
        <v>0.0</v>
      </c>
      <c r="K903" s="376" t="s">
        <v>6398</v>
      </c>
      <c r="L903" s="376">
        <v>5.078540782E9</v>
      </c>
      <c r="M903" s="376" t="s">
        <v>3692</v>
      </c>
      <c r="N903" s="376" t="s">
        <v>3721</v>
      </c>
      <c r="O903" s="376" t="s">
        <v>6399</v>
      </c>
      <c r="P903" s="376" t="s">
        <v>3941</v>
      </c>
      <c r="Q903" s="16">
        <f>COUNTIF('hedef liste'!A:A,A903)</f>
        <v>1</v>
      </c>
    </row>
    <row r="904" hidden="1">
      <c r="A904" s="376" t="s">
        <v>3389</v>
      </c>
      <c r="B904" s="376" t="s">
        <v>3390</v>
      </c>
      <c r="C904" s="428" t="s">
        <v>6979</v>
      </c>
      <c r="D904" s="376" t="s">
        <v>3713</v>
      </c>
      <c r="E904" s="429">
        <v>656.0</v>
      </c>
      <c r="F904" s="429">
        <v>151.0</v>
      </c>
      <c r="G904" s="429">
        <v>14.0</v>
      </c>
      <c r="H904" s="429">
        <v>14.0</v>
      </c>
      <c r="I904" s="429">
        <v>28.0</v>
      </c>
      <c r="J904" s="430">
        <v>0.5</v>
      </c>
      <c r="K904" s="376" t="s">
        <v>5782</v>
      </c>
      <c r="L904" s="376">
        <v>3.222620808E9</v>
      </c>
      <c r="M904" s="376" t="s">
        <v>286</v>
      </c>
      <c r="N904" s="376" t="s">
        <v>3746</v>
      </c>
      <c r="O904" s="376" t="s">
        <v>3393</v>
      </c>
      <c r="P904" s="376" t="s">
        <v>3941</v>
      </c>
      <c r="Q904" s="16">
        <f>COUNTIF('hedef liste'!A:A,A904)</f>
        <v>1</v>
      </c>
    </row>
    <row r="905" hidden="1">
      <c r="A905" s="376" t="s">
        <v>3977</v>
      </c>
      <c r="B905" s="376" t="s">
        <v>3978</v>
      </c>
      <c r="C905" s="428" t="s">
        <v>6979</v>
      </c>
      <c r="D905" s="376" t="s">
        <v>3676</v>
      </c>
      <c r="E905" s="429">
        <v>95.0</v>
      </c>
      <c r="F905" s="429">
        <v>21.0</v>
      </c>
      <c r="G905" s="429">
        <v>0.0</v>
      </c>
      <c r="H905" s="429">
        <v>9.0</v>
      </c>
      <c r="I905" s="429">
        <v>9.0</v>
      </c>
      <c r="J905" s="430">
        <v>0.0</v>
      </c>
      <c r="K905" s="376" t="s">
        <v>3979</v>
      </c>
      <c r="L905" s="376">
        <v>5.334010274E9</v>
      </c>
      <c r="M905" s="376" t="s">
        <v>286</v>
      </c>
      <c r="N905" s="376" t="s">
        <v>3980</v>
      </c>
      <c r="O905" s="376" t="s">
        <v>3981</v>
      </c>
      <c r="P905" s="376" t="s">
        <v>3941</v>
      </c>
      <c r="Q905" s="16">
        <f>COUNTIF('hedef liste'!A:A,A905)</f>
        <v>1</v>
      </c>
    </row>
    <row r="906" hidden="1">
      <c r="A906" s="376" t="s">
        <v>4227</v>
      </c>
      <c r="B906" s="376" t="s">
        <v>4228</v>
      </c>
      <c r="C906" s="428" t="s">
        <v>6979</v>
      </c>
      <c r="D906" s="376" t="s">
        <v>3676</v>
      </c>
      <c r="E906" s="429">
        <v>19.0</v>
      </c>
      <c r="F906" s="431"/>
      <c r="G906" s="429">
        <v>0.0</v>
      </c>
      <c r="H906" s="429">
        <v>6.0</v>
      </c>
      <c r="I906" s="429">
        <v>6.0</v>
      </c>
      <c r="J906" s="430">
        <v>0.0</v>
      </c>
      <c r="K906" s="376" t="s">
        <v>4229</v>
      </c>
      <c r="L906" s="376">
        <v>5.446864047E9</v>
      </c>
      <c r="M906" s="376" t="s">
        <v>286</v>
      </c>
      <c r="N906" s="376" t="s">
        <v>3782</v>
      </c>
      <c r="O906" s="376" t="s">
        <v>4230</v>
      </c>
      <c r="P906" s="376" t="s">
        <v>3941</v>
      </c>
      <c r="Q906" s="16">
        <f>COUNTIF('hedef liste'!A:A,A906)</f>
        <v>1</v>
      </c>
    </row>
    <row r="907" hidden="1">
      <c r="A907" s="376" t="s">
        <v>3574</v>
      </c>
      <c r="B907" s="376" t="s">
        <v>3575</v>
      </c>
      <c r="C907" s="428" t="s">
        <v>6979</v>
      </c>
      <c r="D907" s="376" t="s">
        <v>3676</v>
      </c>
      <c r="E907" s="429">
        <v>245.0</v>
      </c>
      <c r="F907" s="429">
        <v>45.0</v>
      </c>
      <c r="G907" s="429">
        <v>0.0</v>
      </c>
      <c r="H907" s="429">
        <v>27.0</v>
      </c>
      <c r="I907" s="429">
        <v>27.0</v>
      </c>
      <c r="J907" s="430">
        <v>0.0</v>
      </c>
      <c r="K907" s="376" t="s">
        <v>6688</v>
      </c>
      <c r="L907" s="376">
        <v>5.526655201E9</v>
      </c>
      <c r="M907" s="376" t="s">
        <v>286</v>
      </c>
      <c r="N907" s="376" t="s">
        <v>3746</v>
      </c>
      <c r="O907" s="376" t="s">
        <v>1416</v>
      </c>
      <c r="P907" s="376" t="s">
        <v>3941</v>
      </c>
      <c r="Q907" s="16">
        <f>COUNTIF('hedef liste'!A:A,A907)</f>
        <v>1</v>
      </c>
    </row>
    <row r="908" hidden="1">
      <c r="A908" s="376" t="s">
        <v>3559</v>
      </c>
      <c r="B908" s="376" t="s">
        <v>3560</v>
      </c>
      <c r="C908" s="428" t="s">
        <v>6979</v>
      </c>
      <c r="D908" s="376" t="s">
        <v>3699</v>
      </c>
      <c r="E908" s="429">
        <v>70.0</v>
      </c>
      <c r="F908" s="429">
        <v>18.0</v>
      </c>
      <c r="G908" s="429">
        <v>0.0</v>
      </c>
      <c r="H908" s="429">
        <v>32.0</v>
      </c>
      <c r="I908" s="429">
        <v>32.0</v>
      </c>
      <c r="J908" s="430">
        <v>0.0</v>
      </c>
      <c r="K908" s="376" t="s">
        <v>6560</v>
      </c>
      <c r="L908" s="376">
        <v>5.325913763E9</v>
      </c>
      <c r="M908" s="376" t="s">
        <v>286</v>
      </c>
      <c r="N908" s="376" t="s">
        <v>3855</v>
      </c>
      <c r="O908" s="376" t="s">
        <v>3562</v>
      </c>
      <c r="P908" s="376" t="s">
        <v>3941</v>
      </c>
      <c r="Q908" s="16">
        <f>COUNTIF('hedef liste'!A:A,A908)</f>
        <v>1</v>
      </c>
    </row>
    <row r="909" hidden="1">
      <c r="A909" s="376" t="s">
        <v>4102</v>
      </c>
      <c r="B909" s="376" t="s">
        <v>4103</v>
      </c>
      <c r="C909" s="428" t="s">
        <v>6979</v>
      </c>
      <c r="D909" s="376" t="s">
        <v>3699</v>
      </c>
      <c r="E909" s="429">
        <v>32.0</v>
      </c>
      <c r="F909" s="429">
        <v>26.0</v>
      </c>
      <c r="G909" s="429">
        <v>1.0</v>
      </c>
      <c r="H909" s="429">
        <v>18.0</v>
      </c>
      <c r="I909" s="429">
        <v>19.0</v>
      </c>
      <c r="J909" s="430">
        <v>0.05</v>
      </c>
      <c r="K909" s="376" t="s">
        <v>4104</v>
      </c>
      <c r="L909" s="376">
        <v>5.5163449E9</v>
      </c>
      <c r="M909" s="376" t="s">
        <v>3707</v>
      </c>
      <c r="N909" s="376" t="s">
        <v>4553</v>
      </c>
      <c r="O909" s="376" t="s">
        <v>4105</v>
      </c>
      <c r="P909" s="376" t="s">
        <v>3941</v>
      </c>
      <c r="Q909" s="16">
        <f>COUNTIF('hedef liste'!A:A,A909)</f>
        <v>1</v>
      </c>
    </row>
    <row r="910" hidden="1">
      <c r="A910" s="376" t="s">
        <v>6371</v>
      </c>
      <c r="B910" s="376" t="s">
        <v>6372</v>
      </c>
      <c r="C910" s="428" t="s">
        <v>6979</v>
      </c>
      <c r="D910" s="376" t="s">
        <v>3690</v>
      </c>
      <c r="E910" s="429">
        <v>191.0</v>
      </c>
      <c r="F910" s="429">
        <v>14.0</v>
      </c>
      <c r="G910" s="429">
        <v>0.0</v>
      </c>
      <c r="H910" s="429">
        <v>8.0</v>
      </c>
      <c r="I910" s="429">
        <v>8.0</v>
      </c>
      <c r="J910" s="430">
        <v>0.0</v>
      </c>
      <c r="K910" s="376" t="s">
        <v>6373</v>
      </c>
      <c r="L910" s="376">
        <v>5.326420414E9</v>
      </c>
      <c r="M910" s="376" t="s">
        <v>14</v>
      </c>
      <c r="N910" s="376" t="s">
        <v>3914</v>
      </c>
      <c r="O910" s="376" t="s">
        <v>6374</v>
      </c>
      <c r="P910" s="376" t="s">
        <v>3941</v>
      </c>
      <c r="Q910" s="16">
        <f>COUNTIF('hedef liste'!A:A,A910)</f>
        <v>1</v>
      </c>
    </row>
    <row r="911" hidden="1">
      <c r="A911" s="376" t="s">
        <v>5733</v>
      </c>
      <c r="B911" s="376" t="s">
        <v>5734</v>
      </c>
      <c r="C911" s="428" t="s">
        <v>6979</v>
      </c>
      <c r="D911" s="376" t="s">
        <v>3801</v>
      </c>
      <c r="E911" s="429">
        <v>375.0</v>
      </c>
      <c r="F911" s="429">
        <v>19.0</v>
      </c>
      <c r="G911" s="429">
        <v>7.0</v>
      </c>
      <c r="H911" s="429">
        <v>12.0</v>
      </c>
      <c r="I911" s="429">
        <v>19.0</v>
      </c>
      <c r="J911" s="430">
        <v>0.37</v>
      </c>
      <c r="K911" s="376" t="s">
        <v>5735</v>
      </c>
      <c r="L911" s="376">
        <v>5.418724404E9</v>
      </c>
      <c r="M911" s="376" t="s">
        <v>3692</v>
      </c>
      <c r="N911" s="376" t="s">
        <v>7050</v>
      </c>
      <c r="O911" s="376" t="s">
        <v>5736</v>
      </c>
      <c r="P911" s="376" t="s">
        <v>3941</v>
      </c>
      <c r="Q911" s="16">
        <f>COUNTIF('hedef liste'!A:A,A911)</f>
        <v>1</v>
      </c>
    </row>
    <row r="912" hidden="1">
      <c r="A912" s="376" t="s">
        <v>7559</v>
      </c>
      <c r="B912" s="376" t="s">
        <v>7560</v>
      </c>
      <c r="C912" s="428" t="s">
        <v>6979</v>
      </c>
      <c r="D912" s="376" t="s">
        <v>3878</v>
      </c>
      <c r="E912" s="429">
        <v>625.0</v>
      </c>
      <c r="F912" s="429">
        <v>103.0</v>
      </c>
      <c r="G912" s="429">
        <v>9.0</v>
      </c>
      <c r="H912" s="429">
        <v>9.0</v>
      </c>
      <c r="I912" s="429">
        <v>18.0</v>
      </c>
      <c r="J912" s="430">
        <v>0.5</v>
      </c>
      <c r="K912" s="376" t="s">
        <v>7561</v>
      </c>
      <c r="L912" s="376">
        <v>5.456590126E9</v>
      </c>
      <c r="M912" s="376" t="s">
        <v>14</v>
      </c>
      <c r="N912" s="376" t="s">
        <v>3797</v>
      </c>
      <c r="O912" s="376" t="s">
        <v>7562</v>
      </c>
      <c r="P912" s="376" t="s">
        <v>3941</v>
      </c>
      <c r="Q912" s="16">
        <f>COUNTIF('hedef liste'!A:A,A912)</f>
        <v>0</v>
      </c>
    </row>
    <row r="913" hidden="1">
      <c r="A913" s="376" t="s">
        <v>5470</v>
      </c>
      <c r="B913" s="376" t="s">
        <v>1584</v>
      </c>
      <c r="C913" s="428" t="s">
        <v>6979</v>
      </c>
      <c r="D913" s="376" t="s">
        <v>4092</v>
      </c>
      <c r="E913" s="429">
        <v>190.0</v>
      </c>
      <c r="F913" s="429">
        <v>23.0</v>
      </c>
      <c r="G913" s="429">
        <v>0.0</v>
      </c>
      <c r="H913" s="429">
        <v>20.0</v>
      </c>
      <c r="I913" s="429">
        <v>20.0</v>
      </c>
      <c r="J913" s="430">
        <v>0.0</v>
      </c>
      <c r="K913" s="376" t="s">
        <v>5471</v>
      </c>
      <c r="L913" s="376">
        <v>5.536288275E9</v>
      </c>
      <c r="M913" s="376" t="s">
        <v>14</v>
      </c>
      <c r="N913" s="376" t="s">
        <v>3733</v>
      </c>
      <c r="O913" s="376" t="s">
        <v>5472</v>
      </c>
      <c r="P913" s="376" t="s">
        <v>3941</v>
      </c>
      <c r="Q913" s="16">
        <f>COUNTIF('hedef liste'!A:A,A913)</f>
        <v>1</v>
      </c>
    </row>
    <row r="914" hidden="1">
      <c r="A914" s="376" t="s">
        <v>4767</v>
      </c>
      <c r="B914" s="376" t="s">
        <v>4768</v>
      </c>
      <c r="C914" s="428" t="s">
        <v>6979</v>
      </c>
      <c r="D914" s="376" t="s">
        <v>3676</v>
      </c>
      <c r="E914" s="429">
        <v>277.0</v>
      </c>
      <c r="F914" s="429">
        <v>25.0</v>
      </c>
      <c r="G914" s="429">
        <v>0.0</v>
      </c>
      <c r="H914" s="429">
        <v>9.0</v>
      </c>
      <c r="I914" s="429">
        <v>9.0</v>
      </c>
      <c r="J914" s="430">
        <v>0.0</v>
      </c>
      <c r="K914" s="376" t="s">
        <v>4769</v>
      </c>
      <c r="L914" s="376">
        <v>5.52354512E9</v>
      </c>
      <c r="M914" s="376" t="s">
        <v>3692</v>
      </c>
      <c r="N914" s="376" t="s">
        <v>3721</v>
      </c>
      <c r="O914" s="376" t="s">
        <v>4770</v>
      </c>
      <c r="P914" s="376" t="s">
        <v>3941</v>
      </c>
      <c r="Q914" s="16">
        <f>COUNTIF('hedef liste'!A:A,A914)</f>
        <v>1</v>
      </c>
    </row>
    <row r="915" hidden="1">
      <c r="A915" s="376" t="s">
        <v>4871</v>
      </c>
      <c r="B915" s="376" t="s">
        <v>4872</v>
      </c>
      <c r="C915" s="428" t="s">
        <v>6979</v>
      </c>
      <c r="D915" s="376" t="s">
        <v>3759</v>
      </c>
      <c r="E915" s="429">
        <v>106.0</v>
      </c>
      <c r="F915" s="429">
        <v>8.0</v>
      </c>
      <c r="G915" s="429">
        <v>0.0</v>
      </c>
      <c r="H915" s="429">
        <v>9.0</v>
      </c>
      <c r="I915" s="429">
        <v>9.0</v>
      </c>
      <c r="J915" s="430">
        <v>0.0</v>
      </c>
      <c r="K915" s="376" t="s">
        <v>4873</v>
      </c>
      <c r="L915" s="376">
        <v>5.421944001E9</v>
      </c>
      <c r="M915" s="376" t="s">
        <v>286</v>
      </c>
      <c r="N915" s="376" t="s">
        <v>4874</v>
      </c>
      <c r="O915" s="376" t="s">
        <v>4875</v>
      </c>
      <c r="P915" s="376" t="s">
        <v>3941</v>
      </c>
      <c r="Q915" s="16">
        <f>COUNTIF('hedef liste'!A:A,A915)</f>
        <v>1</v>
      </c>
    </row>
    <row r="916" hidden="1">
      <c r="A916" s="376" t="s">
        <v>4782</v>
      </c>
      <c r="B916" s="376" t="s">
        <v>4783</v>
      </c>
      <c r="C916" s="428" t="s">
        <v>6979</v>
      </c>
      <c r="D916" s="376" t="s">
        <v>3676</v>
      </c>
      <c r="E916" s="429">
        <v>304.0</v>
      </c>
      <c r="F916" s="431"/>
      <c r="G916" s="429">
        <v>0.0</v>
      </c>
      <c r="H916" s="429">
        <v>9.0</v>
      </c>
      <c r="I916" s="429">
        <v>9.0</v>
      </c>
      <c r="J916" s="430">
        <v>0.0</v>
      </c>
      <c r="K916" s="376" t="s">
        <v>4784</v>
      </c>
      <c r="L916" s="376">
        <v>5.42323909E9</v>
      </c>
      <c r="M916" s="376" t="s">
        <v>3707</v>
      </c>
      <c r="N916" s="376" t="s">
        <v>4627</v>
      </c>
      <c r="O916" s="376" t="s">
        <v>4785</v>
      </c>
      <c r="P916" s="376" t="s">
        <v>3941</v>
      </c>
      <c r="Q916" s="16">
        <f>COUNTIF('hedef liste'!A:A,A916)</f>
        <v>1</v>
      </c>
    </row>
    <row r="917" hidden="1">
      <c r="A917" s="376" t="s">
        <v>1091</v>
      </c>
      <c r="B917" s="376" t="s">
        <v>7563</v>
      </c>
      <c r="C917" s="428" t="s">
        <v>6979</v>
      </c>
      <c r="D917" s="376" t="s">
        <v>3690</v>
      </c>
      <c r="E917" s="429">
        <v>2978.0</v>
      </c>
      <c r="F917" s="429">
        <v>2.0</v>
      </c>
      <c r="G917" s="429">
        <v>0.0</v>
      </c>
      <c r="H917" s="429">
        <v>10.0</v>
      </c>
      <c r="I917" s="429">
        <v>10.0</v>
      </c>
      <c r="J917" s="430">
        <v>0.0</v>
      </c>
      <c r="K917" s="376" t="s">
        <v>6775</v>
      </c>
      <c r="L917" s="376">
        <v>5.382140402E9</v>
      </c>
      <c r="M917" s="376" t="s">
        <v>14</v>
      </c>
      <c r="N917" s="376" t="s">
        <v>3935</v>
      </c>
      <c r="O917" s="376" t="s">
        <v>1094</v>
      </c>
      <c r="P917" s="376" t="s">
        <v>3941</v>
      </c>
      <c r="Q917" s="16">
        <f>COUNTIF('hedef liste'!A:A,A917)</f>
        <v>1</v>
      </c>
    </row>
    <row r="918" hidden="1">
      <c r="A918" s="376" t="s">
        <v>7564</v>
      </c>
      <c r="B918" s="376" t="s">
        <v>7565</v>
      </c>
      <c r="C918" s="428" t="s">
        <v>6979</v>
      </c>
      <c r="D918" s="376" t="s">
        <v>3801</v>
      </c>
      <c r="E918" s="429">
        <v>264.0</v>
      </c>
      <c r="F918" s="429">
        <v>30.0</v>
      </c>
      <c r="G918" s="429">
        <v>65.0</v>
      </c>
      <c r="H918" s="429">
        <v>7.0</v>
      </c>
      <c r="I918" s="429">
        <v>72.0</v>
      </c>
      <c r="J918" s="430">
        <v>0.9</v>
      </c>
      <c r="K918" s="376" t="s">
        <v>6998</v>
      </c>
      <c r="L918" s="376">
        <v>5.436829786E9</v>
      </c>
      <c r="M918" s="376" t="s">
        <v>286</v>
      </c>
      <c r="N918" s="376" t="s">
        <v>3685</v>
      </c>
      <c r="O918" s="376" t="s">
        <v>7566</v>
      </c>
      <c r="P918" s="376" t="s">
        <v>6982</v>
      </c>
      <c r="Q918" s="16">
        <f>COUNTIF('hedef liste'!A:A,A918)</f>
        <v>0</v>
      </c>
    </row>
    <row r="919" hidden="1">
      <c r="A919" s="376" t="s">
        <v>6861</v>
      </c>
      <c r="B919" s="376" t="s">
        <v>3506</v>
      </c>
      <c r="C919" s="428" t="s">
        <v>7011</v>
      </c>
      <c r="D919" s="376" t="s">
        <v>3842</v>
      </c>
      <c r="E919" s="429">
        <v>7.0</v>
      </c>
      <c r="F919" s="431"/>
      <c r="G919" s="429">
        <v>0.0</v>
      </c>
      <c r="H919" s="429">
        <v>18.0</v>
      </c>
      <c r="I919" s="429">
        <v>18.0</v>
      </c>
      <c r="J919" s="430">
        <v>0.0</v>
      </c>
      <c r="K919" s="376" t="s">
        <v>6862</v>
      </c>
      <c r="L919" s="376">
        <v>5.076403798E9</v>
      </c>
      <c r="M919" s="376" t="s">
        <v>14</v>
      </c>
      <c r="N919" s="376" t="s">
        <v>3767</v>
      </c>
      <c r="O919" s="376" t="s">
        <v>3508</v>
      </c>
      <c r="P919" s="376" t="s">
        <v>3941</v>
      </c>
      <c r="Q919" s="16">
        <f>COUNTIF('hedef liste'!A:A,A919)</f>
        <v>1</v>
      </c>
    </row>
    <row r="920" hidden="1">
      <c r="A920" s="376" t="s">
        <v>7567</v>
      </c>
      <c r="B920" s="376" t="s">
        <v>2834</v>
      </c>
      <c r="C920" s="428" t="s">
        <v>6979</v>
      </c>
      <c r="D920" s="376" t="s">
        <v>3676</v>
      </c>
      <c r="E920" s="429">
        <v>344.0</v>
      </c>
      <c r="F920" s="429">
        <v>42.0</v>
      </c>
      <c r="G920" s="429">
        <v>3.0</v>
      </c>
      <c r="H920" s="429">
        <v>0.0</v>
      </c>
      <c r="I920" s="429">
        <v>3.0</v>
      </c>
      <c r="J920" s="430">
        <v>1.0</v>
      </c>
      <c r="K920" s="376" t="s">
        <v>7568</v>
      </c>
      <c r="L920" s="376">
        <v>3.225029096E9</v>
      </c>
      <c r="M920" s="376" t="s">
        <v>286</v>
      </c>
      <c r="N920" s="376" t="s">
        <v>3746</v>
      </c>
      <c r="O920" s="376" t="s">
        <v>2836</v>
      </c>
      <c r="P920" s="376" t="s">
        <v>3941</v>
      </c>
      <c r="Q920" s="16">
        <f>COUNTIF('hedef liste'!A:A,A920)</f>
        <v>0</v>
      </c>
    </row>
    <row r="921" hidden="1">
      <c r="A921" s="376" t="s">
        <v>7569</v>
      </c>
      <c r="B921" s="376" t="s">
        <v>7570</v>
      </c>
      <c r="C921" s="428" t="s">
        <v>7011</v>
      </c>
      <c r="D921" s="376" t="s">
        <v>4907</v>
      </c>
      <c r="E921" s="431"/>
      <c r="F921" s="431"/>
      <c r="G921" s="429">
        <v>249.0</v>
      </c>
      <c r="H921" s="429">
        <v>2.0</v>
      </c>
      <c r="I921" s="429">
        <v>251.0</v>
      </c>
      <c r="J921" s="430">
        <v>0.99</v>
      </c>
      <c r="K921" s="376" t="s">
        <v>7162</v>
      </c>
      <c r="L921" s="376">
        <v>3.224604019E9</v>
      </c>
      <c r="M921" s="376" t="s">
        <v>14</v>
      </c>
      <c r="N921" s="376" t="s">
        <v>3733</v>
      </c>
      <c r="O921" s="376" t="s">
        <v>7571</v>
      </c>
      <c r="P921" s="376" t="s">
        <v>6982</v>
      </c>
      <c r="Q921" s="16">
        <f>COUNTIF('hedef liste'!A:A,A921)</f>
        <v>0</v>
      </c>
    </row>
    <row r="922" hidden="1">
      <c r="A922" s="376" t="s">
        <v>4122</v>
      </c>
      <c r="B922" s="376" t="s">
        <v>4123</v>
      </c>
      <c r="C922" s="428" t="s">
        <v>6979</v>
      </c>
      <c r="D922" s="376" t="s">
        <v>4124</v>
      </c>
      <c r="E922" s="429">
        <v>2.0</v>
      </c>
      <c r="F922" s="429">
        <v>1.0</v>
      </c>
      <c r="G922" s="429">
        <v>0.0</v>
      </c>
      <c r="H922" s="429">
        <v>6.0</v>
      </c>
      <c r="I922" s="429">
        <v>6.0</v>
      </c>
      <c r="J922" s="430">
        <v>0.0</v>
      </c>
      <c r="K922" s="376" t="s">
        <v>4125</v>
      </c>
      <c r="L922" s="376">
        <v>5.42655553E9</v>
      </c>
      <c r="M922" s="376" t="s">
        <v>14</v>
      </c>
      <c r="N922" s="376" t="s">
        <v>3797</v>
      </c>
      <c r="O922" s="376" t="s">
        <v>4126</v>
      </c>
      <c r="P922" s="376" t="s">
        <v>3941</v>
      </c>
      <c r="Q922" s="16">
        <f>COUNTIF('hedef liste'!A:A,A922)</f>
        <v>1</v>
      </c>
    </row>
    <row r="923" hidden="1">
      <c r="A923" s="376" t="s">
        <v>7572</v>
      </c>
      <c r="B923" s="376" t="s">
        <v>7573</v>
      </c>
      <c r="C923" s="428" t="s">
        <v>6979</v>
      </c>
      <c r="D923" s="376" t="s">
        <v>4907</v>
      </c>
      <c r="E923" s="429">
        <v>4865.0</v>
      </c>
      <c r="F923" s="429">
        <v>208.0</v>
      </c>
      <c r="G923" s="429">
        <v>90.0</v>
      </c>
      <c r="H923" s="429">
        <v>1.0</v>
      </c>
      <c r="I923" s="429">
        <v>91.0</v>
      </c>
      <c r="J923" s="430">
        <v>0.99</v>
      </c>
      <c r="K923" s="376" t="s">
        <v>7089</v>
      </c>
      <c r="L923" s="376">
        <v>8.50969718E8</v>
      </c>
      <c r="M923" s="376" t="s">
        <v>286</v>
      </c>
      <c r="N923" s="376" t="s">
        <v>3688</v>
      </c>
      <c r="O923" s="376" t="s">
        <v>7574</v>
      </c>
      <c r="P923" s="376" t="s">
        <v>6982</v>
      </c>
      <c r="Q923" s="16">
        <f>COUNTIF('hedef liste'!A:A,A923)</f>
        <v>0</v>
      </c>
    </row>
    <row r="924" hidden="1">
      <c r="A924" s="376" t="s">
        <v>7575</v>
      </c>
      <c r="B924" s="376" t="s">
        <v>7576</v>
      </c>
      <c r="C924" s="428" t="s">
        <v>6979</v>
      </c>
      <c r="D924" s="376" t="s">
        <v>4907</v>
      </c>
      <c r="E924" s="429">
        <v>4589.0</v>
      </c>
      <c r="F924" s="429">
        <v>478.0</v>
      </c>
      <c r="G924" s="429">
        <v>84.0</v>
      </c>
      <c r="H924" s="429">
        <v>2.0</v>
      </c>
      <c r="I924" s="429">
        <v>86.0</v>
      </c>
      <c r="J924" s="430">
        <v>0.98</v>
      </c>
      <c r="K924" s="376" t="s">
        <v>7089</v>
      </c>
      <c r="L924" s="376">
        <v>3.224595243E9</v>
      </c>
      <c r="M924" s="376" t="s">
        <v>286</v>
      </c>
      <c r="N924" s="376" t="s">
        <v>3737</v>
      </c>
      <c r="O924" s="376" t="s">
        <v>7577</v>
      </c>
      <c r="P924" s="376" t="s">
        <v>6982</v>
      </c>
      <c r="Q924" s="16">
        <f>COUNTIF('hedef liste'!A:A,A924)</f>
        <v>0</v>
      </c>
    </row>
    <row r="925" hidden="1">
      <c r="A925" s="376" t="s">
        <v>7578</v>
      </c>
      <c r="B925" s="376" t="s">
        <v>7579</v>
      </c>
      <c r="C925" s="428" t="s">
        <v>6979</v>
      </c>
      <c r="D925" s="376" t="s">
        <v>4907</v>
      </c>
      <c r="E925" s="429">
        <v>4427.0</v>
      </c>
      <c r="F925" s="429">
        <v>154.0</v>
      </c>
      <c r="G925" s="429">
        <v>66.0</v>
      </c>
      <c r="H925" s="429">
        <v>1.0</v>
      </c>
      <c r="I925" s="429">
        <v>67.0</v>
      </c>
      <c r="J925" s="430">
        <v>0.99</v>
      </c>
      <c r="K925" s="376" t="s">
        <v>7089</v>
      </c>
      <c r="L925" s="376">
        <v>3.225024452E9</v>
      </c>
      <c r="M925" s="376" t="s">
        <v>286</v>
      </c>
      <c r="N925" s="376" t="s">
        <v>3855</v>
      </c>
      <c r="O925" s="376" t="s">
        <v>7580</v>
      </c>
      <c r="P925" s="376" t="s">
        <v>6982</v>
      </c>
      <c r="Q925" s="16">
        <f>COUNTIF('hedef liste'!A:A,A925)</f>
        <v>0</v>
      </c>
    </row>
    <row r="926" hidden="1">
      <c r="A926" s="376" t="s">
        <v>7581</v>
      </c>
      <c r="B926" s="376" t="s">
        <v>7582</v>
      </c>
      <c r="C926" s="428" t="s">
        <v>6979</v>
      </c>
      <c r="D926" s="376" t="s">
        <v>4907</v>
      </c>
      <c r="E926" s="429">
        <v>5786.0</v>
      </c>
      <c r="F926" s="429">
        <v>312.0</v>
      </c>
      <c r="G926" s="429">
        <v>81.0</v>
      </c>
      <c r="H926" s="429">
        <v>1.0</v>
      </c>
      <c r="I926" s="429">
        <v>82.0</v>
      </c>
      <c r="J926" s="430">
        <v>0.99</v>
      </c>
      <c r="K926" s="376" t="s">
        <v>7089</v>
      </c>
      <c r="L926" s="376">
        <v>3.225025596E9</v>
      </c>
      <c r="M926" s="376" t="s">
        <v>14</v>
      </c>
      <c r="N926" s="376" t="s">
        <v>3797</v>
      </c>
      <c r="O926" s="376" t="s">
        <v>7583</v>
      </c>
      <c r="P926" s="376" t="s">
        <v>6982</v>
      </c>
      <c r="Q926" s="16">
        <f>COUNTIF('hedef liste'!A:A,A926)</f>
        <v>0</v>
      </c>
    </row>
    <row r="927" hidden="1">
      <c r="A927" s="376" t="s">
        <v>7584</v>
      </c>
      <c r="B927" s="376" t="s">
        <v>7585</v>
      </c>
      <c r="C927" s="428" t="s">
        <v>6979</v>
      </c>
      <c r="D927" s="376" t="s">
        <v>4000</v>
      </c>
      <c r="E927" s="429">
        <v>2148.0</v>
      </c>
      <c r="F927" s="429">
        <v>124.0</v>
      </c>
      <c r="G927" s="429">
        <v>101.0</v>
      </c>
      <c r="H927" s="429">
        <v>0.0</v>
      </c>
      <c r="I927" s="429">
        <v>101.0</v>
      </c>
      <c r="J927" s="433">
        <v>1.0</v>
      </c>
      <c r="K927" s="376" t="s">
        <v>7111</v>
      </c>
      <c r="L927" s="376">
        <v>9.999999999E9</v>
      </c>
      <c r="M927" s="376" t="s">
        <v>286</v>
      </c>
      <c r="N927" s="376" t="s">
        <v>7292</v>
      </c>
      <c r="O927" s="376" t="s">
        <v>7586</v>
      </c>
      <c r="P927" s="376" t="s">
        <v>6982</v>
      </c>
      <c r="Q927" s="16">
        <f>COUNTIF('hedef liste'!A:A,A927)</f>
        <v>0</v>
      </c>
    </row>
    <row r="928" hidden="1">
      <c r="A928" s="376" t="s">
        <v>7587</v>
      </c>
      <c r="B928" s="376" t="s">
        <v>7588</v>
      </c>
      <c r="C928" s="428" t="s">
        <v>6979</v>
      </c>
      <c r="D928" s="376" t="s">
        <v>4249</v>
      </c>
      <c r="E928" s="429">
        <v>1526.0</v>
      </c>
      <c r="F928" s="429">
        <v>56.0</v>
      </c>
      <c r="G928" s="429">
        <v>58.0</v>
      </c>
      <c r="H928" s="429">
        <v>1.0</v>
      </c>
      <c r="I928" s="429">
        <v>59.0</v>
      </c>
      <c r="J928" s="433">
        <v>0.98</v>
      </c>
      <c r="K928" s="376" t="s">
        <v>7111</v>
      </c>
      <c r="L928" s="376">
        <v>9.999999999E9</v>
      </c>
      <c r="M928" s="376" t="s">
        <v>3707</v>
      </c>
      <c r="N928" s="376" t="s">
        <v>5245</v>
      </c>
      <c r="O928" s="376" t="s">
        <v>7212</v>
      </c>
      <c r="P928" s="376" t="s">
        <v>6982</v>
      </c>
      <c r="Q928" s="16">
        <f>COUNTIF('hedef liste'!A:A,A928)</f>
        <v>0</v>
      </c>
    </row>
    <row r="929" hidden="1">
      <c r="A929" s="376" t="s">
        <v>685</v>
      </c>
      <c r="B929" s="376" t="s">
        <v>686</v>
      </c>
      <c r="C929" s="428" t="s">
        <v>6979</v>
      </c>
      <c r="D929" s="376" t="s">
        <v>3907</v>
      </c>
      <c r="E929" s="429">
        <v>379.0</v>
      </c>
      <c r="F929" s="429">
        <v>30.0</v>
      </c>
      <c r="G929" s="429">
        <v>21.0</v>
      </c>
      <c r="H929" s="429">
        <v>13.0</v>
      </c>
      <c r="I929" s="429">
        <v>34.0</v>
      </c>
      <c r="J929" s="433">
        <v>0.62</v>
      </c>
      <c r="K929" s="376" t="s">
        <v>3823</v>
      </c>
      <c r="L929" s="376">
        <v>5.449234554E9</v>
      </c>
      <c r="M929" s="376" t="s">
        <v>14</v>
      </c>
      <c r="N929" s="376" t="s">
        <v>3733</v>
      </c>
      <c r="O929" s="376" t="s">
        <v>688</v>
      </c>
      <c r="P929" s="376" t="s">
        <v>3941</v>
      </c>
      <c r="Q929" s="16">
        <f>COUNTIF('hedef liste'!A:A,A929)</f>
        <v>1</v>
      </c>
    </row>
    <row r="930" hidden="1">
      <c r="A930" s="376" t="s">
        <v>3089</v>
      </c>
      <c r="B930" s="376" t="s">
        <v>3090</v>
      </c>
      <c r="C930" s="428" t="s">
        <v>6979</v>
      </c>
      <c r="D930" s="376" t="s">
        <v>3690</v>
      </c>
      <c r="E930" s="429">
        <v>808.0</v>
      </c>
      <c r="F930" s="429">
        <v>57.0</v>
      </c>
      <c r="G930" s="429">
        <v>6.0</v>
      </c>
      <c r="H930" s="429">
        <v>6.0</v>
      </c>
      <c r="I930" s="429">
        <v>12.0</v>
      </c>
      <c r="J930" s="430">
        <v>0.5</v>
      </c>
      <c r="K930" s="376" t="s">
        <v>6658</v>
      </c>
      <c r="L930" s="376">
        <v>5.461730133E9</v>
      </c>
      <c r="M930" s="376" t="s">
        <v>286</v>
      </c>
      <c r="N930" s="376" t="s">
        <v>5904</v>
      </c>
      <c r="O930" s="376" t="s">
        <v>3092</v>
      </c>
      <c r="P930" s="376" t="s">
        <v>3941</v>
      </c>
      <c r="Q930" s="16">
        <f>COUNTIF('hedef liste'!A:A,A930)</f>
        <v>1</v>
      </c>
    </row>
    <row r="931" hidden="1">
      <c r="A931" s="376" t="s">
        <v>5002</v>
      </c>
      <c r="B931" s="376" t="s">
        <v>5003</v>
      </c>
      <c r="C931" s="428" t="s">
        <v>6979</v>
      </c>
      <c r="D931" s="376" t="s">
        <v>3994</v>
      </c>
      <c r="E931" s="429">
        <v>1184.0</v>
      </c>
      <c r="F931" s="429">
        <v>92.0</v>
      </c>
      <c r="G931" s="429">
        <v>0.0</v>
      </c>
      <c r="H931" s="429">
        <v>94.0</v>
      </c>
      <c r="I931" s="429">
        <v>94.0</v>
      </c>
      <c r="J931" s="430">
        <v>0.0</v>
      </c>
      <c r="K931" s="376" t="s">
        <v>5004</v>
      </c>
      <c r="L931" s="376">
        <v>5.336765249E9</v>
      </c>
      <c r="M931" s="376" t="s">
        <v>286</v>
      </c>
      <c r="N931" s="376" t="s">
        <v>4451</v>
      </c>
      <c r="O931" s="376" t="s">
        <v>5005</v>
      </c>
      <c r="P931" s="376" t="s">
        <v>3941</v>
      </c>
      <c r="Q931" s="16">
        <f>COUNTIF('hedef liste'!A:A,A931)</f>
        <v>1</v>
      </c>
    </row>
    <row r="932" hidden="1">
      <c r="A932" s="376" t="s">
        <v>3324</v>
      </c>
      <c r="B932" s="376" t="s">
        <v>3325</v>
      </c>
      <c r="C932" s="428" t="s">
        <v>6979</v>
      </c>
      <c r="D932" s="376" t="s">
        <v>3713</v>
      </c>
      <c r="E932" s="429">
        <v>518.0</v>
      </c>
      <c r="F932" s="429">
        <v>60.0</v>
      </c>
      <c r="G932" s="429">
        <v>11.0</v>
      </c>
      <c r="H932" s="429">
        <v>8.0</v>
      </c>
      <c r="I932" s="429">
        <v>19.0</v>
      </c>
      <c r="J932" s="430">
        <v>0.58</v>
      </c>
      <c r="K932" s="376" t="s">
        <v>4259</v>
      </c>
      <c r="L932" s="376">
        <v>5.491750101E9</v>
      </c>
      <c r="M932" s="376" t="s">
        <v>286</v>
      </c>
      <c r="N932" s="376" t="s">
        <v>4260</v>
      </c>
      <c r="O932" s="376" t="s">
        <v>3328</v>
      </c>
      <c r="P932" s="376" t="s">
        <v>3941</v>
      </c>
      <c r="Q932" s="16">
        <f>COUNTIF('hedef liste'!A:A,A932)</f>
        <v>1</v>
      </c>
    </row>
    <row r="933" hidden="1">
      <c r="A933" s="376" t="s">
        <v>3417</v>
      </c>
      <c r="B933" s="376" t="s">
        <v>3418</v>
      </c>
      <c r="C933" s="428" t="s">
        <v>6979</v>
      </c>
      <c r="D933" s="376" t="s">
        <v>3749</v>
      </c>
      <c r="E933" s="429">
        <v>698.0</v>
      </c>
      <c r="F933" s="429">
        <v>241.0</v>
      </c>
      <c r="G933" s="429">
        <v>9.0</v>
      </c>
      <c r="H933" s="429">
        <v>7.0</v>
      </c>
      <c r="I933" s="429">
        <v>16.0</v>
      </c>
      <c r="J933" s="430">
        <v>0.56</v>
      </c>
      <c r="K933" s="376" t="s">
        <v>6724</v>
      </c>
      <c r="L933" s="376">
        <v>5.336620491E9</v>
      </c>
      <c r="M933" s="376" t="s">
        <v>286</v>
      </c>
      <c r="N933" s="376" t="s">
        <v>3754</v>
      </c>
      <c r="O933" s="376" t="s">
        <v>6725</v>
      </c>
      <c r="P933" s="376" t="s">
        <v>3941</v>
      </c>
      <c r="Q933" s="16">
        <f>COUNTIF('hedef liste'!A:A,A933)</f>
        <v>1</v>
      </c>
    </row>
    <row r="934" hidden="1">
      <c r="A934" s="376" t="s">
        <v>3253</v>
      </c>
      <c r="B934" s="376" t="s">
        <v>3254</v>
      </c>
      <c r="C934" s="428" t="s">
        <v>6979</v>
      </c>
      <c r="D934" s="376" t="s">
        <v>3699</v>
      </c>
      <c r="E934" s="429">
        <v>832.0</v>
      </c>
      <c r="F934" s="429">
        <v>62.0</v>
      </c>
      <c r="G934" s="429">
        <v>24.0</v>
      </c>
      <c r="H934" s="429">
        <v>25.0</v>
      </c>
      <c r="I934" s="429">
        <v>49.0</v>
      </c>
      <c r="J934" s="430">
        <v>0.49</v>
      </c>
      <c r="K934" s="376" t="s">
        <v>5394</v>
      </c>
      <c r="L934" s="376">
        <v>3.222550013E9</v>
      </c>
      <c r="M934" s="376" t="s">
        <v>14</v>
      </c>
      <c r="N934" s="376" t="s">
        <v>3935</v>
      </c>
      <c r="O934" s="376" t="s">
        <v>3257</v>
      </c>
      <c r="P934" s="376" t="s">
        <v>3941</v>
      </c>
      <c r="Q934" s="16">
        <f>COUNTIF('hedef liste'!A:A,A934)</f>
        <v>1</v>
      </c>
    </row>
    <row r="935" hidden="1">
      <c r="A935" s="376" t="s">
        <v>6108</v>
      </c>
      <c r="B935" s="376" t="s">
        <v>6109</v>
      </c>
      <c r="C935" s="428" t="s">
        <v>6979</v>
      </c>
      <c r="D935" s="376" t="s">
        <v>3883</v>
      </c>
      <c r="E935" s="429">
        <v>320.0</v>
      </c>
      <c r="F935" s="429">
        <v>87.0</v>
      </c>
      <c r="G935" s="429">
        <v>0.0</v>
      </c>
      <c r="H935" s="429">
        <v>88.0</v>
      </c>
      <c r="I935" s="429">
        <v>88.0</v>
      </c>
      <c r="J935" s="433">
        <v>0.0</v>
      </c>
      <c r="K935" s="376" t="s">
        <v>6110</v>
      </c>
      <c r="L935" s="376">
        <v>3.224590644E9</v>
      </c>
      <c r="M935" s="376" t="s">
        <v>286</v>
      </c>
      <c r="N935" s="376" t="s">
        <v>3806</v>
      </c>
      <c r="O935" s="376" t="s">
        <v>6111</v>
      </c>
      <c r="P935" s="376" t="s">
        <v>3941</v>
      </c>
      <c r="Q935" s="16">
        <f>COUNTIF('hedef liste'!A:A,A935)</f>
        <v>1</v>
      </c>
    </row>
    <row r="936" hidden="1">
      <c r="A936" s="376" t="s">
        <v>3404</v>
      </c>
      <c r="B936" s="376" t="s">
        <v>3405</v>
      </c>
      <c r="C936" s="428" t="s">
        <v>6979</v>
      </c>
      <c r="D936" s="376" t="s">
        <v>3676</v>
      </c>
      <c r="E936" s="429">
        <v>109.0</v>
      </c>
      <c r="F936" s="429">
        <v>34.0</v>
      </c>
      <c r="G936" s="429">
        <v>28.0</v>
      </c>
      <c r="H936" s="429">
        <v>5.0</v>
      </c>
      <c r="I936" s="429">
        <v>33.0</v>
      </c>
      <c r="J936" s="430">
        <v>0.85</v>
      </c>
      <c r="K936" s="376" t="s">
        <v>4842</v>
      </c>
      <c r="L936" s="376">
        <v>3.222261006E9</v>
      </c>
      <c r="M936" s="376" t="s">
        <v>286</v>
      </c>
      <c r="N936" s="376" t="s">
        <v>3754</v>
      </c>
      <c r="O936" s="376" t="s">
        <v>3407</v>
      </c>
      <c r="P936" s="376" t="s">
        <v>3941</v>
      </c>
      <c r="Q936" s="16">
        <f>COUNTIF('hedef liste'!A:A,A936)</f>
        <v>1</v>
      </c>
    </row>
    <row r="937" hidden="1">
      <c r="A937" s="376" t="s">
        <v>6651</v>
      </c>
      <c r="B937" s="376" t="s">
        <v>6652</v>
      </c>
      <c r="C937" s="428" t="s">
        <v>6979</v>
      </c>
      <c r="D937" s="376" t="s">
        <v>3842</v>
      </c>
      <c r="E937" s="429">
        <v>142.0</v>
      </c>
      <c r="F937" s="429">
        <v>22.0</v>
      </c>
      <c r="G937" s="429">
        <v>0.0</v>
      </c>
      <c r="H937" s="429">
        <v>22.0</v>
      </c>
      <c r="I937" s="429">
        <v>22.0</v>
      </c>
      <c r="J937" s="433">
        <v>0.0</v>
      </c>
      <c r="K937" s="376" t="s">
        <v>6653</v>
      </c>
      <c r="L937" s="376">
        <v>5.303800968E9</v>
      </c>
      <c r="M937" s="376" t="s">
        <v>14</v>
      </c>
      <c r="N937" s="376" t="s">
        <v>3935</v>
      </c>
      <c r="O937" s="376" t="s">
        <v>6654</v>
      </c>
      <c r="P937" s="376" t="s">
        <v>3941</v>
      </c>
      <c r="Q937" s="16">
        <f>COUNTIF('hedef liste'!A:A,A937)</f>
        <v>1</v>
      </c>
    </row>
    <row r="938" hidden="1">
      <c r="A938" s="376" t="s">
        <v>6101</v>
      </c>
      <c r="B938" s="376" t="s">
        <v>6102</v>
      </c>
      <c r="C938" s="428" t="s">
        <v>6979</v>
      </c>
      <c r="D938" s="376" t="s">
        <v>3699</v>
      </c>
      <c r="E938" s="429">
        <v>15.0</v>
      </c>
      <c r="F938" s="429">
        <v>3.0</v>
      </c>
      <c r="G938" s="429">
        <v>0.0</v>
      </c>
      <c r="H938" s="429">
        <v>88.0</v>
      </c>
      <c r="I938" s="429">
        <v>88.0</v>
      </c>
      <c r="J938" s="430">
        <v>0.0</v>
      </c>
      <c r="K938" s="376" t="s">
        <v>6103</v>
      </c>
      <c r="L938" s="376">
        <v>3.224595152E9</v>
      </c>
      <c r="M938" s="376" t="s">
        <v>286</v>
      </c>
      <c r="N938" s="376" t="s">
        <v>3737</v>
      </c>
      <c r="O938" s="376" t="s">
        <v>6104</v>
      </c>
      <c r="P938" s="376" t="s">
        <v>3941</v>
      </c>
      <c r="Q938" s="16">
        <f>COUNTIF('hedef liste'!A:A,A938)</f>
        <v>1</v>
      </c>
    </row>
    <row r="939" hidden="1">
      <c r="A939" s="376" t="s">
        <v>6171</v>
      </c>
      <c r="B939" s="376" t="s">
        <v>6172</v>
      </c>
      <c r="C939" s="428" t="s">
        <v>6979</v>
      </c>
      <c r="D939" s="376" t="s">
        <v>4000</v>
      </c>
      <c r="E939" s="429">
        <v>1109.0</v>
      </c>
      <c r="F939" s="429">
        <v>152.0</v>
      </c>
      <c r="G939" s="429">
        <v>1.0</v>
      </c>
      <c r="H939" s="429">
        <v>13.0</v>
      </c>
      <c r="I939" s="429">
        <v>14.0</v>
      </c>
      <c r="J939" s="430">
        <v>0.07</v>
      </c>
      <c r="K939" s="376" t="s">
        <v>6173</v>
      </c>
      <c r="L939" s="376">
        <v>3.229995069E9</v>
      </c>
      <c r="M939" s="376" t="s">
        <v>14</v>
      </c>
      <c r="N939" s="376" t="s">
        <v>3733</v>
      </c>
      <c r="O939" s="376" t="s">
        <v>3279</v>
      </c>
      <c r="P939" s="376" t="s">
        <v>3941</v>
      </c>
      <c r="Q939" s="16">
        <f>COUNTIF('hedef liste'!A:A,A939)</f>
        <v>1</v>
      </c>
    </row>
    <row r="940" hidden="1">
      <c r="A940" s="376" t="s">
        <v>5351</v>
      </c>
      <c r="B940" s="376" t="s">
        <v>5352</v>
      </c>
      <c r="C940" s="428" t="s">
        <v>6979</v>
      </c>
      <c r="D940" s="376" t="s">
        <v>3676</v>
      </c>
      <c r="E940" s="429">
        <v>398.0</v>
      </c>
      <c r="F940" s="429">
        <v>158.0</v>
      </c>
      <c r="G940" s="429">
        <v>0.0</v>
      </c>
      <c r="H940" s="429">
        <v>36.0</v>
      </c>
      <c r="I940" s="429">
        <v>36.0</v>
      </c>
      <c r="J940" s="430">
        <v>0.0</v>
      </c>
      <c r="K940" s="376" t="s">
        <v>5353</v>
      </c>
      <c r="L940" s="376">
        <v>3.22231303E9</v>
      </c>
      <c r="M940" s="376" t="s">
        <v>14</v>
      </c>
      <c r="N940" s="376" t="s">
        <v>3797</v>
      </c>
      <c r="O940" s="376" t="s">
        <v>5354</v>
      </c>
      <c r="P940" s="376" t="s">
        <v>3941</v>
      </c>
      <c r="Q940" s="16">
        <f>COUNTIF('hedef liste'!A:A,A940)</f>
        <v>1</v>
      </c>
    </row>
    <row r="941" hidden="1">
      <c r="A941" s="376" t="s">
        <v>7589</v>
      </c>
      <c r="B941" s="376" t="s">
        <v>7590</v>
      </c>
      <c r="C941" s="428" t="s">
        <v>6979</v>
      </c>
      <c r="D941" s="376" t="s">
        <v>3676</v>
      </c>
      <c r="E941" s="429">
        <v>201.0</v>
      </c>
      <c r="F941" s="429">
        <v>42.0</v>
      </c>
      <c r="G941" s="429">
        <v>20.0</v>
      </c>
      <c r="H941" s="429">
        <v>0.0</v>
      </c>
      <c r="I941" s="429">
        <v>20.0</v>
      </c>
      <c r="J941" s="430">
        <v>1.0</v>
      </c>
      <c r="K941" s="376" t="s">
        <v>7591</v>
      </c>
      <c r="L941" s="376">
        <v>3.222710333E9</v>
      </c>
      <c r="M941" s="376" t="s">
        <v>286</v>
      </c>
      <c r="N941" s="376" t="s">
        <v>4235</v>
      </c>
      <c r="O941" s="376" t="s">
        <v>7592</v>
      </c>
      <c r="P941" s="376" t="s">
        <v>6982</v>
      </c>
      <c r="Q941" s="16">
        <f>COUNTIF('hedef liste'!A:A,A941)</f>
        <v>0</v>
      </c>
    </row>
    <row r="942" hidden="1">
      <c r="A942" s="376" t="s">
        <v>6421</v>
      </c>
      <c r="B942" s="376" t="s">
        <v>6422</v>
      </c>
      <c r="C942" s="428" t="s">
        <v>7011</v>
      </c>
      <c r="D942" s="376" t="s">
        <v>3699</v>
      </c>
      <c r="F942" s="431"/>
      <c r="G942" s="429">
        <v>0.0</v>
      </c>
      <c r="H942" s="429">
        <v>17.0</v>
      </c>
      <c r="I942" s="429">
        <v>17.0</v>
      </c>
      <c r="J942" s="433">
        <v>0.0</v>
      </c>
      <c r="K942" s="376" t="s">
        <v>6423</v>
      </c>
      <c r="L942" s="376">
        <v>3.222312212E9</v>
      </c>
      <c r="M942" s="376" t="s">
        <v>14</v>
      </c>
      <c r="N942" s="376" t="s">
        <v>3718</v>
      </c>
      <c r="O942" s="376" t="s">
        <v>6424</v>
      </c>
      <c r="P942" s="376" t="s">
        <v>3941</v>
      </c>
      <c r="Q942" s="16">
        <f>COUNTIF('hedef liste'!A:A,A942)</f>
        <v>1</v>
      </c>
    </row>
    <row r="943" hidden="1">
      <c r="A943" s="376" t="s">
        <v>5916</v>
      </c>
      <c r="B943" s="376" t="s">
        <v>5917</v>
      </c>
      <c r="C943" s="428" t="s">
        <v>6979</v>
      </c>
      <c r="D943" s="376" t="s">
        <v>4000</v>
      </c>
      <c r="E943" s="429">
        <v>10.0</v>
      </c>
      <c r="F943" s="429">
        <v>3.0</v>
      </c>
      <c r="G943" s="429">
        <v>0.0</v>
      </c>
      <c r="H943" s="429">
        <v>8.0</v>
      </c>
      <c r="I943" s="429">
        <v>8.0</v>
      </c>
      <c r="J943" s="430">
        <v>0.0</v>
      </c>
      <c r="K943" s="376" t="s">
        <v>5918</v>
      </c>
      <c r="L943" s="376">
        <v>5.345039607E9</v>
      </c>
      <c r="M943" s="376" t="s">
        <v>286</v>
      </c>
      <c r="N943" s="376" t="s">
        <v>3688</v>
      </c>
      <c r="O943" s="376" t="s">
        <v>5919</v>
      </c>
      <c r="P943" s="376" t="s">
        <v>3941</v>
      </c>
      <c r="Q943" s="16">
        <f>COUNTIF('hedef liste'!A:A,A943)</f>
        <v>1</v>
      </c>
    </row>
    <row r="944" hidden="1">
      <c r="A944" s="376" t="s">
        <v>4378</v>
      </c>
      <c r="B944" s="376" t="s">
        <v>4379</v>
      </c>
      <c r="C944" s="428" t="s">
        <v>6979</v>
      </c>
      <c r="D944" s="376" t="s">
        <v>3842</v>
      </c>
      <c r="E944" s="429">
        <v>11141.0</v>
      </c>
      <c r="F944" s="429">
        <v>739.0</v>
      </c>
      <c r="G944" s="429">
        <v>26.0</v>
      </c>
      <c r="H944" s="429">
        <v>20.0</v>
      </c>
      <c r="I944" s="429">
        <v>46.0</v>
      </c>
      <c r="J944" s="430">
        <v>0.57</v>
      </c>
      <c r="K944" s="376" t="s">
        <v>4380</v>
      </c>
      <c r="L944" s="376">
        <v>3.224541122E9</v>
      </c>
      <c r="M944" s="376" t="s">
        <v>286</v>
      </c>
      <c r="N944" s="376" t="s">
        <v>3737</v>
      </c>
      <c r="O944" s="376" t="s">
        <v>4381</v>
      </c>
      <c r="P944" s="376" t="s">
        <v>3941</v>
      </c>
      <c r="Q944" s="16">
        <f>COUNTIF('hedef liste'!A:A,A944)</f>
        <v>1</v>
      </c>
    </row>
    <row r="945" hidden="1">
      <c r="A945" s="376" t="s">
        <v>7593</v>
      </c>
      <c r="B945" s="376" t="s">
        <v>7594</v>
      </c>
      <c r="C945" s="428" t="s">
        <v>6979</v>
      </c>
      <c r="D945" s="376" t="s">
        <v>3699</v>
      </c>
      <c r="E945" s="429">
        <v>33.0</v>
      </c>
      <c r="F945" s="431"/>
      <c r="G945" s="429">
        <v>7.0</v>
      </c>
      <c r="H945" s="429">
        <v>10.0</v>
      </c>
      <c r="I945" s="429">
        <v>17.0</v>
      </c>
      <c r="J945" s="430">
        <v>0.41</v>
      </c>
      <c r="K945" s="376" t="s">
        <v>7595</v>
      </c>
      <c r="L945" s="376">
        <v>5.453861987E9</v>
      </c>
      <c r="M945" s="376" t="s">
        <v>286</v>
      </c>
      <c r="N945" s="376" t="s">
        <v>3754</v>
      </c>
      <c r="O945" s="376" t="s">
        <v>7596</v>
      </c>
      <c r="P945" s="376" t="s">
        <v>3941</v>
      </c>
      <c r="Q945" s="16">
        <f>COUNTIF('hedef liste'!A:A,A945)</f>
        <v>0</v>
      </c>
    </row>
    <row r="946" hidden="1">
      <c r="A946" s="376" t="s">
        <v>5206</v>
      </c>
      <c r="B946" s="376" t="s">
        <v>5207</v>
      </c>
      <c r="C946" s="428" t="s">
        <v>6979</v>
      </c>
      <c r="D946" s="376" t="s">
        <v>3699</v>
      </c>
      <c r="E946" s="429">
        <v>7.0</v>
      </c>
      <c r="F946" s="429">
        <v>3.0</v>
      </c>
      <c r="G946" s="429">
        <v>0.0</v>
      </c>
      <c r="H946" s="429">
        <v>24.0</v>
      </c>
      <c r="I946" s="429">
        <v>24.0</v>
      </c>
      <c r="J946" s="430">
        <v>0.0</v>
      </c>
      <c r="K946" s="376" t="s">
        <v>5208</v>
      </c>
      <c r="L946" s="376">
        <v>3.223226767E9</v>
      </c>
      <c r="M946" s="376" t="s">
        <v>3707</v>
      </c>
      <c r="N946" s="376" t="s">
        <v>3692</v>
      </c>
      <c r="O946" s="376" t="s">
        <v>5209</v>
      </c>
      <c r="P946" s="376" t="s">
        <v>3941</v>
      </c>
      <c r="Q946" s="16">
        <f>COUNTIF('hedef liste'!A:A,A946)</f>
        <v>1</v>
      </c>
    </row>
    <row r="947" hidden="1">
      <c r="A947" s="376" t="s">
        <v>5759</v>
      </c>
      <c r="B947" s="376" t="s">
        <v>7597</v>
      </c>
      <c r="C947" s="428" t="s">
        <v>6979</v>
      </c>
      <c r="D947" s="376" t="s">
        <v>4572</v>
      </c>
      <c r="E947" s="429">
        <v>1090.0</v>
      </c>
      <c r="F947" s="429">
        <v>38.0</v>
      </c>
      <c r="G947" s="429">
        <v>0.0</v>
      </c>
      <c r="H947" s="429">
        <v>14.0</v>
      </c>
      <c r="I947" s="429">
        <v>14.0</v>
      </c>
      <c r="J947" s="430">
        <v>0.0</v>
      </c>
      <c r="K947" s="376" t="s">
        <v>5761</v>
      </c>
      <c r="L947" s="376">
        <v>5.447894251E9</v>
      </c>
      <c r="M947" s="376" t="s">
        <v>3814</v>
      </c>
      <c r="N947" s="376" t="s">
        <v>3815</v>
      </c>
      <c r="O947" s="376" t="s">
        <v>5762</v>
      </c>
      <c r="P947" s="376" t="s">
        <v>3941</v>
      </c>
      <c r="Q947" s="16">
        <f>COUNTIF('hedef liste'!A:A,A947)</f>
        <v>1</v>
      </c>
    </row>
    <row r="948" hidden="1">
      <c r="A948" s="376" t="s">
        <v>5060</v>
      </c>
      <c r="B948" s="376" t="s">
        <v>5061</v>
      </c>
      <c r="C948" s="428" t="s">
        <v>6979</v>
      </c>
      <c r="D948" s="376" t="s">
        <v>3676</v>
      </c>
      <c r="E948" s="431"/>
      <c r="F948" s="431"/>
      <c r="G948" s="429">
        <v>0.0</v>
      </c>
      <c r="H948" s="429">
        <v>9.0</v>
      </c>
      <c r="I948" s="429">
        <v>9.0</v>
      </c>
      <c r="J948" s="430">
        <v>0.0</v>
      </c>
      <c r="K948" s="376" t="s">
        <v>5062</v>
      </c>
      <c r="L948" s="376">
        <v>5.411770304E9</v>
      </c>
      <c r="M948" s="376" t="s">
        <v>14</v>
      </c>
      <c r="N948" s="376" t="s">
        <v>3733</v>
      </c>
      <c r="O948" s="376" t="s">
        <v>5063</v>
      </c>
      <c r="P948" s="376" t="s">
        <v>3941</v>
      </c>
      <c r="Q948" s="16">
        <f>COUNTIF('hedef liste'!A:A,A948)</f>
        <v>1</v>
      </c>
    </row>
    <row r="949" hidden="1">
      <c r="A949" s="376" t="s">
        <v>5180</v>
      </c>
      <c r="B949" s="376" t="s">
        <v>5181</v>
      </c>
      <c r="C949" s="428" t="s">
        <v>6979</v>
      </c>
      <c r="D949" s="376" t="s">
        <v>3699</v>
      </c>
      <c r="F949" s="431"/>
      <c r="G949" s="429">
        <v>0.0</v>
      </c>
      <c r="H949" s="429">
        <v>69.0</v>
      </c>
      <c r="I949" s="429">
        <v>69.0</v>
      </c>
      <c r="J949" s="430">
        <v>0.0</v>
      </c>
      <c r="K949" s="376" t="s">
        <v>5182</v>
      </c>
      <c r="L949" s="376">
        <v>3.226816E9</v>
      </c>
      <c r="M949" s="376" t="s">
        <v>5183</v>
      </c>
      <c r="N949" s="376" t="s">
        <v>4235</v>
      </c>
      <c r="O949" s="376" t="s">
        <v>5184</v>
      </c>
      <c r="P949" s="376" t="s">
        <v>3941</v>
      </c>
      <c r="Q949" s="16">
        <f>COUNTIF('hedef liste'!A:A,A949)</f>
        <v>1</v>
      </c>
    </row>
    <row r="950" hidden="1">
      <c r="A950" s="376" t="s">
        <v>5194</v>
      </c>
      <c r="B950" s="376" t="s">
        <v>5195</v>
      </c>
      <c r="C950" s="428" t="s">
        <v>6979</v>
      </c>
      <c r="D950" s="376" t="s">
        <v>3699</v>
      </c>
      <c r="E950" s="429">
        <v>98.0</v>
      </c>
      <c r="F950" s="429">
        <v>53.0</v>
      </c>
      <c r="G950" s="429">
        <v>0.0</v>
      </c>
      <c r="H950" s="429">
        <v>44.0</v>
      </c>
      <c r="I950" s="429">
        <v>44.0</v>
      </c>
      <c r="J950" s="430">
        <v>0.0</v>
      </c>
      <c r="K950" s="376" t="s">
        <v>5187</v>
      </c>
      <c r="L950" s="376">
        <v>3.223598267E9</v>
      </c>
      <c r="M950" s="376" t="s">
        <v>286</v>
      </c>
      <c r="N950" s="376" t="s">
        <v>3795</v>
      </c>
      <c r="O950" s="376" t="s">
        <v>5196</v>
      </c>
      <c r="P950" s="376" t="s">
        <v>3941</v>
      </c>
      <c r="Q950" s="16">
        <f>COUNTIF('hedef liste'!A:A,A950)</f>
        <v>1</v>
      </c>
    </row>
    <row r="951" hidden="1">
      <c r="A951" s="376" t="s">
        <v>7598</v>
      </c>
      <c r="B951" s="376" t="s">
        <v>7599</v>
      </c>
      <c r="C951" s="428" t="s">
        <v>6979</v>
      </c>
      <c r="D951" s="376" t="s">
        <v>3713</v>
      </c>
      <c r="E951" s="429">
        <v>227.0</v>
      </c>
      <c r="F951" s="429">
        <v>155.0</v>
      </c>
      <c r="G951" s="429">
        <v>28.0</v>
      </c>
      <c r="H951" s="429">
        <v>9.0</v>
      </c>
      <c r="I951" s="429">
        <v>37.0</v>
      </c>
      <c r="J951" s="430">
        <v>0.76</v>
      </c>
      <c r="K951" s="376" t="s">
        <v>7600</v>
      </c>
      <c r="L951" s="376">
        <v>5.33708175E9</v>
      </c>
      <c r="M951" s="376" t="s">
        <v>14</v>
      </c>
      <c r="N951" s="376" t="s">
        <v>5227</v>
      </c>
      <c r="O951" s="376" t="s">
        <v>192</v>
      </c>
      <c r="P951" s="376" t="s">
        <v>3941</v>
      </c>
      <c r="Q951" s="16">
        <f>COUNTIF('hedef liste'!A:A,A951)</f>
        <v>0</v>
      </c>
    </row>
    <row r="952" hidden="1">
      <c r="A952" s="376" t="s">
        <v>5164</v>
      </c>
      <c r="B952" s="376" t="s">
        <v>5165</v>
      </c>
      <c r="C952" s="428" t="s">
        <v>6979</v>
      </c>
      <c r="D952" s="376" t="s">
        <v>3713</v>
      </c>
      <c r="E952" s="429">
        <v>64.0</v>
      </c>
      <c r="F952" s="429">
        <v>42.0</v>
      </c>
      <c r="G952" s="429">
        <v>0.0</v>
      </c>
      <c r="H952" s="429">
        <v>21.0</v>
      </c>
      <c r="I952" s="429">
        <v>21.0</v>
      </c>
      <c r="J952" s="430">
        <v>0.0</v>
      </c>
      <c r="K952" s="376" t="s">
        <v>5166</v>
      </c>
      <c r="L952" s="376">
        <v>3.225044343E9</v>
      </c>
      <c r="M952" s="376" t="s">
        <v>286</v>
      </c>
      <c r="N952" s="376" t="s">
        <v>3746</v>
      </c>
      <c r="O952" s="376" t="s">
        <v>5167</v>
      </c>
      <c r="P952" s="376" t="s">
        <v>3941</v>
      </c>
      <c r="Q952" s="16">
        <f>COUNTIF('hedef liste'!A:A,A952)</f>
        <v>1</v>
      </c>
    </row>
    <row r="953" hidden="1">
      <c r="A953" s="376" t="s">
        <v>6660</v>
      </c>
      <c r="B953" s="376" t="s">
        <v>7601</v>
      </c>
      <c r="C953" s="428" t="s">
        <v>6979</v>
      </c>
      <c r="D953" s="376" t="s">
        <v>3690</v>
      </c>
      <c r="E953" s="429">
        <v>110.0</v>
      </c>
      <c r="F953" s="431"/>
      <c r="G953" s="429">
        <v>0.0</v>
      </c>
      <c r="H953" s="429">
        <v>49.0</v>
      </c>
      <c r="I953" s="429">
        <v>49.0</v>
      </c>
      <c r="J953" s="430">
        <v>0.0</v>
      </c>
      <c r="K953" s="376" t="s">
        <v>6662</v>
      </c>
      <c r="L953" s="376">
        <v>3.225045454E9</v>
      </c>
      <c r="M953" s="376" t="s">
        <v>286</v>
      </c>
      <c r="N953" s="376" t="s">
        <v>3769</v>
      </c>
      <c r="O953" s="376" t="s">
        <v>6663</v>
      </c>
      <c r="P953" s="376" t="s">
        <v>3941</v>
      </c>
      <c r="Q953" s="16">
        <f>COUNTIF('hedef liste'!A:A,A953)</f>
        <v>1</v>
      </c>
    </row>
    <row r="954" hidden="1">
      <c r="A954" s="376" t="s">
        <v>5037</v>
      </c>
      <c r="B954" s="376" t="s">
        <v>5038</v>
      </c>
      <c r="C954" s="428" t="s">
        <v>6979</v>
      </c>
      <c r="D954" s="376" t="s">
        <v>3676</v>
      </c>
      <c r="E954" s="429">
        <v>4.0</v>
      </c>
      <c r="F954" s="431"/>
      <c r="G954" s="429">
        <v>0.0</v>
      </c>
      <c r="H954" s="429">
        <v>15.0</v>
      </c>
      <c r="I954" s="429">
        <v>15.0</v>
      </c>
      <c r="J954" s="430">
        <v>0.0</v>
      </c>
      <c r="K954" s="376" t="s">
        <v>5039</v>
      </c>
      <c r="L954" s="376">
        <v>3.222344444E9</v>
      </c>
      <c r="M954" s="376" t="s">
        <v>14</v>
      </c>
      <c r="N954" s="376" t="s">
        <v>3767</v>
      </c>
      <c r="O954" s="376" t="s">
        <v>5040</v>
      </c>
      <c r="P954" s="376" t="s">
        <v>3941</v>
      </c>
      <c r="Q954" s="16">
        <f>COUNTIF('hedef liste'!A:A,A954)</f>
        <v>1</v>
      </c>
    </row>
    <row r="955" hidden="1">
      <c r="A955" s="376" t="s">
        <v>7602</v>
      </c>
      <c r="B955" s="376" t="s">
        <v>7603</v>
      </c>
      <c r="C955" s="428" t="s">
        <v>6979</v>
      </c>
      <c r="D955" s="376" t="s">
        <v>3699</v>
      </c>
      <c r="E955" s="429">
        <v>83.0</v>
      </c>
      <c r="F955" s="429">
        <v>39.0</v>
      </c>
      <c r="G955" s="429">
        <v>81.0</v>
      </c>
      <c r="H955" s="429">
        <v>26.0</v>
      </c>
      <c r="I955" s="429">
        <v>107.0</v>
      </c>
      <c r="J955" s="433">
        <v>0.76</v>
      </c>
      <c r="K955" s="376" t="s">
        <v>7604</v>
      </c>
      <c r="L955" s="376">
        <v>3.222277362E9</v>
      </c>
      <c r="M955" s="376" t="s">
        <v>14</v>
      </c>
      <c r="N955" s="376" t="s">
        <v>3767</v>
      </c>
      <c r="O955" s="376" t="s">
        <v>7605</v>
      </c>
      <c r="P955" s="376" t="s">
        <v>3941</v>
      </c>
      <c r="Q955" s="16">
        <f>COUNTIF('hedef liste'!A:A,A955)</f>
        <v>0</v>
      </c>
    </row>
    <row r="956" hidden="1">
      <c r="A956" s="376" t="s">
        <v>6221</v>
      </c>
      <c r="B956" s="376" t="s">
        <v>6222</v>
      </c>
      <c r="C956" s="428" t="s">
        <v>6979</v>
      </c>
      <c r="D956" s="376" t="s">
        <v>3994</v>
      </c>
      <c r="E956" s="429">
        <v>784.0</v>
      </c>
      <c r="F956" s="429">
        <v>133.0</v>
      </c>
      <c r="G956" s="429">
        <v>0.0</v>
      </c>
      <c r="H956" s="429">
        <v>49.0</v>
      </c>
      <c r="I956" s="429">
        <v>49.0</v>
      </c>
      <c r="J956" s="430">
        <v>0.0</v>
      </c>
      <c r="K956" s="376" t="s">
        <v>6223</v>
      </c>
      <c r="L956" s="376">
        <v>3.222270094E9</v>
      </c>
      <c r="M956" s="376" t="s">
        <v>14</v>
      </c>
      <c r="N956" s="376" t="s">
        <v>3678</v>
      </c>
      <c r="O956" s="376" t="s">
        <v>6224</v>
      </c>
      <c r="P956" s="376" t="s">
        <v>3941</v>
      </c>
      <c r="Q956" s="16">
        <f>COUNTIF('hedef liste'!A:A,A956)</f>
        <v>1</v>
      </c>
    </row>
    <row r="957" hidden="1">
      <c r="A957" s="376" t="s">
        <v>3546</v>
      </c>
      <c r="B957" s="376" t="s">
        <v>3547</v>
      </c>
      <c r="C957" s="428" t="s">
        <v>6979</v>
      </c>
      <c r="D957" s="376" t="s">
        <v>3676</v>
      </c>
      <c r="E957" s="429">
        <v>359.0</v>
      </c>
      <c r="F957" s="429">
        <v>120.0</v>
      </c>
      <c r="G957" s="429">
        <v>0.0</v>
      </c>
      <c r="H957" s="429">
        <v>33.0</v>
      </c>
      <c r="I957" s="429">
        <v>33.0</v>
      </c>
      <c r="J957" s="430">
        <v>0.0</v>
      </c>
      <c r="K957" s="376" t="s">
        <v>5794</v>
      </c>
      <c r="L957" s="376">
        <v>5.389366768E9</v>
      </c>
      <c r="M957" s="376" t="s">
        <v>14</v>
      </c>
      <c r="N957" s="376" t="s">
        <v>3733</v>
      </c>
      <c r="O957" s="376" t="s">
        <v>3549</v>
      </c>
      <c r="P957" s="376" t="s">
        <v>3941</v>
      </c>
      <c r="Q957" s="16">
        <f>COUNTIF('hedef liste'!A:A,A957)</f>
        <v>1</v>
      </c>
    </row>
    <row r="958" hidden="1">
      <c r="A958" s="376" t="s">
        <v>6430</v>
      </c>
      <c r="B958" s="376" t="s">
        <v>6431</v>
      </c>
      <c r="C958" s="428" t="s">
        <v>6979</v>
      </c>
      <c r="D958" s="376" t="s">
        <v>3699</v>
      </c>
      <c r="F958" s="431"/>
      <c r="G958" s="429">
        <v>0.0</v>
      </c>
      <c r="H958" s="429">
        <v>18.0</v>
      </c>
      <c r="I958" s="429">
        <v>18.0</v>
      </c>
      <c r="J958" s="433">
        <v>0.0</v>
      </c>
      <c r="K958" s="376" t="s">
        <v>6423</v>
      </c>
      <c r="L958" s="376">
        <v>3.224570102E9</v>
      </c>
      <c r="M958" s="376" t="s">
        <v>286</v>
      </c>
      <c r="N958" s="376" t="s">
        <v>4263</v>
      </c>
      <c r="O958" s="376" t="s">
        <v>6432</v>
      </c>
      <c r="P958" s="376" t="s">
        <v>3941</v>
      </c>
      <c r="Q958" s="16">
        <f>COUNTIF('hedef liste'!A:A,A958)</f>
        <v>1</v>
      </c>
    </row>
    <row r="959" hidden="1">
      <c r="A959" s="376" t="s">
        <v>5201</v>
      </c>
      <c r="B959" s="376" t="s">
        <v>5202</v>
      </c>
      <c r="C959" s="428" t="s">
        <v>6979</v>
      </c>
      <c r="D959" s="376" t="s">
        <v>3699</v>
      </c>
      <c r="F959" s="431"/>
      <c r="G959" s="429">
        <v>0.0</v>
      </c>
      <c r="H959" s="429">
        <v>68.0</v>
      </c>
      <c r="I959" s="429">
        <v>68.0</v>
      </c>
      <c r="J959" s="433">
        <v>0.0</v>
      </c>
      <c r="K959" s="376" t="s">
        <v>5203</v>
      </c>
      <c r="L959" s="376">
        <v>3.223363559E9</v>
      </c>
      <c r="M959" s="376" t="s">
        <v>3707</v>
      </c>
      <c r="N959" s="376" t="s">
        <v>5204</v>
      </c>
      <c r="O959" s="376" t="s">
        <v>5205</v>
      </c>
      <c r="P959" s="376" t="s">
        <v>3941</v>
      </c>
      <c r="Q959" s="16">
        <f>COUNTIF('hedef liste'!A:A,A959)</f>
        <v>1</v>
      </c>
    </row>
    <row r="960" hidden="1">
      <c r="A960" s="376" t="s">
        <v>4987</v>
      </c>
      <c r="B960" s="376" t="s">
        <v>4988</v>
      </c>
      <c r="C960" s="428" t="s">
        <v>6979</v>
      </c>
      <c r="D960" s="376" t="s">
        <v>3699</v>
      </c>
      <c r="E960" s="429">
        <v>199.0</v>
      </c>
      <c r="F960" s="429">
        <v>73.0</v>
      </c>
      <c r="G960" s="429">
        <v>0.0</v>
      </c>
      <c r="H960" s="429">
        <v>41.0</v>
      </c>
      <c r="I960" s="429">
        <v>41.0</v>
      </c>
      <c r="J960" s="430">
        <v>0.0</v>
      </c>
      <c r="K960" s="376" t="s">
        <v>4989</v>
      </c>
      <c r="L960" s="376">
        <v>3.226115381E9</v>
      </c>
      <c r="M960" s="376" t="s">
        <v>3701</v>
      </c>
      <c r="N960" s="376" t="s">
        <v>4176</v>
      </c>
      <c r="O960" s="376" t="s">
        <v>4990</v>
      </c>
      <c r="P960" s="376" t="s">
        <v>3941</v>
      </c>
      <c r="Q960" s="16">
        <f>COUNTIF('hedef liste'!A:A,A960)</f>
        <v>1</v>
      </c>
    </row>
    <row r="961" hidden="1">
      <c r="A961" s="376" t="s">
        <v>7606</v>
      </c>
      <c r="B961" s="376" t="s">
        <v>7607</v>
      </c>
      <c r="C961" s="428" t="s">
        <v>6979</v>
      </c>
      <c r="D961" s="376" t="s">
        <v>3801</v>
      </c>
      <c r="E961" s="429">
        <v>83.0</v>
      </c>
      <c r="F961" s="429">
        <v>26.0</v>
      </c>
      <c r="G961" s="429">
        <v>29.0</v>
      </c>
      <c r="H961" s="429">
        <v>0.0</v>
      </c>
      <c r="I961" s="429">
        <v>29.0</v>
      </c>
      <c r="J961" s="430">
        <v>1.0</v>
      </c>
      <c r="K961" s="376" t="s">
        <v>7608</v>
      </c>
      <c r="L961" s="376">
        <v>5.312628277E9</v>
      </c>
      <c r="M961" s="376" t="s">
        <v>3707</v>
      </c>
      <c r="N961" s="376" t="s">
        <v>4432</v>
      </c>
      <c r="O961" s="376" t="s">
        <v>7609</v>
      </c>
      <c r="P961" s="376" t="s">
        <v>6982</v>
      </c>
      <c r="Q961" s="16">
        <f>COUNTIF('hedef liste'!A:A,A961)</f>
        <v>0</v>
      </c>
    </row>
    <row r="962" hidden="1">
      <c r="A962" s="376" t="s">
        <v>7610</v>
      </c>
      <c r="B962" s="376" t="s">
        <v>7611</v>
      </c>
      <c r="C962" s="428" t="s">
        <v>6979</v>
      </c>
      <c r="D962" s="376" t="s">
        <v>3994</v>
      </c>
      <c r="E962" s="429">
        <v>4487.0</v>
      </c>
      <c r="F962" s="429">
        <v>196.0</v>
      </c>
      <c r="G962" s="429">
        <v>77.0</v>
      </c>
      <c r="H962" s="429">
        <v>27.0</v>
      </c>
      <c r="I962" s="429">
        <v>104.0</v>
      </c>
      <c r="J962" s="430">
        <v>0.74</v>
      </c>
      <c r="K962" s="376" t="s">
        <v>7178</v>
      </c>
      <c r="L962" s="376">
        <v>3.222612261E9</v>
      </c>
      <c r="M962" s="376" t="s">
        <v>286</v>
      </c>
      <c r="N962" s="376" t="s">
        <v>3782</v>
      </c>
      <c r="O962" s="376" t="s">
        <v>7612</v>
      </c>
      <c r="P962" s="376" t="s">
        <v>6982</v>
      </c>
      <c r="Q962" s="16">
        <f>COUNTIF('hedef liste'!A:A,A962)</f>
        <v>0</v>
      </c>
    </row>
    <row r="963" hidden="1">
      <c r="A963" s="376" t="s">
        <v>6802</v>
      </c>
      <c r="B963" s="376" t="s">
        <v>6803</v>
      </c>
      <c r="C963" s="428" t="s">
        <v>6979</v>
      </c>
      <c r="D963" s="376" t="s">
        <v>4000</v>
      </c>
      <c r="E963" s="431"/>
      <c r="F963" s="431"/>
      <c r="G963" s="429">
        <v>0.0</v>
      </c>
      <c r="H963" s="429">
        <v>17.0</v>
      </c>
      <c r="I963" s="429">
        <v>17.0</v>
      </c>
      <c r="J963" s="430">
        <v>0.0</v>
      </c>
      <c r="K963" s="376" t="s">
        <v>6804</v>
      </c>
      <c r="L963" s="376">
        <v>5.424276489E9</v>
      </c>
      <c r="M963" s="376" t="s">
        <v>286</v>
      </c>
      <c r="N963" s="376" t="s">
        <v>3688</v>
      </c>
      <c r="O963" s="376" t="s">
        <v>6805</v>
      </c>
      <c r="P963" s="376" t="s">
        <v>3941</v>
      </c>
      <c r="Q963" s="16">
        <f>COUNTIF('hedef liste'!A:A,A963)</f>
        <v>1</v>
      </c>
    </row>
    <row r="964" hidden="1">
      <c r="A964" s="376" t="s">
        <v>4775</v>
      </c>
      <c r="B964" s="376" t="s">
        <v>4776</v>
      </c>
      <c r="C964" s="428" t="s">
        <v>6979</v>
      </c>
      <c r="D964" s="376" t="s">
        <v>3676</v>
      </c>
      <c r="E964" s="429">
        <v>28.0</v>
      </c>
      <c r="F964" s="429">
        <v>18.0</v>
      </c>
      <c r="G964" s="429">
        <v>0.0</v>
      </c>
      <c r="H964" s="429">
        <v>19.0</v>
      </c>
      <c r="I964" s="429">
        <v>19.0</v>
      </c>
      <c r="J964" s="430">
        <v>0.0</v>
      </c>
      <c r="K964" s="376" t="s">
        <v>4777</v>
      </c>
      <c r="L964" s="376">
        <v>5.428220156E9</v>
      </c>
      <c r="M964" s="376" t="s">
        <v>14</v>
      </c>
      <c r="N964" s="376" t="s">
        <v>3935</v>
      </c>
      <c r="O964" s="376" t="s">
        <v>4778</v>
      </c>
      <c r="P964" s="376" t="s">
        <v>3941</v>
      </c>
      <c r="Q964" s="16">
        <f>COUNTIF('hedef liste'!A:A,A964)</f>
        <v>1</v>
      </c>
    </row>
    <row r="965" hidden="1">
      <c r="A965" s="376" t="s">
        <v>6749</v>
      </c>
      <c r="B965" s="376" t="s">
        <v>6750</v>
      </c>
      <c r="C965" s="428" t="s">
        <v>6979</v>
      </c>
      <c r="D965" s="376" t="s">
        <v>3842</v>
      </c>
      <c r="E965" s="429">
        <v>44.0</v>
      </c>
      <c r="F965" s="429">
        <v>29.0</v>
      </c>
      <c r="G965" s="429">
        <v>0.0</v>
      </c>
      <c r="H965" s="429">
        <v>17.0</v>
      </c>
      <c r="I965" s="429">
        <v>17.0</v>
      </c>
      <c r="J965" s="430">
        <v>0.0</v>
      </c>
      <c r="K965" s="376" t="s">
        <v>6751</v>
      </c>
      <c r="L965" s="376">
        <v>5.325134043E9</v>
      </c>
      <c r="M965" s="376" t="s">
        <v>3707</v>
      </c>
      <c r="N965" s="376" t="s">
        <v>4570</v>
      </c>
      <c r="O965" s="376" t="s">
        <v>6752</v>
      </c>
      <c r="P965" s="376" t="s">
        <v>3941</v>
      </c>
      <c r="Q965" s="16">
        <f>COUNTIF('hedef liste'!A:A,A965)</f>
        <v>1</v>
      </c>
    </row>
    <row r="966" hidden="1">
      <c r="A966" s="376" t="s">
        <v>4665</v>
      </c>
      <c r="B966" s="376" t="s">
        <v>7613</v>
      </c>
      <c r="C966" s="428" t="s">
        <v>6979</v>
      </c>
      <c r="D966" s="376" t="s">
        <v>3759</v>
      </c>
      <c r="E966" s="429">
        <v>122.0</v>
      </c>
      <c r="F966" s="429">
        <v>106.0</v>
      </c>
      <c r="G966" s="429">
        <v>0.0</v>
      </c>
      <c r="H966" s="429">
        <v>29.0</v>
      </c>
      <c r="I966" s="429">
        <v>29.0</v>
      </c>
      <c r="J966" s="430">
        <v>0.0</v>
      </c>
      <c r="K966" s="376" t="s">
        <v>4667</v>
      </c>
      <c r="L966" s="376">
        <v>5.321382164E9</v>
      </c>
      <c r="M966" s="376" t="s">
        <v>14</v>
      </c>
      <c r="N966" s="376" t="s">
        <v>3797</v>
      </c>
      <c r="O966" s="376" t="s">
        <v>4668</v>
      </c>
      <c r="P966" s="376" t="s">
        <v>3941</v>
      </c>
      <c r="Q966" s="16">
        <f>COUNTIF('hedef liste'!A:A,A966)</f>
        <v>1</v>
      </c>
    </row>
    <row r="967" hidden="1">
      <c r="A967" s="376" t="s">
        <v>7614</v>
      </c>
      <c r="B967" s="376" t="s">
        <v>7615</v>
      </c>
      <c r="C967" s="428" t="s">
        <v>6979</v>
      </c>
      <c r="D967" s="376" t="s">
        <v>3699</v>
      </c>
      <c r="E967" s="429">
        <v>36.0</v>
      </c>
      <c r="F967" s="429">
        <v>25.0</v>
      </c>
      <c r="G967" s="429">
        <v>32.0</v>
      </c>
      <c r="H967" s="429">
        <v>53.0</v>
      </c>
      <c r="I967" s="429">
        <v>85.0</v>
      </c>
      <c r="J967" s="433">
        <v>0.38</v>
      </c>
      <c r="K967" s="376" t="s">
        <v>7616</v>
      </c>
      <c r="L967" s="376">
        <v>3.223222222E9</v>
      </c>
      <c r="M967" s="376" t="s">
        <v>14</v>
      </c>
      <c r="N967" s="376" t="s">
        <v>3733</v>
      </c>
      <c r="O967" s="376" t="s">
        <v>7617</v>
      </c>
      <c r="P967" s="376" t="s">
        <v>6982</v>
      </c>
      <c r="Q967" s="16">
        <f>COUNTIF('hedef liste'!A:A,A967)</f>
        <v>0</v>
      </c>
    </row>
    <row r="968" hidden="1">
      <c r="A968" s="376" t="s">
        <v>7618</v>
      </c>
      <c r="B968" s="376" t="s">
        <v>7619</v>
      </c>
      <c r="C968" s="428" t="s">
        <v>6979</v>
      </c>
      <c r="D968" s="376" t="s">
        <v>3994</v>
      </c>
      <c r="E968" s="429">
        <v>5177.0</v>
      </c>
      <c r="F968" s="429">
        <v>289.0</v>
      </c>
      <c r="G968" s="429">
        <v>127.0</v>
      </c>
      <c r="H968" s="429">
        <v>15.0</v>
      </c>
      <c r="I968" s="429">
        <v>142.0</v>
      </c>
      <c r="J968" s="430">
        <v>0.89</v>
      </c>
      <c r="K968" s="376" t="s">
        <v>7620</v>
      </c>
      <c r="L968" s="376">
        <v>3.22999809E9</v>
      </c>
      <c r="M968" s="376" t="s">
        <v>14</v>
      </c>
      <c r="N968" s="376" t="s">
        <v>3826</v>
      </c>
      <c r="O968" s="376" t="s">
        <v>7621</v>
      </c>
      <c r="P968" s="376" t="s">
        <v>6982</v>
      </c>
      <c r="Q968" s="16">
        <f>COUNTIF('hedef liste'!A:A,A968)</f>
        <v>0</v>
      </c>
    </row>
    <row r="969" hidden="1">
      <c r="A969" s="376" t="s">
        <v>7622</v>
      </c>
      <c r="B969" s="376" t="s">
        <v>7623</v>
      </c>
      <c r="C969" s="428" t="s">
        <v>6979</v>
      </c>
      <c r="D969" s="376" t="s">
        <v>3801</v>
      </c>
      <c r="E969" s="429">
        <v>24.0</v>
      </c>
      <c r="F969" s="429">
        <v>16.0</v>
      </c>
      <c r="G969" s="429">
        <v>7.0</v>
      </c>
      <c r="H969" s="429">
        <v>3.0</v>
      </c>
      <c r="I969" s="429">
        <v>10.0</v>
      </c>
      <c r="J969" s="430">
        <v>0.7</v>
      </c>
      <c r="K969" s="376" t="s">
        <v>7624</v>
      </c>
      <c r="L969" s="376">
        <v>5.432990202E9</v>
      </c>
      <c r="M969" s="376" t="s">
        <v>286</v>
      </c>
      <c r="N969" s="376" t="s">
        <v>4420</v>
      </c>
      <c r="O969" s="376" t="s">
        <v>7625</v>
      </c>
      <c r="P969" s="376" t="s">
        <v>3941</v>
      </c>
      <c r="Q969" s="16">
        <f>COUNTIF('hedef liste'!A:A,A969)</f>
        <v>0</v>
      </c>
    </row>
    <row r="970" hidden="1">
      <c r="A970" s="376" t="s">
        <v>6926</v>
      </c>
      <c r="B970" s="376" t="s">
        <v>6927</v>
      </c>
      <c r="C970" s="428" t="s">
        <v>6979</v>
      </c>
      <c r="D970" s="376" t="s">
        <v>3699</v>
      </c>
      <c r="E970" s="429">
        <v>88.0</v>
      </c>
      <c r="F970" s="429">
        <v>27.0</v>
      </c>
      <c r="G970" s="429">
        <v>17.0</v>
      </c>
      <c r="H970" s="429">
        <v>39.0</v>
      </c>
      <c r="I970" s="429">
        <v>56.0</v>
      </c>
      <c r="J970" s="430">
        <v>0.3</v>
      </c>
      <c r="K970" s="376" t="s">
        <v>6928</v>
      </c>
      <c r="L970" s="376">
        <v>5.5162991E9</v>
      </c>
      <c r="M970" s="376" t="s">
        <v>3692</v>
      </c>
      <c r="N970" s="376" t="s">
        <v>3901</v>
      </c>
      <c r="O970" s="376" t="s">
        <v>6929</v>
      </c>
      <c r="P970" s="376" t="s">
        <v>3941</v>
      </c>
      <c r="Q970" s="16">
        <f>COUNTIF('hedef liste'!A:A,A970)</f>
        <v>1</v>
      </c>
    </row>
    <row r="971" hidden="1">
      <c r="A971" s="376" t="s">
        <v>5682</v>
      </c>
      <c r="B971" s="376" t="s">
        <v>5683</v>
      </c>
      <c r="C971" s="428" t="s">
        <v>6979</v>
      </c>
      <c r="D971" s="376" t="s">
        <v>3713</v>
      </c>
      <c r="E971" s="431"/>
      <c r="F971" s="431"/>
      <c r="G971" s="429">
        <v>0.0</v>
      </c>
      <c r="H971" s="429">
        <v>13.0</v>
      </c>
      <c r="I971" s="429">
        <v>13.0</v>
      </c>
      <c r="J971" s="430">
        <v>0.0</v>
      </c>
      <c r="K971" s="376" t="s">
        <v>5684</v>
      </c>
      <c r="L971" s="376">
        <v>5.370520439E9</v>
      </c>
      <c r="M971" s="376" t="s">
        <v>14</v>
      </c>
      <c r="N971" s="376" t="s">
        <v>3733</v>
      </c>
      <c r="O971" s="376" t="s">
        <v>5685</v>
      </c>
      <c r="P971" s="376" t="s">
        <v>3941</v>
      </c>
      <c r="Q971" s="16">
        <f>COUNTIF('hedef liste'!A:A,A971)</f>
        <v>1</v>
      </c>
    </row>
    <row r="972" hidden="1">
      <c r="A972" s="376" t="s">
        <v>3368</v>
      </c>
      <c r="B972" s="376" t="s">
        <v>3369</v>
      </c>
      <c r="C972" s="428" t="s">
        <v>6979</v>
      </c>
      <c r="D972" s="376" t="s">
        <v>3676</v>
      </c>
      <c r="E972" s="429">
        <v>640.0</v>
      </c>
      <c r="F972" s="429">
        <v>149.0</v>
      </c>
      <c r="G972" s="429">
        <v>0.0</v>
      </c>
      <c r="H972" s="429">
        <v>20.0</v>
      </c>
      <c r="I972" s="429">
        <v>20.0</v>
      </c>
      <c r="J972" s="433">
        <v>0.0</v>
      </c>
      <c r="K972" s="376" t="s">
        <v>4561</v>
      </c>
      <c r="L972" s="376">
        <v>3.224587888E9</v>
      </c>
      <c r="M972" s="376" t="s">
        <v>286</v>
      </c>
      <c r="N972" s="376" t="s">
        <v>3806</v>
      </c>
      <c r="O972" s="376" t="s">
        <v>3371</v>
      </c>
      <c r="P972" s="376" t="s">
        <v>3941</v>
      </c>
      <c r="Q972" s="16">
        <f>COUNTIF('hedef liste'!A:A,A972)</f>
        <v>1</v>
      </c>
    </row>
    <row r="973" hidden="1">
      <c r="A973" s="376" t="s">
        <v>7626</v>
      </c>
      <c r="B973" s="376" t="s">
        <v>7627</v>
      </c>
      <c r="C973" s="428" t="s">
        <v>6979</v>
      </c>
      <c r="D973" s="376" t="s">
        <v>3994</v>
      </c>
      <c r="E973" s="429">
        <v>9302.0</v>
      </c>
      <c r="F973" s="429">
        <v>455.0</v>
      </c>
      <c r="G973" s="429">
        <v>77.0</v>
      </c>
      <c r="H973" s="429">
        <v>27.0</v>
      </c>
      <c r="I973" s="429">
        <v>104.0</v>
      </c>
      <c r="J973" s="430">
        <v>0.74</v>
      </c>
      <c r="K973" s="376" t="s">
        <v>7178</v>
      </c>
      <c r="L973" s="376">
        <v>3.223271111E9</v>
      </c>
      <c r="M973" s="376" t="s">
        <v>3707</v>
      </c>
      <c r="N973" s="376" t="s">
        <v>3708</v>
      </c>
      <c r="O973" s="376" t="s">
        <v>7628</v>
      </c>
      <c r="P973" s="376" t="s">
        <v>6982</v>
      </c>
      <c r="Q973" s="16">
        <f>COUNTIF('hedef liste'!A:A,A973)</f>
        <v>0</v>
      </c>
    </row>
    <row r="974" hidden="1">
      <c r="A974" s="376" t="s">
        <v>3373</v>
      </c>
      <c r="B974" s="376" t="s">
        <v>3374</v>
      </c>
      <c r="C974" s="428" t="s">
        <v>6979</v>
      </c>
      <c r="D974" s="376" t="s">
        <v>3713</v>
      </c>
      <c r="E974" s="429">
        <v>147.0</v>
      </c>
      <c r="F974" s="429">
        <v>32.0</v>
      </c>
      <c r="G974" s="429">
        <v>13.0</v>
      </c>
      <c r="H974" s="429">
        <v>5.0</v>
      </c>
      <c r="I974" s="429">
        <v>18.0</v>
      </c>
      <c r="J974" s="430">
        <v>0.72</v>
      </c>
      <c r="K974" s="376" t="s">
        <v>5678</v>
      </c>
      <c r="L974" s="376">
        <v>3.224533765E9</v>
      </c>
      <c r="M974" s="376" t="s">
        <v>286</v>
      </c>
      <c r="N974" s="376" t="s">
        <v>3688</v>
      </c>
      <c r="O974" s="376" t="s">
        <v>5679</v>
      </c>
      <c r="P974" s="376" t="s">
        <v>3941</v>
      </c>
      <c r="Q974" s="16">
        <f>COUNTIF('hedef liste'!A:A,A974)</f>
        <v>1</v>
      </c>
    </row>
    <row r="975" hidden="1">
      <c r="A975" s="376" t="s">
        <v>6930</v>
      </c>
      <c r="B975" s="376" t="s">
        <v>6931</v>
      </c>
      <c r="C975" s="428" t="s">
        <v>6979</v>
      </c>
      <c r="D975" s="376" t="s">
        <v>3907</v>
      </c>
      <c r="E975" s="429">
        <v>105.0</v>
      </c>
      <c r="F975" s="429">
        <v>3.0</v>
      </c>
      <c r="G975" s="429">
        <v>0.0</v>
      </c>
      <c r="H975" s="429">
        <v>10.0</v>
      </c>
      <c r="I975" s="429">
        <v>10.0</v>
      </c>
      <c r="J975" s="430">
        <v>0.0</v>
      </c>
      <c r="K975" s="376" t="s">
        <v>6932</v>
      </c>
      <c r="L975" s="376">
        <v>3.226113434E9</v>
      </c>
      <c r="M975" s="376" t="s">
        <v>3701</v>
      </c>
      <c r="N975" s="376" t="s">
        <v>3803</v>
      </c>
      <c r="O975" s="376" t="s">
        <v>6933</v>
      </c>
      <c r="P975" s="376" t="s">
        <v>3941</v>
      </c>
      <c r="Q975" s="16">
        <f>COUNTIF('hedef liste'!A:A,A975)</f>
        <v>1</v>
      </c>
    </row>
    <row r="976" hidden="1">
      <c r="A976" s="376" t="s">
        <v>5896</v>
      </c>
      <c r="B976" s="376" t="s">
        <v>5897</v>
      </c>
      <c r="C976" s="428" t="s">
        <v>6979</v>
      </c>
      <c r="D976" s="376" t="s">
        <v>3883</v>
      </c>
      <c r="E976" s="429">
        <v>66.0</v>
      </c>
      <c r="F976" s="429">
        <v>14.0</v>
      </c>
      <c r="G976" s="429">
        <v>1.0</v>
      </c>
      <c r="H976" s="429">
        <v>24.0</v>
      </c>
      <c r="I976" s="429">
        <v>25.0</v>
      </c>
      <c r="J976" s="430">
        <v>0.04</v>
      </c>
      <c r="K976" s="376" t="s">
        <v>5898</v>
      </c>
      <c r="L976" s="376">
        <v>5.442789699E9</v>
      </c>
      <c r="M976" s="376" t="s">
        <v>14</v>
      </c>
      <c r="N976" s="376" t="s">
        <v>3767</v>
      </c>
      <c r="O976" s="376" t="s">
        <v>5899</v>
      </c>
      <c r="P976" s="376" t="s">
        <v>3941</v>
      </c>
      <c r="Q976" s="16">
        <f>COUNTIF('hedef liste'!A:A,A976)</f>
        <v>1</v>
      </c>
    </row>
    <row r="977" hidden="1">
      <c r="A977" s="376" t="s">
        <v>6452</v>
      </c>
      <c r="B977" s="376" t="s">
        <v>6453</v>
      </c>
      <c r="C977" s="428" t="s">
        <v>6979</v>
      </c>
      <c r="D977" s="376" t="s">
        <v>3676</v>
      </c>
      <c r="E977" s="429">
        <v>14.0</v>
      </c>
      <c r="F977" s="431"/>
      <c r="G977" s="429">
        <v>0.0</v>
      </c>
      <c r="H977" s="429">
        <v>6.0</v>
      </c>
      <c r="I977" s="429">
        <v>6.0</v>
      </c>
      <c r="J977" s="430">
        <v>0.0</v>
      </c>
      <c r="K977" s="376" t="s">
        <v>7629</v>
      </c>
      <c r="L977" s="376">
        <v>5.013632922E9</v>
      </c>
      <c r="M977" s="376" t="s">
        <v>286</v>
      </c>
      <c r="N977" s="376" t="s">
        <v>3751</v>
      </c>
      <c r="O977" s="376" t="s">
        <v>6455</v>
      </c>
      <c r="P977" s="376" t="s">
        <v>3941</v>
      </c>
      <c r="Q977" s="16">
        <f>COUNTIF('hedef liste'!A:A,A977)</f>
        <v>1</v>
      </c>
    </row>
    <row r="978" hidden="1">
      <c r="A978" s="376" t="s">
        <v>5413</v>
      </c>
      <c r="B978" s="376" t="s">
        <v>5414</v>
      </c>
      <c r="C978" s="428" t="s">
        <v>6979</v>
      </c>
      <c r="D978" s="376" t="s">
        <v>3713</v>
      </c>
      <c r="E978" s="429">
        <v>346.0</v>
      </c>
      <c r="F978" s="429">
        <v>80.0</v>
      </c>
      <c r="G978" s="429">
        <v>0.0</v>
      </c>
      <c r="H978" s="429">
        <v>25.0</v>
      </c>
      <c r="I978" s="429">
        <v>25.0</v>
      </c>
      <c r="J978" s="430">
        <v>0.0</v>
      </c>
      <c r="K978" s="376" t="s">
        <v>5415</v>
      </c>
      <c r="L978" s="376">
        <v>3.222341443E9</v>
      </c>
      <c r="M978" s="376" t="s">
        <v>286</v>
      </c>
      <c r="N978" s="376" t="s">
        <v>3754</v>
      </c>
      <c r="O978" s="376" t="s">
        <v>5416</v>
      </c>
      <c r="P978" s="376" t="s">
        <v>3941</v>
      </c>
      <c r="Q978" s="16">
        <f>COUNTIF('hedef liste'!A:A,A978)</f>
        <v>1</v>
      </c>
    </row>
    <row r="979" hidden="1">
      <c r="A979" s="376" t="s">
        <v>7630</v>
      </c>
      <c r="B979" s="376" t="s">
        <v>7631</v>
      </c>
      <c r="C979" s="428" t="s">
        <v>6979</v>
      </c>
      <c r="D979" s="376" t="s">
        <v>3676</v>
      </c>
      <c r="E979" s="429">
        <v>94.0</v>
      </c>
      <c r="F979" s="429">
        <v>26.0</v>
      </c>
      <c r="G979" s="429">
        <v>11.0</v>
      </c>
      <c r="H979" s="429">
        <v>22.0</v>
      </c>
      <c r="I979" s="429">
        <v>33.0</v>
      </c>
      <c r="J979" s="430">
        <v>0.33</v>
      </c>
      <c r="K979" s="376" t="s">
        <v>7632</v>
      </c>
      <c r="L979" s="376">
        <v>5.354249E9</v>
      </c>
      <c r="M979" s="376" t="s">
        <v>14</v>
      </c>
      <c r="N979" s="376" t="s">
        <v>3767</v>
      </c>
      <c r="O979" s="376" t="s">
        <v>7633</v>
      </c>
      <c r="P979" s="376" t="s">
        <v>3941</v>
      </c>
      <c r="Q979" s="16">
        <f>COUNTIF('hedef liste'!A:A,A979)</f>
        <v>0</v>
      </c>
    </row>
    <row r="980" hidden="1">
      <c r="A980" s="376" t="s">
        <v>3505</v>
      </c>
      <c r="B980" s="376" t="s">
        <v>3506</v>
      </c>
      <c r="C980" s="428" t="s">
        <v>6979</v>
      </c>
      <c r="D980" s="376" t="s">
        <v>6863</v>
      </c>
      <c r="E980" s="429">
        <v>240.0</v>
      </c>
      <c r="F980" s="429">
        <v>99.0</v>
      </c>
      <c r="G980" s="429">
        <v>3.0</v>
      </c>
      <c r="H980" s="429">
        <v>43.0</v>
      </c>
      <c r="I980" s="429">
        <v>46.0</v>
      </c>
      <c r="J980" s="430">
        <v>0.07</v>
      </c>
      <c r="K980" s="376" t="s">
        <v>6864</v>
      </c>
      <c r="L980" s="376">
        <v>5.076403798E9</v>
      </c>
      <c r="M980" s="376" t="s">
        <v>14</v>
      </c>
      <c r="N980" s="376" t="s">
        <v>3767</v>
      </c>
      <c r="O980" s="376" t="s">
        <v>3508</v>
      </c>
      <c r="P980" s="376" t="s">
        <v>3941</v>
      </c>
      <c r="Q980" s="16">
        <f>COUNTIF('hedef liste'!A:A,A980)</f>
        <v>1</v>
      </c>
    </row>
    <row r="981" hidden="1">
      <c r="A981" s="376" t="s">
        <v>5185</v>
      </c>
      <c r="B981" s="376" t="s">
        <v>5186</v>
      </c>
      <c r="C981" s="428" t="s">
        <v>6979</v>
      </c>
      <c r="D981" s="376" t="s">
        <v>3699</v>
      </c>
      <c r="E981" s="429">
        <v>107.0</v>
      </c>
      <c r="F981" s="429">
        <v>51.0</v>
      </c>
      <c r="G981" s="429">
        <v>0.0</v>
      </c>
      <c r="H981" s="429">
        <v>43.0</v>
      </c>
      <c r="I981" s="429">
        <v>43.0</v>
      </c>
      <c r="J981" s="430">
        <v>0.0</v>
      </c>
      <c r="K981" s="376" t="s">
        <v>5187</v>
      </c>
      <c r="L981" s="376">
        <v>3.223650267E9</v>
      </c>
      <c r="M981" s="376" t="s">
        <v>286</v>
      </c>
      <c r="N981" s="376" t="s">
        <v>4152</v>
      </c>
      <c r="O981" s="376" t="s">
        <v>5188</v>
      </c>
      <c r="P981" s="376" t="s">
        <v>3941</v>
      </c>
      <c r="Q981" s="16">
        <f>COUNTIF('hedef liste'!A:A,A981)</f>
        <v>1</v>
      </c>
    </row>
    <row r="982" hidden="1">
      <c r="A982" s="376" t="s">
        <v>3524</v>
      </c>
      <c r="B982" s="376" t="s">
        <v>3525</v>
      </c>
      <c r="C982" s="428" t="s">
        <v>6979</v>
      </c>
      <c r="D982" s="376" t="s">
        <v>3699</v>
      </c>
      <c r="E982" s="429">
        <v>347.0</v>
      </c>
      <c r="F982" s="429">
        <v>194.0</v>
      </c>
      <c r="G982" s="429">
        <v>0.0</v>
      </c>
      <c r="H982" s="429">
        <v>26.0</v>
      </c>
      <c r="I982" s="429">
        <v>26.0</v>
      </c>
      <c r="J982" s="430">
        <v>0.0</v>
      </c>
      <c r="K982" s="376" t="s">
        <v>5179</v>
      </c>
      <c r="L982" s="376">
        <v>3.222420167E9</v>
      </c>
      <c r="M982" s="376" t="s">
        <v>14</v>
      </c>
      <c r="N982" s="376" t="s">
        <v>3718</v>
      </c>
      <c r="O982" s="376" t="s">
        <v>3527</v>
      </c>
      <c r="P982" s="376" t="s">
        <v>3941</v>
      </c>
      <c r="Q982" s="16">
        <f>COUNTIF('hedef liste'!A:A,A982)</f>
        <v>1</v>
      </c>
    </row>
    <row r="983" hidden="1">
      <c r="A983" s="376" t="s">
        <v>3541</v>
      </c>
      <c r="B983" s="376" t="s">
        <v>3542</v>
      </c>
      <c r="C983" s="428" t="s">
        <v>6979</v>
      </c>
      <c r="D983" s="376" t="s">
        <v>3801</v>
      </c>
      <c r="E983" s="429">
        <v>25.0</v>
      </c>
      <c r="F983" s="429">
        <v>4.0</v>
      </c>
      <c r="G983" s="429">
        <v>0.0</v>
      </c>
      <c r="H983" s="429">
        <v>16.0</v>
      </c>
      <c r="I983" s="429">
        <v>16.0</v>
      </c>
      <c r="J983" s="430">
        <v>0.0</v>
      </c>
      <c r="K983" s="376" t="s">
        <v>5476</v>
      </c>
      <c r="L983" s="376">
        <v>5.378381781E9</v>
      </c>
      <c r="M983" s="376" t="s">
        <v>14</v>
      </c>
      <c r="N983" s="376" t="s">
        <v>3718</v>
      </c>
      <c r="O983" s="376" t="s">
        <v>3545</v>
      </c>
      <c r="P983" s="376" t="s">
        <v>3941</v>
      </c>
      <c r="Q983" s="16">
        <f>COUNTIF('hedef liste'!A:A,A983)</f>
        <v>1</v>
      </c>
    </row>
    <row r="984" hidden="1">
      <c r="A984" s="376" t="s">
        <v>4034</v>
      </c>
      <c r="B984" s="376" t="s">
        <v>4035</v>
      </c>
      <c r="C984" s="428" t="s">
        <v>6979</v>
      </c>
      <c r="D984" s="376" t="s">
        <v>3713</v>
      </c>
      <c r="E984" s="429">
        <v>450.0</v>
      </c>
      <c r="F984" s="429">
        <v>197.0</v>
      </c>
      <c r="G984" s="429">
        <v>0.0</v>
      </c>
      <c r="H984" s="429">
        <v>16.0</v>
      </c>
      <c r="I984" s="429">
        <v>16.0</v>
      </c>
      <c r="J984" s="430">
        <v>0.0</v>
      </c>
      <c r="K984" s="376" t="s">
        <v>4036</v>
      </c>
      <c r="L984" s="376">
        <v>3.223270403E9</v>
      </c>
      <c r="M984" s="376" t="s">
        <v>3707</v>
      </c>
      <c r="N984" s="376" t="s">
        <v>3708</v>
      </c>
      <c r="O984" s="376" t="s">
        <v>4037</v>
      </c>
      <c r="P984" s="376" t="s">
        <v>3941</v>
      </c>
      <c r="Q984" s="16">
        <f>COUNTIF('hedef liste'!A:A,A984)</f>
        <v>1</v>
      </c>
    </row>
    <row r="985" hidden="1">
      <c r="A985" s="376" t="s">
        <v>4706</v>
      </c>
      <c r="B985" s="376" t="s">
        <v>4707</v>
      </c>
      <c r="C985" s="428" t="s">
        <v>6979</v>
      </c>
      <c r="D985" s="376" t="s">
        <v>3842</v>
      </c>
      <c r="E985" s="429">
        <v>90.0</v>
      </c>
      <c r="F985" s="429">
        <v>27.0</v>
      </c>
      <c r="G985" s="429">
        <v>0.0</v>
      </c>
      <c r="H985" s="429">
        <v>9.0</v>
      </c>
      <c r="I985" s="429">
        <v>9.0</v>
      </c>
      <c r="J985" s="430">
        <v>0.0</v>
      </c>
      <c r="K985" s="376" t="s">
        <v>4708</v>
      </c>
      <c r="L985" s="376">
        <v>5.532102388E9</v>
      </c>
      <c r="M985" s="376" t="s">
        <v>3701</v>
      </c>
      <c r="N985" s="376" t="s">
        <v>3935</v>
      </c>
      <c r="O985" s="376" t="s">
        <v>4709</v>
      </c>
      <c r="P985" s="376" t="s">
        <v>3941</v>
      </c>
      <c r="Q985" s="16">
        <f>COUNTIF('hedef liste'!A:A,A985)</f>
        <v>1</v>
      </c>
    </row>
    <row r="986" hidden="1">
      <c r="A986" s="376" t="s">
        <v>3618</v>
      </c>
      <c r="B986" s="376" t="s">
        <v>3619</v>
      </c>
      <c r="C986" s="428" t="s">
        <v>6979</v>
      </c>
      <c r="D986" s="376" t="s">
        <v>3759</v>
      </c>
      <c r="E986" s="429">
        <v>74.0</v>
      </c>
      <c r="F986" s="429">
        <v>29.0</v>
      </c>
      <c r="G986" s="429">
        <v>0.0</v>
      </c>
      <c r="H986" s="429">
        <v>19.0</v>
      </c>
      <c r="I986" s="429">
        <v>19.0</v>
      </c>
      <c r="J986" s="433">
        <v>0.0</v>
      </c>
      <c r="K986" s="376" t="s">
        <v>5754</v>
      </c>
      <c r="L986" s="376">
        <v>5.316941852E9</v>
      </c>
      <c r="M986" s="376" t="s">
        <v>286</v>
      </c>
      <c r="N986" s="376" t="s">
        <v>3980</v>
      </c>
      <c r="O986" s="376" t="s">
        <v>3621</v>
      </c>
      <c r="P986" s="376" t="s">
        <v>3941</v>
      </c>
      <c r="Q986" s="16">
        <f>COUNTIF('hedef liste'!A:A,A986)</f>
        <v>1</v>
      </c>
    </row>
    <row r="987" hidden="1">
      <c r="A987" s="376" t="s">
        <v>5358</v>
      </c>
      <c r="B987" s="376" t="s">
        <v>5359</v>
      </c>
      <c r="C987" s="428" t="s">
        <v>6979</v>
      </c>
      <c r="D987" s="376" t="s">
        <v>3699</v>
      </c>
      <c r="E987" s="429">
        <v>10.0</v>
      </c>
      <c r="F987" s="429">
        <v>5.0</v>
      </c>
      <c r="G987" s="429">
        <v>0.0</v>
      </c>
      <c r="H987" s="429">
        <v>24.0</v>
      </c>
      <c r="I987" s="429">
        <v>24.0</v>
      </c>
      <c r="J987" s="433">
        <v>0.0</v>
      </c>
      <c r="K987" s="376" t="s">
        <v>5360</v>
      </c>
      <c r="L987" s="376">
        <v>5.539373685E9</v>
      </c>
      <c r="M987" s="376" t="s">
        <v>286</v>
      </c>
      <c r="N987" s="376" t="s">
        <v>3751</v>
      </c>
      <c r="O987" s="376" t="s">
        <v>1249</v>
      </c>
      <c r="P987" s="376" t="s">
        <v>3941</v>
      </c>
      <c r="Q987" s="16">
        <f>COUNTIF('hedef liste'!A:A,A987)</f>
        <v>1</v>
      </c>
    </row>
    <row r="988" hidden="1">
      <c r="A988" s="376" t="s">
        <v>7634</v>
      </c>
      <c r="B988" s="376" t="s">
        <v>7635</v>
      </c>
      <c r="C988" s="428" t="s">
        <v>6979</v>
      </c>
      <c r="D988" s="376" t="s">
        <v>3994</v>
      </c>
      <c r="E988" s="429">
        <v>4580.0</v>
      </c>
      <c r="F988" s="429">
        <v>209.0</v>
      </c>
      <c r="G988" s="429">
        <v>77.0</v>
      </c>
      <c r="H988" s="429">
        <v>27.0</v>
      </c>
      <c r="I988" s="429">
        <v>104.0</v>
      </c>
      <c r="J988" s="430">
        <v>0.74</v>
      </c>
      <c r="K988" s="376" t="s">
        <v>7178</v>
      </c>
      <c r="L988" s="376">
        <v>3.222482727E9</v>
      </c>
      <c r="M988" s="376" t="s">
        <v>14</v>
      </c>
      <c r="N988" s="376" t="s">
        <v>3718</v>
      </c>
      <c r="O988" s="376" t="s">
        <v>7636</v>
      </c>
      <c r="P988" s="376" t="s">
        <v>6982</v>
      </c>
      <c r="Q988" s="16">
        <f>COUNTIF('hedef liste'!A:A,A988)</f>
        <v>0</v>
      </c>
    </row>
    <row r="989" hidden="1">
      <c r="A989" s="376" t="s">
        <v>4080</v>
      </c>
      <c r="B989" s="376" t="s">
        <v>4081</v>
      </c>
      <c r="C989" s="428" t="s">
        <v>6979</v>
      </c>
      <c r="D989" s="376" t="s">
        <v>3713</v>
      </c>
      <c r="E989" s="429">
        <v>10.0</v>
      </c>
      <c r="F989" s="429">
        <v>2.0</v>
      </c>
      <c r="G989" s="429">
        <v>0.0</v>
      </c>
      <c r="H989" s="429">
        <v>11.0</v>
      </c>
      <c r="I989" s="429">
        <v>11.0</v>
      </c>
      <c r="J989" s="430">
        <v>0.0</v>
      </c>
      <c r="K989" s="376" t="s">
        <v>4082</v>
      </c>
      <c r="L989" s="376">
        <v>5.516782663E9</v>
      </c>
      <c r="M989" s="376" t="s">
        <v>3707</v>
      </c>
      <c r="N989" s="376" t="s">
        <v>4083</v>
      </c>
      <c r="O989" s="376" t="s">
        <v>4084</v>
      </c>
      <c r="P989" s="376" t="s">
        <v>3941</v>
      </c>
      <c r="Q989" s="16">
        <f>COUNTIF('hedef liste'!A:A,A989)</f>
        <v>1</v>
      </c>
    </row>
    <row r="990" hidden="1">
      <c r="A990" s="376" t="s">
        <v>6151</v>
      </c>
      <c r="B990" s="376" t="s">
        <v>7637</v>
      </c>
      <c r="C990" s="428" t="s">
        <v>6979</v>
      </c>
      <c r="D990" s="376" t="s">
        <v>3699</v>
      </c>
      <c r="E990" s="429">
        <v>1513.0</v>
      </c>
      <c r="F990" s="429">
        <v>155.0</v>
      </c>
      <c r="G990" s="429">
        <v>16.0</v>
      </c>
      <c r="H990" s="429">
        <v>17.0</v>
      </c>
      <c r="I990" s="429">
        <v>33.0</v>
      </c>
      <c r="J990" s="430">
        <v>0.48</v>
      </c>
      <c r="K990" s="376" t="s">
        <v>5645</v>
      </c>
      <c r="L990" s="376">
        <v>5.425450126E9</v>
      </c>
      <c r="M990" s="376" t="s">
        <v>14</v>
      </c>
      <c r="N990" s="376" t="s">
        <v>3797</v>
      </c>
      <c r="O990" s="376" t="s">
        <v>3288</v>
      </c>
      <c r="P990" s="376" t="s">
        <v>3941</v>
      </c>
      <c r="Q990" s="16">
        <f>COUNTIF('hedef liste'!A:A,A990)</f>
        <v>1</v>
      </c>
    </row>
    <row r="991" hidden="1">
      <c r="A991" s="376" t="s">
        <v>3399</v>
      </c>
      <c r="B991" s="376" t="s">
        <v>3400</v>
      </c>
      <c r="C991" s="428" t="s">
        <v>6979</v>
      </c>
      <c r="D991" s="376" t="s">
        <v>3749</v>
      </c>
      <c r="E991" s="429">
        <v>430.0</v>
      </c>
      <c r="F991" s="429">
        <v>63.0</v>
      </c>
      <c r="G991" s="429">
        <v>18.0</v>
      </c>
      <c r="H991" s="429">
        <v>4.0</v>
      </c>
      <c r="I991" s="429">
        <v>22.0</v>
      </c>
      <c r="J991" s="430">
        <v>0.82</v>
      </c>
      <c r="K991" s="376" t="s">
        <v>6727</v>
      </c>
      <c r="L991" s="376">
        <v>5.301328437E9</v>
      </c>
      <c r="M991" s="376" t="s">
        <v>286</v>
      </c>
      <c r="N991" s="376" t="s">
        <v>3961</v>
      </c>
      <c r="O991" s="376" t="s">
        <v>3403</v>
      </c>
      <c r="P991" s="376" t="s">
        <v>3941</v>
      </c>
      <c r="Q991" s="16">
        <f>COUNTIF('hedef liste'!A:A,A991)</f>
        <v>1</v>
      </c>
    </row>
    <row r="992" hidden="1">
      <c r="A992" s="376" t="s">
        <v>4327</v>
      </c>
      <c r="B992" s="376" t="s">
        <v>4328</v>
      </c>
      <c r="C992" s="428" t="s">
        <v>6979</v>
      </c>
      <c r="D992" s="376" t="s">
        <v>4000</v>
      </c>
      <c r="E992" s="429">
        <v>4768.0</v>
      </c>
      <c r="F992" s="429">
        <v>65.0</v>
      </c>
      <c r="G992" s="429">
        <v>31.0</v>
      </c>
      <c r="H992" s="429">
        <v>2.0</v>
      </c>
      <c r="I992" s="429">
        <v>33.0</v>
      </c>
      <c r="J992" s="433">
        <v>0.94</v>
      </c>
      <c r="K992" s="376" t="s">
        <v>4329</v>
      </c>
      <c r="L992" s="376">
        <v>3.222710561E9</v>
      </c>
      <c r="M992" s="376" t="s">
        <v>286</v>
      </c>
      <c r="N992" s="376" t="s">
        <v>4235</v>
      </c>
      <c r="O992" s="376" t="s">
        <v>4330</v>
      </c>
      <c r="P992" s="376" t="s">
        <v>3941</v>
      </c>
      <c r="Q992" s="16">
        <f>COUNTIF('hedef liste'!A:A,A992)</f>
        <v>1</v>
      </c>
    </row>
    <row r="993" hidden="1">
      <c r="A993" s="376" t="s">
        <v>3555</v>
      </c>
      <c r="B993" s="376" t="s">
        <v>3556</v>
      </c>
      <c r="C993" s="428" t="s">
        <v>6979</v>
      </c>
      <c r="D993" s="376" t="s">
        <v>3699</v>
      </c>
      <c r="E993" s="429">
        <v>242.0</v>
      </c>
      <c r="F993" s="429">
        <v>107.0</v>
      </c>
      <c r="G993" s="429">
        <v>0.0</v>
      </c>
      <c r="H993" s="429">
        <v>42.0</v>
      </c>
      <c r="I993" s="429">
        <v>42.0</v>
      </c>
      <c r="J993" s="430">
        <v>0.0</v>
      </c>
      <c r="K993" s="376" t="s">
        <v>4938</v>
      </c>
      <c r="L993" s="376">
        <v>5.412271725E9</v>
      </c>
      <c r="M993" s="376" t="s">
        <v>286</v>
      </c>
      <c r="N993" s="376" t="s">
        <v>3855</v>
      </c>
      <c r="O993" s="376" t="s">
        <v>3558</v>
      </c>
      <c r="P993" s="376" t="s">
        <v>3941</v>
      </c>
      <c r="Q993" s="16">
        <f>COUNTIF('hedef liste'!A:A,A993)</f>
        <v>1</v>
      </c>
    </row>
    <row r="994">
      <c r="A994" s="376" t="s">
        <v>6897</v>
      </c>
      <c r="B994" s="376" t="s">
        <v>6898</v>
      </c>
      <c r="C994" s="428" t="s">
        <v>6979</v>
      </c>
      <c r="D994" s="376" t="s">
        <v>3994</v>
      </c>
      <c r="E994" s="431"/>
      <c r="F994" s="431"/>
      <c r="G994" s="429">
        <v>0.0</v>
      </c>
      <c r="H994" s="429">
        <v>81.0</v>
      </c>
      <c r="I994" s="429">
        <v>81.0</v>
      </c>
      <c r="J994" s="430">
        <v>0.0</v>
      </c>
      <c r="K994" s="376" t="s">
        <v>6899</v>
      </c>
      <c r="L994" s="376">
        <v>3.226113611E9</v>
      </c>
      <c r="M994" s="376" t="s">
        <v>3701</v>
      </c>
      <c r="N994" s="376" t="s">
        <v>4685</v>
      </c>
      <c r="O994" s="376" t="s">
        <v>6900</v>
      </c>
      <c r="P994" s="376" t="s">
        <v>3941</v>
      </c>
      <c r="Q994" s="16">
        <f>COUNTIF('hedef liste'!A:A,A994)</f>
        <v>1</v>
      </c>
    </row>
    <row r="995">
      <c r="A995" s="376" t="s">
        <v>6679</v>
      </c>
      <c r="B995" s="376" t="s">
        <v>6680</v>
      </c>
      <c r="C995" s="428" t="s">
        <v>6979</v>
      </c>
      <c r="D995" s="376" t="s">
        <v>3749</v>
      </c>
      <c r="F995" s="431"/>
      <c r="G995" s="429">
        <v>0.0</v>
      </c>
      <c r="H995" s="429">
        <v>34.0</v>
      </c>
      <c r="I995" s="429">
        <v>34.0</v>
      </c>
      <c r="J995" s="430">
        <v>0.0</v>
      </c>
      <c r="K995" s="376" t="s">
        <v>6681</v>
      </c>
      <c r="L995" s="376">
        <v>5.527434173E9</v>
      </c>
      <c r="M995" s="376" t="s">
        <v>286</v>
      </c>
      <c r="N995" s="376" t="s">
        <v>3758</v>
      </c>
      <c r="O995" s="376" t="s">
        <v>6682</v>
      </c>
      <c r="P995" s="376" t="s">
        <v>3941</v>
      </c>
      <c r="Q995" s="16">
        <f>COUNTIF('hedef liste'!A:A,A995)</f>
        <v>1</v>
      </c>
    </row>
    <row r="996">
      <c r="A996" s="376" t="s">
        <v>5531</v>
      </c>
      <c r="B996" s="376" t="s">
        <v>5532</v>
      </c>
      <c r="C996" s="428" t="s">
        <v>6979</v>
      </c>
      <c r="D996" s="376" t="s">
        <v>3699</v>
      </c>
      <c r="E996" s="429">
        <v>194.0</v>
      </c>
      <c r="F996" s="429">
        <v>168.0</v>
      </c>
      <c r="G996" s="429">
        <v>0.0</v>
      </c>
      <c r="H996" s="429">
        <v>11.0</v>
      </c>
      <c r="I996" s="429">
        <v>11.0</v>
      </c>
      <c r="J996" s="430">
        <v>0.0</v>
      </c>
      <c r="K996" s="376" t="s">
        <v>5533</v>
      </c>
      <c r="L996" s="376">
        <v>3.222122212E9</v>
      </c>
      <c r="M996" s="376" t="s">
        <v>286</v>
      </c>
      <c r="N996" s="376" t="s">
        <v>3746</v>
      </c>
      <c r="O996" s="376" t="s">
        <v>5534</v>
      </c>
      <c r="P996" s="376" t="s">
        <v>3941</v>
      </c>
      <c r="Q996" s="16">
        <f>COUNTIF('hedef liste'!A:A,A996)</f>
        <v>1</v>
      </c>
    </row>
    <row r="997">
      <c r="A997" s="376" t="s">
        <v>4710</v>
      </c>
      <c r="B997" s="376" t="s">
        <v>4711</v>
      </c>
      <c r="C997" s="428" t="s">
        <v>6979</v>
      </c>
      <c r="D997" s="376" t="s">
        <v>3994</v>
      </c>
      <c r="E997" s="429">
        <v>36.0</v>
      </c>
      <c r="F997" s="429">
        <v>24.0</v>
      </c>
      <c r="G997" s="429">
        <v>0.0</v>
      </c>
      <c r="H997" s="429">
        <v>53.0</v>
      </c>
      <c r="I997" s="429">
        <v>53.0</v>
      </c>
      <c r="J997" s="430">
        <v>0.0</v>
      </c>
      <c r="K997" s="376" t="s">
        <v>4712</v>
      </c>
      <c r="L997" s="376">
        <v>5.539481768E9</v>
      </c>
      <c r="M997" s="376" t="s">
        <v>286</v>
      </c>
      <c r="N997" s="376" t="s">
        <v>4713</v>
      </c>
      <c r="O997" s="376" t="s">
        <v>4714</v>
      </c>
      <c r="P997" s="376" t="s">
        <v>3941</v>
      </c>
      <c r="Q997" s="16">
        <f>COUNTIF('hedef liste'!A:A,A997)</f>
        <v>1</v>
      </c>
    </row>
    <row r="998" hidden="1">
      <c r="A998" s="376" t="s">
        <v>7638</v>
      </c>
      <c r="B998" s="376" t="s">
        <v>7639</v>
      </c>
      <c r="C998" s="428" t="s">
        <v>6979</v>
      </c>
      <c r="D998" s="376" t="s">
        <v>3690</v>
      </c>
      <c r="E998" s="429">
        <v>48.0</v>
      </c>
      <c r="F998" s="429">
        <v>38.0</v>
      </c>
      <c r="G998" s="429">
        <v>8.0</v>
      </c>
      <c r="H998" s="429">
        <v>4.0</v>
      </c>
      <c r="I998" s="429">
        <v>12.0</v>
      </c>
      <c r="J998" s="430">
        <v>0.67</v>
      </c>
      <c r="K998" s="376" t="s">
        <v>6522</v>
      </c>
      <c r="L998" s="376">
        <v>5.46221227E8</v>
      </c>
      <c r="M998" s="376" t="s">
        <v>14</v>
      </c>
      <c r="N998" s="376" t="s">
        <v>3733</v>
      </c>
      <c r="O998" s="376" t="s">
        <v>7640</v>
      </c>
      <c r="P998" s="376" t="s">
        <v>3941</v>
      </c>
      <c r="Q998" s="16">
        <f>COUNTIF('hedef liste'!A:A,A998)</f>
        <v>0</v>
      </c>
    </row>
    <row r="999" hidden="1">
      <c r="A999" s="376" t="s">
        <v>3497</v>
      </c>
      <c r="B999" s="376" t="s">
        <v>3498</v>
      </c>
      <c r="C999" s="428" t="s">
        <v>6979</v>
      </c>
      <c r="D999" s="376" t="s">
        <v>3699</v>
      </c>
      <c r="E999" s="429">
        <v>177.0</v>
      </c>
      <c r="F999" s="429">
        <v>58.0</v>
      </c>
      <c r="G999" s="429">
        <v>13.0</v>
      </c>
      <c r="H999" s="429">
        <v>13.0</v>
      </c>
      <c r="I999" s="429">
        <v>26.0</v>
      </c>
      <c r="J999" s="430">
        <v>0.5</v>
      </c>
      <c r="K999" s="376" t="s">
        <v>5177</v>
      </c>
      <c r="L999" s="376">
        <v>3.222267767E9</v>
      </c>
      <c r="M999" s="376" t="s">
        <v>14</v>
      </c>
      <c r="N999" s="376" t="s">
        <v>3767</v>
      </c>
      <c r="O999" s="376" t="s">
        <v>3500</v>
      </c>
      <c r="P999" s="376" t="s">
        <v>3941</v>
      </c>
      <c r="Q999" s="16">
        <f>COUNTIF('hedef liste'!A:A,A999)</f>
        <v>1</v>
      </c>
    </row>
    <row r="1000" hidden="1">
      <c r="A1000" s="376" t="s">
        <v>7641</v>
      </c>
      <c r="B1000" s="376" t="s">
        <v>7642</v>
      </c>
      <c r="C1000" s="428" t="s">
        <v>7011</v>
      </c>
      <c r="D1000" s="376" t="s">
        <v>3713</v>
      </c>
      <c r="E1000" s="431"/>
      <c r="F1000" s="431"/>
      <c r="G1000" s="429">
        <v>0.0</v>
      </c>
      <c r="H1000" s="429">
        <v>22.0</v>
      </c>
      <c r="I1000" s="429">
        <v>22.0</v>
      </c>
      <c r="J1000" s="430">
        <v>0.0</v>
      </c>
      <c r="K1000" s="376" t="s">
        <v>7643</v>
      </c>
      <c r="L1000" s="376">
        <v>3.222271027E9</v>
      </c>
      <c r="M1000" s="376" t="s">
        <v>286</v>
      </c>
      <c r="N1000" s="376" t="s">
        <v>3782</v>
      </c>
      <c r="O1000" s="376" t="s">
        <v>7644</v>
      </c>
      <c r="P1000" s="376" t="s">
        <v>3941</v>
      </c>
      <c r="Q1000" s="16">
        <f>COUNTIF('hedef liste'!A:A,A1000)</f>
        <v>0</v>
      </c>
    </row>
    <row r="1001">
      <c r="A1001" s="376" t="s">
        <v>6457</v>
      </c>
      <c r="B1001" s="376" t="s">
        <v>6458</v>
      </c>
      <c r="C1001" s="428" t="s">
        <v>6979</v>
      </c>
      <c r="D1001" s="376" t="s">
        <v>3699</v>
      </c>
      <c r="E1001" s="429">
        <v>8.0</v>
      </c>
      <c r="F1001" s="429">
        <v>8.0</v>
      </c>
      <c r="G1001" s="429">
        <v>0.0</v>
      </c>
      <c r="H1001" s="429">
        <v>19.0</v>
      </c>
      <c r="I1001" s="429">
        <v>19.0</v>
      </c>
      <c r="J1001" s="430">
        <v>0.0</v>
      </c>
      <c r="K1001" s="376" t="s">
        <v>6459</v>
      </c>
      <c r="L1001" s="376">
        <v>5.385984275E9</v>
      </c>
      <c r="M1001" s="376" t="s">
        <v>286</v>
      </c>
      <c r="N1001" s="376" t="s">
        <v>4420</v>
      </c>
      <c r="O1001" s="376" t="s">
        <v>6460</v>
      </c>
      <c r="P1001" s="376" t="s">
        <v>3941</v>
      </c>
      <c r="Q1001" s="16">
        <f>COUNTIF('hedef liste'!A:A,A1001)</f>
        <v>1</v>
      </c>
    </row>
    <row r="1002">
      <c r="A1002" s="376" t="s">
        <v>5077</v>
      </c>
      <c r="B1002" s="376" t="s">
        <v>5078</v>
      </c>
      <c r="C1002" s="428" t="s">
        <v>6979</v>
      </c>
      <c r="D1002" s="376" t="s">
        <v>3690</v>
      </c>
      <c r="F1002" s="431"/>
      <c r="G1002" s="429">
        <v>0.0</v>
      </c>
      <c r="H1002" s="429">
        <v>26.0</v>
      </c>
      <c r="I1002" s="429">
        <v>26.0</v>
      </c>
      <c r="J1002" s="433">
        <v>0.0</v>
      </c>
      <c r="K1002" s="376" t="s">
        <v>5079</v>
      </c>
      <c r="L1002" s="376">
        <v>3.223634686E9</v>
      </c>
      <c r="M1002" s="376" t="s">
        <v>286</v>
      </c>
      <c r="N1002" s="376" t="s">
        <v>4057</v>
      </c>
      <c r="O1002" s="376" t="s">
        <v>5080</v>
      </c>
      <c r="P1002" s="376" t="s">
        <v>3941</v>
      </c>
      <c r="Q1002" s="16">
        <f>COUNTIF('hedef liste'!A:A,A1002)</f>
        <v>1</v>
      </c>
    </row>
    <row r="1003">
      <c r="A1003" s="376" t="s">
        <v>3697</v>
      </c>
      <c r="B1003" s="376" t="s">
        <v>3698</v>
      </c>
      <c r="C1003" s="428" t="s">
        <v>6979</v>
      </c>
      <c r="D1003" s="376" t="s">
        <v>3699</v>
      </c>
      <c r="E1003" s="429">
        <v>21.0</v>
      </c>
      <c r="F1003" s="429">
        <v>21.0</v>
      </c>
      <c r="G1003" s="429">
        <v>0.0</v>
      </c>
      <c r="H1003" s="429">
        <v>23.0</v>
      </c>
      <c r="I1003" s="429">
        <v>23.0</v>
      </c>
      <c r="J1003" s="430">
        <v>0.0</v>
      </c>
      <c r="K1003" s="376" t="s">
        <v>3700</v>
      </c>
      <c r="L1003" s="376">
        <v>5.354791758E9</v>
      </c>
      <c r="M1003" s="376" t="s">
        <v>3701</v>
      </c>
      <c r="N1003" s="376" t="s">
        <v>3702</v>
      </c>
      <c r="O1003" s="376" t="s">
        <v>3703</v>
      </c>
      <c r="P1003" s="376" t="s">
        <v>3941</v>
      </c>
      <c r="Q1003" s="16">
        <f>COUNTIF('hedef liste'!A:A,A1003)</f>
        <v>1</v>
      </c>
    </row>
    <row r="1004" hidden="1">
      <c r="A1004" s="376" t="s">
        <v>7645</v>
      </c>
      <c r="B1004" s="376" t="s">
        <v>7646</v>
      </c>
      <c r="C1004" s="428" t="s">
        <v>6979</v>
      </c>
      <c r="D1004" s="376" t="s">
        <v>3676</v>
      </c>
      <c r="E1004" s="429">
        <v>1263.0</v>
      </c>
      <c r="F1004" s="429">
        <v>41.0</v>
      </c>
      <c r="G1004" s="429">
        <v>30.0</v>
      </c>
      <c r="H1004" s="429">
        <v>0.0</v>
      </c>
      <c r="I1004" s="429">
        <v>30.0</v>
      </c>
      <c r="J1004" s="430">
        <v>1.0</v>
      </c>
      <c r="K1004" s="376" t="s">
        <v>7647</v>
      </c>
      <c r="L1004" s="376">
        <v>5.5381155E9</v>
      </c>
      <c r="M1004" s="376" t="s">
        <v>3701</v>
      </c>
      <c r="N1004" s="376" t="s">
        <v>7648</v>
      </c>
      <c r="O1004" s="376" t="s">
        <v>7649</v>
      </c>
      <c r="P1004" s="376" t="s">
        <v>6982</v>
      </c>
      <c r="Q1004" s="16">
        <f>COUNTIF('hedef liste'!A:A,A1004)</f>
        <v>0</v>
      </c>
    </row>
    <row r="1005" hidden="1">
      <c r="A1005" s="376" t="s">
        <v>7650</v>
      </c>
      <c r="B1005" s="376" t="s">
        <v>7651</v>
      </c>
      <c r="C1005" s="428" t="s">
        <v>6979</v>
      </c>
      <c r="D1005" s="376" t="s">
        <v>3842</v>
      </c>
      <c r="E1005" s="429">
        <v>3383.0</v>
      </c>
      <c r="F1005" s="429">
        <v>127.0</v>
      </c>
      <c r="G1005" s="429">
        <v>38.0</v>
      </c>
      <c r="H1005" s="429">
        <v>0.0</v>
      </c>
      <c r="I1005" s="429">
        <v>38.0</v>
      </c>
      <c r="J1005" s="430">
        <v>1.0</v>
      </c>
      <c r="K1005" s="376" t="s">
        <v>7652</v>
      </c>
      <c r="L1005" s="376">
        <v>5.31082053E9</v>
      </c>
      <c r="M1005" s="376" t="s">
        <v>14</v>
      </c>
      <c r="N1005" s="376" t="s">
        <v>3733</v>
      </c>
      <c r="O1005" s="376" t="s">
        <v>7653</v>
      </c>
      <c r="P1005" s="376" t="s">
        <v>6982</v>
      </c>
      <c r="Q1005" s="16">
        <f>COUNTIF('hedef liste'!A:A,A1005)</f>
        <v>0</v>
      </c>
    </row>
    <row r="1006" hidden="1">
      <c r="A1006" s="376" t="s">
        <v>7654</v>
      </c>
      <c r="B1006" s="376" t="s">
        <v>7655</v>
      </c>
      <c r="C1006" s="428" t="s">
        <v>6979</v>
      </c>
      <c r="D1006" s="376" t="s">
        <v>3842</v>
      </c>
      <c r="E1006" s="429">
        <v>948.0</v>
      </c>
      <c r="F1006" s="429">
        <v>40.0</v>
      </c>
      <c r="G1006" s="429">
        <v>38.0</v>
      </c>
      <c r="H1006" s="429">
        <v>0.0</v>
      </c>
      <c r="I1006" s="429">
        <v>38.0</v>
      </c>
      <c r="J1006" s="430">
        <v>1.0</v>
      </c>
      <c r="K1006" s="376" t="s">
        <v>7656</v>
      </c>
      <c r="L1006" s="376">
        <v>5.326813003E9</v>
      </c>
      <c r="M1006" s="376" t="s">
        <v>286</v>
      </c>
      <c r="N1006" s="376" t="s">
        <v>3806</v>
      </c>
      <c r="O1006" s="376" t="s">
        <v>7657</v>
      </c>
      <c r="P1006" s="376" t="s">
        <v>6982</v>
      </c>
      <c r="Q1006" s="16">
        <f>COUNTIF('hedef liste'!A:A,A1006)</f>
        <v>0</v>
      </c>
    </row>
    <row r="1007">
      <c r="A1007" s="376" t="s">
        <v>6085</v>
      </c>
      <c r="B1007" s="376" t="s">
        <v>6086</v>
      </c>
      <c r="C1007" s="428" t="s">
        <v>6979</v>
      </c>
      <c r="D1007" s="376" t="s">
        <v>3842</v>
      </c>
      <c r="E1007" s="429">
        <v>6.0</v>
      </c>
      <c r="F1007" s="429">
        <v>6.0</v>
      </c>
      <c r="G1007" s="429">
        <v>0.0</v>
      </c>
      <c r="H1007" s="429">
        <v>11.0</v>
      </c>
      <c r="I1007" s="429">
        <v>11.0</v>
      </c>
      <c r="J1007" s="430">
        <v>0.0</v>
      </c>
      <c r="K1007" s="376" t="s">
        <v>6087</v>
      </c>
      <c r="L1007" s="376">
        <v>5.441920201E9</v>
      </c>
      <c r="M1007" s="376" t="s">
        <v>3707</v>
      </c>
      <c r="N1007" s="412">
        <v>44700.0</v>
      </c>
      <c r="O1007" s="376" t="s">
        <v>6088</v>
      </c>
      <c r="P1007" s="376" t="s">
        <v>3941</v>
      </c>
      <c r="Q1007" s="16">
        <f>COUNTIF('hedef liste'!A:A,A1007)</f>
        <v>1</v>
      </c>
    </row>
    <row r="1008">
      <c r="A1008" s="376" t="s">
        <v>6871</v>
      </c>
      <c r="B1008" s="376" t="s">
        <v>6872</v>
      </c>
      <c r="C1008" s="428" t="s">
        <v>6979</v>
      </c>
      <c r="D1008" s="376" t="s">
        <v>3842</v>
      </c>
      <c r="E1008" s="429">
        <v>4.0</v>
      </c>
      <c r="F1008" s="429">
        <v>4.0</v>
      </c>
      <c r="G1008" s="429">
        <v>0.0</v>
      </c>
      <c r="H1008" s="429">
        <v>7.0</v>
      </c>
      <c r="I1008" s="429">
        <v>7.0</v>
      </c>
      <c r="J1008" s="430">
        <v>0.0</v>
      </c>
      <c r="K1008" s="376" t="s">
        <v>6873</v>
      </c>
      <c r="L1008" s="376">
        <v>5.367003696E9</v>
      </c>
      <c r="M1008" s="376" t="s">
        <v>286</v>
      </c>
      <c r="N1008" s="376" t="s">
        <v>5192</v>
      </c>
      <c r="O1008" s="376" t="s">
        <v>6874</v>
      </c>
      <c r="P1008" s="376" t="s">
        <v>3941</v>
      </c>
      <c r="Q1008" s="16">
        <f>COUNTIF('hedef liste'!A:A,A1008)</f>
        <v>1</v>
      </c>
    </row>
    <row r="1009" hidden="1">
      <c r="A1009" s="376" t="s">
        <v>5242</v>
      </c>
      <c r="B1009" s="376" t="s">
        <v>5243</v>
      </c>
      <c r="C1009" s="428" t="s">
        <v>6979</v>
      </c>
      <c r="D1009" s="376" t="s">
        <v>4000</v>
      </c>
      <c r="E1009" s="429">
        <v>721.0</v>
      </c>
      <c r="F1009" s="429">
        <v>19.0</v>
      </c>
      <c r="G1009" s="429">
        <v>0.0</v>
      </c>
      <c r="H1009" s="429">
        <v>37.0</v>
      </c>
      <c r="I1009" s="429">
        <v>37.0</v>
      </c>
      <c r="J1009" s="430">
        <v>0.0</v>
      </c>
      <c r="K1009" s="376" t="s">
        <v>7658</v>
      </c>
      <c r="L1009" s="376">
        <v>5.447899401E9</v>
      </c>
      <c r="M1009" s="376" t="s">
        <v>3707</v>
      </c>
      <c r="N1009" s="376" t="s">
        <v>5245</v>
      </c>
      <c r="O1009" s="376" t="s">
        <v>5246</v>
      </c>
      <c r="P1009" s="376" t="s">
        <v>3941</v>
      </c>
      <c r="Q1009" s="16">
        <f>COUNTIF('hedef liste'!A:A,A1009)</f>
        <v>1</v>
      </c>
    </row>
    <row r="1010" hidden="1">
      <c r="A1010" s="376" t="s">
        <v>7659</v>
      </c>
      <c r="B1010" s="376" t="s">
        <v>7660</v>
      </c>
      <c r="C1010" s="428" t="s">
        <v>6979</v>
      </c>
      <c r="D1010" s="376" t="s">
        <v>3878</v>
      </c>
      <c r="E1010" s="429">
        <v>92.0</v>
      </c>
      <c r="F1010" s="429">
        <v>8.0</v>
      </c>
      <c r="G1010" s="429">
        <v>0.0</v>
      </c>
      <c r="H1010" s="429">
        <v>70.0</v>
      </c>
      <c r="I1010" s="429">
        <v>70.0</v>
      </c>
      <c r="J1010" s="430">
        <v>0.0</v>
      </c>
      <c r="K1010" s="376" t="s">
        <v>7661</v>
      </c>
      <c r="L1010" s="376">
        <v>5.456232973E9</v>
      </c>
      <c r="M1010" s="376" t="s">
        <v>286</v>
      </c>
      <c r="N1010" s="376" t="s">
        <v>7292</v>
      </c>
      <c r="O1010" s="376" t="s">
        <v>7662</v>
      </c>
      <c r="P1010" s="376" t="s">
        <v>7431</v>
      </c>
      <c r="Q1010" s="16">
        <f>COUNTIF('hedef liste'!A:A,A1010)</f>
        <v>0</v>
      </c>
    </row>
    <row r="1011" hidden="1">
      <c r="A1011" s="376" t="s">
        <v>3422</v>
      </c>
      <c r="B1011" s="376" t="s">
        <v>3423</v>
      </c>
      <c r="C1011" s="428" t="s">
        <v>6979</v>
      </c>
      <c r="D1011" s="376" t="s">
        <v>4124</v>
      </c>
      <c r="E1011" s="429">
        <v>76.0</v>
      </c>
      <c r="F1011" s="429">
        <v>6.0</v>
      </c>
      <c r="G1011" s="429">
        <v>0.0</v>
      </c>
      <c r="H1011" s="429">
        <v>20.0</v>
      </c>
      <c r="I1011" s="429">
        <v>20.0</v>
      </c>
      <c r="J1011" s="430">
        <v>0.0</v>
      </c>
      <c r="K1011" s="376" t="s">
        <v>5383</v>
      </c>
      <c r="L1011" s="376">
        <v>5.528542302E9</v>
      </c>
      <c r="M1011" s="376" t="s">
        <v>286</v>
      </c>
      <c r="N1011" s="376" t="s">
        <v>3754</v>
      </c>
      <c r="O1011" s="376" t="s">
        <v>3425</v>
      </c>
      <c r="P1011" s="376" t="s">
        <v>3941</v>
      </c>
      <c r="Q1011" s="16">
        <f>COUNTIF('hedef liste'!A:A,A1011)</f>
        <v>1</v>
      </c>
    </row>
    <row r="1012">
      <c r="A1012" s="376" t="s">
        <v>6156</v>
      </c>
      <c r="B1012" s="376" t="s">
        <v>6157</v>
      </c>
      <c r="C1012" s="428" t="s">
        <v>6979</v>
      </c>
      <c r="D1012" s="376" t="s">
        <v>3699</v>
      </c>
      <c r="E1012" s="429">
        <v>5.0</v>
      </c>
      <c r="F1012" s="429">
        <v>5.0</v>
      </c>
      <c r="G1012" s="429">
        <v>0.0</v>
      </c>
      <c r="H1012" s="429">
        <v>47.0</v>
      </c>
      <c r="I1012" s="429">
        <v>47.0</v>
      </c>
      <c r="J1012" s="430">
        <v>0.0</v>
      </c>
      <c r="K1012" s="376" t="s">
        <v>6158</v>
      </c>
      <c r="L1012" s="376">
        <v>3.222346262E9</v>
      </c>
      <c r="M1012" s="376" t="s">
        <v>14</v>
      </c>
      <c r="N1012" s="376" t="s">
        <v>3718</v>
      </c>
      <c r="O1012" s="376" t="s">
        <v>6159</v>
      </c>
      <c r="P1012" s="376" t="s">
        <v>3941</v>
      </c>
      <c r="Q1012" s="16">
        <f>COUNTIF('hedef liste'!A:A,A1012)</f>
        <v>1</v>
      </c>
    </row>
    <row r="1013">
      <c r="A1013" s="376" t="s">
        <v>5426</v>
      </c>
      <c r="B1013" s="376" t="s">
        <v>5427</v>
      </c>
      <c r="C1013" s="428" t="s">
        <v>6979</v>
      </c>
      <c r="D1013" s="376" t="s">
        <v>3759</v>
      </c>
      <c r="E1013" s="429">
        <v>6.0</v>
      </c>
      <c r="F1013" s="429">
        <v>6.0</v>
      </c>
      <c r="G1013" s="429">
        <v>0.0</v>
      </c>
      <c r="H1013" s="429">
        <v>8.0</v>
      </c>
      <c r="I1013" s="429">
        <v>8.0</v>
      </c>
      <c r="J1013" s="430">
        <v>0.0</v>
      </c>
      <c r="K1013" s="376" t="s">
        <v>5428</v>
      </c>
      <c r="L1013" s="376">
        <v>3.223229999E9</v>
      </c>
      <c r="M1013" s="376" t="s">
        <v>3707</v>
      </c>
      <c r="N1013" s="376" t="s">
        <v>5429</v>
      </c>
      <c r="O1013" s="376" t="s">
        <v>5430</v>
      </c>
      <c r="P1013" s="376" t="s">
        <v>3941</v>
      </c>
      <c r="Q1013" s="16">
        <f>COUNTIF('hedef liste'!A:A,A1013)</f>
        <v>1</v>
      </c>
    </row>
    <row r="1014">
      <c r="A1014" s="376" t="s">
        <v>4693</v>
      </c>
      <c r="B1014" s="376" t="s">
        <v>4694</v>
      </c>
      <c r="C1014" s="428" t="s">
        <v>6979</v>
      </c>
      <c r="D1014" s="376" t="s">
        <v>3842</v>
      </c>
      <c r="E1014" s="429">
        <v>40.0</v>
      </c>
      <c r="F1014" s="429">
        <v>40.0</v>
      </c>
      <c r="G1014" s="429">
        <v>0.0</v>
      </c>
      <c r="H1014" s="429">
        <v>66.0</v>
      </c>
      <c r="I1014" s="429">
        <v>66.0</v>
      </c>
      <c r="J1014" s="430">
        <v>0.0</v>
      </c>
      <c r="K1014" s="376" t="s">
        <v>4695</v>
      </c>
      <c r="L1014" s="376">
        <v>5.39310404E9</v>
      </c>
      <c r="M1014" s="376" t="s">
        <v>14</v>
      </c>
      <c r="N1014" s="376" t="s">
        <v>3767</v>
      </c>
      <c r="O1014" s="376" t="s">
        <v>4696</v>
      </c>
      <c r="P1014" s="376" t="s">
        <v>3941</v>
      </c>
      <c r="Q1014" s="16">
        <f>COUNTIF('hedef liste'!A:A,A1014)</f>
        <v>1</v>
      </c>
    </row>
    <row r="1015">
      <c r="A1015" s="376" t="s">
        <v>5702</v>
      </c>
      <c r="B1015" s="376" t="s">
        <v>5703</v>
      </c>
      <c r="C1015" s="428" t="s">
        <v>6979</v>
      </c>
      <c r="D1015" s="376" t="s">
        <v>3699</v>
      </c>
      <c r="F1015" s="431"/>
      <c r="G1015" s="429">
        <v>0.0</v>
      </c>
      <c r="H1015" s="429">
        <v>39.0</v>
      </c>
      <c r="I1015" s="429">
        <v>39.0</v>
      </c>
      <c r="J1015" s="430">
        <v>0.0</v>
      </c>
      <c r="K1015" s="376" t="s">
        <v>5704</v>
      </c>
      <c r="L1015" s="376">
        <v>5.43682109E9</v>
      </c>
      <c r="M1015" s="376" t="s">
        <v>3814</v>
      </c>
      <c r="N1015" s="376" t="s">
        <v>4072</v>
      </c>
      <c r="O1015" s="376" t="s">
        <v>5705</v>
      </c>
      <c r="P1015" s="376" t="s">
        <v>3941</v>
      </c>
      <c r="Q1015" s="16">
        <f>COUNTIF('hedef liste'!A:A,A1015)</f>
        <v>1</v>
      </c>
    </row>
    <row r="1016" hidden="1">
      <c r="A1016" s="376" t="s">
        <v>7663</v>
      </c>
      <c r="B1016" s="376" t="s">
        <v>7664</v>
      </c>
      <c r="C1016" s="428" t="s">
        <v>6979</v>
      </c>
      <c r="D1016" s="376" t="s">
        <v>3842</v>
      </c>
      <c r="E1016" s="429">
        <v>1313.0</v>
      </c>
      <c r="F1016" s="429">
        <v>46.0</v>
      </c>
      <c r="G1016" s="429">
        <v>38.0</v>
      </c>
      <c r="H1016" s="429">
        <v>0.0</v>
      </c>
      <c r="I1016" s="429">
        <v>38.0</v>
      </c>
      <c r="J1016" s="433">
        <v>1.0</v>
      </c>
      <c r="K1016" s="376" t="s">
        <v>7652</v>
      </c>
      <c r="L1016" s="376">
        <v>5.333000598E9</v>
      </c>
      <c r="M1016" s="376" t="s">
        <v>14</v>
      </c>
      <c r="N1016" s="376" t="s">
        <v>3797</v>
      </c>
      <c r="O1016" s="376" t="s">
        <v>7665</v>
      </c>
      <c r="P1016" s="376" t="s">
        <v>6982</v>
      </c>
      <c r="Q1016" s="16">
        <f>COUNTIF('hedef liste'!A:A,A1016)</f>
        <v>0</v>
      </c>
    </row>
    <row r="1017" hidden="1">
      <c r="A1017" s="376" t="s">
        <v>7666</v>
      </c>
      <c r="B1017" s="376" t="s">
        <v>7667</v>
      </c>
      <c r="C1017" s="428" t="s">
        <v>6979</v>
      </c>
      <c r="D1017" s="376" t="s">
        <v>3842</v>
      </c>
      <c r="E1017" s="429">
        <v>548.0</v>
      </c>
      <c r="F1017" s="429">
        <v>53.0</v>
      </c>
      <c r="G1017" s="429">
        <v>38.0</v>
      </c>
      <c r="H1017" s="429">
        <v>0.0</v>
      </c>
      <c r="I1017" s="429">
        <v>38.0</v>
      </c>
      <c r="J1017" s="430">
        <v>1.0</v>
      </c>
      <c r="K1017" s="376" t="s">
        <v>7668</v>
      </c>
      <c r="L1017" s="376">
        <v>5.324358222E9</v>
      </c>
      <c r="M1017" s="376" t="s">
        <v>3707</v>
      </c>
      <c r="N1017" s="376" t="s">
        <v>5245</v>
      </c>
      <c r="O1017" s="376" t="s">
        <v>7669</v>
      </c>
      <c r="P1017" s="376" t="s">
        <v>6982</v>
      </c>
      <c r="Q1017" s="16">
        <f>COUNTIF('hedef liste'!A:A,A1017)</f>
        <v>0</v>
      </c>
    </row>
    <row r="1018">
      <c r="A1018" s="376" t="s">
        <v>4090</v>
      </c>
      <c r="B1018" s="376" t="s">
        <v>4091</v>
      </c>
      <c r="C1018" s="428" t="s">
        <v>6979</v>
      </c>
      <c r="D1018" s="376" t="s">
        <v>4092</v>
      </c>
      <c r="E1018" s="431"/>
      <c r="F1018" s="431"/>
      <c r="G1018" s="429">
        <v>0.0</v>
      </c>
      <c r="H1018" s="429">
        <v>9.0</v>
      </c>
      <c r="I1018" s="429">
        <v>9.0</v>
      </c>
      <c r="J1018" s="430">
        <v>0.0</v>
      </c>
      <c r="K1018" s="376" t="s">
        <v>4093</v>
      </c>
      <c r="L1018" s="376">
        <v>5.393151444E9</v>
      </c>
      <c r="M1018" s="376" t="s">
        <v>286</v>
      </c>
      <c r="N1018" s="376" t="s">
        <v>3855</v>
      </c>
      <c r="O1018" s="376" t="s">
        <v>4094</v>
      </c>
      <c r="P1018" s="376" t="s">
        <v>3941</v>
      </c>
      <c r="Q1018" s="16">
        <f>COUNTIF('hedef liste'!A:A,A1018)</f>
        <v>1</v>
      </c>
    </row>
    <row r="1019" hidden="1">
      <c r="A1019" s="376" t="s">
        <v>6848</v>
      </c>
      <c r="B1019" s="376" t="s">
        <v>6849</v>
      </c>
      <c r="C1019" s="428" t="s">
        <v>6979</v>
      </c>
      <c r="D1019" s="376" t="s">
        <v>3699</v>
      </c>
      <c r="E1019" s="429">
        <v>443.0</v>
      </c>
      <c r="F1019" s="429">
        <v>41.0</v>
      </c>
      <c r="G1019" s="429">
        <v>0.0</v>
      </c>
      <c r="H1019" s="429">
        <v>19.0</v>
      </c>
      <c r="I1019" s="429">
        <v>19.0</v>
      </c>
      <c r="J1019" s="430">
        <v>0.0</v>
      </c>
      <c r="K1019" s="376" t="s">
        <v>6850</v>
      </c>
      <c r="L1019" s="376">
        <v>5.52354155E9</v>
      </c>
      <c r="M1019" s="376" t="s">
        <v>286</v>
      </c>
      <c r="N1019" s="376" t="s">
        <v>3855</v>
      </c>
      <c r="O1019" s="376" t="s">
        <v>6497</v>
      </c>
      <c r="P1019" s="376" t="s">
        <v>3941</v>
      </c>
      <c r="Q1019" s="16">
        <f>COUNTIF('hedef liste'!A:A,A1019)</f>
        <v>1</v>
      </c>
    </row>
    <row r="1020" hidden="1">
      <c r="A1020" s="376" t="s">
        <v>7670</v>
      </c>
      <c r="B1020" s="376" t="s">
        <v>7671</v>
      </c>
      <c r="C1020" s="428" t="s">
        <v>6979</v>
      </c>
      <c r="D1020" s="376" t="s">
        <v>3842</v>
      </c>
      <c r="E1020" s="429">
        <v>4.0</v>
      </c>
      <c r="F1020" s="429">
        <v>4.0</v>
      </c>
      <c r="G1020" s="429">
        <v>18.0</v>
      </c>
      <c r="H1020" s="429">
        <v>14.0</v>
      </c>
      <c r="I1020" s="429">
        <v>32.0</v>
      </c>
      <c r="J1020" s="430">
        <v>0.56</v>
      </c>
      <c r="K1020" s="376" t="s">
        <v>7672</v>
      </c>
      <c r="L1020" s="376">
        <v>5.538924015E9</v>
      </c>
      <c r="M1020" s="376" t="s">
        <v>286</v>
      </c>
      <c r="N1020" s="376" t="s">
        <v>4135</v>
      </c>
      <c r="O1020" s="376" t="s">
        <v>7673</v>
      </c>
      <c r="P1020" s="376" t="s">
        <v>3941</v>
      </c>
      <c r="Q1020" s="16">
        <f>COUNTIF('hedef liste'!A:A,A1020)</f>
        <v>0</v>
      </c>
    </row>
    <row r="1021" hidden="1">
      <c r="A1021" s="376" t="s">
        <v>7674</v>
      </c>
      <c r="B1021" s="376" t="s">
        <v>7675</v>
      </c>
      <c r="C1021" s="428" t="s">
        <v>6979</v>
      </c>
      <c r="D1021" s="376" t="s">
        <v>3801</v>
      </c>
      <c r="E1021" s="431"/>
      <c r="F1021" s="431"/>
      <c r="G1021" s="429">
        <v>92.0</v>
      </c>
      <c r="H1021" s="429">
        <v>89.0</v>
      </c>
      <c r="I1021" s="429">
        <v>181.0</v>
      </c>
      <c r="J1021" s="430">
        <v>0.51</v>
      </c>
      <c r="K1021" s="376" t="s">
        <v>7676</v>
      </c>
      <c r="L1021" s="376">
        <v>5.537192827E9</v>
      </c>
      <c r="M1021" s="376" t="s">
        <v>286</v>
      </c>
      <c r="N1021" s="376" t="s">
        <v>5389</v>
      </c>
      <c r="O1021" s="376" t="s">
        <v>7677</v>
      </c>
      <c r="P1021" s="376" t="s">
        <v>6982</v>
      </c>
      <c r="Q1021" s="16">
        <f>COUNTIF('hedef liste'!A:A,A1021)</f>
        <v>0</v>
      </c>
    </row>
    <row r="1022" hidden="1">
      <c r="A1022" s="376" t="s">
        <v>3337</v>
      </c>
      <c r="B1022" s="376" t="s">
        <v>3338</v>
      </c>
      <c r="C1022" s="428" t="s">
        <v>6979</v>
      </c>
      <c r="D1022" s="376" t="s">
        <v>3699</v>
      </c>
      <c r="E1022" s="429">
        <v>1682.0</v>
      </c>
      <c r="F1022" s="429">
        <v>193.0</v>
      </c>
      <c r="G1022" s="429">
        <v>75.0</v>
      </c>
      <c r="H1022" s="429">
        <v>14.0</v>
      </c>
      <c r="I1022" s="429">
        <v>89.0</v>
      </c>
      <c r="J1022" s="430">
        <v>0.84</v>
      </c>
      <c r="K1022" s="376" t="s">
        <v>6561</v>
      </c>
      <c r="L1022" s="376">
        <v>3.223248878E9</v>
      </c>
      <c r="M1022" s="376" t="s">
        <v>3707</v>
      </c>
      <c r="N1022" s="376" t="s">
        <v>4627</v>
      </c>
      <c r="O1022" s="376" t="s">
        <v>3341</v>
      </c>
      <c r="P1022" s="376" t="s">
        <v>3941</v>
      </c>
      <c r="Q1022" s="16">
        <f>COUNTIF('hedef liste'!A:A,A1022)</f>
        <v>1</v>
      </c>
    </row>
    <row r="1023" hidden="1">
      <c r="A1023" s="376" t="s">
        <v>2761</v>
      </c>
      <c r="B1023" s="376" t="s">
        <v>2762</v>
      </c>
      <c r="C1023" s="428" t="s">
        <v>6979</v>
      </c>
      <c r="D1023" s="376" t="s">
        <v>3759</v>
      </c>
      <c r="E1023" s="429">
        <v>4938.0</v>
      </c>
      <c r="F1023" s="429">
        <v>75.0</v>
      </c>
      <c r="G1023" s="429">
        <v>4.0</v>
      </c>
      <c r="H1023" s="429">
        <v>1.0</v>
      </c>
      <c r="I1023" s="429">
        <v>5.0</v>
      </c>
      <c r="J1023" s="430">
        <v>0.8</v>
      </c>
      <c r="K1023" s="376" t="s">
        <v>4261</v>
      </c>
      <c r="L1023" s="376">
        <v>3.2250381E9</v>
      </c>
      <c r="M1023" s="376" t="s">
        <v>286</v>
      </c>
      <c r="N1023" s="376" t="s">
        <v>3855</v>
      </c>
      <c r="O1023" s="376" t="s">
        <v>2765</v>
      </c>
      <c r="P1023" s="376" t="s">
        <v>3941</v>
      </c>
      <c r="Q1023" s="16">
        <f>COUNTIF('hedef liste'!A:A,A1023)</f>
        <v>1</v>
      </c>
    </row>
    <row r="1024" hidden="1">
      <c r="A1024" s="376" t="s">
        <v>3704</v>
      </c>
      <c r="B1024" s="376" t="s">
        <v>3705</v>
      </c>
      <c r="C1024" s="428" t="s">
        <v>6979</v>
      </c>
      <c r="D1024" s="376" t="s">
        <v>3676</v>
      </c>
      <c r="E1024" s="429">
        <v>411.0</v>
      </c>
      <c r="F1024" s="429">
        <v>67.0</v>
      </c>
      <c r="G1024" s="429">
        <v>0.0</v>
      </c>
      <c r="H1024" s="429">
        <v>20.0</v>
      </c>
      <c r="I1024" s="429">
        <v>20.0</v>
      </c>
      <c r="J1024" s="430">
        <v>0.0</v>
      </c>
      <c r="K1024" s="376" t="s">
        <v>3706</v>
      </c>
      <c r="L1024" s="376">
        <v>3.223281415E9</v>
      </c>
      <c r="M1024" s="376" t="s">
        <v>3707</v>
      </c>
      <c r="N1024" s="376" t="s">
        <v>3708</v>
      </c>
      <c r="O1024" s="376" t="s">
        <v>3709</v>
      </c>
      <c r="P1024" s="376" t="s">
        <v>3941</v>
      </c>
      <c r="Q1024" s="16">
        <f>COUNTIF('hedef liste'!A:A,A1024)</f>
        <v>1</v>
      </c>
    </row>
    <row r="1025" hidden="1">
      <c r="A1025" s="376" t="s">
        <v>7678</v>
      </c>
      <c r="B1025" s="376" t="s">
        <v>7679</v>
      </c>
      <c r="C1025" s="428" t="s">
        <v>6979</v>
      </c>
      <c r="D1025" s="376" t="s">
        <v>4907</v>
      </c>
      <c r="E1025" s="429">
        <v>2622.0</v>
      </c>
      <c r="F1025" s="429">
        <v>199.0</v>
      </c>
      <c r="G1025" s="429">
        <v>98.0</v>
      </c>
      <c r="H1025" s="429">
        <v>1.0</v>
      </c>
      <c r="I1025" s="429">
        <v>99.0</v>
      </c>
      <c r="J1025" s="430">
        <v>0.99</v>
      </c>
      <c r="K1025" s="376" t="s">
        <v>7089</v>
      </c>
      <c r="L1025" s="376">
        <v>3.222345057E9</v>
      </c>
      <c r="M1025" s="376" t="s">
        <v>14</v>
      </c>
      <c r="N1025" s="376" t="s">
        <v>3797</v>
      </c>
      <c r="O1025" s="376" t="s">
        <v>7680</v>
      </c>
      <c r="P1025" s="376" t="s">
        <v>6982</v>
      </c>
      <c r="Q1025" s="16">
        <f>COUNTIF('hedef liste'!A:A,A1025)</f>
        <v>0</v>
      </c>
    </row>
    <row r="1026" hidden="1">
      <c r="A1026" s="376" t="s">
        <v>3622</v>
      </c>
      <c r="B1026" s="376" t="s">
        <v>3623</v>
      </c>
      <c r="C1026" s="428" t="s">
        <v>6979</v>
      </c>
      <c r="D1026" s="376" t="s">
        <v>3749</v>
      </c>
      <c r="E1026" s="429">
        <v>138.0</v>
      </c>
      <c r="F1026" s="429">
        <v>63.0</v>
      </c>
      <c r="G1026" s="429">
        <v>0.0</v>
      </c>
      <c r="H1026" s="429">
        <v>56.0</v>
      </c>
      <c r="I1026" s="429">
        <v>56.0</v>
      </c>
      <c r="J1026" s="433">
        <v>0.0</v>
      </c>
      <c r="K1026" s="376" t="s">
        <v>6715</v>
      </c>
      <c r="L1026" s="376">
        <v>3.224596941E9</v>
      </c>
      <c r="M1026" s="376" t="s">
        <v>286</v>
      </c>
      <c r="N1026" s="376" t="s">
        <v>3737</v>
      </c>
      <c r="O1026" s="376" t="s">
        <v>3625</v>
      </c>
      <c r="P1026" s="376" t="s">
        <v>3941</v>
      </c>
      <c r="Q1026" s="16">
        <f>COUNTIF('hedef liste'!A:A,A1026)</f>
        <v>1</v>
      </c>
    </row>
    <row r="1027" hidden="1">
      <c r="A1027" s="376" t="s">
        <v>6282</v>
      </c>
      <c r="B1027" s="376" t="s">
        <v>6283</v>
      </c>
      <c r="C1027" s="428" t="s">
        <v>6979</v>
      </c>
      <c r="D1027" s="376" t="s">
        <v>3994</v>
      </c>
      <c r="E1027" s="429">
        <v>476.0</v>
      </c>
      <c r="F1027" s="429">
        <v>195.0</v>
      </c>
      <c r="G1027" s="429">
        <v>0.0</v>
      </c>
      <c r="H1027" s="429">
        <v>107.0</v>
      </c>
      <c r="I1027" s="429">
        <v>107.0</v>
      </c>
      <c r="J1027" s="430">
        <v>0.0</v>
      </c>
      <c r="K1027" s="376" t="s">
        <v>6284</v>
      </c>
      <c r="L1027" s="376">
        <v>3.222902E9</v>
      </c>
      <c r="M1027" s="376" t="s">
        <v>286</v>
      </c>
      <c r="N1027" s="376" t="s">
        <v>3746</v>
      </c>
      <c r="O1027" s="376" t="s">
        <v>6285</v>
      </c>
      <c r="P1027" s="376" t="s">
        <v>3941</v>
      </c>
      <c r="Q1027" s="16">
        <f>COUNTIF('hedef liste'!A:A,A1027)</f>
        <v>1</v>
      </c>
    </row>
    <row r="1028" hidden="1">
      <c r="A1028" s="376" t="s">
        <v>3905</v>
      </c>
      <c r="B1028" s="376" t="s">
        <v>3906</v>
      </c>
      <c r="C1028" s="428" t="s">
        <v>6979</v>
      </c>
      <c r="D1028" s="376" t="s">
        <v>3907</v>
      </c>
      <c r="E1028" s="429">
        <v>49.0</v>
      </c>
      <c r="F1028" s="429">
        <v>23.0</v>
      </c>
      <c r="G1028" s="429">
        <v>0.0</v>
      </c>
      <c r="H1028" s="429">
        <v>23.0</v>
      </c>
      <c r="I1028" s="429">
        <v>23.0</v>
      </c>
      <c r="J1028" s="430">
        <v>0.0</v>
      </c>
      <c r="K1028" s="376" t="s">
        <v>3908</v>
      </c>
      <c r="L1028" s="376">
        <v>3.225040424E9</v>
      </c>
      <c r="M1028" s="376" t="s">
        <v>286</v>
      </c>
      <c r="N1028" s="376" t="s">
        <v>3855</v>
      </c>
      <c r="O1028" s="376" t="s">
        <v>3909</v>
      </c>
      <c r="P1028" s="376" t="s">
        <v>3941</v>
      </c>
      <c r="Q1028" s="16">
        <f>COUNTIF('hedef liste'!A:A,A1028)</f>
        <v>1</v>
      </c>
    </row>
    <row r="1029">
      <c r="A1029" s="376" t="s">
        <v>6593</v>
      </c>
      <c r="B1029" s="376" t="s">
        <v>6594</v>
      </c>
      <c r="C1029" s="428" t="s">
        <v>6979</v>
      </c>
      <c r="D1029" s="376" t="s">
        <v>3713</v>
      </c>
      <c r="E1029" s="429">
        <v>114.0</v>
      </c>
      <c r="F1029" s="429">
        <v>106.0</v>
      </c>
      <c r="G1029" s="429">
        <v>0.0</v>
      </c>
      <c r="H1029" s="429">
        <v>37.0</v>
      </c>
      <c r="I1029" s="429">
        <v>37.0</v>
      </c>
      <c r="J1029" s="430">
        <v>0.0</v>
      </c>
      <c r="K1029" s="376" t="s">
        <v>6595</v>
      </c>
      <c r="L1029" s="376">
        <v>5.459218944E9</v>
      </c>
      <c r="M1029" s="376" t="s">
        <v>3707</v>
      </c>
      <c r="N1029" s="376" t="s">
        <v>5130</v>
      </c>
      <c r="O1029" s="376" t="s">
        <v>6596</v>
      </c>
      <c r="P1029" s="376" t="s">
        <v>3941</v>
      </c>
      <c r="Q1029" s="16">
        <f>COUNTIF('hedef liste'!A:A,A1029)</f>
        <v>1</v>
      </c>
    </row>
    <row r="1030" hidden="1">
      <c r="A1030" s="376" t="s">
        <v>5552</v>
      </c>
      <c r="B1030" s="376" t="s">
        <v>5553</v>
      </c>
      <c r="C1030" s="428" t="s">
        <v>6979</v>
      </c>
      <c r="D1030" s="376" t="s">
        <v>3878</v>
      </c>
      <c r="E1030" s="429">
        <v>180.0</v>
      </c>
      <c r="F1030" s="429">
        <v>114.0</v>
      </c>
      <c r="G1030" s="429">
        <v>0.0</v>
      </c>
      <c r="H1030" s="429">
        <v>36.0</v>
      </c>
      <c r="I1030" s="429">
        <v>36.0</v>
      </c>
      <c r="J1030" s="430">
        <v>0.0</v>
      </c>
      <c r="K1030" s="376" t="s">
        <v>5554</v>
      </c>
      <c r="L1030" s="376">
        <v>5.521076807E9</v>
      </c>
      <c r="M1030" s="376" t="s">
        <v>14</v>
      </c>
      <c r="N1030" s="376" t="s">
        <v>3733</v>
      </c>
      <c r="O1030" s="376" t="s">
        <v>5555</v>
      </c>
      <c r="P1030" s="376" t="s">
        <v>3941</v>
      </c>
      <c r="Q1030" s="16">
        <f>COUNTIF('hedef liste'!A:A,A1030)</f>
        <v>1</v>
      </c>
    </row>
    <row r="1031">
      <c r="A1031" s="376" t="s">
        <v>4353</v>
      </c>
      <c r="B1031" s="376" t="s">
        <v>4354</v>
      </c>
      <c r="C1031" s="428" t="s">
        <v>6979</v>
      </c>
      <c r="D1031" s="376" t="s">
        <v>3699</v>
      </c>
      <c r="E1031" s="429">
        <v>237.0</v>
      </c>
      <c r="F1031" s="429">
        <v>122.0</v>
      </c>
      <c r="G1031" s="429">
        <v>0.0</v>
      </c>
      <c r="H1031" s="429">
        <v>38.0</v>
      </c>
      <c r="I1031" s="429">
        <v>38.0</v>
      </c>
      <c r="J1031" s="430">
        <v>0.0</v>
      </c>
      <c r="K1031" s="376" t="s">
        <v>4355</v>
      </c>
      <c r="L1031" s="376">
        <v>3.229997899E9</v>
      </c>
      <c r="M1031" s="376" t="s">
        <v>14</v>
      </c>
      <c r="N1031" s="376" t="s">
        <v>3718</v>
      </c>
      <c r="O1031" s="376" t="s">
        <v>4356</v>
      </c>
      <c r="P1031" s="376" t="s">
        <v>3941</v>
      </c>
      <c r="Q1031" s="16">
        <f>COUNTIF('hedef liste'!A:A,A1031)</f>
        <v>1</v>
      </c>
    </row>
    <row r="1032">
      <c r="A1032" s="376" t="s">
        <v>4732</v>
      </c>
      <c r="B1032" s="376" t="s">
        <v>4733</v>
      </c>
      <c r="C1032" s="428" t="s">
        <v>6979</v>
      </c>
      <c r="D1032" s="376" t="s">
        <v>3699</v>
      </c>
      <c r="F1032" s="431"/>
      <c r="G1032" s="429">
        <v>0.0</v>
      </c>
      <c r="H1032" s="429">
        <v>198.0</v>
      </c>
      <c r="I1032" s="429">
        <v>198.0</v>
      </c>
      <c r="J1032" s="430">
        <v>0.0</v>
      </c>
      <c r="K1032" s="376" t="s">
        <v>4734</v>
      </c>
      <c r="L1032" s="376">
        <v>5.325965456E9</v>
      </c>
      <c r="M1032" s="376" t="s">
        <v>14</v>
      </c>
      <c r="N1032" s="376" t="s">
        <v>3826</v>
      </c>
      <c r="O1032" s="376" t="s">
        <v>4735</v>
      </c>
      <c r="P1032" s="376" t="s">
        <v>3941</v>
      </c>
      <c r="Q1032" s="16">
        <f>COUNTIF('hedef liste'!A:A,A1032)</f>
        <v>1</v>
      </c>
    </row>
    <row r="1033">
      <c r="A1033" s="376" t="s">
        <v>4495</v>
      </c>
      <c r="B1033" s="376" t="s">
        <v>4496</v>
      </c>
      <c r="C1033" s="428" t="s">
        <v>6979</v>
      </c>
      <c r="D1033" s="376" t="s">
        <v>3713</v>
      </c>
      <c r="E1033" s="429">
        <v>10.0</v>
      </c>
      <c r="F1033" s="429">
        <v>6.0</v>
      </c>
      <c r="G1033" s="429">
        <v>0.0</v>
      </c>
      <c r="H1033" s="429">
        <v>20.0</v>
      </c>
      <c r="I1033" s="429">
        <v>20.0</v>
      </c>
      <c r="J1033" s="430">
        <v>0.0</v>
      </c>
      <c r="K1033" s="376" t="s">
        <v>4497</v>
      </c>
      <c r="L1033" s="376">
        <v>5.525286501E9</v>
      </c>
      <c r="M1033" s="376" t="s">
        <v>286</v>
      </c>
      <c r="N1033" s="376" t="s">
        <v>4143</v>
      </c>
      <c r="O1033" s="376" t="s">
        <v>4498</v>
      </c>
      <c r="P1033" s="376" t="s">
        <v>3941</v>
      </c>
      <c r="Q1033" s="16">
        <f>COUNTIF('hedef liste'!A:A,A1033)</f>
        <v>1</v>
      </c>
    </row>
    <row r="1034">
      <c r="A1034" s="376" t="s">
        <v>4397</v>
      </c>
      <c r="B1034" s="376" t="s">
        <v>4398</v>
      </c>
      <c r="C1034" s="428" t="s">
        <v>6979</v>
      </c>
      <c r="D1034" s="376" t="s">
        <v>3676</v>
      </c>
      <c r="E1034" s="431"/>
      <c r="F1034" s="431"/>
      <c r="G1034" s="429">
        <v>0.0</v>
      </c>
      <c r="H1034" s="429">
        <v>17.0</v>
      </c>
      <c r="I1034" s="429">
        <v>17.0</v>
      </c>
      <c r="J1034" s="430">
        <v>0.0</v>
      </c>
      <c r="K1034" s="376" t="s">
        <v>4399</v>
      </c>
      <c r="L1034" s="376">
        <v>5.379872559E9</v>
      </c>
      <c r="M1034" s="376" t="s">
        <v>286</v>
      </c>
      <c r="N1034" s="376" t="s">
        <v>4400</v>
      </c>
      <c r="O1034" s="376" t="s">
        <v>4401</v>
      </c>
      <c r="P1034" s="376" t="s">
        <v>3941</v>
      </c>
      <c r="Q1034" s="16">
        <f>COUNTIF('hedef liste'!A:A,A1034)</f>
        <v>1</v>
      </c>
    </row>
    <row r="1035" hidden="1">
      <c r="A1035" s="376" t="s">
        <v>7681</v>
      </c>
      <c r="B1035" s="376" t="s">
        <v>1967</v>
      </c>
      <c r="C1035" s="428" t="s">
        <v>6979</v>
      </c>
      <c r="D1035" s="376" t="s">
        <v>3676</v>
      </c>
      <c r="E1035" s="429">
        <v>2.0</v>
      </c>
      <c r="F1035" s="429">
        <v>2.0</v>
      </c>
      <c r="G1035" s="429">
        <v>13.0</v>
      </c>
      <c r="H1035" s="429">
        <v>7.0</v>
      </c>
      <c r="I1035" s="429">
        <v>20.0</v>
      </c>
      <c r="J1035" s="430">
        <v>0.65</v>
      </c>
      <c r="K1035" s="376" t="s">
        <v>7682</v>
      </c>
      <c r="L1035" s="376">
        <v>3.223518772E9</v>
      </c>
      <c r="M1035" s="376" t="s">
        <v>286</v>
      </c>
      <c r="N1035" s="376" t="s">
        <v>4798</v>
      </c>
      <c r="O1035" s="376" t="s">
        <v>1970</v>
      </c>
      <c r="P1035" s="376" t="s">
        <v>3941</v>
      </c>
      <c r="Q1035" s="16">
        <f>COUNTIF('hedef liste'!A:A,A1035)</f>
        <v>0</v>
      </c>
    </row>
    <row r="1036" hidden="1">
      <c r="A1036" s="376" t="s">
        <v>5609</v>
      </c>
      <c r="B1036" s="376" t="s">
        <v>5610</v>
      </c>
      <c r="C1036" s="428" t="s">
        <v>6979</v>
      </c>
      <c r="D1036" s="376" t="s">
        <v>3994</v>
      </c>
      <c r="E1036" s="431"/>
      <c r="F1036" s="431"/>
      <c r="G1036" s="429">
        <v>0.0</v>
      </c>
      <c r="H1036" s="429">
        <v>57.0</v>
      </c>
      <c r="I1036" s="429">
        <v>57.0</v>
      </c>
      <c r="J1036" s="430">
        <v>0.0</v>
      </c>
      <c r="K1036" s="376" t="s">
        <v>5606</v>
      </c>
      <c r="L1036" s="376">
        <v>5.362610693E9</v>
      </c>
      <c r="M1036" s="376" t="s">
        <v>14</v>
      </c>
      <c r="N1036" s="376" t="s">
        <v>3797</v>
      </c>
      <c r="O1036" s="376" t="s">
        <v>5611</v>
      </c>
      <c r="P1036" s="376" t="s">
        <v>3941</v>
      </c>
      <c r="Q1036" s="16">
        <f>COUNTIF('hedef liste'!A:A,A1036)</f>
        <v>1</v>
      </c>
    </row>
    <row r="1037">
      <c r="A1037" s="376" t="s">
        <v>6215</v>
      </c>
      <c r="B1037" s="376" t="s">
        <v>6216</v>
      </c>
      <c r="C1037" s="428" t="s">
        <v>6979</v>
      </c>
      <c r="D1037" s="376" t="s">
        <v>3994</v>
      </c>
      <c r="E1037" s="429">
        <v>4.0</v>
      </c>
      <c r="F1037" s="429">
        <v>4.0</v>
      </c>
      <c r="G1037" s="429">
        <v>0.0</v>
      </c>
      <c r="H1037" s="429">
        <v>32.0</v>
      </c>
      <c r="I1037" s="429">
        <v>32.0</v>
      </c>
      <c r="J1037" s="433">
        <v>0.0</v>
      </c>
      <c r="K1037" s="376" t="s">
        <v>6217</v>
      </c>
      <c r="L1037" s="376">
        <v>5.354516257E9</v>
      </c>
      <c r="M1037" s="376" t="s">
        <v>14</v>
      </c>
      <c r="N1037" s="376" t="s">
        <v>3797</v>
      </c>
      <c r="O1037" s="376" t="s">
        <v>6218</v>
      </c>
      <c r="P1037" s="376" t="s">
        <v>3941</v>
      </c>
      <c r="Q1037" s="16">
        <f>COUNTIF('hedef liste'!A:A,A1037)</f>
        <v>1</v>
      </c>
    </row>
    <row r="1038" hidden="1">
      <c r="A1038" s="376" t="s">
        <v>7683</v>
      </c>
      <c r="B1038" s="376" t="s">
        <v>7684</v>
      </c>
      <c r="C1038" s="428" t="s">
        <v>6979</v>
      </c>
      <c r="D1038" s="376" t="s">
        <v>3842</v>
      </c>
      <c r="E1038" s="429">
        <v>4479.0</v>
      </c>
      <c r="F1038" s="429">
        <v>120.0</v>
      </c>
      <c r="G1038" s="429">
        <v>38.0</v>
      </c>
      <c r="H1038" s="429">
        <v>0.0</v>
      </c>
      <c r="I1038" s="429">
        <v>38.0</v>
      </c>
      <c r="J1038" s="430">
        <v>1.0</v>
      </c>
      <c r="K1038" s="376" t="s">
        <v>7685</v>
      </c>
      <c r="L1038" s="376">
        <v>5.530486192E9</v>
      </c>
      <c r="M1038" s="376" t="s">
        <v>286</v>
      </c>
      <c r="N1038" s="376" t="s">
        <v>3855</v>
      </c>
      <c r="O1038" s="376" t="s">
        <v>7686</v>
      </c>
      <c r="P1038" s="376" t="s">
        <v>6982</v>
      </c>
      <c r="Q1038" s="16">
        <f>COUNTIF('hedef liste'!A:A,A1038)</f>
        <v>0</v>
      </c>
    </row>
    <row r="1039" hidden="1">
      <c r="A1039" s="376" t="s">
        <v>1715</v>
      </c>
      <c r="B1039" s="376" t="s">
        <v>1716</v>
      </c>
      <c r="C1039" s="428" t="s">
        <v>6979</v>
      </c>
      <c r="D1039" s="376" t="s">
        <v>3676</v>
      </c>
      <c r="E1039" s="429">
        <v>644.0</v>
      </c>
      <c r="F1039" s="429">
        <v>17.0</v>
      </c>
      <c r="G1039" s="429">
        <v>11.0</v>
      </c>
      <c r="H1039" s="429">
        <v>3.0</v>
      </c>
      <c r="I1039" s="429">
        <v>14.0</v>
      </c>
      <c r="J1039" s="430">
        <v>0.79</v>
      </c>
      <c r="K1039" s="376" t="s">
        <v>5035</v>
      </c>
      <c r="L1039" s="376">
        <v>5.522790205E9</v>
      </c>
      <c r="M1039" s="376" t="s">
        <v>286</v>
      </c>
      <c r="N1039" s="376" t="s">
        <v>4400</v>
      </c>
      <c r="O1039" s="376" t="s">
        <v>1718</v>
      </c>
      <c r="P1039" s="376" t="s">
        <v>3941</v>
      </c>
      <c r="Q1039" s="16">
        <f>COUNTIF('hedef liste'!A:A,A1039)</f>
        <v>1</v>
      </c>
    </row>
    <row r="1040" hidden="1">
      <c r="A1040" s="376" t="s">
        <v>2525</v>
      </c>
      <c r="B1040" s="376" t="s">
        <v>2526</v>
      </c>
      <c r="C1040" s="428" t="s">
        <v>6979</v>
      </c>
      <c r="D1040" s="376" t="s">
        <v>3801</v>
      </c>
      <c r="E1040" s="429">
        <v>1552.0</v>
      </c>
      <c r="F1040" s="429">
        <v>22.0</v>
      </c>
      <c r="G1040" s="429">
        <v>17.0</v>
      </c>
      <c r="H1040" s="429">
        <v>10.0</v>
      </c>
      <c r="I1040" s="429">
        <v>27.0</v>
      </c>
      <c r="J1040" s="430">
        <v>0.63</v>
      </c>
      <c r="K1040" s="376" t="s">
        <v>4584</v>
      </c>
      <c r="L1040" s="376">
        <v>3.222391019E9</v>
      </c>
      <c r="M1040" s="376" t="s">
        <v>14</v>
      </c>
      <c r="N1040" s="376" t="s">
        <v>3826</v>
      </c>
      <c r="O1040" s="376" t="s">
        <v>2528</v>
      </c>
      <c r="P1040" s="376" t="s">
        <v>3941</v>
      </c>
      <c r="Q1040" s="16">
        <f>COUNTIF('hedef liste'!A:A,A1040)</f>
        <v>1</v>
      </c>
    </row>
    <row r="1041" hidden="1">
      <c r="A1041" s="376" t="s">
        <v>347</v>
      </c>
      <c r="B1041" s="376" t="s">
        <v>348</v>
      </c>
      <c r="C1041" s="428" t="s">
        <v>6979</v>
      </c>
      <c r="D1041" s="376" t="s">
        <v>3676</v>
      </c>
      <c r="E1041" s="429">
        <v>1612.0</v>
      </c>
      <c r="F1041" s="429">
        <v>131.0</v>
      </c>
      <c r="G1041" s="429">
        <v>13.0</v>
      </c>
      <c r="H1041" s="429">
        <v>6.0</v>
      </c>
      <c r="I1041" s="429">
        <v>19.0</v>
      </c>
      <c r="J1041" s="430">
        <v>0.68</v>
      </c>
      <c r="K1041" s="376" t="s">
        <v>5857</v>
      </c>
      <c r="L1041" s="376">
        <v>5.372656367E9</v>
      </c>
      <c r="M1041" s="376" t="s">
        <v>14</v>
      </c>
      <c r="N1041" s="376" t="s">
        <v>3767</v>
      </c>
      <c r="O1041" s="376" t="s">
        <v>351</v>
      </c>
      <c r="P1041" s="376" t="s">
        <v>3941</v>
      </c>
      <c r="Q1041" s="16">
        <f>COUNTIF('hedef liste'!A:A,A1041)</f>
        <v>1</v>
      </c>
    </row>
    <row r="1042" hidden="1">
      <c r="A1042" s="376" t="s">
        <v>1054</v>
      </c>
      <c r="B1042" s="376" t="s">
        <v>1055</v>
      </c>
      <c r="C1042" s="428" t="s">
        <v>7011</v>
      </c>
      <c r="D1042" s="376" t="s">
        <v>3676</v>
      </c>
      <c r="E1042" s="429">
        <v>186.0</v>
      </c>
      <c r="F1042" s="431"/>
      <c r="G1042" s="429">
        <v>3.0</v>
      </c>
      <c r="H1042" s="429">
        <v>1.0</v>
      </c>
      <c r="I1042" s="429">
        <v>4.0</v>
      </c>
      <c r="J1042" s="430">
        <v>0.75</v>
      </c>
      <c r="K1042" s="376" t="s">
        <v>4780</v>
      </c>
      <c r="L1042" s="376">
        <v>5.526615101E9</v>
      </c>
      <c r="M1042" s="376" t="s">
        <v>286</v>
      </c>
      <c r="N1042" s="376" t="s">
        <v>3754</v>
      </c>
      <c r="O1042" s="376" t="s">
        <v>1053</v>
      </c>
      <c r="P1042" s="376" t="s">
        <v>3941</v>
      </c>
      <c r="Q1042" s="16">
        <f>COUNTIF('hedef liste'!A:A,A1042)</f>
        <v>1</v>
      </c>
    </row>
    <row r="1043" hidden="1">
      <c r="A1043" s="376" t="s">
        <v>5326</v>
      </c>
      <c r="B1043" s="376" t="s">
        <v>5327</v>
      </c>
      <c r="C1043" s="428" t="s">
        <v>6979</v>
      </c>
      <c r="D1043" s="376" t="s">
        <v>3699</v>
      </c>
      <c r="E1043" s="429">
        <v>4.0</v>
      </c>
      <c r="F1043" s="431"/>
      <c r="G1043" s="429">
        <v>16.0</v>
      </c>
      <c r="H1043" s="429">
        <v>5.0</v>
      </c>
      <c r="I1043" s="429">
        <v>21.0</v>
      </c>
      <c r="J1043" s="430">
        <v>0.76</v>
      </c>
      <c r="K1043" s="376" t="s">
        <v>5321</v>
      </c>
      <c r="L1043" s="376">
        <v>3.222270921E9</v>
      </c>
      <c r="M1043" s="376" t="s">
        <v>286</v>
      </c>
      <c r="N1043" s="376" t="s">
        <v>3754</v>
      </c>
      <c r="O1043" s="376" t="s">
        <v>5328</v>
      </c>
      <c r="P1043" s="376" t="s">
        <v>3941</v>
      </c>
      <c r="Q1043" s="16">
        <f>COUNTIF('hedef liste'!A:A,A1043)</f>
        <v>1</v>
      </c>
    </row>
    <row r="1044" hidden="1">
      <c r="A1044" s="376" t="s">
        <v>5995</v>
      </c>
      <c r="B1044" s="376" t="s">
        <v>5996</v>
      </c>
      <c r="C1044" s="428" t="s">
        <v>6979</v>
      </c>
      <c r="D1044" s="376" t="s">
        <v>3801</v>
      </c>
      <c r="E1044" s="429">
        <v>1327.0</v>
      </c>
      <c r="F1044" s="429">
        <v>51.0</v>
      </c>
      <c r="G1044" s="429">
        <v>22.0</v>
      </c>
      <c r="H1044" s="429">
        <v>0.0</v>
      </c>
      <c r="I1044" s="429">
        <v>22.0</v>
      </c>
      <c r="J1044" s="430">
        <v>1.0</v>
      </c>
      <c r="K1044" s="376" t="s">
        <v>5997</v>
      </c>
      <c r="L1044" s="376">
        <v>5.529516394E9</v>
      </c>
      <c r="M1044" s="376" t="s">
        <v>286</v>
      </c>
      <c r="N1044" s="376" t="s">
        <v>3754</v>
      </c>
      <c r="O1044" s="376" t="s">
        <v>5998</v>
      </c>
      <c r="P1044" s="376" t="s">
        <v>6982</v>
      </c>
      <c r="Q1044" s="16">
        <f>COUNTIF('hedef liste'!A:A,A1044)</f>
        <v>1</v>
      </c>
    </row>
    <row r="1045" hidden="1">
      <c r="A1045" s="376" t="s">
        <v>4972</v>
      </c>
      <c r="B1045" s="376" t="s">
        <v>4973</v>
      </c>
      <c r="C1045" s="428" t="s">
        <v>7011</v>
      </c>
      <c r="D1045" s="376" t="s">
        <v>3690</v>
      </c>
      <c r="E1045" s="429">
        <v>120.0</v>
      </c>
      <c r="F1045" s="431"/>
      <c r="G1045" s="429">
        <v>0.0</v>
      </c>
      <c r="H1045" s="429">
        <v>10.0</v>
      </c>
      <c r="I1045" s="429">
        <v>10.0</v>
      </c>
      <c r="J1045" s="430">
        <v>0.0</v>
      </c>
      <c r="K1045" s="376" t="s">
        <v>4974</v>
      </c>
      <c r="L1045" s="376">
        <v>5.307004263E9</v>
      </c>
      <c r="M1045" s="376" t="s">
        <v>14</v>
      </c>
      <c r="N1045" s="376" t="s">
        <v>3935</v>
      </c>
      <c r="O1045" s="376" t="s">
        <v>4975</v>
      </c>
      <c r="P1045" s="376" t="s">
        <v>3941</v>
      </c>
      <c r="Q1045" s="16">
        <f>COUNTIF('hedef liste'!A:A,A1045)</f>
        <v>1</v>
      </c>
    </row>
    <row r="1046" hidden="1">
      <c r="A1046" s="376" t="s">
        <v>4149</v>
      </c>
      <c r="B1046" s="376" t="s">
        <v>4150</v>
      </c>
      <c r="C1046" s="428" t="s">
        <v>6979</v>
      </c>
      <c r="D1046" s="376" t="s">
        <v>3676</v>
      </c>
      <c r="E1046" s="429">
        <v>238.0</v>
      </c>
      <c r="F1046" s="431"/>
      <c r="G1046" s="429">
        <v>0.0</v>
      </c>
      <c r="H1046" s="429">
        <v>6.0</v>
      </c>
      <c r="I1046" s="429">
        <v>6.0</v>
      </c>
      <c r="J1046" s="430">
        <v>0.0</v>
      </c>
      <c r="K1046" s="376" t="s">
        <v>4151</v>
      </c>
      <c r="L1046" s="376">
        <v>5.435133717E9</v>
      </c>
      <c r="M1046" s="376" t="s">
        <v>286</v>
      </c>
      <c r="N1046" s="376" t="s">
        <v>3685</v>
      </c>
      <c r="O1046" s="376" t="s">
        <v>4153</v>
      </c>
      <c r="P1046" s="376" t="s">
        <v>3941</v>
      </c>
      <c r="Q1046" s="16">
        <f>COUNTIF('hedef liste'!A:A,A1046)</f>
        <v>1</v>
      </c>
    </row>
    <row r="1047" hidden="1">
      <c r="A1047" s="376" t="s">
        <v>2258</v>
      </c>
      <c r="B1047" s="376" t="s">
        <v>2259</v>
      </c>
      <c r="C1047" s="428" t="s">
        <v>6979</v>
      </c>
      <c r="D1047" s="376" t="s">
        <v>3699</v>
      </c>
      <c r="E1047" s="429">
        <v>686.0</v>
      </c>
      <c r="F1047" s="429">
        <v>14.0</v>
      </c>
      <c r="G1047" s="429">
        <v>13.0</v>
      </c>
      <c r="H1047" s="429">
        <v>5.0</v>
      </c>
      <c r="I1047" s="429">
        <v>18.0</v>
      </c>
      <c r="J1047" s="430">
        <v>0.72</v>
      </c>
      <c r="K1047" s="376" t="s">
        <v>6413</v>
      </c>
      <c r="L1047" s="376">
        <v>3.224585569E9</v>
      </c>
      <c r="M1047" s="376" t="s">
        <v>286</v>
      </c>
      <c r="N1047" s="376" t="s">
        <v>3806</v>
      </c>
      <c r="O1047" s="376" t="s">
        <v>2261</v>
      </c>
      <c r="P1047" s="376" t="s">
        <v>3941</v>
      </c>
      <c r="Q1047" s="16">
        <f>COUNTIF('hedef liste'!A:A,A1047)</f>
        <v>1</v>
      </c>
    </row>
    <row r="1048" hidden="1">
      <c r="A1048" s="376" t="s">
        <v>642</v>
      </c>
      <c r="B1048" s="376" t="s">
        <v>7687</v>
      </c>
      <c r="C1048" s="428" t="s">
        <v>6979</v>
      </c>
      <c r="D1048" s="376" t="s">
        <v>3676</v>
      </c>
      <c r="E1048" s="429">
        <v>15017.0</v>
      </c>
      <c r="F1048" s="429">
        <v>1120.0</v>
      </c>
      <c r="G1048" s="429">
        <v>0.0</v>
      </c>
      <c r="H1048" s="429">
        <v>6.0</v>
      </c>
      <c r="I1048" s="429">
        <v>6.0</v>
      </c>
      <c r="J1048" s="430">
        <v>0.0</v>
      </c>
      <c r="K1048" s="376" t="s">
        <v>4923</v>
      </c>
      <c r="L1048" s="376">
        <v>3.222070707E9</v>
      </c>
      <c r="M1048" s="376" t="s">
        <v>14</v>
      </c>
      <c r="N1048" s="376" t="s">
        <v>3797</v>
      </c>
      <c r="O1048" s="376" t="s">
        <v>645</v>
      </c>
      <c r="P1048" s="376" t="s">
        <v>3941</v>
      </c>
      <c r="Q1048" s="16">
        <f>COUNTIF('hedef liste'!A:A,A1048)</f>
        <v>1</v>
      </c>
    </row>
    <row r="1049" hidden="1">
      <c r="A1049" s="376" t="s">
        <v>912</v>
      </c>
      <c r="B1049" s="376" t="s">
        <v>7688</v>
      </c>
      <c r="C1049" s="428" t="s">
        <v>6979</v>
      </c>
      <c r="D1049" s="376" t="s">
        <v>3676</v>
      </c>
      <c r="E1049" s="429">
        <v>4618.0</v>
      </c>
      <c r="F1049" s="429">
        <v>21.0</v>
      </c>
      <c r="G1049" s="429">
        <v>30.0</v>
      </c>
      <c r="H1049" s="429">
        <v>3.0</v>
      </c>
      <c r="I1049" s="429">
        <v>33.0</v>
      </c>
      <c r="J1049" s="430">
        <v>0.91</v>
      </c>
      <c r="K1049" s="376" t="s">
        <v>3684</v>
      </c>
      <c r="L1049" s="376">
        <v>5.437174747E9</v>
      </c>
      <c r="M1049" s="376" t="s">
        <v>286</v>
      </c>
      <c r="N1049" s="376" t="s">
        <v>3685</v>
      </c>
      <c r="O1049" s="376" t="s">
        <v>1384</v>
      </c>
      <c r="P1049" s="376" t="s">
        <v>3941</v>
      </c>
      <c r="Q1049" s="16">
        <f>COUNTIF('hedef liste'!A:A,A1049)</f>
        <v>1</v>
      </c>
    </row>
    <row r="1050" hidden="1">
      <c r="A1050" s="376" t="s">
        <v>7689</v>
      </c>
      <c r="B1050" s="376" t="s">
        <v>7690</v>
      </c>
      <c r="C1050" s="428" t="s">
        <v>6979</v>
      </c>
      <c r="D1050" s="376" t="s">
        <v>4000</v>
      </c>
      <c r="E1050" s="429">
        <v>14334.0</v>
      </c>
      <c r="F1050" s="429">
        <v>607.0</v>
      </c>
      <c r="G1050" s="429">
        <v>169.0</v>
      </c>
      <c r="H1050" s="429">
        <v>0.0</v>
      </c>
      <c r="I1050" s="429">
        <v>169.0</v>
      </c>
      <c r="J1050" s="430">
        <v>1.0</v>
      </c>
      <c r="K1050" s="376" t="s">
        <v>7111</v>
      </c>
      <c r="L1050" s="376">
        <v>9.999999999E9</v>
      </c>
      <c r="M1050" s="376" t="s">
        <v>286</v>
      </c>
      <c r="N1050" s="376" t="s">
        <v>3737</v>
      </c>
      <c r="O1050" s="376" t="s">
        <v>7691</v>
      </c>
      <c r="P1050" s="376" t="s">
        <v>6982</v>
      </c>
      <c r="Q1050" s="16">
        <f>COUNTIF('hedef liste'!A:A,A1050)</f>
        <v>0</v>
      </c>
    </row>
    <row r="1051" hidden="1">
      <c r="A1051" s="376" t="s">
        <v>7692</v>
      </c>
      <c r="B1051" s="376" t="s">
        <v>7693</v>
      </c>
      <c r="C1051" s="428" t="s">
        <v>6979</v>
      </c>
      <c r="D1051" s="376" t="s">
        <v>3676</v>
      </c>
      <c r="E1051" s="429">
        <v>1887.0</v>
      </c>
      <c r="F1051" s="429">
        <v>86.0</v>
      </c>
      <c r="G1051" s="429">
        <v>77.0</v>
      </c>
      <c r="H1051" s="429">
        <v>0.0</v>
      </c>
      <c r="I1051" s="429">
        <v>77.0</v>
      </c>
      <c r="J1051" s="430">
        <v>1.0</v>
      </c>
      <c r="K1051" s="376" t="s">
        <v>7111</v>
      </c>
      <c r="L1051" s="376">
        <v>9.999999999E9</v>
      </c>
      <c r="M1051" s="376" t="s">
        <v>286</v>
      </c>
      <c r="N1051" s="376" t="s">
        <v>7292</v>
      </c>
      <c r="O1051" s="376" t="s">
        <v>7293</v>
      </c>
      <c r="P1051" s="376" t="s">
        <v>6982</v>
      </c>
      <c r="Q1051" s="16">
        <f>COUNTIF('hedef liste'!A:A,A1051)</f>
        <v>0</v>
      </c>
    </row>
    <row r="1052" hidden="1">
      <c r="A1052" s="376" t="s">
        <v>5928</v>
      </c>
      <c r="B1052" s="376" t="s">
        <v>5929</v>
      </c>
      <c r="C1052" s="428" t="s">
        <v>6979</v>
      </c>
      <c r="D1052" s="376" t="s">
        <v>3883</v>
      </c>
      <c r="E1052" s="429">
        <v>37.0</v>
      </c>
      <c r="F1052" s="429">
        <v>23.0</v>
      </c>
      <c r="G1052" s="429">
        <v>0.0</v>
      </c>
      <c r="H1052" s="429">
        <v>48.0</v>
      </c>
      <c r="I1052" s="429">
        <v>48.0</v>
      </c>
      <c r="J1052" s="430">
        <v>0.0</v>
      </c>
      <c r="K1052" s="376" t="s">
        <v>5926</v>
      </c>
      <c r="L1052" s="376">
        <v>5.322726875E9</v>
      </c>
      <c r="M1052" s="376" t="s">
        <v>286</v>
      </c>
      <c r="N1052" s="376" t="s">
        <v>4263</v>
      </c>
      <c r="O1052" s="376" t="s">
        <v>5930</v>
      </c>
      <c r="P1052" s="376" t="s">
        <v>3941</v>
      </c>
      <c r="Q1052" s="16">
        <f>COUNTIF('hedef liste'!A:A,A1052)</f>
        <v>1</v>
      </c>
    </row>
    <row r="1053" hidden="1">
      <c r="A1053" s="376" t="s">
        <v>6911</v>
      </c>
      <c r="B1053" s="376" t="s">
        <v>6912</v>
      </c>
      <c r="C1053" s="428" t="s">
        <v>6979</v>
      </c>
      <c r="D1053" s="376" t="s">
        <v>3676</v>
      </c>
      <c r="E1053" s="429">
        <v>660.0</v>
      </c>
      <c r="F1053" s="429">
        <v>242.0</v>
      </c>
      <c r="G1053" s="429">
        <v>0.0</v>
      </c>
      <c r="H1053" s="429">
        <v>33.0</v>
      </c>
      <c r="I1053" s="429">
        <v>33.0</v>
      </c>
      <c r="J1053" s="430">
        <v>0.0</v>
      </c>
      <c r="K1053" s="376" t="s">
        <v>6913</v>
      </c>
      <c r="L1053" s="376">
        <v>3.224505566E9</v>
      </c>
      <c r="M1053" s="376" t="s">
        <v>286</v>
      </c>
      <c r="N1053" s="376" t="s">
        <v>3737</v>
      </c>
      <c r="O1053" s="376" t="s">
        <v>6914</v>
      </c>
      <c r="P1053" s="376" t="s">
        <v>3941</v>
      </c>
      <c r="Q1053" s="16">
        <f>COUNTIF('hedef liste'!A:A,A1053)</f>
        <v>1</v>
      </c>
    </row>
    <row r="1054" hidden="1">
      <c r="A1054" s="376" t="s">
        <v>4222</v>
      </c>
      <c r="B1054" s="376" t="s">
        <v>4223</v>
      </c>
      <c r="C1054" s="428" t="s">
        <v>6979</v>
      </c>
      <c r="D1054" s="376" t="s">
        <v>3759</v>
      </c>
      <c r="E1054" s="429">
        <v>1676.0</v>
      </c>
      <c r="F1054" s="429">
        <v>53.0</v>
      </c>
      <c r="G1054" s="429">
        <v>0.0</v>
      </c>
      <c r="H1054" s="429">
        <v>15.0</v>
      </c>
      <c r="I1054" s="429">
        <v>15.0</v>
      </c>
      <c r="J1054" s="430">
        <v>0.0</v>
      </c>
      <c r="K1054" s="376" t="s">
        <v>4224</v>
      </c>
      <c r="L1054" s="376">
        <v>3.222241111E9</v>
      </c>
      <c r="M1054" s="376" t="s">
        <v>286</v>
      </c>
      <c r="N1054" s="376" t="s">
        <v>3782</v>
      </c>
      <c r="O1054" s="376" t="s">
        <v>4225</v>
      </c>
      <c r="P1054" s="376" t="s">
        <v>3941</v>
      </c>
      <c r="Q1054" s="16">
        <f>COUNTIF('hedef liste'!A:A,A1054)</f>
        <v>1</v>
      </c>
    </row>
    <row r="1055" hidden="1">
      <c r="A1055" s="376" t="s">
        <v>2086</v>
      </c>
      <c r="B1055" s="376" t="s">
        <v>2087</v>
      </c>
      <c r="C1055" s="428" t="s">
        <v>6979</v>
      </c>
      <c r="D1055" s="376" t="s">
        <v>3759</v>
      </c>
      <c r="E1055" s="429">
        <v>2570.0</v>
      </c>
      <c r="F1055" s="429">
        <v>125.0</v>
      </c>
      <c r="G1055" s="429">
        <v>3.0</v>
      </c>
      <c r="H1055" s="429">
        <v>8.0</v>
      </c>
      <c r="I1055" s="429">
        <v>11.0</v>
      </c>
      <c r="J1055" s="430">
        <v>0.27</v>
      </c>
      <c r="K1055" s="376" t="s">
        <v>5566</v>
      </c>
      <c r="L1055" s="376">
        <v>3.224502223E9</v>
      </c>
      <c r="M1055" s="376" t="s">
        <v>3692</v>
      </c>
      <c r="N1055" s="376" t="s">
        <v>3869</v>
      </c>
      <c r="O1055" s="376" t="s">
        <v>2089</v>
      </c>
      <c r="P1055" s="376" t="s">
        <v>3941</v>
      </c>
      <c r="Q1055" s="16">
        <f>COUNTIF('hedef liste'!A:A,A1055)</f>
        <v>1</v>
      </c>
    </row>
    <row r="1056" hidden="1">
      <c r="A1056" s="376" t="s">
        <v>3166</v>
      </c>
      <c r="B1056" s="376" t="s">
        <v>3167</v>
      </c>
      <c r="C1056" s="428" t="s">
        <v>6979</v>
      </c>
      <c r="D1056" s="376" t="s">
        <v>3699</v>
      </c>
      <c r="E1056" s="429">
        <v>229.0</v>
      </c>
      <c r="F1056" s="429">
        <v>10.0</v>
      </c>
      <c r="G1056" s="429">
        <v>0.0</v>
      </c>
      <c r="H1056" s="429">
        <v>7.0</v>
      </c>
      <c r="I1056" s="429">
        <v>7.0</v>
      </c>
      <c r="J1056" s="430">
        <v>0.0</v>
      </c>
      <c r="K1056" s="376" t="s">
        <v>5547</v>
      </c>
      <c r="L1056" s="376">
        <v>5.071006433E9</v>
      </c>
      <c r="M1056" s="376" t="s">
        <v>286</v>
      </c>
      <c r="N1056" s="376" t="s">
        <v>3855</v>
      </c>
      <c r="O1056" s="376" t="s">
        <v>5549</v>
      </c>
      <c r="P1056" s="376" t="s">
        <v>3941</v>
      </c>
      <c r="Q1056" s="16">
        <f>COUNTIF('hedef liste'!A:A,A1056)</f>
        <v>1</v>
      </c>
    </row>
    <row r="1057" hidden="1">
      <c r="A1057" s="376" t="s">
        <v>5238</v>
      </c>
      <c r="B1057" s="376" t="s">
        <v>5239</v>
      </c>
      <c r="C1057" s="428" t="s">
        <v>6979</v>
      </c>
      <c r="D1057" s="376" t="s">
        <v>3699</v>
      </c>
      <c r="E1057" s="429">
        <v>59.0</v>
      </c>
      <c r="F1057" s="429">
        <v>20.0</v>
      </c>
      <c r="G1057" s="429">
        <v>0.0</v>
      </c>
      <c r="H1057" s="429">
        <v>10.0</v>
      </c>
      <c r="I1057" s="429">
        <v>10.0</v>
      </c>
      <c r="J1057" s="430">
        <v>0.0</v>
      </c>
      <c r="K1057" s="376" t="s">
        <v>5240</v>
      </c>
      <c r="L1057" s="376">
        <v>3.229994997E9</v>
      </c>
      <c r="M1057" s="376" t="s">
        <v>286</v>
      </c>
      <c r="N1057" s="376" t="s">
        <v>3961</v>
      </c>
      <c r="O1057" s="376" t="s">
        <v>5241</v>
      </c>
      <c r="P1057" s="376" t="s">
        <v>3941</v>
      </c>
      <c r="Q1057" s="16">
        <f>COUNTIF('hedef liste'!A:A,A1057)</f>
        <v>1</v>
      </c>
    </row>
    <row r="1058" hidden="1">
      <c r="A1058" s="376" t="s">
        <v>4339</v>
      </c>
      <c r="B1058" s="376" t="s">
        <v>4340</v>
      </c>
      <c r="C1058" s="428" t="s">
        <v>6979</v>
      </c>
      <c r="D1058" s="376" t="s">
        <v>4092</v>
      </c>
      <c r="E1058" s="429">
        <v>225.0</v>
      </c>
      <c r="F1058" s="429">
        <v>35.0</v>
      </c>
      <c r="G1058" s="429">
        <v>0.0</v>
      </c>
      <c r="H1058" s="429">
        <v>49.0</v>
      </c>
      <c r="I1058" s="429">
        <v>49.0</v>
      </c>
      <c r="J1058" s="433">
        <v>0.0</v>
      </c>
      <c r="K1058" s="376" t="s">
        <v>4341</v>
      </c>
      <c r="L1058" s="376">
        <v>5.321361603E9</v>
      </c>
      <c r="M1058" s="376" t="s">
        <v>3701</v>
      </c>
      <c r="N1058" s="376" t="s">
        <v>4342</v>
      </c>
      <c r="O1058" s="376" t="s">
        <v>4343</v>
      </c>
      <c r="P1058" s="376" t="s">
        <v>3941</v>
      </c>
      <c r="Q1058" s="16">
        <f>COUNTIF('hedef liste'!A:A,A1058)</f>
        <v>1</v>
      </c>
    </row>
    <row r="1059" hidden="1">
      <c r="A1059" s="376" t="s">
        <v>3799</v>
      </c>
      <c r="B1059" s="376" t="s">
        <v>3800</v>
      </c>
      <c r="C1059" s="428" t="s">
        <v>6979</v>
      </c>
      <c r="D1059" s="376" t="s">
        <v>3801</v>
      </c>
      <c r="E1059" s="429">
        <v>52.0</v>
      </c>
      <c r="F1059" s="429">
        <v>5.0</v>
      </c>
      <c r="G1059" s="429">
        <v>0.0</v>
      </c>
      <c r="H1059" s="429">
        <v>14.0</v>
      </c>
      <c r="I1059" s="429">
        <v>14.0</v>
      </c>
      <c r="J1059" s="430">
        <v>0.0</v>
      </c>
      <c r="K1059" s="376" t="s">
        <v>3802</v>
      </c>
      <c r="L1059" s="376">
        <v>5.01358837E9</v>
      </c>
      <c r="M1059" s="376" t="s">
        <v>3701</v>
      </c>
      <c r="N1059" s="376" t="s">
        <v>3803</v>
      </c>
      <c r="O1059" s="376" t="s">
        <v>3804</v>
      </c>
      <c r="P1059" s="376" t="s">
        <v>3941</v>
      </c>
      <c r="Q1059" s="16">
        <f>COUNTIF('hedef liste'!A:A,A1059)</f>
        <v>1</v>
      </c>
    </row>
    <row r="1060" hidden="1">
      <c r="A1060" s="376" t="s">
        <v>3408</v>
      </c>
      <c r="B1060" s="376" t="s">
        <v>3409</v>
      </c>
      <c r="C1060" s="428" t="s">
        <v>6979</v>
      </c>
      <c r="D1060" s="376" t="s">
        <v>3713</v>
      </c>
      <c r="E1060" s="431"/>
      <c r="F1060" s="431"/>
      <c r="G1060" s="429">
        <v>0.0</v>
      </c>
      <c r="H1060" s="429">
        <v>33.0</v>
      </c>
      <c r="I1060" s="429">
        <v>33.0</v>
      </c>
      <c r="J1060" s="430">
        <v>0.0</v>
      </c>
      <c r="K1060" s="376" t="s">
        <v>4078</v>
      </c>
      <c r="L1060" s="376">
        <v>5.331647115E9</v>
      </c>
      <c r="M1060" s="376" t="s">
        <v>286</v>
      </c>
      <c r="N1060" s="376" t="s">
        <v>3754</v>
      </c>
      <c r="O1060" s="376" t="s">
        <v>3411</v>
      </c>
      <c r="P1060" s="376" t="s">
        <v>3941</v>
      </c>
      <c r="Q1060" s="16">
        <f>COUNTIF('hedef liste'!A:A,A1060)</f>
        <v>1</v>
      </c>
    </row>
    <row r="1061">
      <c r="A1061" s="376" t="s">
        <v>6234</v>
      </c>
      <c r="B1061" s="376" t="s">
        <v>313</v>
      </c>
      <c r="C1061" s="428" t="s">
        <v>6979</v>
      </c>
      <c r="D1061" s="376" t="s">
        <v>3994</v>
      </c>
      <c r="E1061" s="431"/>
      <c r="F1061" s="431"/>
      <c r="G1061" s="429">
        <v>0.0</v>
      </c>
      <c r="H1061" s="429">
        <v>88.0</v>
      </c>
      <c r="I1061" s="429">
        <v>88.0</v>
      </c>
      <c r="J1061" s="430">
        <v>0.0</v>
      </c>
      <c r="K1061" s="376" t="s">
        <v>6235</v>
      </c>
      <c r="L1061" s="376">
        <v>5.525767874E9</v>
      </c>
      <c r="M1061" s="376" t="s">
        <v>14</v>
      </c>
      <c r="N1061" s="376" t="s">
        <v>3733</v>
      </c>
      <c r="O1061" s="376" t="s">
        <v>315</v>
      </c>
      <c r="P1061" s="376" t="s">
        <v>3941</v>
      </c>
      <c r="Q1061" s="16">
        <f>COUNTIF('hedef liste'!A:A,A1061)</f>
        <v>1</v>
      </c>
    </row>
    <row r="1062" hidden="1">
      <c r="A1062" s="376" t="s">
        <v>237</v>
      </c>
      <c r="B1062" s="376" t="s">
        <v>7694</v>
      </c>
      <c r="C1062" s="428" t="s">
        <v>6979</v>
      </c>
      <c r="D1062" s="376" t="s">
        <v>3699</v>
      </c>
      <c r="E1062" s="429">
        <v>2344.0</v>
      </c>
      <c r="F1062" s="429">
        <v>84.0</v>
      </c>
      <c r="G1062" s="429">
        <v>17.0</v>
      </c>
      <c r="H1062" s="429">
        <v>3.0</v>
      </c>
      <c r="I1062" s="429">
        <v>20.0</v>
      </c>
      <c r="J1062" s="430">
        <v>0.85</v>
      </c>
      <c r="K1062" s="376" t="s">
        <v>3796</v>
      </c>
      <c r="L1062" s="376">
        <v>5.457477171E9</v>
      </c>
      <c r="M1062" s="376" t="s">
        <v>14</v>
      </c>
      <c r="N1062" s="376" t="s">
        <v>3797</v>
      </c>
      <c r="O1062" s="376" t="s">
        <v>240</v>
      </c>
      <c r="P1062" s="376" t="s">
        <v>3941</v>
      </c>
      <c r="Q1062" s="16">
        <f>COUNTIF('hedef liste'!A:A,A1062)</f>
        <v>1</v>
      </c>
    </row>
    <row r="1063" hidden="1">
      <c r="A1063" s="376" t="s">
        <v>2654</v>
      </c>
      <c r="B1063" s="376" t="s">
        <v>2655</v>
      </c>
      <c r="C1063" s="428" t="s">
        <v>6979</v>
      </c>
      <c r="D1063" s="376" t="s">
        <v>3676</v>
      </c>
      <c r="E1063" s="429">
        <v>4452.0</v>
      </c>
      <c r="F1063" s="429">
        <v>314.0</v>
      </c>
      <c r="G1063" s="429">
        <v>0.0</v>
      </c>
      <c r="H1063" s="429">
        <v>16.0</v>
      </c>
      <c r="I1063" s="429">
        <v>16.0</v>
      </c>
      <c r="J1063" s="430">
        <v>0.0</v>
      </c>
      <c r="K1063" s="376" t="s">
        <v>4163</v>
      </c>
      <c r="L1063" s="376">
        <v>5.303954809E9</v>
      </c>
      <c r="M1063" s="376" t="s">
        <v>14</v>
      </c>
      <c r="N1063" s="376" t="s">
        <v>3914</v>
      </c>
      <c r="O1063" s="376" t="s">
        <v>2658</v>
      </c>
      <c r="P1063" s="376" t="s">
        <v>3941</v>
      </c>
      <c r="Q1063" s="16">
        <f>COUNTIF('hedef liste'!A:A,A1063)</f>
        <v>1</v>
      </c>
    </row>
    <row r="1064" hidden="1">
      <c r="A1064" s="376" t="s">
        <v>7695</v>
      </c>
      <c r="B1064" s="376" t="s">
        <v>7696</v>
      </c>
      <c r="C1064" s="428" t="s">
        <v>6979</v>
      </c>
      <c r="D1064" s="376" t="s">
        <v>4249</v>
      </c>
      <c r="E1064" s="429">
        <v>2744.0</v>
      </c>
      <c r="F1064" s="429">
        <v>129.0</v>
      </c>
      <c r="G1064" s="429">
        <v>57.0</v>
      </c>
      <c r="H1064" s="429">
        <v>0.0</v>
      </c>
      <c r="I1064" s="429">
        <v>57.0</v>
      </c>
      <c r="J1064" s="430">
        <v>1.0</v>
      </c>
      <c r="K1064" s="376" t="s">
        <v>7111</v>
      </c>
      <c r="L1064" s="376">
        <v>9.999999999E9</v>
      </c>
      <c r="M1064" s="376" t="s">
        <v>286</v>
      </c>
      <c r="N1064" s="376" t="s">
        <v>4235</v>
      </c>
      <c r="O1064" s="376" t="s">
        <v>7337</v>
      </c>
      <c r="P1064" s="376" t="s">
        <v>6982</v>
      </c>
      <c r="Q1064" s="16">
        <f>COUNTIF('hedef liste'!A:A,A1064)</f>
        <v>0</v>
      </c>
    </row>
    <row r="1065" hidden="1">
      <c r="A1065" s="376" t="s">
        <v>2339</v>
      </c>
      <c r="B1065" s="376" t="s">
        <v>2340</v>
      </c>
      <c r="C1065" s="428" t="s">
        <v>6979</v>
      </c>
      <c r="D1065" s="376" t="s">
        <v>3699</v>
      </c>
      <c r="E1065" s="429">
        <v>857.0</v>
      </c>
      <c r="F1065" s="429">
        <v>10.0</v>
      </c>
      <c r="G1065" s="429">
        <v>7.0</v>
      </c>
      <c r="H1065" s="429">
        <v>1.0</v>
      </c>
      <c r="I1065" s="429">
        <v>8.0</v>
      </c>
      <c r="J1065" s="430">
        <v>0.88</v>
      </c>
      <c r="K1065" s="376" t="s">
        <v>6364</v>
      </c>
      <c r="L1065" s="376">
        <v>5.06908778E9</v>
      </c>
      <c r="M1065" s="376" t="s">
        <v>14</v>
      </c>
      <c r="N1065" s="376" t="s">
        <v>3826</v>
      </c>
      <c r="O1065" s="376" t="s">
        <v>2453</v>
      </c>
      <c r="P1065" s="376" t="s">
        <v>3941</v>
      </c>
      <c r="Q1065" s="16">
        <f>COUNTIF('hedef liste'!A:A,A1065)</f>
        <v>1</v>
      </c>
    </row>
    <row r="1066" hidden="1">
      <c r="A1066" s="376" t="s">
        <v>1530</v>
      </c>
      <c r="B1066" s="376" t="s">
        <v>7697</v>
      </c>
      <c r="C1066" s="428" t="s">
        <v>6979</v>
      </c>
      <c r="D1066" s="376" t="s">
        <v>3676</v>
      </c>
      <c r="E1066" s="429">
        <v>2684.0</v>
      </c>
      <c r="F1066" s="429">
        <v>96.0</v>
      </c>
      <c r="G1066" s="429">
        <v>0.0</v>
      </c>
      <c r="H1066" s="429">
        <v>8.0</v>
      </c>
      <c r="I1066" s="429">
        <v>8.0</v>
      </c>
      <c r="J1066" s="430">
        <v>0.0</v>
      </c>
      <c r="K1066" s="376" t="s">
        <v>6894</v>
      </c>
      <c r="L1066" s="376">
        <v>3.223217788E9</v>
      </c>
      <c r="M1066" s="376" t="s">
        <v>3707</v>
      </c>
      <c r="N1066" s="376" t="s">
        <v>4631</v>
      </c>
      <c r="O1066" s="376" t="s">
        <v>1534</v>
      </c>
      <c r="P1066" s="376" t="s">
        <v>3941</v>
      </c>
      <c r="Q1066" s="16">
        <f>COUNTIF('hedef liste'!A:A,A1066)</f>
        <v>1</v>
      </c>
    </row>
    <row r="1067" hidden="1">
      <c r="A1067" s="376" t="s">
        <v>2904</v>
      </c>
      <c r="B1067" s="376" t="s">
        <v>2905</v>
      </c>
      <c r="C1067" s="428" t="s">
        <v>6979</v>
      </c>
      <c r="D1067" s="376" t="s">
        <v>3676</v>
      </c>
      <c r="E1067" s="429">
        <v>951.0</v>
      </c>
      <c r="F1067" s="429">
        <v>124.0</v>
      </c>
      <c r="G1067" s="429">
        <v>14.0</v>
      </c>
      <c r="H1067" s="429">
        <v>6.0</v>
      </c>
      <c r="I1067" s="429">
        <v>20.0</v>
      </c>
      <c r="J1067" s="430">
        <v>0.7</v>
      </c>
      <c r="K1067" s="376" t="s">
        <v>4547</v>
      </c>
      <c r="L1067" s="376">
        <v>5.356727336E9</v>
      </c>
      <c r="M1067" s="376" t="s">
        <v>14</v>
      </c>
      <c r="N1067" s="376" t="s">
        <v>3826</v>
      </c>
      <c r="O1067" s="376" t="s">
        <v>2490</v>
      </c>
      <c r="P1067" s="376" t="s">
        <v>3941</v>
      </c>
      <c r="Q1067" s="16">
        <f>COUNTIF('hedef liste'!A:A,A1067)</f>
        <v>1</v>
      </c>
    </row>
    <row r="1068" hidden="1">
      <c r="A1068" s="376" t="s">
        <v>5048</v>
      </c>
      <c r="B1068" s="376" t="s">
        <v>5049</v>
      </c>
      <c r="C1068" s="428" t="s">
        <v>6979</v>
      </c>
      <c r="D1068" s="376" t="s">
        <v>3842</v>
      </c>
      <c r="E1068" s="429">
        <v>5.0</v>
      </c>
      <c r="F1068" s="431"/>
      <c r="G1068" s="429">
        <v>0.0</v>
      </c>
      <c r="H1068" s="429">
        <v>7.0</v>
      </c>
      <c r="I1068" s="429">
        <v>7.0</v>
      </c>
      <c r="J1068" s="430">
        <v>0.0</v>
      </c>
      <c r="K1068" s="376" t="s">
        <v>5050</v>
      </c>
      <c r="L1068" s="376">
        <v>5.380213839E9</v>
      </c>
      <c r="M1068" s="376" t="s">
        <v>286</v>
      </c>
      <c r="N1068" s="376" t="s">
        <v>3688</v>
      </c>
      <c r="O1068" s="376" t="s">
        <v>5051</v>
      </c>
      <c r="P1068" s="376" t="s">
        <v>3941</v>
      </c>
      <c r="Q1068" s="16">
        <f>COUNTIF('hedef liste'!A:A,A1068)</f>
        <v>1</v>
      </c>
    </row>
    <row r="1069" hidden="1">
      <c r="A1069" s="376" t="s">
        <v>7698</v>
      </c>
      <c r="B1069" s="376" t="s">
        <v>7699</v>
      </c>
      <c r="C1069" s="428" t="s">
        <v>7011</v>
      </c>
      <c r="D1069" s="376" t="s">
        <v>3994</v>
      </c>
      <c r="E1069" s="429">
        <v>2472.0</v>
      </c>
      <c r="F1069" s="431"/>
      <c r="G1069" s="429">
        <v>68.0</v>
      </c>
      <c r="H1069" s="429">
        <v>10.0</v>
      </c>
      <c r="I1069" s="429">
        <v>78.0</v>
      </c>
      <c r="J1069" s="430">
        <v>0.87</v>
      </c>
      <c r="K1069" s="376" t="s">
        <v>6980</v>
      </c>
      <c r="L1069" s="376">
        <v>8.502149018E9</v>
      </c>
      <c r="M1069" s="376" t="s">
        <v>3707</v>
      </c>
      <c r="N1069" s="376" t="s">
        <v>5245</v>
      </c>
      <c r="O1069" s="376" t="s">
        <v>7700</v>
      </c>
      <c r="P1069" s="376" t="s">
        <v>6982</v>
      </c>
      <c r="Q1069" s="16">
        <f>COUNTIF('hedef liste'!A:A,A1069)</f>
        <v>0</v>
      </c>
    </row>
    <row r="1070" hidden="1">
      <c r="A1070" s="376" t="s">
        <v>7701</v>
      </c>
      <c r="B1070" s="376" t="s">
        <v>7702</v>
      </c>
      <c r="C1070" s="428" t="s">
        <v>6979</v>
      </c>
      <c r="D1070" s="376" t="s">
        <v>4249</v>
      </c>
      <c r="E1070" s="429">
        <v>12.0</v>
      </c>
      <c r="F1070" s="429">
        <v>12.0</v>
      </c>
      <c r="G1070" s="429">
        <v>24.0</v>
      </c>
      <c r="H1070" s="429">
        <v>0.0</v>
      </c>
      <c r="I1070" s="429">
        <v>24.0</v>
      </c>
      <c r="J1070" s="430">
        <v>1.0</v>
      </c>
      <c r="K1070" s="376" t="s">
        <v>7703</v>
      </c>
      <c r="L1070" s="376">
        <v>3.225037985E9</v>
      </c>
      <c r="M1070" s="376" t="s">
        <v>286</v>
      </c>
      <c r="N1070" s="376" t="s">
        <v>3758</v>
      </c>
      <c r="O1070" s="376" t="s">
        <v>7704</v>
      </c>
      <c r="P1070" s="376" t="s">
        <v>6982</v>
      </c>
      <c r="Q1070" s="16">
        <f>COUNTIF('hedef liste'!A:A,A1070)</f>
        <v>0</v>
      </c>
    </row>
    <row r="1071" hidden="1">
      <c r="A1071" s="376" t="s">
        <v>7705</v>
      </c>
      <c r="B1071" s="376" t="s">
        <v>7706</v>
      </c>
      <c r="C1071" s="428" t="s">
        <v>6979</v>
      </c>
      <c r="D1071" s="376" t="s">
        <v>4249</v>
      </c>
      <c r="E1071" s="429">
        <v>12.0</v>
      </c>
      <c r="F1071" s="429">
        <v>12.0</v>
      </c>
      <c r="G1071" s="429">
        <v>24.0</v>
      </c>
      <c r="H1071" s="429">
        <v>0.0</v>
      </c>
      <c r="I1071" s="429">
        <v>24.0</v>
      </c>
      <c r="J1071" s="430">
        <v>1.0</v>
      </c>
      <c r="K1071" s="376" t="s">
        <v>7703</v>
      </c>
      <c r="L1071" s="376">
        <v>3.222710858E9</v>
      </c>
      <c r="M1071" s="376" t="s">
        <v>286</v>
      </c>
      <c r="N1071" s="376" t="s">
        <v>4235</v>
      </c>
      <c r="O1071" s="376" t="s">
        <v>7707</v>
      </c>
      <c r="P1071" s="376" t="s">
        <v>6982</v>
      </c>
      <c r="Q1071" s="16">
        <f>COUNTIF('hedef liste'!A:A,A1071)</f>
        <v>0</v>
      </c>
    </row>
    <row r="1072">
      <c r="A1072" s="376" t="s">
        <v>4048</v>
      </c>
      <c r="B1072" s="376" t="s">
        <v>4049</v>
      </c>
      <c r="C1072" s="428" t="s">
        <v>6979</v>
      </c>
      <c r="D1072" s="376" t="s">
        <v>3713</v>
      </c>
      <c r="E1072" s="431"/>
      <c r="F1072" s="431"/>
      <c r="G1072" s="429">
        <v>0.0</v>
      </c>
      <c r="H1072" s="429">
        <v>17.0</v>
      </c>
      <c r="I1072" s="429">
        <v>17.0</v>
      </c>
      <c r="J1072" s="433">
        <v>0.0</v>
      </c>
      <c r="K1072" s="376" t="s">
        <v>4050</v>
      </c>
      <c r="L1072" s="376">
        <v>5.314642805E9</v>
      </c>
      <c r="M1072" s="376" t="s">
        <v>14</v>
      </c>
      <c r="N1072" s="376" t="s">
        <v>3718</v>
      </c>
      <c r="O1072" s="376" t="s">
        <v>4051</v>
      </c>
      <c r="P1072" s="376" t="s">
        <v>3941</v>
      </c>
      <c r="Q1072" s="16">
        <f>COUNTIF('hedef liste'!A:A,A1072)</f>
        <v>1</v>
      </c>
    </row>
    <row r="1073" hidden="1">
      <c r="A1073" s="376" t="s">
        <v>7708</v>
      </c>
      <c r="B1073" s="376" t="s">
        <v>7709</v>
      </c>
      <c r="C1073" s="428" t="s">
        <v>6979</v>
      </c>
      <c r="D1073" s="376" t="s">
        <v>4000</v>
      </c>
      <c r="E1073" s="429">
        <v>555.0</v>
      </c>
      <c r="F1073" s="429">
        <v>101.0</v>
      </c>
      <c r="G1073" s="429">
        <v>31.0</v>
      </c>
      <c r="H1073" s="429">
        <v>2.0</v>
      </c>
      <c r="I1073" s="429">
        <v>33.0</v>
      </c>
      <c r="J1073" s="430">
        <v>0.94</v>
      </c>
      <c r="K1073" s="376" t="s">
        <v>7710</v>
      </c>
      <c r="L1073" s="376">
        <v>3.222335788E9</v>
      </c>
      <c r="M1073" s="376" t="s">
        <v>14</v>
      </c>
      <c r="N1073" s="376" t="s">
        <v>3797</v>
      </c>
      <c r="O1073" s="376" t="s">
        <v>7711</v>
      </c>
      <c r="P1073" s="376" t="s">
        <v>3941</v>
      </c>
      <c r="Q1073" s="16">
        <f>COUNTIF('hedef liste'!A:A,A1073)</f>
        <v>0</v>
      </c>
    </row>
    <row r="1074" hidden="1">
      <c r="A1074" s="376" t="s">
        <v>2352</v>
      </c>
      <c r="B1074" s="376" t="s">
        <v>2353</v>
      </c>
      <c r="C1074" s="428" t="s">
        <v>6979</v>
      </c>
      <c r="D1074" s="376" t="s">
        <v>3994</v>
      </c>
      <c r="E1074" s="429">
        <v>371.0</v>
      </c>
      <c r="F1074" s="429">
        <v>17.0</v>
      </c>
      <c r="G1074" s="429">
        <v>27.0</v>
      </c>
      <c r="H1074" s="429">
        <v>25.0</v>
      </c>
      <c r="I1074" s="429">
        <v>52.0</v>
      </c>
      <c r="J1074" s="430">
        <v>0.52</v>
      </c>
      <c r="K1074" s="376" t="s">
        <v>6196</v>
      </c>
      <c r="L1074" s="376">
        <v>5.436590201E9</v>
      </c>
      <c r="M1074" s="376" t="s">
        <v>14</v>
      </c>
      <c r="N1074" s="376" t="s">
        <v>3733</v>
      </c>
      <c r="O1074" s="376" t="s">
        <v>2355</v>
      </c>
      <c r="P1074" s="376" t="s">
        <v>3941</v>
      </c>
      <c r="Q1074" s="16">
        <f>COUNTIF('hedef liste'!A:A,A1074)</f>
        <v>1</v>
      </c>
    </row>
    <row r="1075">
      <c r="A1075" s="376" t="s">
        <v>4481</v>
      </c>
      <c r="B1075" s="376" t="s">
        <v>4482</v>
      </c>
      <c r="C1075" s="428" t="s">
        <v>6979</v>
      </c>
      <c r="D1075" s="376" t="s">
        <v>3713</v>
      </c>
      <c r="E1075" s="429">
        <v>8.0</v>
      </c>
      <c r="F1075" s="429">
        <v>8.0</v>
      </c>
      <c r="G1075" s="429">
        <v>0.0</v>
      </c>
      <c r="H1075" s="429">
        <v>26.0</v>
      </c>
      <c r="I1075" s="429">
        <v>26.0</v>
      </c>
      <c r="J1075" s="430">
        <v>0.0</v>
      </c>
      <c r="K1075" s="376" t="s">
        <v>4483</v>
      </c>
      <c r="L1075" s="376">
        <v>3.2245977E9</v>
      </c>
      <c r="M1075" s="376" t="s">
        <v>286</v>
      </c>
      <c r="N1075" s="376" t="s">
        <v>3688</v>
      </c>
      <c r="O1075" s="376" t="s">
        <v>4484</v>
      </c>
      <c r="P1075" s="376" t="s">
        <v>3941</v>
      </c>
      <c r="Q1075" s="16">
        <f>COUNTIF('hedef liste'!A:A,A1075)</f>
        <v>1</v>
      </c>
    </row>
    <row r="1076" hidden="1">
      <c r="A1076" s="376" t="s">
        <v>7712</v>
      </c>
      <c r="B1076" s="376" t="s">
        <v>7713</v>
      </c>
      <c r="C1076" s="428" t="s">
        <v>6979</v>
      </c>
      <c r="D1076" s="434" t="s">
        <v>3699</v>
      </c>
      <c r="F1076" s="431"/>
      <c r="G1076" s="429">
        <v>49.0</v>
      </c>
      <c r="H1076" s="429">
        <v>205.0</v>
      </c>
      <c r="I1076" s="429">
        <v>254.0</v>
      </c>
      <c r="J1076" s="430">
        <v>0.19</v>
      </c>
      <c r="K1076" s="376" t="s">
        <v>7714</v>
      </c>
      <c r="L1076" s="376">
        <v>3.224530453E9</v>
      </c>
      <c r="M1076" s="376" t="s">
        <v>286</v>
      </c>
      <c r="N1076" s="376" t="s">
        <v>4451</v>
      </c>
      <c r="O1076" s="376" t="s">
        <v>7715</v>
      </c>
      <c r="P1076" s="376" t="s">
        <v>6982</v>
      </c>
      <c r="Q1076" s="16">
        <f>COUNTIF('hedef liste'!A:A,A1076)</f>
        <v>0</v>
      </c>
    </row>
    <row r="1077">
      <c r="A1077" s="376" t="s">
        <v>5462</v>
      </c>
      <c r="B1077" s="376" t="s">
        <v>5463</v>
      </c>
      <c r="C1077" s="428" t="s">
        <v>6979</v>
      </c>
      <c r="D1077" s="376" t="s">
        <v>3699</v>
      </c>
      <c r="F1077" s="431"/>
      <c r="G1077" s="429">
        <v>0.0</v>
      </c>
      <c r="H1077" s="429">
        <v>18.0</v>
      </c>
      <c r="I1077" s="429">
        <v>18.0</v>
      </c>
      <c r="J1077" s="430">
        <v>0.0</v>
      </c>
      <c r="K1077" s="376" t="s">
        <v>5464</v>
      </c>
      <c r="L1077" s="376">
        <v>5.524374401E9</v>
      </c>
      <c r="M1077" s="376" t="s">
        <v>286</v>
      </c>
      <c r="N1077" s="376" t="s">
        <v>3746</v>
      </c>
      <c r="O1077" s="376" t="s">
        <v>5465</v>
      </c>
      <c r="P1077" s="376" t="s">
        <v>3941</v>
      </c>
      <c r="Q1077" s="16">
        <f>COUNTIF('hedef liste'!A:A,A1077)</f>
        <v>1</v>
      </c>
    </row>
    <row r="1078">
      <c r="A1078" s="376" t="s">
        <v>6838</v>
      </c>
      <c r="B1078" s="376" t="s">
        <v>6839</v>
      </c>
      <c r="C1078" s="428" t="s">
        <v>6979</v>
      </c>
      <c r="D1078" s="376" t="s">
        <v>3699</v>
      </c>
      <c r="F1078" s="431"/>
      <c r="G1078" s="429">
        <v>0.0</v>
      </c>
      <c r="H1078" s="429">
        <v>4.0</v>
      </c>
      <c r="I1078" s="429">
        <v>4.0</v>
      </c>
      <c r="J1078" s="430">
        <v>0.0</v>
      </c>
      <c r="K1078" s="376" t="s">
        <v>6840</v>
      </c>
      <c r="L1078" s="376">
        <v>3.229995439E9</v>
      </c>
      <c r="M1078" s="376" t="s">
        <v>14</v>
      </c>
      <c r="N1078" s="376" t="s">
        <v>3733</v>
      </c>
      <c r="O1078" s="376" t="s">
        <v>4512</v>
      </c>
      <c r="P1078" s="376" t="s">
        <v>3941</v>
      </c>
      <c r="Q1078" s="16">
        <f>COUNTIF('hedef liste'!A:A,A1078)</f>
        <v>1</v>
      </c>
    </row>
    <row r="1079">
      <c r="A1079" s="376" t="s">
        <v>3887</v>
      </c>
      <c r="B1079" s="376" t="s">
        <v>3888</v>
      </c>
      <c r="C1079" s="428" t="s">
        <v>6979</v>
      </c>
      <c r="D1079" s="376" t="s">
        <v>3699</v>
      </c>
      <c r="F1079" s="431"/>
      <c r="G1079" s="429">
        <v>0.0</v>
      </c>
      <c r="H1079" s="429">
        <v>63.0</v>
      </c>
      <c r="I1079" s="429">
        <v>63.0</v>
      </c>
      <c r="J1079" s="430">
        <v>0.0</v>
      </c>
      <c r="K1079" s="376" t="s">
        <v>3889</v>
      </c>
      <c r="L1079" s="376">
        <v>3.223412928E9</v>
      </c>
      <c r="M1079" s="376" t="s">
        <v>3692</v>
      </c>
      <c r="N1079" s="376" t="s">
        <v>3693</v>
      </c>
      <c r="O1079" s="376" t="s">
        <v>3890</v>
      </c>
      <c r="P1079" s="376" t="s">
        <v>3941</v>
      </c>
      <c r="Q1079" s="16">
        <f>COUNTIF('hedef liste'!A:A,A1079)</f>
        <v>1</v>
      </c>
    </row>
    <row r="1080">
      <c r="A1080" s="376" t="s">
        <v>4118</v>
      </c>
      <c r="B1080" s="376" t="s">
        <v>4119</v>
      </c>
      <c r="C1080" s="428" t="s">
        <v>6979</v>
      </c>
      <c r="D1080" s="376" t="s">
        <v>3699</v>
      </c>
      <c r="F1080" s="431"/>
      <c r="G1080" s="429">
        <v>0.0</v>
      </c>
      <c r="H1080" s="429">
        <v>65.0</v>
      </c>
      <c r="I1080" s="429">
        <v>65.0</v>
      </c>
      <c r="J1080" s="430">
        <v>0.0</v>
      </c>
      <c r="K1080" s="376" t="s">
        <v>3889</v>
      </c>
      <c r="L1080" s="376">
        <v>5.452333073E9</v>
      </c>
      <c r="M1080" s="376" t="s">
        <v>3692</v>
      </c>
      <c r="N1080" s="376" t="s">
        <v>4120</v>
      </c>
      <c r="O1080" s="376" t="s">
        <v>4121</v>
      </c>
      <c r="P1080" s="376" t="s">
        <v>3941</v>
      </c>
      <c r="Q1080" s="16">
        <f>COUNTIF('hedef liste'!A:A,A1080)</f>
        <v>1</v>
      </c>
    </row>
    <row r="1081" hidden="1">
      <c r="A1081" s="376" t="s">
        <v>7716</v>
      </c>
      <c r="B1081" s="376" t="s">
        <v>7717</v>
      </c>
      <c r="C1081" s="428" t="s">
        <v>6979</v>
      </c>
      <c r="D1081" s="376" t="s">
        <v>3801</v>
      </c>
      <c r="E1081" s="429">
        <v>2.0</v>
      </c>
      <c r="F1081" s="429">
        <v>2.0</v>
      </c>
      <c r="G1081" s="429">
        <v>14.0</v>
      </c>
      <c r="H1081" s="429">
        <v>8.0</v>
      </c>
      <c r="I1081" s="429">
        <v>22.0</v>
      </c>
      <c r="J1081" s="430">
        <v>0.64</v>
      </c>
      <c r="K1081" s="376" t="s">
        <v>7718</v>
      </c>
      <c r="L1081" s="376">
        <v>5.442476864E9</v>
      </c>
      <c r="M1081" s="376" t="s">
        <v>14</v>
      </c>
      <c r="N1081" s="376" t="s">
        <v>3826</v>
      </c>
      <c r="O1081" s="376" t="s">
        <v>7719</v>
      </c>
      <c r="P1081" s="376" t="s">
        <v>3941</v>
      </c>
      <c r="Q1081" s="16">
        <f>COUNTIF('hedef liste'!A:A,A1081)</f>
        <v>0</v>
      </c>
    </row>
    <row r="1082" hidden="1">
      <c r="A1082" s="376" t="s">
        <v>1283</v>
      </c>
      <c r="B1082" s="376" t="s">
        <v>7720</v>
      </c>
      <c r="C1082" s="428" t="s">
        <v>6979</v>
      </c>
      <c r="D1082" s="376" t="s">
        <v>3699</v>
      </c>
      <c r="E1082" s="429">
        <v>3989.0</v>
      </c>
      <c r="F1082" s="429">
        <v>178.0</v>
      </c>
      <c r="G1082" s="429">
        <v>0.0</v>
      </c>
      <c r="H1082" s="429">
        <v>44.0</v>
      </c>
      <c r="I1082" s="429">
        <v>44.0</v>
      </c>
      <c r="J1082" s="430">
        <v>0.0</v>
      </c>
      <c r="K1082" s="376" t="s">
        <v>6154</v>
      </c>
      <c r="L1082" s="376">
        <v>5.445127366E9</v>
      </c>
      <c r="M1082" s="376" t="s">
        <v>286</v>
      </c>
      <c r="N1082" s="376" t="s">
        <v>3855</v>
      </c>
      <c r="O1082" s="376" t="s">
        <v>1286</v>
      </c>
      <c r="P1082" s="376" t="s">
        <v>3941</v>
      </c>
      <c r="Q1082" s="16">
        <f>COUNTIF('hedef liste'!A:A,A1082)</f>
        <v>1</v>
      </c>
    </row>
    <row r="1083" hidden="1">
      <c r="A1083" s="376" t="s">
        <v>4241</v>
      </c>
      <c r="B1083" s="376" t="s">
        <v>4242</v>
      </c>
      <c r="C1083" s="428" t="s">
        <v>6979</v>
      </c>
      <c r="D1083" s="376" t="s">
        <v>4000</v>
      </c>
      <c r="E1083" s="429">
        <v>447.0</v>
      </c>
      <c r="F1083" s="429">
        <v>295.0</v>
      </c>
      <c r="G1083" s="429">
        <v>0.0</v>
      </c>
      <c r="H1083" s="429">
        <v>48.0</v>
      </c>
      <c r="I1083" s="429">
        <v>48.0</v>
      </c>
      <c r="J1083" s="430">
        <v>0.0</v>
      </c>
      <c r="K1083" s="376" t="s">
        <v>4243</v>
      </c>
      <c r="L1083" s="376">
        <v>5.434315977E9</v>
      </c>
      <c r="M1083" s="376" t="s">
        <v>14</v>
      </c>
      <c r="N1083" s="376" t="s">
        <v>3733</v>
      </c>
      <c r="O1083" s="376" t="s">
        <v>4244</v>
      </c>
      <c r="P1083" s="376" t="s">
        <v>3941</v>
      </c>
      <c r="Q1083" s="16">
        <f>COUNTIF('hedef liste'!A:A,A1083)</f>
        <v>1</v>
      </c>
    </row>
    <row r="1084" hidden="1">
      <c r="A1084" s="376" t="s">
        <v>2766</v>
      </c>
      <c r="B1084" s="376" t="s">
        <v>2767</v>
      </c>
      <c r="C1084" s="428" t="s">
        <v>6979</v>
      </c>
      <c r="D1084" s="376" t="s">
        <v>3759</v>
      </c>
      <c r="E1084" s="429">
        <v>3157.0</v>
      </c>
      <c r="F1084" s="429">
        <v>63.0</v>
      </c>
      <c r="G1084" s="429">
        <v>5.0</v>
      </c>
      <c r="H1084" s="429">
        <v>1.0</v>
      </c>
      <c r="I1084" s="429">
        <v>6.0</v>
      </c>
      <c r="J1084" s="430">
        <v>0.83</v>
      </c>
      <c r="K1084" s="376" t="s">
        <v>4261</v>
      </c>
      <c r="L1084" s="376">
        <v>3.224547537E9</v>
      </c>
      <c r="M1084" s="376" t="s">
        <v>286</v>
      </c>
      <c r="N1084" s="376" t="s">
        <v>4263</v>
      </c>
      <c r="O1084" s="376" t="s">
        <v>2770</v>
      </c>
      <c r="P1084" s="376" t="s">
        <v>3941</v>
      </c>
      <c r="Q1084" s="16">
        <f>COUNTIF('hedef liste'!A:A,A1084)</f>
        <v>1</v>
      </c>
    </row>
    <row r="1085" hidden="1">
      <c r="A1085" s="376" t="s">
        <v>4012</v>
      </c>
      <c r="B1085" s="376" t="s">
        <v>4013</v>
      </c>
      <c r="C1085" s="428" t="s">
        <v>6979</v>
      </c>
      <c r="D1085" s="376" t="s">
        <v>3759</v>
      </c>
      <c r="E1085" s="429">
        <v>201.0</v>
      </c>
      <c r="F1085" s="429">
        <v>71.0</v>
      </c>
      <c r="G1085" s="429">
        <v>0.0</v>
      </c>
      <c r="H1085" s="429">
        <v>12.0</v>
      </c>
      <c r="I1085" s="429">
        <v>12.0</v>
      </c>
      <c r="J1085" s="433">
        <v>0.0</v>
      </c>
      <c r="K1085" s="376" t="s">
        <v>4014</v>
      </c>
      <c r="L1085" s="376">
        <v>5.335595801E9</v>
      </c>
      <c r="M1085" s="376" t="s">
        <v>14</v>
      </c>
      <c r="N1085" s="376" t="s">
        <v>3678</v>
      </c>
      <c r="O1085" s="376" t="s">
        <v>4015</v>
      </c>
      <c r="P1085" s="376" t="s">
        <v>3941</v>
      </c>
      <c r="Q1085" s="16">
        <f>COUNTIF('hedef liste'!A:A,A1085)</f>
        <v>1</v>
      </c>
    </row>
    <row r="1086" hidden="1">
      <c r="A1086" s="376" t="s">
        <v>7721</v>
      </c>
      <c r="B1086" s="376" t="s">
        <v>7722</v>
      </c>
      <c r="C1086" s="428" t="s">
        <v>6979</v>
      </c>
      <c r="D1086" s="376" t="s">
        <v>4907</v>
      </c>
      <c r="E1086" s="429">
        <v>2988.0</v>
      </c>
      <c r="F1086" s="429">
        <v>236.0</v>
      </c>
      <c r="G1086" s="429">
        <v>92.0</v>
      </c>
      <c r="H1086" s="429">
        <v>0.0</v>
      </c>
      <c r="I1086" s="429">
        <v>92.0</v>
      </c>
      <c r="J1086" s="433">
        <v>1.0</v>
      </c>
      <c r="K1086" s="376" t="s">
        <v>7089</v>
      </c>
      <c r="L1086" s="376">
        <v>8.502071731E9</v>
      </c>
      <c r="M1086" s="376" t="s">
        <v>286</v>
      </c>
      <c r="N1086" s="376" t="s">
        <v>3855</v>
      </c>
      <c r="O1086" s="376" t="s">
        <v>7723</v>
      </c>
      <c r="P1086" s="376" t="s">
        <v>6982</v>
      </c>
      <c r="Q1086" s="16">
        <f>COUNTIF('hedef liste'!A:A,A1086)</f>
        <v>0</v>
      </c>
    </row>
    <row r="1087" hidden="1">
      <c r="A1087" s="376" t="s">
        <v>7724</v>
      </c>
      <c r="B1087" s="376" t="s">
        <v>7725</v>
      </c>
      <c r="C1087" s="428" t="s">
        <v>6979</v>
      </c>
      <c r="D1087" s="376" t="s">
        <v>4000</v>
      </c>
      <c r="E1087" s="429">
        <v>5638.0</v>
      </c>
      <c r="F1087" s="429">
        <v>313.0</v>
      </c>
      <c r="G1087" s="429">
        <v>100.0</v>
      </c>
      <c r="H1087" s="429">
        <v>0.0</v>
      </c>
      <c r="I1087" s="429">
        <v>100.0</v>
      </c>
      <c r="J1087" s="433">
        <v>1.0</v>
      </c>
      <c r="K1087" s="376" t="s">
        <v>7111</v>
      </c>
      <c r="L1087" s="376">
        <v>9.999999999E9</v>
      </c>
      <c r="M1087" s="376" t="s">
        <v>3707</v>
      </c>
      <c r="N1087" s="376" t="s">
        <v>5245</v>
      </c>
      <c r="O1087" s="376" t="s">
        <v>7726</v>
      </c>
      <c r="P1087" s="376" t="s">
        <v>6982</v>
      </c>
      <c r="Q1087" s="16">
        <f>COUNTIF('hedef liste'!A:A,A1087)</f>
        <v>0</v>
      </c>
    </row>
    <row r="1088" hidden="1">
      <c r="A1088" s="376" t="s">
        <v>7727</v>
      </c>
      <c r="B1088" s="376" t="s">
        <v>7728</v>
      </c>
      <c r="C1088" s="428" t="s">
        <v>6979</v>
      </c>
      <c r="D1088" s="376" t="s">
        <v>4000</v>
      </c>
      <c r="E1088" s="429">
        <v>29066.0</v>
      </c>
      <c r="F1088" s="429">
        <v>1183.0</v>
      </c>
      <c r="G1088" s="429">
        <v>168.0</v>
      </c>
      <c r="H1088" s="429">
        <v>0.0</v>
      </c>
      <c r="I1088" s="429">
        <v>168.0</v>
      </c>
      <c r="J1088" s="430">
        <v>1.0</v>
      </c>
      <c r="K1088" s="376" t="s">
        <v>7111</v>
      </c>
      <c r="L1088" s="376">
        <v>9.999999999E9</v>
      </c>
      <c r="M1088" s="376" t="s">
        <v>14</v>
      </c>
      <c r="N1088" s="376" t="s">
        <v>3797</v>
      </c>
      <c r="O1088" s="376" t="s">
        <v>7729</v>
      </c>
      <c r="P1088" s="376" t="s">
        <v>6982</v>
      </c>
      <c r="Q1088" s="16">
        <f>COUNTIF('hedef liste'!A:A,A1088)</f>
        <v>0</v>
      </c>
    </row>
    <row r="1089" hidden="1">
      <c r="A1089" s="376" t="s">
        <v>7730</v>
      </c>
      <c r="B1089" s="376" t="s">
        <v>7731</v>
      </c>
      <c r="C1089" s="428" t="s">
        <v>6979</v>
      </c>
      <c r="D1089" s="376" t="s">
        <v>4000</v>
      </c>
      <c r="E1089" s="429">
        <v>13571.0</v>
      </c>
      <c r="F1089" s="429">
        <v>509.0</v>
      </c>
      <c r="G1089" s="429">
        <v>166.0</v>
      </c>
      <c r="H1089" s="429">
        <v>0.0</v>
      </c>
      <c r="I1089" s="429">
        <v>166.0</v>
      </c>
      <c r="J1089" s="433">
        <v>1.0</v>
      </c>
      <c r="K1089" s="376" t="s">
        <v>7111</v>
      </c>
      <c r="L1089" s="376">
        <v>9.999999999E9</v>
      </c>
      <c r="M1089" s="376" t="s">
        <v>286</v>
      </c>
      <c r="N1089" s="376" t="s">
        <v>4235</v>
      </c>
      <c r="O1089" s="376" t="s">
        <v>7732</v>
      </c>
      <c r="P1089" s="376" t="s">
        <v>6982</v>
      </c>
      <c r="Q1089" s="16">
        <f>COUNTIF('hedef liste'!A:A,A1089)</f>
        <v>0</v>
      </c>
    </row>
    <row r="1090" hidden="1">
      <c r="A1090" s="376" t="s">
        <v>7733</v>
      </c>
      <c r="B1090" s="376" t="s">
        <v>7734</v>
      </c>
      <c r="C1090" s="428" t="s">
        <v>6979</v>
      </c>
      <c r="D1090" s="376" t="s">
        <v>4000</v>
      </c>
      <c r="E1090" s="429">
        <v>13972.0</v>
      </c>
      <c r="F1090" s="429">
        <v>616.0</v>
      </c>
      <c r="G1090" s="429">
        <v>161.0</v>
      </c>
      <c r="H1090" s="429">
        <v>0.0</v>
      </c>
      <c r="I1090" s="429">
        <v>161.0</v>
      </c>
      <c r="J1090" s="430">
        <v>1.0</v>
      </c>
      <c r="K1090" s="376" t="s">
        <v>7111</v>
      </c>
      <c r="L1090" s="376">
        <v>9.999999999E9</v>
      </c>
      <c r="M1090" s="376" t="s">
        <v>14</v>
      </c>
      <c r="N1090" s="376" t="s">
        <v>3797</v>
      </c>
      <c r="O1090" s="376" t="s">
        <v>7735</v>
      </c>
      <c r="P1090" s="376" t="s">
        <v>6982</v>
      </c>
      <c r="Q1090" s="16">
        <f>COUNTIF('hedef liste'!A:A,A1090)</f>
        <v>0</v>
      </c>
    </row>
    <row r="1091" hidden="1">
      <c r="A1091" s="376" t="s">
        <v>7736</v>
      </c>
      <c r="B1091" s="376" t="s">
        <v>7737</v>
      </c>
      <c r="C1091" s="428" t="s">
        <v>6979</v>
      </c>
      <c r="D1091" s="376" t="s">
        <v>3676</v>
      </c>
      <c r="E1091" s="429">
        <v>4824.0</v>
      </c>
      <c r="F1091" s="429">
        <v>180.0</v>
      </c>
      <c r="G1091" s="429">
        <v>82.0</v>
      </c>
      <c r="H1091" s="429">
        <v>0.0</v>
      </c>
      <c r="I1091" s="429">
        <v>82.0</v>
      </c>
      <c r="J1091" s="430">
        <v>1.0</v>
      </c>
      <c r="K1091" s="376" t="s">
        <v>7111</v>
      </c>
      <c r="L1091" s="376">
        <v>9.999999999E9</v>
      </c>
      <c r="M1091" s="376" t="s">
        <v>286</v>
      </c>
      <c r="N1091" s="376" t="s">
        <v>4235</v>
      </c>
      <c r="O1091" s="376" t="s">
        <v>7738</v>
      </c>
      <c r="P1091" s="376" t="s">
        <v>6982</v>
      </c>
      <c r="Q1091" s="16">
        <f>COUNTIF('hedef liste'!A:A,A1091)</f>
        <v>0</v>
      </c>
    </row>
    <row r="1092" hidden="1">
      <c r="A1092" s="376" t="s">
        <v>4232</v>
      </c>
      <c r="B1092" s="376" t="s">
        <v>4233</v>
      </c>
      <c r="C1092" s="428" t="s">
        <v>6979</v>
      </c>
      <c r="D1092" s="376" t="s">
        <v>3690</v>
      </c>
      <c r="E1092" s="429">
        <v>549.0</v>
      </c>
      <c r="F1092" s="429">
        <v>25.0</v>
      </c>
      <c r="G1092" s="429">
        <v>0.0</v>
      </c>
      <c r="H1092" s="429">
        <v>11.0</v>
      </c>
      <c r="I1092" s="429">
        <v>11.0</v>
      </c>
      <c r="J1092" s="430">
        <v>0.0</v>
      </c>
      <c r="K1092" s="376" t="s">
        <v>4234</v>
      </c>
      <c r="L1092" s="376">
        <v>3.2233327E9</v>
      </c>
      <c r="M1092" s="376" t="s">
        <v>286</v>
      </c>
      <c r="N1092" s="376" t="s">
        <v>4235</v>
      </c>
      <c r="O1092" s="376" t="s">
        <v>4236</v>
      </c>
      <c r="P1092" s="376" t="s">
        <v>3941</v>
      </c>
      <c r="Q1092" s="16">
        <f>COUNTIF('hedef liste'!A:A,A1092)</f>
        <v>1</v>
      </c>
    </row>
    <row r="1093" hidden="1">
      <c r="A1093" s="376" t="s">
        <v>7739</v>
      </c>
      <c r="B1093" s="376" t="s">
        <v>7740</v>
      </c>
      <c r="C1093" s="428" t="s">
        <v>6979</v>
      </c>
      <c r="D1093" s="376" t="s">
        <v>4249</v>
      </c>
      <c r="E1093" s="429">
        <v>844.0</v>
      </c>
      <c r="F1093" s="429">
        <v>38.0</v>
      </c>
      <c r="G1093" s="429">
        <v>56.0</v>
      </c>
      <c r="H1093" s="429">
        <v>1.0</v>
      </c>
      <c r="I1093" s="429">
        <v>57.0</v>
      </c>
      <c r="J1093" s="430">
        <v>0.98</v>
      </c>
      <c r="K1093" s="376" t="s">
        <v>7111</v>
      </c>
      <c r="L1093" s="376">
        <v>9.999999999E9</v>
      </c>
      <c r="M1093" s="376" t="s">
        <v>286</v>
      </c>
      <c r="N1093" s="376" t="s">
        <v>7292</v>
      </c>
      <c r="O1093" s="376" t="s">
        <v>7293</v>
      </c>
      <c r="P1093" s="376" t="s">
        <v>6982</v>
      </c>
      <c r="Q1093" s="16">
        <f>COUNTIF('hedef liste'!A:A,A1093)</f>
        <v>0</v>
      </c>
    </row>
    <row r="1094" hidden="1">
      <c r="A1094" s="376" t="s">
        <v>3474</v>
      </c>
      <c r="B1094" s="376" t="s">
        <v>3475</v>
      </c>
      <c r="C1094" s="428" t="s">
        <v>6979</v>
      </c>
      <c r="D1094" s="376" t="s">
        <v>3883</v>
      </c>
      <c r="E1094" s="429">
        <v>148.0</v>
      </c>
      <c r="F1094" s="429">
        <v>16.0</v>
      </c>
      <c r="G1094" s="429">
        <v>5.0</v>
      </c>
      <c r="H1094" s="429">
        <v>11.0</v>
      </c>
      <c r="I1094" s="429">
        <v>16.0</v>
      </c>
      <c r="J1094" s="430">
        <v>0.31</v>
      </c>
      <c r="K1094" s="376" t="s">
        <v>5262</v>
      </c>
      <c r="L1094" s="376">
        <v>5.052364924E9</v>
      </c>
      <c r="M1094" s="376" t="s">
        <v>14</v>
      </c>
      <c r="N1094" s="376" t="s">
        <v>3826</v>
      </c>
      <c r="O1094" s="376" t="s">
        <v>7741</v>
      </c>
      <c r="P1094" s="376" t="s">
        <v>3941</v>
      </c>
      <c r="Q1094" s="16">
        <f>COUNTIF('hedef liste'!A:A,A1094)</f>
        <v>1</v>
      </c>
    </row>
    <row r="1095" hidden="1">
      <c r="A1095" s="376" t="s">
        <v>4334</v>
      </c>
      <c r="B1095" s="376" t="s">
        <v>4335</v>
      </c>
      <c r="C1095" s="428" t="s">
        <v>6979</v>
      </c>
      <c r="D1095" s="376" t="s">
        <v>4000</v>
      </c>
      <c r="E1095" s="429">
        <v>505.0</v>
      </c>
      <c r="F1095" s="429">
        <v>62.0</v>
      </c>
      <c r="G1095" s="429">
        <v>0.0</v>
      </c>
      <c r="H1095" s="429">
        <v>23.0</v>
      </c>
      <c r="I1095" s="429">
        <v>23.0</v>
      </c>
      <c r="J1095" s="430">
        <v>0.0</v>
      </c>
      <c r="K1095" s="376" t="s">
        <v>4336</v>
      </c>
      <c r="L1095" s="376">
        <v>5.36718812E9</v>
      </c>
      <c r="M1095" s="376" t="s">
        <v>14</v>
      </c>
      <c r="N1095" s="376" t="s">
        <v>3767</v>
      </c>
      <c r="O1095" s="376" t="s">
        <v>4337</v>
      </c>
      <c r="P1095" s="376" t="s">
        <v>3941</v>
      </c>
      <c r="Q1095" s="16">
        <f>COUNTIF('hedef liste'!A:A,A1095)</f>
        <v>1</v>
      </c>
    </row>
    <row r="1096" hidden="1">
      <c r="A1096" s="376" t="s">
        <v>4526</v>
      </c>
      <c r="B1096" s="376" t="s">
        <v>4527</v>
      </c>
      <c r="C1096" s="428" t="s">
        <v>6979</v>
      </c>
      <c r="D1096" s="376" t="s">
        <v>3883</v>
      </c>
      <c r="E1096" s="429">
        <v>41.0</v>
      </c>
      <c r="F1096" s="429">
        <v>18.0</v>
      </c>
      <c r="G1096" s="429">
        <v>1.0</v>
      </c>
      <c r="H1096" s="429">
        <v>10.0</v>
      </c>
      <c r="I1096" s="429">
        <v>11.0</v>
      </c>
      <c r="J1096" s="430">
        <v>0.09</v>
      </c>
      <c r="K1096" s="376" t="s">
        <v>4528</v>
      </c>
      <c r="L1096" s="376">
        <v>5.334496019E9</v>
      </c>
      <c r="M1096" s="376" t="s">
        <v>14</v>
      </c>
      <c r="N1096" s="376" t="s">
        <v>3797</v>
      </c>
      <c r="O1096" s="376" t="s">
        <v>4529</v>
      </c>
      <c r="P1096" s="376" t="s">
        <v>3941</v>
      </c>
      <c r="Q1096" s="16">
        <f>COUNTIF('hedef liste'!A:A,A1096)</f>
        <v>1</v>
      </c>
    </row>
    <row r="1097" hidden="1">
      <c r="A1097" s="376" t="s">
        <v>5771</v>
      </c>
      <c r="B1097" s="376" t="s">
        <v>5772</v>
      </c>
      <c r="C1097" s="428" t="s">
        <v>6979</v>
      </c>
      <c r="D1097" s="376" t="s">
        <v>4000</v>
      </c>
      <c r="E1097" s="429">
        <v>20.0</v>
      </c>
      <c r="F1097" s="429">
        <v>3.0</v>
      </c>
      <c r="G1097" s="429">
        <v>0.0</v>
      </c>
      <c r="H1097" s="429">
        <v>28.0</v>
      </c>
      <c r="I1097" s="429">
        <v>28.0</v>
      </c>
      <c r="J1097" s="430">
        <v>0.0</v>
      </c>
      <c r="K1097" s="376" t="s">
        <v>5773</v>
      </c>
      <c r="L1097" s="376">
        <v>5.334980578E9</v>
      </c>
      <c r="M1097" s="376" t="s">
        <v>286</v>
      </c>
      <c r="N1097" s="376" t="s">
        <v>3754</v>
      </c>
      <c r="O1097" s="376" t="s">
        <v>5774</v>
      </c>
      <c r="P1097" s="376" t="s">
        <v>3941</v>
      </c>
      <c r="Q1097" s="16">
        <f>COUNTIF('hedef liste'!A:A,A1097)</f>
        <v>1</v>
      </c>
    </row>
    <row r="1098" hidden="1">
      <c r="A1098" s="376" t="s">
        <v>6692</v>
      </c>
      <c r="B1098" s="376" t="s">
        <v>7742</v>
      </c>
      <c r="C1098" s="428" t="s">
        <v>6979</v>
      </c>
      <c r="D1098" s="376" t="s">
        <v>3676</v>
      </c>
      <c r="E1098" s="429">
        <v>70.0</v>
      </c>
      <c r="F1098" s="431"/>
      <c r="G1098" s="429">
        <v>0.0</v>
      </c>
      <c r="H1098" s="429">
        <v>9.0</v>
      </c>
      <c r="I1098" s="429">
        <v>9.0</v>
      </c>
      <c r="J1098" s="430">
        <v>0.0</v>
      </c>
      <c r="K1098" s="376" t="s">
        <v>6694</v>
      </c>
      <c r="L1098" s="376">
        <v>5.510145967E9</v>
      </c>
      <c r="M1098" s="376" t="s">
        <v>286</v>
      </c>
      <c r="N1098" s="376" t="s">
        <v>4217</v>
      </c>
      <c r="O1098" s="376" t="s">
        <v>6695</v>
      </c>
      <c r="P1098" s="376" t="s">
        <v>3941</v>
      </c>
      <c r="Q1098" s="16">
        <f>COUNTIF('hedef liste'!A:A,A1098)</f>
        <v>1</v>
      </c>
    </row>
    <row r="1099">
      <c r="A1099" s="376" t="s">
        <v>4491</v>
      </c>
      <c r="B1099" s="376" t="s">
        <v>4492</v>
      </c>
      <c r="C1099" s="428" t="s">
        <v>6979</v>
      </c>
      <c r="D1099" s="376" t="s">
        <v>3676</v>
      </c>
      <c r="E1099" s="429">
        <v>10.0</v>
      </c>
      <c r="F1099" s="429">
        <v>10.0</v>
      </c>
      <c r="G1099" s="429">
        <v>0.0</v>
      </c>
      <c r="H1099" s="429">
        <v>5.0</v>
      </c>
      <c r="I1099" s="429">
        <v>5.0</v>
      </c>
      <c r="J1099" s="430">
        <v>0.0</v>
      </c>
      <c r="K1099" s="376" t="s">
        <v>4493</v>
      </c>
      <c r="L1099" s="376">
        <v>5.424459547E9</v>
      </c>
      <c r="M1099" s="376" t="s">
        <v>3692</v>
      </c>
      <c r="N1099" s="376" t="s">
        <v>3721</v>
      </c>
      <c r="O1099" s="376" t="s">
        <v>4494</v>
      </c>
      <c r="P1099" s="376" t="s">
        <v>3941</v>
      </c>
      <c r="Q1099" s="16">
        <f>COUNTIF('hedef liste'!A:A,A1099)</f>
        <v>1</v>
      </c>
    </row>
    <row r="1100" hidden="1">
      <c r="A1100" s="376" t="s">
        <v>6527</v>
      </c>
      <c r="B1100" s="376" t="s">
        <v>6528</v>
      </c>
      <c r="C1100" s="428" t="s">
        <v>7011</v>
      </c>
      <c r="D1100" s="376" t="s">
        <v>4000</v>
      </c>
      <c r="E1100" s="429">
        <v>108.0</v>
      </c>
      <c r="F1100" s="431"/>
      <c r="G1100" s="429">
        <v>0.0</v>
      </c>
      <c r="H1100" s="429">
        <v>10.0</v>
      </c>
      <c r="I1100" s="429">
        <v>10.0</v>
      </c>
      <c r="J1100" s="430">
        <v>0.0</v>
      </c>
      <c r="K1100" s="376" t="s">
        <v>6529</v>
      </c>
      <c r="L1100" s="376">
        <v>5.307004263E9</v>
      </c>
      <c r="M1100" s="376" t="s">
        <v>286</v>
      </c>
      <c r="N1100" s="376" t="s">
        <v>3782</v>
      </c>
      <c r="O1100" s="376" t="s">
        <v>6530</v>
      </c>
      <c r="P1100" s="376" t="s">
        <v>3941</v>
      </c>
      <c r="Q1100" s="16">
        <f>COUNTIF('hedef liste'!A:A,A1100)</f>
        <v>1</v>
      </c>
    </row>
    <row r="1101" hidden="1">
      <c r="A1101" s="376" t="s">
        <v>3171</v>
      </c>
      <c r="B1101" s="376" t="s">
        <v>3172</v>
      </c>
      <c r="C1101" s="428" t="s">
        <v>6979</v>
      </c>
      <c r="D1101" s="376" t="s">
        <v>3842</v>
      </c>
      <c r="E1101" s="429">
        <v>544.0</v>
      </c>
      <c r="F1101" s="429">
        <v>43.0</v>
      </c>
      <c r="G1101" s="429">
        <v>6.0</v>
      </c>
      <c r="H1101" s="429">
        <v>1.0</v>
      </c>
      <c r="I1101" s="429">
        <v>7.0</v>
      </c>
      <c r="J1101" s="430">
        <v>0.86</v>
      </c>
      <c r="K1101" s="376" t="s">
        <v>4298</v>
      </c>
      <c r="L1101" s="376">
        <v>5.33029133E9</v>
      </c>
      <c r="M1101" s="376" t="s">
        <v>286</v>
      </c>
      <c r="N1101" s="376" t="s">
        <v>3855</v>
      </c>
      <c r="O1101" s="376" t="s">
        <v>4299</v>
      </c>
      <c r="P1101" s="376" t="s">
        <v>3941</v>
      </c>
      <c r="Q1101" s="16">
        <f>COUNTIF('hedef liste'!A:A,A1101)</f>
        <v>1</v>
      </c>
    </row>
    <row r="1102" hidden="1">
      <c r="A1102" s="376" t="s">
        <v>3285</v>
      </c>
      <c r="B1102" s="376" t="s">
        <v>7743</v>
      </c>
      <c r="C1102" s="428" t="s">
        <v>6979</v>
      </c>
      <c r="D1102" s="376" t="s">
        <v>4907</v>
      </c>
      <c r="E1102" s="429">
        <v>23.0</v>
      </c>
      <c r="F1102" s="431"/>
      <c r="G1102" s="429">
        <v>0.0</v>
      </c>
      <c r="H1102" s="429">
        <v>13.0</v>
      </c>
      <c r="I1102" s="429">
        <v>13.0</v>
      </c>
      <c r="J1102" s="430">
        <v>0.0</v>
      </c>
      <c r="K1102" s="376" t="s">
        <v>6817</v>
      </c>
      <c r="L1102" s="376">
        <v>5.425450126E9</v>
      </c>
      <c r="M1102" s="376" t="s">
        <v>14</v>
      </c>
      <c r="N1102" s="376" t="s">
        <v>3797</v>
      </c>
      <c r="O1102" s="376" t="s">
        <v>3288</v>
      </c>
      <c r="P1102" s="376" t="s">
        <v>3941</v>
      </c>
      <c r="Q1102" s="16">
        <f>COUNTIF('hedef liste'!A:A,A1102)</f>
        <v>1</v>
      </c>
    </row>
    <row r="1103" hidden="1">
      <c r="A1103" s="376" t="s">
        <v>3438</v>
      </c>
      <c r="B1103" s="376" t="s">
        <v>3439</v>
      </c>
      <c r="C1103" s="428" t="s">
        <v>6979</v>
      </c>
      <c r="D1103" s="376" t="s">
        <v>3676</v>
      </c>
      <c r="E1103" s="429">
        <v>932.0</v>
      </c>
      <c r="F1103" s="429">
        <v>126.0</v>
      </c>
      <c r="G1103" s="429">
        <v>0.0</v>
      </c>
      <c r="H1103" s="429">
        <v>22.0</v>
      </c>
      <c r="I1103" s="429">
        <v>22.0</v>
      </c>
      <c r="J1103" s="433">
        <v>0.0</v>
      </c>
      <c r="K1103" s="376" t="s">
        <v>6960</v>
      </c>
      <c r="L1103" s="376">
        <v>3.224293101E9</v>
      </c>
      <c r="M1103" s="376" t="s">
        <v>286</v>
      </c>
      <c r="N1103" s="376" t="s">
        <v>4075</v>
      </c>
      <c r="O1103" s="376" t="s">
        <v>3442</v>
      </c>
      <c r="P1103" s="376" t="s">
        <v>3941</v>
      </c>
      <c r="Q1103" s="16">
        <f>COUNTIF('hedef liste'!A:A,A1103)</f>
        <v>1</v>
      </c>
    </row>
    <row r="1104" hidden="1">
      <c r="A1104" s="376" t="s">
        <v>5366</v>
      </c>
      <c r="B1104" s="376" t="s">
        <v>5367</v>
      </c>
      <c r="C1104" s="428" t="s">
        <v>6979</v>
      </c>
      <c r="D1104" s="376" t="s">
        <v>3699</v>
      </c>
      <c r="E1104" s="429">
        <v>4651.0</v>
      </c>
      <c r="F1104" s="429">
        <v>146.0</v>
      </c>
      <c r="G1104" s="429">
        <v>9.0</v>
      </c>
      <c r="H1104" s="429">
        <v>5.0</v>
      </c>
      <c r="I1104" s="429">
        <v>14.0</v>
      </c>
      <c r="J1104" s="433">
        <v>0.64</v>
      </c>
      <c r="K1104" s="376" t="s">
        <v>5363</v>
      </c>
      <c r="L1104" s="376">
        <v>3.222320203E9</v>
      </c>
      <c r="M1104" s="376" t="s">
        <v>14</v>
      </c>
      <c r="N1104" s="376" t="s">
        <v>3733</v>
      </c>
      <c r="O1104" s="376" t="s">
        <v>5368</v>
      </c>
      <c r="P1104" s="376" t="s">
        <v>3941</v>
      </c>
      <c r="Q1104" s="16">
        <f>COUNTIF('hedef liste'!A:A,A1104)</f>
        <v>1</v>
      </c>
    </row>
    <row r="1105" hidden="1">
      <c r="A1105" s="376" t="s">
        <v>893</v>
      </c>
      <c r="B1105" s="376" t="s">
        <v>7744</v>
      </c>
      <c r="C1105" s="428" t="s">
        <v>6979</v>
      </c>
      <c r="D1105" s="376" t="s">
        <v>4000</v>
      </c>
      <c r="E1105" s="429">
        <v>4061.0</v>
      </c>
      <c r="F1105" s="429">
        <v>114.0</v>
      </c>
      <c r="G1105" s="429">
        <v>30.0</v>
      </c>
      <c r="H1105" s="429">
        <v>2.0</v>
      </c>
      <c r="I1105" s="429">
        <v>32.0</v>
      </c>
      <c r="J1105" s="430">
        <v>0.94</v>
      </c>
      <c r="K1105" s="376" t="s">
        <v>4332</v>
      </c>
      <c r="L1105" s="376">
        <v>4441399.0</v>
      </c>
      <c r="M1105" s="376" t="s">
        <v>14</v>
      </c>
      <c r="N1105" s="376" t="s">
        <v>3797</v>
      </c>
      <c r="O1105" s="376" t="s">
        <v>4333</v>
      </c>
      <c r="P1105" s="376" t="s">
        <v>3941</v>
      </c>
      <c r="Q1105" s="16">
        <f>COUNTIF('hedef liste'!A:A,A1105)</f>
        <v>1</v>
      </c>
    </row>
    <row r="1106" hidden="1">
      <c r="A1106" s="376" t="s">
        <v>917</v>
      </c>
      <c r="B1106" s="376" t="s">
        <v>7745</v>
      </c>
      <c r="C1106" s="428" t="s">
        <v>6979</v>
      </c>
      <c r="D1106" s="376" t="s">
        <v>3842</v>
      </c>
      <c r="E1106" s="429">
        <v>390.0</v>
      </c>
      <c r="F1106" s="429">
        <v>55.0</v>
      </c>
      <c r="G1106" s="429">
        <v>0.0</v>
      </c>
      <c r="H1106" s="429">
        <v>38.0</v>
      </c>
      <c r="I1106" s="429">
        <v>38.0</v>
      </c>
      <c r="J1106" s="430">
        <v>0.0</v>
      </c>
      <c r="K1106" s="376" t="s">
        <v>6461</v>
      </c>
      <c r="L1106" s="376">
        <v>5.461200101E9</v>
      </c>
      <c r="M1106" s="376" t="s">
        <v>286</v>
      </c>
      <c r="N1106" s="376" t="s">
        <v>3737</v>
      </c>
      <c r="O1106" s="376" t="s">
        <v>920</v>
      </c>
      <c r="P1106" s="376" t="s">
        <v>3941</v>
      </c>
      <c r="Q1106" s="16">
        <f>COUNTIF('hedef liste'!A:A,A1106)</f>
        <v>1</v>
      </c>
    </row>
    <row r="1107" hidden="1">
      <c r="A1107" s="376" t="s">
        <v>4293</v>
      </c>
      <c r="B1107" s="376" t="s">
        <v>4294</v>
      </c>
      <c r="C1107" s="428" t="s">
        <v>6979</v>
      </c>
      <c r="D1107" s="376" t="s">
        <v>4000</v>
      </c>
      <c r="E1107" s="429">
        <v>155.0</v>
      </c>
      <c r="F1107" s="429">
        <v>46.0</v>
      </c>
      <c r="G1107" s="429">
        <v>0.0</v>
      </c>
      <c r="H1107" s="429">
        <v>20.0</v>
      </c>
      <c r="I1107" s="429">
        <v>20.0</v>
      </c>
      <c r="J1107" s="430">
        <v>0.0</v>
      </c>
      <c r="K1107" s="376" t="s">
        <v>4295</v>
      </c>
      <c r="L1107" s="376">
        <v>5.465040101E9</v>
      </c>
      <c r="M1107" s="376" t="s">
        <v>14</v>
      </c>
      <c r="N1107" s="376" t="s">
        <v>3826</v>
      </c>
      <c r="O1107" s="376" t="s">
        <v>4296</v>
      </c>
      <c r="P1107" s="376" t="s">
        <v>3941</v>
      </c>
      <c r="Q1107" s="16">
        <f>COUNTIF('hedef liste'!A:A,A1107)</f>
        <v>1</v>
      </c>
    </row>
    <row r="1108" hidden="1">
      <c r="A1108" s="376" t="s">
        <v>4038</v>
      </c>
      <c r="B1108" s="376" t="s">
        <v>1779</v>
      </c>
      <c r="C1108" s="428" t="s">
        <v>6979</v>
      </c>
      <c r="D1108" s="376" t="s">
        <v>3690</v>
      </c>
      <c r="E1108" s="429">
        <v>2042.0</v>
      </c>
      <c r="F1108" s="429">
        <v>74.0</v>
      </c>
      <c r="G1108" s="429">
        <v>8.0</v>
      </c>
      <c r="H1108" s="429">
        <v>2.0</v>
      </c>
      <c r="I1108" s="429">
        <v>10.0</v>
      </c>
      <c r="J1108" s="430">
        <v>0.8</v>
      </c>
      <c r="K1108" s="376" t="s">
        <v>4040</v>
      </c>
      <c r="L1108" s="376">
        <v>5.309024909E9</v>
      </c>
      <c r="M1108" s="376" t="s">
        <v>286</v>
      </c>
      <c r="N1108" s="376" t="s">
        <v>3758</v>
      </c>
      <c r="O1108" s="376" t="s">
        <v>1781</v>
      </c>
      <c r="P1108" s="376" t="s">
        <v>3941</v>
      </c>
      <c r="Q1108" s="16">
        <f>COUNTIF('hedef liste'!A:A,A1108)</f>
        <v>1</v>
      </c>
    </row>
    <row r="1109" hidden="1">
      <c r="A1109" s="376" t="s">
        <v>1431</v>
      </c>
      <c r="B1109" s="376" t="s">
        <v>1432</v>
      </c>
      <c r="C1109" s="428" t="s">
        <v>6979</v>
      </c>
      <c r="D1109" s="376" t="s">
        <v>3749</v>
      </c>
      <c r="E1109" s="429">
        <v>1175.0</v>
      </c>
      <c r="F1109" s="429">
        <v>66.0</v>
      </c>
      <c r="G1109" s="429">
        <v>12.0</v>
      </c>
      <c r="H1109" s="429">
        <v>2.0</v>
      </c>
      <c r="I1109" s="429">
        <v>14.0</v>
      </c>
      <c r="J1109" s="430">
        <v>0.86</v>
      </c>
      <c r="K1109" s="376" t="s">
        <v>5535</v>
      </c>
      <c r="L1109" s="376">
        <v>5.523559316E9</v>
      </c>
      <c r="M1109" s="376" t="s">
        <v>286</v>
      </c>
      <c r="N1109" s="376" t="s">
        <v>4235</v>
      </c>
      <c r="O1109" s="376" t="s">
        <v>1435</v>
      </c>
      <c r="P1109" s="376" t="s">
        <v>3941</v>
      </c>
      <c r="Q1109" s="16">
        <f>COUNTIF('hedef liste'!A:A,A1109)</f>
        <v>1</v>
      </c>
    </row>
    <row r="1110" hidden="1">
      <c r="A1110" s="376" t="s">
        <v>735</v>
      </c>
      <c r="B1110" s="376" t="s">
        <v>736</v>
      </c>
      <c r="C1110" s="428" t="s">
        <v>6979</v>
      </c>
      <c r="D1110" s="376" t="s">
        <v>4092</v>
      </c>
      <c r="E1110" s="429">
        <v>2840.0</v>
      </c>
      <c r="F1110" s="429">
        <v>19.0</v>
      </c>
      <c r="G1110" s="429">
        <v>10.0</v>
      </c>
      <c r="H1110" s="429">
        <v>6.0</v>
      </c>
      <c r="I1110" s="429">
        <v>16.0</v>
      </c>
      <c r="J1110" s="433">
        <v>0.63</v>
      </c>
      <c r="K1110" s="376" t="s">
        <v>5474</v>
      </c>
      <c r="L1110" s="376">
        <v>5.522455856E9</v>
      </c>
      <c r="M1110" s="376" t="s">
        <v>286</v>
      </c>
      <c r="N1110" s="376" t="s">
        <v>3754</v>
      </c>
      <c r="O1110" s="376" t="s">
        <v>738</v>
      </c>
      <c r="P1110" s="376" t="s">
        <v>3941</v>
      </c>
      <c r="Q1110" s="16">
        <f>COUNTIF('hedef liste'!A:A,A1110)</f>
        <v>1</v>
      </c>
    </row>
    <row r="1111" hidden="1">
      <c r="A1111" s="376" t="s">
        <v>2612</v>
      </c>
      <c r="B1111" s="376" t="s">
        <v>2613</v>
      </c>
      <c r="C1111" s="428" t="s">
        <v>6979</v>
      </c>
      <c r="D1111" s="376" t="s">
        <v>3759</v>
      </c>
      <c r="E1111" s="429">
        <v>992.0</v>
      </c>
      <c r="F1111" s="429">
        <v>56.0</v>
      </c>
      <c r="G1111" s="429">
        <v>5.0</v>
      </c>
      <c r="H1111" s="429">
        <v>1.0</v>
      </c>
      <c r="I1111" s="429">
        <v>6.0</v>
      </c>
      <c r="J1111" s="430">
        <v>0.83</v>
      </c>
      <c r="K1111" s="376" t="s">
        <v>4290</v>
      </c>
      <c r="L1111" s="376">
        <v>3.223244901E9</v>
      </c>
      <c r="M1111" s="376" t="s">
        <v>3707</v>
      </c>
      <c r="N1111" s="376" t="s">
        <v>4291</v>
      </c>
      <c r="O1111" s="376" t="s">
        <v>2616</v>
      </c>
      <c r="P1111" s="376" t="s">
        <v>3941</v>
      </c>
      <c r="Q1111" s="16">
        <f>COUNTIF('hedef liste'!A:A,A1111)</f>
        <v>1</v>
      </c>
    </row>
    <row r="1112" hidden="1">
      <c r="A1112" s="376" t="s">
        <v>2462</v>
      </c>
      <c r="B1112" s="376" t="s">
        <v>2463</v>
      </c>
      <c r="C1112" s="428" t="s">
        <v>6979</v>
      </c>
      <c r="D1112" s="376" t="s">
        <v>3759</v>
      </c>
      <c r="E1112" s="429">
        <v>455.0</v>
      </c>
      <c r="F1112" s="429">
        <v>18.0</v>
      </c>
      <c r="G1112" s="429">
        <v>4.0</v>
      </c>
      <c r="H1112" s="429">
        <v>6.0</v>
      </c>
      <c r="I1112" s="429">
        <v>10.0</v>
      </c>
      <c r="J1112" s="433">
        <v>0.4</v>
      </c>
      <c r="K1112" s="376" t="s">
        <v>5818</v>
      </c>
      <c r="L1112" s="376">
        <v>5.377631852E9</v>
      </c>
      <c r="M1112" s="376" t="s">
        <v>286</v>
      </c>
      <c r="N1112" s="376" t="s">
        <v>3688</v>
      </c>
      <c r="O1112" s="376" t="s">
        <v>2465</v>
      </c>
      <c r="P1112" s="376" t="s">
        <v>3941</v>
      </c>
      <c r="Q1112" s="16">
        <f>COUNTIF('hedef liste'!A:A,A1112)</f>
        <v>1</v>
      </c>
    </row>
    <row r="1113">
      <c r="A1113" s="376" t="s">
        <v>4359</v>
      </c>
      <c r="B1113" s="376" t="s">
        <v>4360</v>
      </c>
      <c r="C1113" s="428" t="s">
        <v>6979</v>
      </c>
      <c r="D1113" s="376" t="s">
        <v>3676</v>
      </c>
      <c r="E1113" s="431"/>
      <c r="F1113" s="431"/>
      <c r="G1113" s="429">
        <v>0.0</v>
      </c>
      <c r="H1113" s="429">
        <v>45.0</v>
      </c>
      <c r="I1113" s="429">
        <v>45.0</v>
      </c>
      <c r="J1113" s="433">
        <v>0.0</v>
      </c>
      <c r="K1113" s="376" t="s">
        <v>4361</v>
      </c>
      <c r="L1113" s="376">
        <v>3.226122826E9</v>
      </c>
      <c r="M1113" s="376" t="s">
        <v>3701</v>
      </c>
      <c r="N1113" s="376" t="s">
        <v>3702</v>
      </c>
      <c r="O1113" s="376" t="s">
        <v>4362</v>
      </c>
      <c r="P1113" s="376" t="s">
        <v>3941</v>
      </c>
      <c r="Q1113" s="16">
        <f>COUNTIF('hedef liste'!A:A,A1113)</f>
        <v>1</v>
      </c>
    </row>
    <row r="1114" hidden="1">
      <c r="A1114" s="376" t="s">
        <v>1349</v>
      </c>
      <c r="B1114" s="376" t="s">
        <v>1350</v>
      </c>
      <c r="C1114" s="428" t="s">
        <v>6979</v>
      </c>
      <c r="D1114" s="376" t="s">
        <v>4000</v>
      </c>
      <c r="E1114" s="429">
        <v>5649.0</v>
      </c>
      <c r="F1114" s="429">
        <v>193.0</v>
      </c>
      <c r="G1114" s="429">
        <v>30.0</v>
      </c>
      <c r="H1114" s="429">
        <v>1.0</v>
      </c>
      <c r="I1114" s="429">
        <v>31.0</v>
      </c>
      <c r="J1114" s="430">
        <v>0.97</v>
      </c>
      <c r="K1114" s="376" t="s">
        <v>4325</v>
      </c>
      <c r="L1114" s="376">
        <v>3.222354462E9</v>
      </c>
      <c r="M1114" s="376" t="s">
        <v>286</v>
      </c>
      <c r="N1114" s="376" t="s">
        <v>3688</v>
      </c>
      <c r="O1114" s="376" t="s">
        <v>1352</v>
      </c>
      <c r="P1114" s="376" t="s">
        <v>3941</v>
      </c>
      <c r="Q1114" s="16">
        <f>COUNTIF('hedef liste'!A:A,A1114)</f>
        <v>1</v>
      </c>
    </row>
    <row r="1115" hidden="1">
      <c r="A1115" s="376" t="s">
        <v>518</v>
      </c>
      <c r="B1115" s="376" t="s">
        <v>519</v>
      </c>
      <c r="C1115" s="428" t="s">
        <v>6979</v>
      </c>
      <c r="D1115" s="376" t="s">
        <v>3676</v>
      </c>
      <c r="E1115" s="429">
        <v>5114.0</v>
      </c>
      <c r="F1115" s="429">
        <v>231.0</v>
      </c>
      <c r="G1115" s="429">
        <v>2.0</v>
      </c>
      <c r="H1115" s="429">
        <v>11.0</v>
      </c>
      <c r="I1115" s="429">
        <v>13.0</v>
      </c>
      <c r="J1115" s="430">
        <v>0.15</v>
      </c>
      <c r="K1115" s="376" t="s">
        <v>4926</v>
      </c>
      <c r="L1115" s="376">
        <v>3.224535721E9</v>
      </c>
      <c r="M1115" s="376" t="s">
        <v>286</v>
      </c>
      <c r="N1115" s="376" t="s">
        <v>3688</v>
      </c>
      <c r="O1115" s="376" t="s">
        <v>521</v>
      </c>
      <c r="P1115" s="376" t="s">
        <v>3941</v>
      </c>
      <c r="Q1115" s="16">
        <f>COUNTIF('hedef liste'!A:A,A1115)</f>
        <v>1</v>
      </c>
    </row>
    <row r="1116" hidden="1">
      <c r="A1116" s="376" t="s">
        <v>5189</v>
      </c>
      <c r="B1116" s="376" t="s">
        <v>5190</v>
      </c>
      <c r="C1116" s="428" t="s">
        <v>6979</v>
      </c>
      <c r="D1116" s="376" t="s">
        <v>3699</v>
      </c>
      <c r="E1116" s="429">
        <v>39.0</v>
      </c>
      <c r="F1116" s="429">
        <v>21.0</v>
      </c>
      <c r="G1116" s="429">
        <v>0.0</v>
      </c>
      <c r="H1116" s="429">
        <v>33.0</v>
      </c>
      <c r="I1116" s="429">
        <v>33.0</v>
      </c>
      <c r="J1116" s="430">
        <v>0.0</v>
      </c>
      <c r="K1116" s="376" t="s">
        <v>5191</v>
      </c>
      <c r="L1116" s="376">
        <v>5.324954955E9</v>
      </c>
      <c r="M1116" s="376" t="s">
        <v>286</v>
      </c>
      <c r="N1116" s="376" t="s">
        <v>5192</v>
      </c>
      <c r="O1116" s="376" t="s">
        <v>5193</v>
      </c>
      <c r="P1116" s="376" t="s">
        <v>3941</v>
      </c>
      <c r="Q1116" s="16">
        <f>COUNTIF('hedef liste'!A:A,A1116)</f>
        <v>1</v>
      </c>
    </row>
    <row r="1117" hidden="1">
      <c r="A1117" s="376" t="s">
        <v>4652</v>
      </c>
      <c r="B1117" s="376" t="s">
        <v>4653</v>
      </c>
      <c r="C1117" s="428" t="s">
        <v>6979</v>
      </c>
      <c r="D1117" s="376" t="s">
        <v>3801</v>
      </c>
      <c r="E1117" s="429">
        <v>83.0</v>
      </c>
      <c r="F1117" s="429">
        <v>42.0</v>
      </c>
      <c r="G1117" s="429">
        <v>0.0</v>
      </c>
      <c r="H1117" s="429">
        <v>11.0</v>
      </c>
      <c r="I1117" s="429">
        <v>11.0</v>
      </c>
      <c r="J1117" s="430">
        <v>0.0</v>
      </c>
      <c r="K1117" s="376" t="s">
        <v>4654</v>
      </c>
      <c r="L1117" s="376">
        <v>5.076800877E9</v>
      </c>
      <c r="M1117" s="376" t="s">
        <v>3707</v>
      </c>
      <c r="N1117" s="376" t="s">
        <v>4376</v>
      </c>
      <c r="O1117" s="376" t="s">
        <v>4655</v>
      </c>
      <c r="P1117" s="376" t="s">
        <v>3941</v>
      </c>
      <c r="Q1117" s="16">
        <f>COUNTIF('hedef liste'!A:A,A1117)</f>
        <v>1</v>
      </c>
    </row>
    <row r="1118" hidden="1">
      <c r="A1118" s="376" t="s">
        <v>6810</v>
      </c>
      <c r="B1118" s="376" t="s">
        <v>2980</v>
      </c>
      <c r="C1118" s="428" t="s">
        <v>6979</v>
      </c>
      <c r="D1118" s="376" t="s">
        <v>4671</v>
      </c>
      <c r="E1118" s="429">
        <v>46.0</v>
      </c>
      <c r="F1118" s="429">
        <v>33.0</v>
      </c>
      <c r="G1118" s="429">
        <v>0.0</v>
      </c>
      <c r="H1118" s="429">
        <v>29.0</v>
      </c>
      <c r="I1118" s="429">
        <v>29.0</v>
      </c>
      <c r="J1118" s="430">
        <v>0.0</v>
      </c>
      <c r="K1118" s="376" t="s">
        <v>6811</v>
      </c>
      <c r="L1118" s="376">
        <v>5.439360963E9</v>
      </c>
      <c r="M1118" s="376" t="s">
        <v>14</v>
      </c>
      <c r="N1118" s="376" t="s">
        <v>3797</v>
      </c>
      <c r="O1118" s="376" t="s">
        <v>2982</v>
      </c>
      <c r="P1118" s="376" t="s">
        <v>3941</v>
      </c>
      <c r="Q1118" s="16">
        <f>COUNTIF('hedef liste'!A:A,A1118)</f>
        <v>1</v>
      </c>
    </row>
    <row r="1119" hidden="1">
      <c r="A1119" s="376" t="s">
        <v>7746</v>
      </c>
      <c r="B1119" s="376" t="s">
        <v>7747</v>
      </c>
      <c r="C1119" s="428" t="s">
        <v>7011</v>
      </c>
      <c r="D1119" s="376" t="s">
        <v>3842</v>
      </c>
      <c r="E1119" s="431"/>
      <c r="F1119" s="431"/>
      <c r="G1119" s="429">
        <v>0.0</v>
      </c>
      <c r="H1119" s="429">
        <v>9.0</v>
      </c>
      <c r="I1119" s="429">
        <v>9.0</v>
      </c>
      <c r="J1119" s="430">
        <v>0.0</v>
      </c>
      <c r="K1119" s="376" t="s">
        <v>5240</v>
      </c>
      <c r="L1119" s="376">
        <v>3.229994997E9</v>
      </c>
      <c r="M1119" s="376" t="s">
        <v>286</v>
      </c>
      <c r="N1119" s="376" t="s">
        <v>3961</v>
      </c>
      <c r="O1119" s="376" t="s">
        <v>7748</v>
      </c>
      <c r="P1119" s="376" t="s">
        <v>3941</v>
      </c>
      <c r="Q1119" s="16">
        <f>COUNTIF('hedef liste'!A:A,A1119)</f>
        <v>0</v>
      </c>
    </row>
    <row r="1120">
      <c r="A1120" s="376" t="s">
        <v>4019</v>
      </c>
      <c r="B1120" s="376" t="s">
        <v>4020</v>
      </c>
      <c r="C1120" s="428" t="s">
        <v>6979</v>
      </c>
      <c r="D1120" s="376" t="s">
        <v>3749</v>
      </c>
      <c r="F1120" s="431"/>
      <c r="G1120" s="429">
        <v>0.0</v>
      </c>
      <c r="H1120" s="429">
        <v>26.0</v>
      </c>
      <c r="I1120" s="429">
        <v>26.0</v>
      </c>
      <c r="J1120" s="430">
        <v>0.0</v>
      </c>
      <c r="K1120" s="376" t="s">
        <v>4021</v>
      </c>
      <c r="L1120" s="376">
        <v>5.464623593E9</v>
      </c>
      <c r="M1120" s="376" t="s">
        <v>286</v>
      </c>
      <c r="N1120" s="376" t="s">
        <v>3782</v>
      </c>
      <c r="O1120" s="376" t="s">
        <v>4022</v>
      </c>
      <c r="P1120" s="376" t="s">
        <v>3941</v>
      </c>
      <c r="Q1120" s="16">
        <f>COUNTIF('hedef liste'!A:A,A1120)</f>
        <v>1</v>
      </c>
    </row>
    <row r="1121">
      <c r="A1121" s="376" t="s">
        <v>4720</v>
      </c>
      <c r="B1121" s="376" t="s">
        <v>4721</v>
      </c>
      <c r="C1121" s="428" t="s">
        <v>6979</v>
      </c>
      <c r="D1121" s="376" t="s">
        <v>3912</v>
      </c>
      <c r="E1121" s="429">
        <v>22.0</v>
      </c>
      <c r="F1121" s="429">
        <v>22.0</v>
      </c>
      <c r="G1121" s="429">
        <v>0.0</v>
      </c>
      <c r="H1121" s="429">
        <v>15.0</v>
      </c>
      <c r="I1121" s="429">
        <v>15.0</v>
      </c>
      <c r="J1121" s="430">
        <v>0.0</v>
      </c>
      <c r="K1121" s="376" t="s">
        <v>4722</v>
      </c>
      <c r="L1121" s="376">
        <v>3.222346702E9</v>
      </c>
      <c r="M1121" s="376" t="s">
        <v>14</v>
      </c>
      <c r="N1121" s="376" t="s">
        <v>3767</v>
      </c>
      <c r="O1121" s="376" t="s">
        <v>4723</v>
      </c>
      <c r="P1121" s="376" t="s">
        <v>3941</v>
      </c>
      <c r="Q1121" s="16">
        <f>COUNTIF('hedef liste'!A:A,A1121)</f>
        <v>1</v>
      </c>
    </row>
    <row r="1122">
      <c r="A1122" s="376" t="s">
        <v>6885</v>
      </c>
      <c r="B1122" s="376" t="s">
        <v>6886</v>
      </c>
      <c r="C1122" s="428" t="s">
        <v>6979</v>
      </c>
      <c r="D1122" s="376" t="s">
        <v>3676</v>
      </c>
      <c r="E1122" s="429">
        <v>2.0</v>
      </c>
      <c r="F1122" s="429">
        <v>2.0</v>
      </c>
      <c r="G1122" s="429">
        <v>0.0</v>
      </c>
      <c r="H1122" s="429">
        <v>16.0</v>
      </c>
      <c r="I1122" s="429">
        <v>16.0</v>
      </c>
      <c r="J1122" s="430">
        <v>0.0</v>
      </c>
      <c r="K1122" s="376" t="s">
        <v>6887</v>
      </c>
      <c r="L1122" s="376">
        <v>5.451382E9</v>
      </c>
      <c r="M1122" s="376" t="s">
        <v>286</v>
      </c>
      <c r="N1122" s="376" t="s">
        <v>4135</v>
      </c>
      <c r="O1122" s="376" t="s">
        <v>6888</v>
      </c>
      <c r="P1122" s="376" t="s">
        <v>3941</v>
      </c>
      <c r="Q1122" s="16">
        <f>COUNTIF('hedef liste'!A:A,A1122)</f>
        <v>1</v>
      </c>
    </row>
    <row r="1123" hidden="1">
      <c r="A1123" s="376" t="s">
        <v>6627</v>
      </c>
      <c r="B1123" s="376" t="s">
        <v>6628</v>
      </c>
      <c r="C1123" s="428" t="s">
        <v>6979</v>
      </c>
      <c r="D1123" s="376" t="s">
        <v>3759</v>
      </c>
      <c r="E1123" s="429">
        <v>7.0</v>
      </c>
      <c r="F1123" s="429">
        <v>2.0</v>
      </c>
      <c r="G1123" s="429">
        <v>0.0</v>
      </c>
      <c r="H1123" s="429">
        <v>6.0</v>
      </c>
      <c r="I1123" s="429">
        <v>6.0</v>
      </c>
      <c r="J1123" s="430">
        <v>0.0</v>
      </c>
      <c r="K1123" s="376" t="s">
        <v>6629</v>
      </c>
      <c r="L1123" s="376">
        <v>3.222398778E9</v>
      </c>
      <c r="M1123" s="376" t="s">
        <v>14</v>
      </c>
      <c r="N1123" s="376" t="s">
        <v>3935</v>
      </c>
      <c r="O1123" s="376" t="s">
        <v>6630</v>
      </c>
      <c r="P1123" s="376" t="s">
        <v>3941</v>
      </c>
      <c r="Q1123" s="16">
        <f>COUNTIF('hedef liste'!A:A,A1123)</f>
        <v>1</v>
      </c>
    </row>
    <row r="1124" hidden="1">
      <c r="A1124" s="376" t="s">
        <v>5299</v>
      </c>
      <c r="B1124" s="376" t="s">
        <v>5300</v>
      </c>
      <c r="C1124" s="428" t="s">
        <v>6979</v>
      </c>
      <c r="D1124" s="376" t="s">
        <v>3907</v>
      </c>
      <c r="E1124" s="429">
        <v>387.0</v>
      </c>
      <c r="F1124" s="429">
        <v>17.0</v>
      </c>
      <c r="G1124" s="429">
        <v>0.0</v>
      </c>
      <c r="H1124" s="429">
        <v>28.0</v>
      </c>
      <c r="I1124" s="429">
        <v>28.0</v>
      </c>
      <c r="J1124" s="430">
        <v>0.0</v>
      </c>
      <c r="K1124" s="376" t="s">
        <v>5301</v>
      </c>
      <c r="L1124" s="376">
        <v>5.336425087E9</v>
      </c>
      <c r="M1124" s="376" t="s">
        <v>286</v>
      </c>
      <c r="N1124" s="376" t="s">
        <v>3737</v>
      </c>
      <c r="O1124" s="376" t="s">
        <v>5302</v>
      </c>
      <c r="P1124" s="376" t="s">
        <v>3941</v>
      </c>
      <c r="Q1124" s="16">
        <f>COUNTIF('hedef liste'!A:A,A1124)</f>
        <v>1</v>
      </c>
    </row>
    <row r="1125" hidden="1">
      <c r="A1125" s="376" t="s">
        <v>7749</v>
      </c>
      <c r="B1125" s="376" t="s">
        <v>7750</v>
      </c>
      <c r="C1125" s="428" t="s">
        <v>6979</v>
      </c>
      <c r="D1125" s="376" t="s">
        <v>4000</v>
      </c>
      <c r="E1125" s="429">
        <v>245.0</v>
      </c>
      <c r="F1125" s="429">
        <v>47.0</v>
      </c>
      <c r="G1125" s="429">
        <v>6.0</v>
      </c>
      <c r="H1125" s="429">
        <v>9.0</v>
      </c>
      <c r="I1125" s="429">
        <v>15.0</v>
      </c>
      <c r="J1125" s="430">
        <v>0.4</v>
      </c>
      <c r="K1125" s="376" t="s">
        <v>7751</v>
      </c>
      <c r="L1125" s="376">
        <v>3.222321101E9</v>
      </c>
      <c r="M1125" s="376" t="s">
        <v>14</v>
      </c>
      <c r="N1125" s="376" t="s">
        <v>3797</v>
      </c>
      <c r="O1125" s="376" t="s">
        <v>7752</v>
      </c>
      <c r="P1125" s="376" t="s">
        <v>3941</v>
      </c>
      <c r="Q1125" s="16">
        <f>COUNTIF('hedef liste'!A:A,A1125)</f>
        <v>0</v>
      </c>
    </row>
    <row r="1126" hidden="1">
      <c r="A1126" s="376" t="s">
        <v>5936</v>
      </c>
      <c r="B1126" s="376" t="s">
        <v>5937</v>
      </c>
      <c r="C1126" s="428" t="s">
        <v>6979</v>
      </c>
      <c r="D1126" s="376" t="s">
        <v>3713</v>
      </c>
      <c r="E1126" s="429">
        <v>50.0</v>
      </c>
      <c r="F1126" s="429">
        <v>7.0</v>
      </c>
      <c r="G1126" s="429">
        <v>5.0</v>
      </c>
      <c r="H1126" s="429">
        <v>7.0</v>
      </c>
      <c r="I1126" s="429">
        <v>12.0</v>
      </c>
      <c r="J1126" s="433">
        <v>0.42</v>
      </c>
      <c r="K1126" s="376" t="s">
        <v>5938</v>
      </c>
      <c r="L1126" s="376">
        <v>5.445483373E9</v>
      </c>
      <c r="M1126" s="376" t="s">
        <v>286</v>
      </c>
      <c r="N1126" s="376" t="s">
        <v>5192</v>
      </c>
      <c r="O1126" s="376" t="s">
        <v>5939</v>
      </c>
      <c r="P1126" s="376" t="s">
        <v>3941</v>
      </c>
      <c r="Q1126" s="16">
        <f>COUNTIF('hedef liste'!A:A,A1126)</f>
        <v>1</v>
      </c>
    </row>
    <row r="1127" hidden="1">
      <c r="A1127" s="376" t="s">
        <v>2949</v>
      </c>
      <c r="B1127" s="376" t="s">
        <v>2950</v>
      </c>
      <c r="C1127" s="428" t="s">
        <v>7011</v>
      </c>
      <c r="D1127" s="376" t="s">
        <v>3690</v>
      </c>
      <c r="F1127" s="431"/>
      <c r="G1127" s="429">
        <v>5.0</v>
      </c>
      <c r="H1127" s="429">
        <v>4.0</v>
      </c>
      <c r="I1127" s="429">
        <v>9.0</v>
      </c>
      <c r="J1127" s="430">
        <v>0.56</v>
      </c>
      <c r="K1127" s="376" t="s">
        <v>6575</v>
      </c>
      <c r="L1127" s="376">
        <v>5.52617464E9</v>
      </c>
      <c r="M1127" s="376" t="s">
        <v>14</v>
      </c>
      <c r="N1127" s="376" t="s">
        <v>3718</v>
      </c>
      <c r="O1127" s="376" t="s">
        <v>2952</v>
      </c>
      <c r="P1127" s="376" t="s">
        <v>3941</v>
      </c>
      <c r="Q1127" s="16">
        <f>COUNTIF('hedef liste'!A:A,A1127)</f>
        <v>1</v>
      </c>
    </row>
    <row r="1128" hidden="1">
      <c r="A1128" s="376" t="s">
        <v>3320</v>
      </c>
      <c r="B1128" s="376" t="s">
        <v>3321</v>
      </c>
      <c r="C1128" s="428" t="s">
        <v>6979</v>
      </c>
      <c r="D1128" s="376" t="s">
        <v>3801</v>
      </c>
      <c r="E1128" s="429">
        <v>880.0</v>
      </c>
      <c r="F1128" s="429">
        <v>163.0</v>
      </c>
      <c r="G1128" s="429">
        <v>13.0</v>
      </c>
      <c r="H1128" s="429">
        <v>6.0</v>
      </c>
      <c r="I1128" s="429">
        <v>19.0</v>
      </c>
      <c r="J1128" s="430">
        <v>0.68</v>
      </c>
      <c r="K1128" s="376" t="s">
        <v>4862</v>
      </c>
      <c r="L1128" s="376">
        <v>5.331528808E9</v>
      </c>
      <c r="M1128" s="376" t="s">
        <v>286</v>
      </c>
      <c r="N1128" s="376" t="s">
        <v>3961</v>
      </c>
      <c r="O1128" s="376" t="s">
        <v>3323</v>
      </c>
      <c r="P1128" s="376" t="s">
        <v>3941</v>
      </c>
      <c r="Q1128" s="16">
        <f>COUNTIF('hedef liste'!A:A,A1128)</f>
        <v>1</v>
      </c>
    </row>
    <row r="1129" hidden="1">
      <c r="A1129" s="376" t="s">
        <v>6565</v>
      </c>
      <c r="B1129" s="376" t="s">
        <v>6566</v>
      </c>
      <c r="C1129" s="428" t="s">
        <v>6979</v>
      </c>
      <c r="D1129" s="376" t="s">
        <v>3676</v>
      </c>
      <c r="E1129" s="429">
        <v>202.0</v>
      </c>
      <c r="F1129" s="431"/>
      <c r="G1129" s="429">
        <v>0.0</v>
      </c>
      <c r="H1129" s="429">
        <v>12.0</v>
      </c>
      <c r="I1129" s="429">
        <v>12.0</v>
      </c>
      <c r="J1129" s="430">
        <v>0.0</v>
      </c>
      <c r="K1129" s="376" t="s">
        <v>6567</v>
      </c>
      <c r="L1129" s="376">
        <v>5.349172645E9</v>
      </c>
      <c r="M1129" s="376" t="s">
        <v>3707</v>
      </c>
      <c r="N1129" s="376" t="s">
        <v>4376</v>
      </c>
      <c r="O1129" s="376" t="s">
        <v>6568</v>
      </c>
      <c r="P1129" s="376" t="s">
        <v>3941</v>
      </c>
      <c r="Q1129" s="16">
        <f>COUNTIF('hedef liste'!A:A,A1129)</f>
        <v>1</v>
      </c>
    </row>
    <row r="1130" hidden="1">
      <c r="A1130" s="376" t="s">
        <v>5092</v>
      </c>
      <c r="B1130" s="376" t="s">
        <v>5093</v>
      </c>
      <c r="C1130" s="428" t="s">
        <v>6979</v>
      </c>
      <c r="D1130" s="376" t="s">
        <v>4572</v>
      </c>
      <c r="E1130" s="429">
        <v>484.0</v>
      </c>
      <c r="F1130" s="429">
        <v>60.0</v>
      </c>
      <c r="G1130" s="429">
        <v>0.0</v>
      </c>
      <c r="H1130" s="429">
        <v>4.0</v>
      </c>
      <c r="I1130" s="429">
        <v>4.0</v>
      </c>
      <c r="J1130" s="430">
        <v>0.0</v>
      </c>
      <c r="K1130" s="376" t="s">
        <v>5094</v>
      </c>
      <c r="L1130" s="376">
        <v>5.448360432E9</v>
      </c>
      <c r="M1130" s="376" t="s">
        <v>3701</v>
      </c>
      <c r="N1130" s="376" t="s">
        <v>5095</v>
      </c>
      <c r="O1130" s="376" t="s">
        <v>5096</v>
      </c>
      <c r="P1130" s="376" t="s">
        <v>3941</v>
      </c>
      <c r="Q1130" s="16">
        <f>COUNTIF('hedef liste'!A:A,A1130)</f>
        <v>1</v>
      </c>
    </row>
    <row r="1131" hidden="1">
      <c r="A1131" s="376" t="s">
        <v>6426</v>
      </c>
      <c r="B1131" s="376" t="s">
        <v>6427</v>
      </c>
      <c r="C1131" s="428" t="s">
        <v>6979</v>
      </c>
      <c r="D1131" s="376" t="s">
        <v>3699</v>
      </c>
      <c r="E1131" s="429">
        <v>17.0</v>
      </c>
      <c r="F1131" s="429">
        <v>6.0</v>
      </c>
      <c r="G1131" s="429">
        <v>0.0</v>
      </c>
      <c r="H1131" s="429">
        <v>10.0</v>
      </c>
      <c r="I1131" s="429">
        <v>10.0</v>
      </c>
      <c r="J1131" s="430">
        <v>0.0</v>
      </c>
      <c r="K1131" s="376" t="s">
        <v>6423</v>
      </c>
      <c r="L1131" s="376">
        <v>3.225020127E9</v>
      </c>
      <c r="M1131" s="376" t="s">
        <v>286</v>
      </c>
      <c r="N1131" s="376" t="s">
        <v>3746</v>
      </c>
      <c r="O1131" s="376" t="s">
        <v>6428</v>
      </c>
      <c r="P1131" s="376" t="s">
        <v>3941</v>
      </c>
      <c r="Q1131" s="16">
        <f>COUNTIF('hedef liste'!A:A,A1131)</f>
        <v>1</v>
      </c>
    </row>
    <row r="1132" hidden="1">
      <c r="A1132" s="376" t="s">
        <v>5655</v>
      </c>
      <c r="B1132" s="376" t="s">
        <v>5656</v>
      </c>
      <c r="C1132" s="428" t="s">
        <v>6979</v>
      </c>
      <c r="D1132" s="376" t="s">
        <v>3699</v>
      </c>
      <c r="E1132" s="429">
        <v>643.0</v>
      </c>
      <c r="F1132" s="429">
        <v>107.0</v>
      </c>
      <c r="G1132" s="429">
        <v>1.0</v>
      </c>
      <c r="H1132" s="429">
        <v>20.0</v>
      </c>
      <c r="I1132" s="429">
        <v>21.0</v>
      </c>
      <c r="J1132" s="430">
        <v>0.05</v>
      </c>
      <c r="K1132" s="376" t="s">
        <v>5657</v>
      </c>
      <c r="L1132" s="376">
        <v>5.45541004E9</v>
      </c>
      <c r="M1132" s="376" t="s">
        <v>3707</v>
      </c>
      <c r="N1132" s="376" t="s">
        <v>4631</v>
      </c>
      <c r="O1132" s="376" t="s">
        <v>5658</v>
      </c>
      <c r="P1132" s="376" t="s">
        <v>3941</v>
      </c>
      <c r="Q1132" s="16">
        <f>COUNTIF('hedef liste'!A:A,A1132)</f>
        <v>1</v>
      </c>
    </row>
    <row r="1133" hidden="1">
      <c r="A1133" s="376" t="s">
        <v>6646</v>
      </c>
      <c r="B1133" s="376" t="s">
        <v>2091</v>
      </c>
      <c r="C1133" s="428" t="s">
        <v>6979</v>
      </c>
      <c r="D1133" s="376" t="s">
        <v>3699</v>
      </c>
      <c r="E1133" s="429">
        <v>1629.0</v>
      </c>
      <c r="F1133" s="429">
        <v>92.0</v>
      </c>
      <c r="G1133" s="429">
        <v>9.0</v>
      </c>
      <c r="H1133" s="429">
        <v>9.0</v>
      </c>
      <c r="I1133" s="429">
        <v>18.0</v>
      </c>
      <c r="J1133" s="430">
        <v>0.5</v>
      </c>
      <c r="K1133" s="376" t="s">
        <v>6644</v>
      </c>
      <c r="L1133" s="376">
        <v>5.326947582E9</v>
      </c>
      <c r="M1133" s="376" t="s">
        <v>286</v>
      </c>
      <c r="N1133" s="376" t="s">
        <v>3961</v>
      </c>
      <c r="O1133" s="376" t="s">
        <v>2093</v>
      </c>
      <c r="P1133" s="376" t="s">
        <v>3941</v>
      </c>
      <c r="Q1133" s="16">
        <f>COUNTIF('hedef liste'!A:A,A1133)</f>
        <v>1</v>
      </c>
    </row>
    <row r="1134" hidden="1">
      <c r="A1134" s="376" t="s">
        <v>3928</v>
      </c>
      <c r="B1134" s="376" t="s">
        <v>3929</v>
      </c>
      <c r="C1134" s="428" t="s">
        <v>6979</v>
      </c>
      <c r="D1134" s="376" t="s">
        <v>3801</v>
      </c>
      <c r="E1134" s="429">
        <v>35.0</v>
      </c>
      <c r="F1134" s="431"/>
      <c r="G1134" s="429">
        <v>0.0</v>
      </c>
      <c r="H1134" s="429">
        <v>16.0</v>
      </c>
      <c r="I1134" s="429">
        <v>16.0</v>
      </c>
      <c r="J1134" s="433">
        <v>0.0</v>
      </c>
      <c r="K1134" s="376" t="s">
        <v>3930</v>
      </c>
      <c r="L1134" s="376">
        <v>5.426514067E9</v>
      </c>
      <c r="M1134" s="376" t="s">
        <v>3707</v>
      </c>
      <c r="N1134" s="376" t="s">
        <v>3931</v>
      </c>
      <c r="O1134" s="376" t="s">
        <v>3932</v>
      </c>
      <c r="P1134" s="376" t="s">
        <v>3941</v>
      </c>
      <c r="Q1134" s="16">
        <f>COUNTIF('hedef liste'!A:A,A1134)</f>
        <v>1</v>
      </c>
    </row>
    <row r="1135" hidden="1">
      <c r="A1135" s="376" t="s">
        <v>5451</v>
      </c>
      <c r="B1135" s="376" t="s">
        <v>5452</v>
      </c>
      <c r="C1135" s="428" t="s">
        <v>6979</v>
      </c>
      <c r="D1135" s="376" t="s">
        <v>3690</v>
      </c>
      <c r="E1135" s="429">
        <v>831.0</v>
      </c>
      <c r="F1135" s="429">
        <v>60.0</v>
      </c>
      <c r="G1135" s="429">
        <v>0.0</v>
      </c>
      <c r="H1135" s="429">
        <v>11.0</v>
      </c>
      <c r="I1135" s="429">
        <v>11.0</v>
      </c>
      <c r="J1135" s="430">
        <v>0.0</v>
      </c>
      <c r="K1135" s="376" t="s">
        <v>5035</v>
      </c>
      <c r="L1135" s="376">
        <v>5.451450127E9</v>
      </c>
      <c r="M1135" s="376" t="s">
        <v>286</v>
      </c>
      <c r="N1135" s="376" t="s">
        <v>3746</v>
      </c>
      <c r="O1135" s="376" t="s">
        <v>5453</v>
      </c>
      <c r="P1135" s="376" t="s">
        <v>3941</v>
      </c>
      <c r="Q1135" s="16">
        <f>COUNTIF('hedef liste'!A:A,A1135)</f>
        <v>1</v>
      </c>
    </row>
    <row r="1136" hidden="1">
      <c r="A1136" s="376" t="s">
        <v>6834</v>
      </c>
      <c r="B1136" s="376" t="s">
        <v>6835</v>
      </c>
      <c r="C1136" s="428" t="s">
        <v>6979</v>
      </c>
      <c r="D1136" s="376" t="s">
        <v>3699</v>
      </c>
      <c r="E1136" s="429">
        <v>500.0</v>
      </c>
      <c r="F1136" s="429">
        <v>60.0</v>
      </c>
      <c r="G1136" s="429">
        <v>1.0</v>
      </c>
      <c r="H1136" s="429">
        <v>21.0</v>
      </c>
      <c r="I1136" s="429">
        <v>22.0</v>
      </c>
      <c r="J1136" s="430">
        <v>0.05</v>
      </c>
      <c r="K1136" s="376" t="s">
        <v>6836</v>
      </c>
      <c r="L1136" s="376">
        <v>5.314640599E9</v>
      </c>
      <c r="M1136" s="376" t="s">
        <v>3707</v>
      </c>
      <c r="N1136" s="376" t="s">
        <v>6447</v>
      </c>
      <c r="O1136" s="376" t="s">
        <v>6837</v>
      </c>
      <c r="P1136" s="376" t="s">
        <v>3941</v>
      </c>
      <c r="Q1136" s="16">
        <f>COUNTIF('hedef liste'!A:A,A1136)</f>
        <v>1</v>
      </c>
    </row>
    <row r="1137" hidden="1">
      <c r="A1137" s="376" t="s">
        <v>6515</v>
      </c>
      <c r="B1137" s="376" t="s">
        <v>7753</v>
      </c>
      <c r="C1137" s="428" t="s">
        <v>6979</v>
      </c>
      <c r="D1137" s="376" t="s">
        <v>3912</v>
      </c>
      <c r="E1137" s="429">
        <v>648.0</v>
      </c>
      <c r="F1137" s="429">
        <v>32.0</v>
      </c>
      <c r="G1137" s="429">
        <v>0.0</v>
      </c>
      <c r="H1137" s="429">
        <v>22.0</v>
      </c>
      <c r="I1137" s="429">
        <v>22.0</v>
      </c>
      <c r="J1137" s="430">
        <v>0.0</v>
      </c>
      <c r="K1137" s="376" t="s">
        <v>6517</v>
      </c>
      <c r="L1137" s="376">
        <v>3.222353511E9</v>
      </c>
      <c r="M1137" s="376" t="s">
        <v>14</v>
      </c>
      <c r="N1137" s="376" t="s">
        <v>3914</v>
      </c>
      <c r="O1137" s="376" t="s">
        <v>6518</v>
      </c>
      <c r="P1137" s="376" t="s">
        <v>3941</v>
      </c>
      <c r="Q1137" s="16">
        <f>COUNTIF('hedef liste'!A:A,A1137)</f>
        <v>1</v>
      </c>
    </row>
    <row r="1138" hidden="1">
      <c r="A1138" s="376" t="s">
        <v>7754</v>
      </c>
      <c r="B1138" s="376" t="s">
        <v>7755</v>
      </c>
      <c r="C1138" s="428" t="s">
        <v>6979</v>
      </c>
      <c r="D1138" s="376" t="s">
        <v>4907</v>
      </c>
      <c r="E1138" s="429">
        <v>223.0</v>
      </c>
      <c r="F1138" s="429">
        <v>10.0</v>
      </c>
      <c r="G1138" s="429">
        <v>5.0</v>
      </c>
      <c r="H1138" s="429">
        <v>2.0</v>
      </c>
      <c r="I1138" s="429">
        <v>7.0</v>
      </c>
      <c r="J1138" s="430">
        <v>0.71</v>
      </c>
      <c r="K1138" s="376" t="s">
        <v>5634</v>
      </c>
      <c r="L1138" s="376">
        <v>5.522491319E9</v>
      </c>
      <c r="M1138" s="376" t="s">
        <v>14</v>
      </c>
      <c r="N1138" s="376" t="s">
        <v>3733</v>
      </c>
      <c r="O1138" s="376" t="s">
        <v>7756</v>
      </c>
      <c r="P1138" s="376" t="s">
        <v>3941</v>
      </c>
      <c r="Q1138" s="16">
        <f>COUNTIF('hedef liste'!A:A,A1138)</f>
        <v>0</v>
      </c>
    </row>
    <row r="1139" hidden="1">
      <c r="A1139" s="376" t="s">
        <v>7757</v>
      </c>
      <c r="B1139" s="376" t="s">
        <v>7758</v>
      </c>
      <c r="C1139" s="428" t="s">
        <v>6979</v>
      </c>
      <c r="D1139" s="376" t="s">
        <v>3801</v>
      </c>
      <c r="E1139" s="429">
        <v>1.0</v>
      </c>
      <c r="F1139" s="429">
        <v>1.0</v>
      </c>
      <c r="G1139" s="429">
        <v>31.0</v>
      </c>
      <c r="H1139" s="429">
        <v>0.0</v>
      </c>
      <c r="I1139" s="429">
        <v>31.0</v>
      </c>
      <c r="J1139" s="433">
        <v>1.0</v>
      </c>
      <c r="K1139" s="376" t="s">
        <v>7759</v>
      </c>
      <c r="L1139" s="376">
        <v>3.229993126E9</v>
      </c>
      <c r="M1139" s="376" t="s">
        <v>14</v>
      </c>
      <c r="N1139" s="376" t="s">
        <v>3678</v>
      </c>
      <c r="O1139" s="376" t="s">
        <v>7760</v>
      </c>
      <c r="P1139" s="376" t="s">
        <v>6982</v>
      </c>
      <c r="Q1139" s="16">
        <f>COUNTIF('hedef liste'!A:A,A1139)</f>
        <v>0</v>
      </c>
    </row>
    <row r="1140" hidden="1">
      <c r="A1140" s="376" t="s">
        <v>5887</v>
      </c>
      <c r="B1140" s="376" t="s">
        <v>5888</v>
      </c>
      <c r="C1140" s="428" t="s">
        <v>6979</v>
      </c>
      <c r="D1140" s="376" t="s">
        <v>4572</v>
      </c>
      <c r="E1140" s="429">
        <v>119.0</v>
      </c>
      <c r="F1140" s="429">
        <v>45.0</v>
      </c>
      <c r="G1140" s="429">
        <v>0.0</v>
      </c>
      <c r="H1140" s="429">
        <v>9.0</v>
      </c>
      <c r="I1140" s="429">
        <v>9.0</v>
      </c>
      <c r="J1140" s="430">
        <v>0.0</v>
      </c>
      <c r="K1140" s="376" t="s">
        <v>5889</v>
      </c>
      <c r="L1140" s="376">
        <v>5.524121408E9</v>
      </c>
      <c r="M1140" s="376" t="s">
        <v>3701</v>
      </c>
      <c r="N1140" s="376" t="s">
        <v>5095</v>
      </c>
      <c r="O1140" s="376" t="s">
        <v>5890</v>
      </c>
      <c r="P1140" s="376" t="s">
        <v>3941</v>
      </c>
      <c r="Q1140" s="16">
        <f>COUNTIF('hedef liste'!A:A,A1140)</f>
        <v>1</v>
      </c>
    </row>
    <row r="1141">
      <c r="A1141" s="376" t="s">
        <v>6770</v>
      </c>
      <c r="B1141" s="376" t="s">
        <v>6771</v>
      </c>
      <c r="C1141" s="428" t="s">
        <v>6979</v>
      </c>
      <c r="D1141" s="376" t="s">
        <v>3801</v>
      </c>
      <c r="E1141" s="429">
        <v>26.0</v>
      </c>
      <c r="F1141" s="429">
        <v>25.0</v>
      </c>
      <c r="G1141" s="429">
        <v>0.0</v>
      </c>
      <c r="H1141" s="429">
        <v>10.0</v>
      </c>
      <c r="I1141" s="429">
        <v>10.0</v>
      </c>
      <c r="J1141" s="430">
        <v>0.0</v>
      </c>
      <c r="K1141" s="376" t="s">
        <v>4552</v>
      </c>
      <c r="L1141" s="376">
        <v>3.22329083E9</v>
      </c>
      <c r="M1141" s="376" t="s">
        <v>3707</v>
      </c>
      <c r="N1141" s="376" t="s">
        <v>6447</v>
      </c>
      <c r="O1141" s="376" t="s">
        <v>6772</v>
      </c>
      <c r="P1141" s="376" t="s">
        <v>3941</v>
      </c>
      <c r="Q1141" s="16">
        <f>COUNTIF('hedef liste'!A:A,A1141)</f>
        <v>1</v>
      </c>
    </row>
    <row r="1142" hidden="1">
      <c r="A1142" s="376" t="s">
        <v>4800</v>
      </c>
      <c r="B1142" s="376" t="s">
        <v>4801</v>
      </c>
      <c r="C1142" s="428" t="s">
        <v>6979</v>
      </c>
      <c r="D1142" s="376" t="s">
        <v>3842</v>
      </c>
      <c r="E1142" s="429">
        <v>8.0</v>
      </c>
      <c r="F1142" s="429">
        <v>6.0</v>
      </c>
      <c r="G1142" s="429">
        <v>0.0</v>
      </c>
      <c r="H1142" s="429">
        <v>10.0</v>
      </c>
      <c r="I1142" s="429">
        <v>10.0</v>
      </c>
      <c r="J1142" s="433">
        <v>0.0</v>
      </c>
      <c r="K1142" s="376" t="s">
        <v>4802</v>
      </c>
      <c r="L1142" s="376">
        <v>3.223633363E9</v>
      </c>
      <c r="M1142" s="376" t="s">
        <v>286</v>
      </c>
      <c r="N1142" s="376" t="s">
        <v>3751</v>
      </c>
      <c r="O1142" s="376" t="s">
        <v>4803</v>
      </c>
      <c r="P1142" s="376" t="s">
        <v>3941</v>
      </c>
      <c r="Q1142" s="16">
        <f>COUNTIF('hedef liste'!A:A,A1142)</f>
        <v>1</v>
      </c>
    </row>
    <row r="1143" hidden="1">
      <c r="A1143" s="376" t="s">
        <v>4996</v>
      </c>
      <c r="B1143" s="376" t="s">
        <v>4997</v>
      </c>
      <c r="C1143" s="428" t="s">
        <v>6979</v>
      </c>
      <c r="D1143" s="376" t="s">
        <v>3676</v>
      </c>
      <c r="E1143" s="429">
        <v>184.0</v>
      </c>
      <c r="F1143" s="429">
        <v>139.0</v>
      </c>
      <c r="G1143" s="429">
        <v>0.0</v>
      </c>
      <c r="H1143" s="429">
        <v>7.0</v>
      </c>
      <c r="I1143" s="429">
        <v>7.0</v>
      </c>
      <c r="J1143" s="430">
        <v>0.0</v>
      </c>
      <c r="K1143" s="376" t="s">
        <v>4998</v>
      </c>
      <c r="L1143" s="376">
        <v>5.366812882E9</v>
      </c>
      <c r="M1143" s="376" t="s">
        <v>3707</v>
      </c>
      <c r="N1143" s="376" t="s">
        <v>4553</v>
      </c>
      <c r="O1143" s="376" t="s">
        <v>4999</v>
      </c>
      <c r="P1143" s="376" t="s">
        <v>3941</v>
      </c>
      <c r="Q1143" s="16">
        <f>COUNTIF('hedef liste'!A:A,A1143)</f>
        <v>1</v>
      </c>
    </row>
    <row r="1144">
      <c r="A1144" s="376" t="s">
        <v>4004</v>
      </c>
      <c r="B1144" s="376" t="s">
        <v>4005</v>
      </c>
      <c r="C1144" s="428" t="s">
        <v>6979</v>
      </c>
      <c r="D1144" s="376" t="s">
        <v>3713</v>
      </c>
      <c r="E1144" s="429">
        <v>5.0</v>
      </c>
      <c r="F1144" s="431"/>
      <c r="G1144" s="429">
        <v>0.0</v>
      </c>
      <c r="H1144" s="429">
        <v>10.0</v>
      </c>
      <c r="I1144" s="429">
        <v>10.0</v>
      </c>
      <c r="J1144" s="430">
        <v>0.0</v>
      </c>
      <c r="K1144" s="376" t="s">
        <v>4006</v>
      </c>
      <c r="L1144" s="376">
        <v>5.467875797E9</v>
      </c>
      <c r="M1144" s="376" t="s">
        <v>3814</v>
      </c>
      <c r="N1144" s="376" t="s">
        <v>3815</v>
      </c>
      <c r="O1144" s="376" t="s">
        <v>4007</v>
      </c>
      <c r="P1144" s="376" t="s">
        <v>3941</v>
      </c>
      <c r="Q1144" s="16">
        <f>COUNTIF('hedef liste'!A:A,A1144)</f>
        <v>1</v>
      </c>
    </row>
    <row r="1145" hidden="1">
      <c r="A1145" s="376" t="s">
        <v>7761</v>
      </c>
      <c r="B1145" s="376" t="s">
        <v>7762</v>
      </c>
      <c r="C1145" s="428" t="s">
        <v>6979</v>
      </c>
      <c r="D1145" s="376" t="s">
        <v>3699</v>
      </c>
      <c r="E1145" s="429">
        <v>310.0</v>
      </c>
      <c r="F1145" s="429">
        <v>41.0</v>
      </c>
      <c r="G1145" s="429">
        <v>22.0</v>
      </c>
      <c r="H1145" s="429">
        <v>9.0</v>
      </c>
      <c r="I1145" s="429">
        <v>31.0</v>
      </c>
      <c r="J1145" s="430">
        <v>0.71</v>
      </c>
      <c r="K1145" s="376" t="s">
        <v>7543</v>
      </c>
      <c r="L1145" s="376">
        <v>3.22232323E9</v>
      </c>
      <c r="M1145" s="376" t="s">
        <v>14</v>
      </c>
      <c r="N1145" s="376" t="s">
        <v>3767</v>
      </c>
      <c r="O1145" s="376" t="s">
        <v>7763</v>
      </c>
      <c r="P1145" s="376" t="s">
        <v>3941</v>
      </c>
      <c r="Q1145" s="16">
        <f>COUNTIF('hedef liste'!A:A,A1145)</f>
        <v>0</v>
      </c>
    </row>
    <row r="1146">
      <c r="A1146" s="376" t="s">
        <v>6735</v>
      </c>
      <c r="B1146" s="376" t="s">
        <v>6736</v>
      </c>
      <c r="C1146" s="428" t="s">
        <v>6979</v>
      </c>
      <c r="D1146" s="376" t="s">
        <v>3676</v>
      </c>
      <c r="E1146" s="429">
        <v>44.0</v>
      </c>
      <c r="F1146" s="429">
        <v>44.0</v>
      </c>
      <c r="G1146" s="429">
        <v>0.0</v>
      </c>
      <c r="H1146" s="429">
        <v>8.0</v>
      </c>
      <c r="I1146" s="429">
        <v>8.0</v>
      </c>
      <c r="J1146" s="433">
        <v>0.0</v>
      </c>
      <c r="K1146" s="376" t="s">
        <v>6737</v>
      </c>
      <c r="L1146" s="376">
        <v>5.06053406E9</v>
      </c>
      <c r="M1146" s="376" t="s">
        <v>3692</v>
      </c>
      <c r="N1146" s="376" t="s">
        <v>3721</v>
      </c>
      <c r="O1146" s="376" t="s">
        <v>6738</v>
      </c>
      <c r="P1146" s="376" t="s">
        <v>3941</v>
      </c>
      <c r="Q1146" s="16">
        <f>COUNTIF('hedef liste'!A:A,A1146)</f>
        <v>1</v>
      </c>
    </row>
    <row r="1147" hidden="1">
      <c r="A1147" s="376" t="s">
        <v>5431</v>
      </c>
      <c r="B1147" s="376" t="s">
        <v>5432</v>
      </c>
      <c r="C1147" s="428" t="s">
        <v>6979</v>
      </c>
      <c r="D1147" s="376" t="s">
        <v>3699</v>
      </c>
      <c r="E1147" s="429">
        <v>698.0</v>
      </c>
      <c r="F1147" s="429">
        <v>161.0</v>
      </c>
      <c r="G1147" s="429">
        <v>0.0</v>
      </c>
      <c r="H1147" s="429">
        <v>17.0</v>
      </c>
      <c r="I1147" s="429">
        <v>17.0</v>
      </c>
      <c r="J1147" s="430">
        <v>0.0</v>
      </c>
      <c r="K1147" s="376" t="s">
        <v>4703</v>
      </c>
      <c r="L1147" s="376">
        <v>3.222484248E9</v>
      </c>
      <c r="M1147" s="376" t="s">
        <v>14</v>
      </c>
      <c r="N1147" s="376" t="s">
        <v>5433</v>
      </c>
      <c r="O1147" s="376" t="s">
        <v>5434</v>
      </c>
      <c r="P1147" s="376" t="s">
        <v>3941</v>
      </c>
      <c r="Q1147" s="16">
        <f>COUNTIF('hedef liste'!A:A,A1147)</f>
        <v>1</v>
      </c>
    </row>
    <row r="1148" hidden="1">
      <c r="A1148" s="376" t="s">
        <v>5687</v>
      </c>
      <c r="B1148" s="376" t="s">
        <v>5688</v>
      </c>
      <c r="C1148" s="428" t="s">
        <v>6979</v>
      </c>
      <c r="D1148" s="376" t="s">
        <v>3676</v>
      </c>
      <c r="E1148" s="429">
        <v>47.0</v>
      </c>
      <c r="F1148" s="429">
        <v>10.0</v>
      </c>
      <c r="G1148" s="429">
        <v>0.0</v>
      </c>
      <c r="H1148" s="429">
        <v>7.0</v>
      </c>
      <c r="I1148" s="429">
        <v>7.0</v>
      </c>
      <c r="J1148" s="430">
        <v>0.0</v>
      </c>
      <c r="K1148" s="376" t="s">
        <v>5689</v>
      </c>
      <c r="L1148" s="376">
        <v>5.52817319E9</v>
      </c>
      <c r="M1148" s="376" t="s">
        <v>286</v>
      </c>
      <c r="N1148" s="376" t="s">
        <v>5690</v>
      </c>
      <c r="O1148" s="376" t="s">
        <v>5691</v>
      </c>
      <c r="P1148" s="376" t="s">
        <v>3941</v>
      </c>
      <c r="Q1148" s="16">
        <f>COUNTIF('hedef liste'!A:A,A1148)</f>
        <v>1</v>
      </c>
    </row>
    <row r="1149">
      <c r="A1149" s="376" t="s">
        <v>6074</v>
      </c>
      <c r="B1149" s="376" t="s">
        <v>6075</v>
      </c>
      <c r="C1149" s="428" t="s">
        <v>6979</v>
      </c>
      <c r="D1149" s="376" t="s">
        <v>3907</v>
      </c>
      <c r="E1149" s="429">
        <v>6.0</v>
      </c>
      <c r="F1149" s="429">
        <v>6.0</v>
      </c>
      <c r="G1149" s="429">
        <v>0.0</v>
      </c>
      <c r="H1149" s="429">
        <v>18.0</v>
      </c>
      <c r="I1149" s="429">
        <v>18.0</v>
      </c>
      <c r="J1149" s="430">
        <v>0.0</v>
      </c>
      <c r="K1149" s="376" t="s">
        <v>6076</v>
      </c>
      <c r="L1149" s="376">
        <v>5.323906301E9</v>
      </c>
      <c r="M1149" s="376" t="s">
        <v>286</v>
      </c>
      <c r="N1149" s="376" t="s">
        <v>4411</v>
      </c>
      <c r="O1149" s="376" t="s">
        <v>6077</v>
      </c>
      <c r="P1149" s="376" t="s">
        <v>3941</v>
      </c>
      <c r="Q1149" s="16">
        <f>COUNTIF('hedef liste'!A:A,A1149)</f>
        <v>1</v>
      </c>
    </row>
    <row r="1150" hidden="1">
      <c r="A1150" s="376" t="s">
        <v>5031</v>
      </c>
      <c r="B1150" s="376" t="s">
        <v>5032</v>
      </c>
      <c r="C1150" s="428" t="s">
        <v>6979</v>
      </c>
      <c r="D1150" s="376" t="s">
        <v>3699</v>
      </c>
      <c r="E1150" s="429">
        <v>198.0</v>
      </c>
      <c r="F1150" s="429">
        <v>68.0</v>
      </c>
      <c r="G1150" s="429">
        <v>13.0</v>
      </c>
      <c r="H1150" s="429">
        <v>14.0</v>
      </c>
      <c r="I1150" s="429">
        <v>27.0</v>
      </c>
      <c r="J1150" s="433">
        <v>0.48</v>
      </c>
      <c r="K1150" s="376" t="s">
        <v>5033</v>
      </c>
      <c r="L1150" s="376">
        <v>5.347350255E9</v>
      </c>
      <c r="M1150" s="376" t="s">
        <v>14</v>
      </c>
      <c r="N1150" s="376" t="s">
        <v>3718</v>
      </c>
      <c r="O1150" s="376" t="s">
        <v>5034</v>
      </c>
      <c r="P1150" s="376" t="s">
        <v>3941</v>
      </c>
      <c r="Q1150" s="16">
        <f>COUNTIF('hedef liste'!A:A,A1150)</f>
        <v>1</v>
      </c>
    </row>
    <row r="1151">
      <c r="A1151" s="376" t="s">
        <v>3828</v>
      </c>
      <c r="B1151" s="376" t="s">
        <v>3829</v>
      </c>
      <c r="C1151" s="428" t="s">
        <v>6979</v>
      </c>
      <c r="D1151" s="376" t="s">
        <v>3713</v>
      </c>
      <c r="E1151" s="431"/>
      <c r="F1151" s="431"/>
      <c r="G1151" s="429">
        <v>0.0</v>
      </c>
      <c r="H1151" s="429">
        <v>24.0</v>
      </c>
      <c r="I1151" s="429">
        <v>24.0</v>
      </c>
      <c r="J1151" s="430">
        <v>0.0</v>
      </c>
      <c r="K1151" s="376" t="s">
        <v>3830</v>
      </c>
      <c r="L1151" s="376">
        <v>3.225039888E9</v>
      </c>
      <c r="M1151" s="376" t="s">
        <v>286</v>
      </c>
      <c r="N1151" s="376" t="s">
        <v>3688</v>
      </c>
      <c r="O1151" s="376" t="s">
        <v>3831</v>
      </c>
      <c r="P1151" s="376" t="s">
        <v>3941</v>
      </c>
      <c r="Q1151" s="16">
        <f>COUNTIF('hedef liste'!A:A,A1151)</f>
        <v>1</v>
      </c>
    </row>
    <row r="1152" hidden="1">
      <c r="A1152" s="376" t="s">
        <v>6601</v>
      </c>
      <c r="B1152" s="376" t="s">
        <v>6602</v>
      </c>
      <c r="C1152" s="428" t="s">
        <v>6979</v>
      </c>
      <c r="D1152" s="376" t="s">
        <v>3676</v>
      </c>
      <c r="E1152" s="429">
        <v>102.0</v>
      </c>
      <c r="F1152" s="431"/>
      <c r="G1152" s="429">
        <v>0.0</v>
      </c>
      <c r="H1152" s="429">
        <v>6.0</v>
      </c>
      <c r="I1152" s="429">
        <v>6.0</v>
      </c>
      <c r="J1152" s="430">
        <v>0.0</v>
      </c>
      <c r="K1152" s="376" t="s">
        <v>6603</v>
      </c>
      <c r="L1152" s="376">
        <v>3.223440505E9</v>
      </c>
      <c r="M1152" s="376" t="s">
        <v>3707</v>
      </c>
      <c r="N1152" s="376" t="s">
        <v>3715</v>
      </c>
      <c r="O1152" s="376" t="s">
        <v>6604</v>
      </c>
      <c r="P1152" s="376" t="s">
        <v>3941</v>
      </c>
      <c r="Q1152" s="16">
        <f>COUNTIF('hedef liste'!A:A,A1152)</f>
        <v>1</v>
      </c>
    </row>
    <row r="1153" hidden="1">
      <c r="A1153" s="376" t="s">
        <v>3434</v>
      </c>
      <c r="B1153" s="376" t="s">
        <v>3435</v>
      </c>
      <c r="C1153" s="428" t="s">
        <v>6979</v>
      </c>
      <c r="D1153" s="376" t="s">
        <v>4000</v>
      </c>
      <c r="E1153" s="429">
        <v>204.0</v>
      </c>
      <c r="F1153" s="429">
        <v>46.0</v>
      </c>
      <c r="G1153" s="429">
        <v>0.0</v>
      </c>
      <c r="H1153" s="429">
        <v>9.0</v>
      </c>
      <c r="I1153" s="429">
        <v>9.0</v>
      </c>
      <c r="J1153" s="430">
        <v>0.0</v>
      </c>
      <c r="K1153" s="376" t="s">
        <v>4298</v>
      </c>
      <c r="L1153" s="376">
        <v>5.535782194E9</v>
      </c>
      <c r="M1153" s="376" t="s">
        <v>286</v>
      </c>
      <c r="N1153" s="376" t="s">
        <v>3737</v>
      </c>
      <c r="O1153" s="376" t="s">
        <v>3437</v>
      </c>
      <c r="P1153" s="376" t="s">
        <v>3941</v>
      </c>
      <c r="Q1153" s="16">
        <f>COUNTIF('hedef liste'!A:A,A1153)</f>
        <v>1</v>
      </c>
    </row>
    <row r="1154" hidden="1">
      <c r="A1154" s="376" t="s">
        <v>5197</v>
      </c>
      <c r="B1154" s="376" t="s">
        <v>5198</v>
      </c>
      <c r="C1154" s="428" t="s">
        <v>6979</v>
      </c>
      <c r="D1154" s="376" t="s">
        <v>3699</v>
      </c>
      <c r="E1154" s="429">
        <v>223.0</v>
      </c>
      <c r="F1154" s="429">
        <v>109.0</v>
      </c>
      <c r="G1154" s="429">
        <v>0.0</v>
      </c>
      <c r="H1154" s="429">
        <v>22.0</v>
      </c>
      <c r="I1154" s="429">
        <v>22.0</v>
      </c>
      <c r="J1154" s="430">
        <v>0.0</v>
      </c>
      <c r="K1154" s="376" t="s">
        <v>5199</v>
      </c>
      <c r="L1154" s="376">
        <v>3.222617567E9</v>
      </c>
      <c r="M1154" s="376" t="s">
        <v>286</v>
      </c>
      <c r="N1154" s="376" t="s">
        <v>3855</v>
      </c>
      <c r="O1154" s="376" t="s">
        <v>5200</v>
      </c>
      <c r="P1154" s="376" t="s">
        <v>3941</v>
      </c>
      <c r="Q1154" s="16">
        <f>COUNTIF('hedef liste'!A:A,A1154)</f>
        <v>1</v>
      </c>
    </row>
    <row r="1155" hidden="1">
      <c r="A1155" s="376" t="s">
        <v>5386</v>
      </c>
      <c r="B1155" s="376" t="s">
        <v>5387</v>
      </c>
      <c r="C1155" s="428" t="s">
        <v>6979</v>
      </c>
      <c r="D1155" s="376" t="s">
        <v>3676</v>
      </c>
      <c r="E1155" s="429">
        <v>8.0</v>
      </c>
      <c r="F1155" s="429">
        <v>2.0</v>
      </c>
      <c r="G1155" s="429">
        <v>0.0</v>
      </c>
      <c r="H1155" s="429">
        <v>4.0</v>
      </c>
      <c r="I1155" s="429">
        <v>4.0</v>
      </c>
      <c r="J1155" s="430">
        <v>0.0</v>
      </c>
      <c r="K1155" s="376" t="s">
        <v>5388</v>
      </c>
      <c r="L1155" s="376">
        <v>5.464357272E9</v>
      </c>
      <c r="M1155" s="376" t="s">
        <v>286</v>
      </c>
      <c r="N1155" s="376" t="s">
        <v>5389</v>
      </c>
      <c r="O1155" s="376" t="s">
        <v>5390</v>
      </c>
      <c r="P1155" s="376" t="s">
        <v>3941</v>
      </c>
      <c r="Q1155" s="16">
        <f>COUNTIF('hedef liste'!A:A,A1155)</f>
        <v>1</v>
      </c>
    </row>
    <row r="1156" hidden="1">
      <c r="A1156" s="376" t="s">
        <v>7764</v>
      </c>
      <c r="B1156" s="376" t="s">
        <v>7765</v>
      </c>
      <c r="C1156" s="428" t="s">
        <v>6979</v>
      </c>
      <c r="D1156" s="376" t="s">
        <v>3801</v>
      </c>
      <c r="E1156" s="429">
        <v>166.0</v>
      </c>
      <c r="F1156" s="429">
        <v>82.0</v>
      </c>
      <c r="G1156" s="429">
        <v>28.0</v>
      </c>
      <c r="H1156" s="429">
        <v>0.0</v>
      </c>
      <c r="I1156" s="429">
        <v>28.0</v>
      </c>
      <c r="J1156" s="430">
        <v>1.0</v>
      </c>
      <c r="K1156" s="376" t="s">
        <v>7766</v>
      </c>
      <c r="L1156" s="376">
        <v>3.222611921E9</v>
      </c>
      <c r="M1156" s="376" t="s">
        <v>286</v>
      </c>
      <c r="N1156" s="376" t="s">
        <v>3746</v>
      </c>
      <c r="O1156" s="376" t="s">
        <v>7767</v>
      </c>
      <c r="P1156" s="376" t="s">
        <v>6982</v>
      </c>
      <c r="Q1156" s="16">
        <f>COUNTIF('hedef liste'!A:A,A1156)</f>
        <v>0</v>
      </c>
    </row>
    <row r="1157" hidden="1">
      <c r="A1157" s="376" t="s">
        <v>4008</v>
      </c>
      <c r="B1157" s="376" t="s">
        <v>4009</v>
      </c>
      <c r="C1157" s="428" t="s">
        <v>6979</v>
      </c>
      <c r="D1157" s="376" t="s">
        <v>3699</v>
      </c>
      <c r="E1157" s="429">
        <v>32.0</v>
      </c>
      <c r="F1157" s="429">
        <v>31.0</v>
      </c>
      <c r="G1157" s="429">
        <v>0.0</v>
      </c>
      <c r="H1157" s="429">
        <v>24.0</v>
      </c>
      <c r="I1157" s="429">
        <v>24.0</v>
      </c>
      <c r="J1157" s="430">
        <v>0.0</v>
      </c>
      <c r="K1157" s="376" t="s">
        <v>4010</v>
      </c>
      <c r="L1157" s="376">
        <v>5.529319485E9</v>
      </c>
      <c r="M1157" s="376" t="s">
        <v>3692</v>
      </c>
      <c r="N1157" s="376" t="s">
        <v>3721</v>
      </c>
      <c r="O1157" s="376" t="s">
        <v>4011</v>
      </c>
      <c r="P1157" s="376" t="s">
        <v>3941</v>
      </c>
      <c r="Q1157" s="16">
        <f>COUNTIF('hedef liste'!A:A,A1157)</f>
        <v>1</v>
      </c>
    </row>
    <row r="1158" hidden="1">
      <c r="A1158" s="376" t="s">
        <v>7768</v>
      </c>
      <c r="B1158" s="376" t="s">
        <v>7769</v>
      </c>
      <c r="C1158" s="428" t="s">
        <v>6979</v>
      </c>
      <c r="D1158" s="376" t="s">
        <v>3842</v>
      </c>
      <c r="E1158" s="429">
        <v>206.0</v>
      </c>
      <c r="F1158" s="429">
        <v>23.0</v>
      </c>
      <c r="G1158" s="429">
        <v>38.0</v>
      </c>
      <c r="H1158" s="429">
        <v>0.0</v>
      </c>
      <c r="I1158" s="429">
        <v>38.0</v>
      </c>
      <c r="J1158" s="430">
        <v>1.0</v>
      </c>
      <c r="K1158" s="376" t="s">
        <v>7770</v>
      </c>
      <c r="L1158" s="376">
        <v>5.427490095E9</v>
      </c>
      <c r="M1158" s="376" t="s">
        <v>286</v>
      </c>
      <c r="N1158" s="376" t="s">
        <v>3758</v>
      </c>
      <c r="O1158" s="376" t="s">
        <v>7771</v>
      </c>
      <c r="P1158" s="376" t="s">
        <v>6982</v>
      </c>
      <c r="Q1158" s="16">
        <f>COUNTIF('hedef liste'!A:A,A1158)</f>
        <v>0</v>
      </c>
    </row>
    <row r="1159" hidden="1">
      <c r="A1159" s="376" t="s">
        <v>2688</v>
      </c>
      <c r="B1159" s="376" t="s">
        <v>2689</v>
      </c>
      <c r="C1159" s="428" t="s">
        <v>6979</v>
      </c>
      <c r="D1159" s="376" t="s">
        <v>3713</v>
      </c>
      <c r="E1159" s="429">
        <v>80.0</v>
      </c>
      <c r="F1159" s="429">
        <v>7.0</v>
      </c>
      <c r="G1159" s="429">
        <v>5.0</v>
      </c>
      <c r="H1159" s="429">
        <v>11.0</v>
      </c>
      <c r="I1159" s="429">
        <v>16.0</v>
      </c>
      <c r="J1159" s="430">
        <v>0.31</v>
      </c>
      <c r="K1159" s="376" t="s">
        <v>6892</v>
      </c>
      <c r="L1159" s="376">
        <v>3.224595944E9</v>
      </c>
      <c r="M1159" s="376" t="s">
        <v>286</v>
      </c>
      <c r="N1159" s="376" t="s">
        <v>3688</v>
      </c>
      <c r="O1159" s="376" t="s">
        <v>2692</v>
      </c>
      <c r="P1159" s="376" t="s">
        <v>3941</v>
      </c>
      <c r="Q1159" s="16">
        <f>COUNTIF('hedef liste'!A:A,A1159)</f>
        <v>1</v>
      </c>
    </row>
    <row r="1160" hidden="1">
      <c r="A1160" s="376" t="s">
        <v>3818</v>
      </c>
      <c r="B1160" s="376" t="s">
        <v>3819</v>
      </c>
      <c r="C1160" s="428" t="s">
        <v>6979</v>
      </c>
      <c r="D1160" s="376" t="s">
        <v>3801</v>
      </c>
      <c r="E1160" s="429">
        <v>241.0</v>
      </c>
      <c r="F1160" s="429">
        <v>9.0</v>
      </c>
      <c r="G1160" s="429">
        <v>6.0</v>
      </c>
      <c r="H1160" s="429">
        <v>5.0</v>
      </c>
      <c r="I1160" s="429">
        <v>11.0</v>
      </c>
      <c r="J1160" s="430">
        <v>0.55</v>
      </c>
      <c r="K1160" s="376" t="s">
        <v>3820</v>
      </c>
      <c r="L1160" s="376">
        <v>5.421550201E9</v>
      </c>
      <c r="M1160" s="376" t="s">
        <v>286</v>
      </c>
      <c r="N1160" s="376" t="s">
        <v>3764</v>
      </c>
      <c r="O1160" s="376" t="s">
        <v>3821</v>
      </c>
      <c r="P1160" s="376" t="s">
        <v>3941</v>
      </c>
      <c r="Q1160" s="16">
        <f>COUNTIF('hedef liste'!A:A,A1160)</f>
        <v>1</v>
      </c>
    </row>
    <row r="1161" hidden="1">
      <c r="A1161" s="376" t="s">
        <v>3582</v>
      </c>
      <c r="B1161" s="376" t="s">
        <v>3583</v>
      </c>
      <c r="C1161" s="428" t="s">
        <v>6979</v>
      </c>
      <c r="D1161" s="376" t="s">
        <v>3713</v>
      </c>
      <c r="E1161" s="429">
        <v>220.0</v>
      </c>
      <c r="F1161" s="429">
        <v>22.0</v>
      </c>
      <c r="G1161" s="429">
        <v>0.0</v>
      </c>
      <c r="H1161" s="429">
        <v>14.0</v>
      </c>
      <c r="I1161" s="429">
        <v>14.0</v>
      </c>
      <c r="J1161" s="433">
        <v>0.0</v>
      </c>
      <c r="K1161" s="376" t="s">
        <v>5701</v>
      </c>
      <c r="L1161" s="376">
        <v>5.436652518E9</v>
      </c>
      <c r="M1161" s="376" t="s">
        <v>286</v>
      </c>
      <c r="N1161" s="376" t="s">
        <v>3855</v>
      </c>
      <c r="O1161" s="376" t="s">
        <v>3585</v>
      </c>
      <c r="P1161" s="376" t="s">
        <v>3941</v>
      </c>
      <c r="Q1161" s="16">
        <f>COUNTIF('hedef liste'!A:A,A1161)</f>
        <v>1</v>
      </c>
    </row>
    <row r="1162" hidden="1">
      <c r="A1162" s="376" t="s">
        <v>3609</v>
      </c>
      <c r="B1162" s="376" t="s">
        <v>3610</v>
      </c>
      <c r="C1162" s="428" t="s">
        <v>6979</v>
      </c>
      <c r="D1162" s="376" t="s">
        <v>4468</v>
      </c>
      <c r="E1162" s="429">
        <v>1.0</v>
      </c>
      <c r="F1162" s="431"/>
      <c r="G1162" s="429">
        <v>0.0</v>
      </c>
      <c r="H1162" s="429">
        <v>16.0</v>
      </c>
      <c r="I1162" s="429">
        <v>16.0</v>
      </c>
      <c r="J1162" s="430">
        <v>0.0</v>
      </c>
      <c r="K1162" s="376" t="s">
        <v>6463</v>
      </c>
      <c r="L1162" s="376">
        <v>5.323672117E9</v>
      </c>
      <c r="M1162" s="376" t="s">
        <v>286</v>
      </c>
      <c r="N1162" s="376" t="s">
        <v>3737</v>
      </c>
      <c r="O1162" s="376" t="s">
        <v>3612</v>
      </c>
      <c r="P1162" s="376" t="s">
        <v>3941</v>
      </c>
      <c r="Q1162" s="16">
        <f>COUNTIF('hedef liste'!A:A,A1162)</f>
        <v>1</v>
      </c>
    </row>
    <row r="1163" hidden="1">
      <c r="A1163" s="376" t="s">
        <v>5763</v>
      </c>
      <c r="B1163" s="376" t="s">
        <v>7772</v>
      </c>
      <c r="C1163" s="428" t="s">
        <v>6979</v>
      </c>
      <c r="D1163" s="376" t="s">
        <v>3912</v>
      </c>
      <c r="E1163" s="429">
        <v>79.0</v>
      </c>
      <c r="F1163" s="429">
        <v>4.0</v>
      </c>
      <c r="G1163" s="429">
        <v>0.0</v>
      </c>
      <c r="H1163" s="429">
        <v>18.0</v>
      </c>
      <c r="I1163" s="429">
        <v>18.0</v>
      </c>
      <c r="J1163" s="433">
        <v>0.0</v>
      </c>
      <c r="K1163" s="376" t="s">
        <v>5765</v>
      </c>
      <c r="L1163" s="376">
        <v>5.356057575E9</v>
      </c>
      <c r="M1163" s="376" t="s">
        <v>14</v>
      </c>
      <c r="N1163" s="376" t="s">
        <v>3797</v>
      </c>
      <c r="O1163" s="376" t="s">
        <v>5766</v>
      </c>
      <c r="P1163" s="376" t="s">
        <v>3941</v>
      </c>
      <c r="Q1163" s="16">
        <f>COUNTIF('hedef liste'!A:A,A1163)</f>
        <v>1</v>
      </c>
    </row>
    <row r="1164" hidden="1">
      <c r="A1164" s="376" t="s">
        <v>2627</v>
      </c>
      <c r="B1164" s="376" t="s">
        <v>2628</v>
      </c>
      <c r="C1164" s="428" t="s">
        <v>6979</v>
      </c>
      <c r="D1164" s="376" t="s">
        <v>3676</v>
      </c>
      <c r="E1164" s="429">
        <v>545.0</v>
      </c>
      <c r="F1164" s="431"/>
      <c r="G1164" s="429">
        <v>2.0</v>
      </c>
      <c r="H1164" s="429">
        <v>1.0</v>
      </c>
      <c r="I1164" s="429">
        <v>3.0</v>
      </c>
      <c r="J1164" s="433">
        <v>0.67</v>
      </c>
      <c r="K1164" s="376" t="s">
        <v>4349</v>
      </c>
      <c r="L1164" s="376">
        <v>3.223285454E9</v>
      </c>
      <c r="M1164" s="376" t="s">
        <v>3707</v>
      </c>
      <c r="N1164" s="376" t="s">
        <v>3708</v>
      </c>
      <c r="O1164" s="376" t="s">
        <v>2630</v>
      </c>
      <c r="P1164" s="376" t="s">
        <v>3941</v>
      </c>
      <c r="Q1164" s="16">
        <f>COUNTIF('hedef liste'!A:A,A1164)</f>
        <v>1</v>
      </c>
    </row>
    <row r="1165" hidden="1">
      <c r="A1165" s="376" t="s">
        <v>4635</v>
      </c>
      <c r="B1165" s="376" t="s">
        <v>4636</v>
      </c>
      <c r="C1165" s="428" t="s">
        <v>7011</v>
      </c>
      <c r="D1165" s="376" t="s">
        <v>3801</v>
      </c>
      <c r="E1165" s="429">
        <v>381.0</v>
      </c>
      <c r="F1165" s="431"/>
      <c r="G1165" s="429">
        <v>0.0</v>
      </c>
      <c r="H1165" s="429">
        <v>5.0</v>
      </c>
      <c r="I1165" s="429">
        <v>5.0</v>
      </c>
      <c r="J1165" s="430">
        <v>0.0</v>
      </c>
      <c r="K1165" s="376" t="s">
        <v>4637</v>
      </c>
      <c r="L1165" s="376">
        <v>5.308208545E9</v>
      </c>
      <c r="M1165" s="376" t="s">
        <v>3692</v>
      </c>
      <c r="N1165" s="376" t="s">
        <v>4447</v>
      </c>
      <c r="O1165" s="376" t="s">
        <v>4638</v>
      </c>
      <c r="P1165" s="376" t="s">
        <v>3941</v>
      </c>
      <c r="Q1165" s="16">
        <f>COUNTIF('hedef liste'!A:A,A1165)</f>
        <v>1</v>
      </c>
    </row>
    <row r="1166" hidden="1">
      <c r="A1166" s="376" t="s">
        <v>3162</v>
      </c>
      <c r="B1166" s="376" t="s">
        <v>3163</v>
      </c>
      <c r="C1166" s="428" t="s">
        <v>7011</v>
      </c>
      <c r="D1166" s="376" t="s">
        <v>3676</v>
      </c>
      <c r="E1166" s="429">
        <v>50.0</v>
      </c>
      <c r="F1166" s="431"/>
      <c r="G1166" s="429">
        <v>8.0</v>
      </c>
      <c r="H1166" s="429">
        <v>4.0</v>
      </c>
      <c r="I1166" s="429">
        <v>12.0</v>
      </c>
      <c r="J1166" s="430">
        <v>0.67</v>
      </c>
      <c r="K1166" s="376" t="s">
        <v>4781</v>
      </c>
      <c r="L1166" s="376">
        <v>5.306338107E9</v>
      </c>
      <c r="M1166" s="376" t="s">
        <v>286</v>
      </c>
      <c r="N1166" s="376" t="s">
        <v>3782</v>
      </c>
      <c r="O1166" s="376" t="s">
        <v>3165</v>
      </c>
      <c r="P1166" s="376" t="s">
        <v>3941</v>
      </c>
      <c r="Q1166" s="16">
        <f>COUNTIF('hedef liste'!A:A,A1166)</f>
        <v>1</v>
      </c>
    </row>
    <row r="1167" hidden="1">
      <c r="A1167" s="376" t="s">
        <v>4757</v>
      </c>
      <c r="B1167" s="376" t="s">
        <v>4758</v>
      </c>
      <c r="C1167" s="428" t="s">
        <v>6979</v>
      </c>
      <c r="D1167" s="376" t="s">
        <v>3801</v>
      </c>
      <c r="E1167" s="429">
        <v>188.0</v>
      </c>
      <c r="F1167" s="429">
        <v>36.0</v>
      </c>
      <c r="G1167" s="429">
        <v>0.0</v>
      </c>
      <c r="H1167" s="429">
        <v>7.0</v>
      </c>
      <c r="I1167" s="429">
        <v>7.0</v>
      </c>
      <c r="J1167" s="430">
        <v>0.0</v>
      </c>
      <c r="K1167" s="376" t="s">
        <v>4759</v>
      </c>
      <c r="L1167" s="376">
        <v>3.224363612E9</v>
      </c>
      <c r="M1167" s="376" t="s">
        <v>286</v>
      </c>
      <c r="N1167" s="376" t="s">
        <v>4760</v>
      </c>
      <c r="O1167" s="376" t="s">
        <v>4761</v>
      </c>
      <c r="P1167" s="376" t="s">
        <v>3941</v>
      </c>
      <c r="Q1167" s="16">
        <f>COUNTIF('hedef liste'!A:A,A1167)</f>
        <v>1</v>
      </c>
    </row>
    <row r="1168" hidden="1">
      <c r="A1168" s="376" t="s">
        <v>5589</v>
      </c>
      <c r="B1168" s="376" t="s">
        <v>5585</v>
      </c>
      <c r="C1168" s="428" t="s">
        <v>6979</v>
      </c>
      <c r="D1168" s="376" t="s">
        <v>3690</v>
      </c>
      <c r="E1168" s="429">
        <v>191.0</v>
      </c>
      <c r="F1168" s="429">
        <v>41.0</v>
      </c>
      <c r="G1168" s="429">
        <v>0.0</v>
      </c>
      <c r="H1168" s="429">
        <v>14.0</v>
      </c>
      <c r="I1168" s="429">
        <v>14.0</v>
      </c>
      <c r="J1168" s="430">
        <v>0.0</v>
      </c>
      <c r="K1168" s="376" t="s">
        <v>5590</v>
      </c>
      <c r="L1168" s="376">
        <v>5.308846635E9</v>
      </c>
      <c r="M1168" s="376" t="s">
        <v>14</v>
      </c>
      <c r="N1168" s="376" t="s">
        <v>3914</v>
      </c>
      <c r="O1168" s="376" t="s">
        <v>5591</v>
      </c>
      <c r="P1168" s="376" t="s">
        <v>3941</v>
      </c>
      <c r="Q1168" s="16">
        <f>COUNTIF('hedef liste'!A:A,A1168)</f>
        <v>1</v>
      </c>
    </row>
    <row r="1169" hidden="1">
      <c r="A1169" s="376" t="s">
        <v>4646</v>
      </c>
      <c r="B1169" s="376" t="s">
        <v>4647</v>
      </c>
      <c r="C1169" s="428" t="s">
        <v>6979</v>
      </c>
      <c r="D1169" s="376" t="s">
        <v>3801</v>
      </c>
      <c r="E1169" s="429">
        <v>20.0</v>
      </c>
      <c r="F1169" s="429">
        <v>3.0</v>
      </c>
      <c r="G1169" s="429">
        <v>4.0</v>
      </c>
      <c r="H1169" s="429">
        <v>23.0</v>
      </c>
      <c r="I1169" s="429">
        <v>27.0</v>
      </c>
      <c r="J1169" s="430">
        <v>0.15</v>
      </c>
      <c r="K1169" s="376" t="s">
        <v>4648</v>
      </c>
      <c r="L1169" s="376">
        <v>5.356562284E9</v>
      </c>
      <c r="M1169" s="376" t="s">
        <v>3692</v>
      </c>
      <c r="N1169" s="376" t="s">
        <v>3693</v>
      </c>
      <c r="O1169" s="376" t="s">
        <v>4649</v>
      </c>
      <c r="P1169" s="376" t="s">
        <v>3941</v>
      </c>
      <c r="Q1169" s="16">
        <f>COUNTIF('hedef liste'!A:A,A1169)</f>
        <v>1</v>
      </c>
    </row>
    <row r="1170" hidden="1">
      <c r="A1170" s="376" t="s">
        <v>7773</v>
      </c>
      <c r="B1170" s="376" t="s">
        <v>7774</v>
      </c>
      <c r="C1170" s="428" t="s">
        <v>6979</v>
      </c>
      <c r="D1170" s="376" t="s">
        <v>3801</v>
      </c>
      <c r="E1170" s="429">
        <v>317.0</v>
      </c>
      <c r="F1170" s="429">
        <v>70.0</v>
      </c>
      <c r="G1170" s="429">
        <v>11.0</v>
      </c>
      <c r="H1170" s="429">
        <v>6.0</v>
      </c>
      <c r="I1170" s="429">
        <v>17.0</v>
      </c>
      <c r="J1170" s="430">
        <v>0.65</v>
      </c>
      <c r="K1170" s="376" t="s">
        <v>7775</v>
      </c>
      <c r="L1170" s="376">
        <v>5.436849943E9</v>
      </c>
      <c r="M1170" s="376" t="s">
        <v>14</v>
      </c>
      <c r="N1170" s="376" t="s">
        <v>3826</v>
      </c>
      <c r="O1170" s="376" t="s">
        <v>7776</v>
      </c>
      <c r="P1170" s="376" t="s">
        <v>3941</v>
      </c>
      <c r="Q1170" s="16">
        <f>COUNTIF('hedef liste'!A:A,A1170)</f>
        <v>0</v>
      </c>
    </row>
    <row r="1171" hidden="1">
      <c r="A1171" s="376" t="s">
        <v>628</v>
      </c>
      <c r="B1171" s="376" t="s">
        <v>629</v>
      </c>
      <c r="C1171" s="428" t="s">
        <v>6979</v>
      </c>
      <c r="D1171" s="376" t="s">
        <v>3699</v>
      </c>
      <c r="E1171" s="429">
        <v>2766.0</v>
      </c>
      <c r="F1171" s="429">
        <v>162.0</v>
      </c>
      <c r="G1171" s="429">
        <v>11.0</v>
      </c>
      <c r="H1171" s="429">
        <v>4.0</v>
      </c>
      <c r="I1171" s="429">
        <v>15.0</v>
      </c>
      <c r="J1171" s="433">
        <v>0.73</v>
      </c>
      <c r="K1171" s="376" t="s">
        <v>6950</v>
      </c>
      <c r="L1171" s="376">
        <v>5.337748342E9</v>
      </c>
      <c r="M1171" s="376" t="s">
        <v>286</v>
      </c>
      <c r="N1171" s="376" t="s">
        <v>3782</v>
      </c>
      <c r="O1171" s="376" t="s">
        <v>632</v>
      </c>
      <c r="P1171" s="376" t="s">
        <v>3941</v>
      </c>
      <c r="Q1171" s="16">
        <f>COUNTIF('hedef liste'!A:A,A1171)</f>
        <v>1</v>
      </c>
    </row>
    <row r="1172" hidden="1">
      <c r="A1172" s="376" t="s">
        <v>6406</v>
      </c>
      <c r="B1172" s="376" t="s">
        <v>6407</v>
      </c>
      <c r="C1172" s="428" t="s">
        <v>6979</v>
      </c>
      <c r="D1172" s="376" t="s">
        <v>3713</v>
      </c>
      <c r="E1172" s="429">
        <v>74.0</v>
      </c>
      <c r="F1172" s="431"/>
      <c r="G1172" s="429">
        <v>0.0</v>
      </c>
      <c r="H1172" s="429">
        <v>5.0</v>
      </c>
      <c r="I1172" s="429">
        <v>5.0</v>
      </c>
      <c r="J1172" s="433">
        <v>0.0</v>
      </c>
      <c r="K1172" s="376" t="s">
        <v>6408</v>
      </c>
      <c r="L1172" s="376">
        <v>5.348229227E9</v>
      </c>
      <c r="M1172" s="376" t="s">
        <v>14</v>
      </c>
      <c r="N1172" s="376" t="s">
        <v>3718</v>
      </c>
      <c r="O1172" s="376" t="s">
        <v>6409</v>
      </c>
      <c r="P1172" s="376" t="s">
        <v>3941</v>
      </c>
      <c r="Q1172" s="16">
        <f>COUNTIF('hedef liste'!A:A,A1172)</f>
        <v>1</v>
      </c>
    </row>
    <row r="1173" hidden="1">
      <c r="A1173" s="376" t="s">
        <v>4896</v>
      </c>
      <c r="B1173" s="376" t="s">
        <v>4897</v>
      </c>
      <c r="C1173" s="428" t="s">
        <v>6979</v>
      </c>
      <c r="D1173" s="376" t="s">
        <v>3676</v>
      </c>
      <c r="E1173" s="429">
        <v>201.0</v>
      </c>
      <c r="F1173" s="429">
        <v>32.0</v>
      </c>
      <c r="G1173" s="429">
        <v>0.0</v>
      </c>
      <c r="H1173" s="429">
        <v>5.0</v>
      </c>
      <c r="I1173" s="429">
        <v>5.0</v>
      </c>
      <c r="J1173" s="430">
        <v>0.0</v>
      </c>
      <c r="K1173" s="376" t="s">
        <v>4898</v>
      </c>
      <c r="L1173" s="376">
        <v>5.374890805E9</v>
      </c>
      <c r="M1173" s="376" t="s">
        <v>286</v>
      </c>
      <c r="N1173" s="376" t="s">
        <v>4135</v>
      </c>
      <c r="O1173" s="376" t="s">
        <v>4899</v>
      </c>
      <c r="P1173" s="376" t="s">
        <v>3941</v>
      </c>
      <c r="Q1173" s="16">
        <f>COUNTIF('hedef liste'!A:A,A1173)</f>
        <v>1</v>
      </c>
    </row>
    <row r="1174" hidden="1">
      <c r="A1174" s="376" t="s">
        <v>1710</v>
      </c>
      <c r="B1174" s="376" t="s">
        <v>1711</v>
      </c>
      <c r="C1174" s="428" t="s">
        <v>6979</v>
      </c>
      <c r="D1174" s="376" t="s">
        <v>3690</v>
      </c>
      <c r="E1174" s="429">
        <v>2130.0</v>
      </c>
      <c r="F1174" s="429">
        <v>41.0</v>
      </c>
      <c r="G1174" s="429">
        <v>10.0</v>
      </c>
      <c r="H1174" s="429">
        <v>2.0</v>
      </c>
      <c r="I1174" s="429">
        <v>12.0</v>
      </c>
      <c r="J1174" s="430">
        <v>0.83</v>
      </c>
      <c r="K1174" s="376" t="s">
        <v>3691</v>
      </c>
      <c r="L1174" s="376">
        <v>3.223418087E9</v>
      </c>
      <c r="M1174" s="376" t="s">
        <v>3692</v>
      </c>
      <c r="N1174" s="376" t="s">
        <v>3693</v>
      </c>
      <c r="O1174" s="376" t="s">
        <v>1714</v>
      </c>
      <c r="P1174" s="376" t="s">
        <v>3941</v>
      </c>
      <c r="Q1174" s="16">
        <f>COUNTIF('hedef liste'!A:A,A1174)</f>
        <v>1</v>
      </c>
    </row>
    <row r="1175" hidden="1">
      <c r="A1175" s="376" t="s">
        <v>7777</v>
      </c>
      <c r="B1175" s="376" t="s">
        <v>2148</v>
      </c>
      <c r="C1175" s="428" t="s">
        <v>6979</v>
      </c>
      <c r="D1175" s="376" t="s">
        <v>4000</v>
      </c>
      <c r="E1175" s="429">
        <v>216.0</v>
      </c>
      <c r="F1175" s="431"/>
      <c r="G1175" s="429">
        <v>3.0</v>
      </c>
      <c r="H1175" s="429">
        <v>2.0</v>
      </c>
      <c r="I1175" s="429">
        <v>5.0</v>
      </c>
      <c r="J1175" s="430">
        <v>0.6</v>
      </c>
      <c r="K1175" s="376" t="s">
        <v>7778</v>
      </c>
      <c r="L1175" s="376">
        <v>5.342002309E9</v>
      </c>
      <c r="M1175" s="376" t="s">
        <v>286</v>
      </c>
      <c r="N1175" s="376" t="s">
        <v>3746</v>
      </c>
      <c r="O1175" s="376" t="s">
        <v>2150</v>
      </c>
      <c r="P1175" s="376" t="s">
        <v>3941</v>
      </c>
      <c r="Q1175" s="16">
        <f>COUNTIF('hedef liste'!A:A,A1175)</f>
        <v>0</v>
      </c>
    </row>
    <row r="1176" hidden="1">
      <c r="A1176" s="376" t="s">
        <v>3626</v>
      </c>
      <c r="B1176" s="376" t="s">
        <v>3627</v>
      </c>
      <c r="C1176" s="428" t="s">
        <v>6979</v>
      </c>
      <c r="D1176" s="376" t="s">
        <v>3713</v>
      </c>
      <c r="E1176" s="429">
        <v>113.0</v>
      </c>
      <c r="F1176" s="429">
        <v>18.0</v>
      </c>
      <c r="G1176" s="429">
        <v>0.0</v>
      </c>
      <c r="H1176" s="429">
        <v>22.0</v>
      </c>
      <c r="I1176" s="429">
        <v>22.0</v>
      </c>
      <c r="J1176" s="430">
        <v>0.0</v>
      </c>
      <c r="K1176" s="376" t="s">
        <v>5385</v>
      </c>
      <c r="L1176" s="376">
        <v>3.222272777E9</v>
      </c>
      <c r="M1176" s="376" t="s">
        <v>286</v>
      </c>
      <c r="N1176" s="376" t="s">
        <v>3782</v>
      </c>
      <c r="O1176" s="376" t="s">
        <v>3629</v>
      </c>
      <c r="P1176" s="376" t="s">
        <v>3941</v>
      </c>
      <c r="Q1176" s="16">
        <f>COUNTIF('hedef liste'!A:A,A1176)</f>
        <v>1</v>
      </c>
    </row>
    <row r="1177" hidden="1">
      <c r="A1177" s="376" t="s">
        <v>7779</v>
      </c>
      <c r="B1177" s="376" t="s">
        <v>7780</v>
      </c>
      <c r="C1177" s="428" t="s">
        <v>7011</v>
      </c>
      <c r="D1177" s="376" t="s">
        <v>3713</v>
      </c>
      <c r="E1177" s="431"/>
      <c r="F1177" s="431"/>
      <c r="G1177" s="429">
        <v>0.0</v>
      </c>
      <c r="H1177" s="429">
        <v>7.0</v>
      </c>
      <c r="I1177" s="429">
        <v>7.0</v>
      </c>
      <c r="J1177" s="430">
        <v>0.0</v>
      </c>
      <c r="K1177" s="376" t="s">
        <v>7781</v>
      </c>
      <c r="L1177" s="376">
        <v>5.36675778E9</v>
      </c>
      <c r="M1177" s="376" t="s">
        <v>14</v>
      </c>
      <c r="N1177" s="376" t="s">
        <v>3797</v>
      </c>
      <c r="O1177" s="376" t="s">
        <v>7782</v>
      </c>
      <c r="P1177" s="376" t="s">
        <v>3941</v>
      </c>
      <c r="Q1177" s="16">
        <f>COUNTIF('hedef liste'!A:A,A1177)</f>
        <v>0</v>
      </c>
    </row>
    <row r="1178">
      <c r="A1178" s="376" t="s">
        <v>5256</v>
      </c>
      <c r="B1178" s="376" t="s">
        <v>5257</v>
      </c>
      <c r="C1178" s="428" t="s">
        <v>6979</v>
      </c>
      <c r="D1178" s="376" t="s">
        <v>4572</v>
      </c>
      <c r="E1178" s="429">
        <v>1.0</v>
      </c>
      <c r="F1178" s="429">
        <v>1.0</v>
      </c>
      <c r="G1178" s="429">
        <v>0.0</v>
      </c>
      <c r="H1178" s="429">
        <v>23.0</v>
      </c>
      <c r="I1178" s="429">
        <v>23.0</v>
      </c>
      <c r="J1178" s="430">
        <v>0.0</v>
      </c>
      <c r="K1178" s="376" t="s">
        <v>5258</v>
      </c>
      <c r="L1178" s="376">
        <v>5.428105618E9</v>
      </c>
      <c r="M1178" s="376" t="s">
        <v>286</v>
      </c>
      <c r="N1178" s="376" t="s">
        <v>4798</v>
      </c>
      <c r="O1178" s="376" t="s">
        <v>5259</v>
      </c>
      <c r="P1178" s="376" t="s">
        <v>3941</v>
      </c>
      <c r="Q1178" s="16">
        <f>COUNTIF('hedef liste'!A:A,A1178)</f>
        <v>1</v>
      </c>
    </row>
    <row r="1179" hidden="1">
      <c r="A1179" s="376" t="s">
        <v>7783</v>
      </c>
      <c r="B1179" s="376" t="s">
        <v>541</v>
      </c>
      <c r="C1179" s="428" t="s">
        <v>6979</v>
      </c>
      <c r="D1179" s="376" t="s">
        <v>3713</v>
      </c>
      <c r="E1179" s="429">
        <v>5.0</v>
      </c>
      <c r="F1179" s="429">
        <v>5.0</v>
      </c>
      <c r="G1179" s="429">
        <v>6.0</v>
      </c>
      <c r="H1179" s="429">
        <v>14.0</v>
      </c>
      <c r="I1179" s="429">
        <v>20.0</v>
      </c>
      <c r="J1179" s="430">
        <v>0.3</v>
      </c>
      <c r="K1179" s="376" t="s">
        <v>7784</v>
      </c>
      <c r="L1179" s="376">
        <v>5.437260001E9</v>
      </c>
      <c r="M1179" s="376" t="s">
        <v>14</v>
      </c>
      <c r="N1179" s="376" t="s">
        <v>3733</v>
      </c>
      <c r="O1179" s="376" t="s">
        <v>543</v>
      </c>
      <c r="P1179" s="376" t="s">
        <v>3941</v>
      </c>
      <c r="Q1179" s="16">
        <f>COUNTIF('hedef liste'!A:A,A1179)</f>
        <v>0</v>
      </c>
    </row>
    <row r="1180" hidden="1">
      <c r="A1180" s="376" t="s">
        <v>6342</v>
      </c>
      <c r="B1180" s="376" t="s">
        <v>6343</v>
      </c>
      <c r="C1180" s="428" t="s">
        <v>6979</v>
      </c>
      <c r="D1180" s="376" t="s">
        <v>3699</v>
      </c>
      <c r="E1180" s="429">
        <v>562.0</v>
      </c>
      <c r="F1180" s="429">
        <v>31.0</v>
      </c>
      <c r="G1180" s="429">
        <v>3.0</v>
      </c>
      <c r="H1180" s="429">
        <v>5.0</v>
      </c>
      <c r="I1180" s="429">
        <v>8.0</v>
      </c>
      <c r="J1180" s="430">
        <v>0.38</v>
      </c>
      <c r="K1180" s="376" t="s">
        <v>6344</v>
      </c>
      <c r="L1180" s="376">
        <v>3.224592605E9</v>
      </c>
      <c r="M1180" s="376" t="s">
        <v>286</v>
      </c>
      <c r="N1180" s="376" t="s">
        <v>3806</v>
      </c>
      <c r="O1180" s="376" t="s">
        <v>6345</v>
      </c>
      <c r="P1180" s="376" t="s">
        <v>3941</v>
      </c>
      <c r="Q1180" s="16">
        <f>COUNTIF('hedef liste'!A:A,A1180)</f>
        <v>1</v>
      </c>
    </row>
    <row r="1181">
      <c r="A1181" s="376" t="s">
        <v>4587</v>
      </c>
      <c r="B1181" s="376" t="s">
        <v>4588</v>
      </c>
      <c r="C1181" s="428" t="s">
        <v>6979</v>
      </c>
      <c r="D1181" s="376" t="s">
        <v>3801</v>
      </c>
      <c r="E1181" s="429">
        <v>1.0</v>
      </c>
      <c r="F1181" s="429">
        <v>1.0</v>
      </c>
      <c r="G1181" s="429">
        <v>0.0</v>
      </c>
      <c r="H1181" s="429">
        <v>17.0</v>
      </c>
      <c r="I1181" s="429">
        <v>17.0</v>
      </c>
      <c r="J1181" s="430">
        <v>0.0</v>
      </c>
      <c r="K1181" s="376" t="s">
        <v>4589</v>
      </c>
      <c r="L1181" s="376">
        <v>5.4242699E9</v>
      </c>
      <c r="M1181" s="376" t="s">
        <v>14</v>
      </c>
      <c r="N1181" s="376" t="s">
        <v>3797</v>
      </c>
      <c r="O1181" s="376" t="s">
        <v>4590</v>
      </c>
      <c r="P1181" s="376" t="s">
        <v>3941</v>
      </c>
      <c r="Q1181" s="16">
        <f>COUNTIF('hedef liste'!A:A,A1181)</f>
        <v>1</v>
      </c>
    </row>
    <row r="1182" hidden="1">
      <c r="A1182" s="376" t="s">
        <v>6781</v>
      </c>
      <c r="B1182" s="376" t="s">
        <v>6782</v>
      </c>
      <c r="C1182" s="428" t="s">
        <v>6979</v>
      </c>
      <c r="D1182" s="376" t="s">
        <v>3749</v>
      </c>
      <c r="E1182" s="429">
        <v>257.0</v>
      </c>
      <c r="F1182" s="429">
        <v>59.0</v>
      </c>
      <c r="G1182" s="429">
        <v>0.0</v>
      </c>
      <c r="H1182" s="429">
        <v>14.0</v>
      </c>
      <c r="I1182" s="429">
        <v>14.0</v>
      </c>
      <c r="J1182" s="430">
        <v>0.0</v>
      </c>
      <c r="K1182" s="376" t="s">
        <v>6783</v>
      </c>
      <c r="L1182" s="376">
        <v>3.225048504E9</v>
      </c>
      <c r="M1182" s="376" t="s">
        <v>14</v>
      </c>
      <c r="N1182" s="376" t="s">
        <v>3678</v>
      </c>
      <c r="O1182" s="376" t="s">
        <v>7785</v>
      </c>
      <c r="P1182" s="376" t="s">
        <v>3941</v>
      </c>
      <c r="Q1182" s="16">
        <f>COUNTIF('hedef liste'!A:A,A1182)</f>
        <v>1</v>
      </c>
    </row>
    <row r="1183" hidden="1">
      <c r="A1183" s="376" t="s">
        <v>7786</v>
      </c>
      <c r="B1183" s="376" t="s">
        <v>7787</v>
      </c>
      <c r="C1183" s="428" t="s">
        <v>6979</v>
      </c>
      <c r="D1183" s="376" t="s">
        <v>3676</v>
      </c>
      <c r="E1183" s="429">
        <v>290.0</v>
      </c>
      <c r="F1183" s="429">
        <v>94.0</v>
      </c>
      <c r="G1183" s="429">
        <v>20.0</v>
      </c>
      <c r="H1183" s="429">
        <v>0.0</v>
      </c>
      <c r="I1183" s="429">
        <v>20.0</v>
      </c>
      <c r="J1183" s="430">
        <v>1.0</v>
      </c>
      <c r="K1183" s="376" t="s">
        <v>7591</v>
      </c>
      <c r="L1183" s="376">
        <v>3.223333622E9</v>
      </c>
      <c r="M1183" s="376" t="s">
        <v>3707</v>
      </c>
      <c r="N1183" s="376" t="s">
        <v>5245</v>
      </c>
      <c r="O1183" s="376" t="s">
        <v>7788</v>
      </c>
      <c r="P1183" s="376" t="s">
        <v>6982</v>
      </c>
      <c r="Q1183" s="16">
        <f>COUNTIF('hedef liste'!A:A,A1183)</f>
        <v>0</v>
      </c>
    </row>
    <row r="1184">
      <c r="A1184" s="376" t="s">
        <v>4669</v>
      </c>
      <c r="B1184" s="376" t="s">
        <v>4670</v>
      </c>
      <c r="C1184" s="428" t="s">
        <v>6979</v>
      </c>
      <c r="D1184" s="376" t="s">
        <v>4671</v>
      </c>
      <c r="E1184" s="429">
        <v>1.0</v>
      </c>
      <c r="F1184" s="429">
        <v>1.0</v>
      </c>
      <c r="G1184" s="429">
        <v>0.0</v>
      </c>
      <c r="H1184" s="429">
        <v>3.0</v>
      </c>
      <c r="I1184" s="429">
        <v>3.0</v>
      </c>
      <c r="J1184" s="430">
        <v>0.0</v>
      </c>
      <c r="K1184" s="376" t="s">
        <v>4672</v>
      </c>
      <c r="L1184" s="376">
        <v>5.422344417E9</v>
      </c>
      <c r="M1184" s="376" t="s">
        <v>286</v>
      </c>
      <c r="N1184" s="376" t="s">
        <v>3737</v>
      </c>
      <c r="O1184" s="376" t="s">
        <v>4673</v>
      </c>
      <c r="P1184" s="376" t="s">
        <v>3941</v>
      </c>
      <c r="Q1184" s="16">
        <f>COUNTIF('hedef liste'!A:A,A1184)</f>
        <v>1</v>
      </c>
    </row>
    <row r="1185">
      <c r="A1185" s="376" t="s">
        <v>3777</v>
      </c>
      <c r="B1185" s="376" t="s">
        <v>3778</v>
      </c>
      <c r="C1185" s="428" t="s">
        <v>6979</v>
      </c>
      <c r="D1185" s="376" t="s">
        <v>3749</v>
      </c>
      <c r="E1185" s="429">
        <v>12.0</v>
      </c>
      <c r="F1185" s="429">
        <v>12.0</v>
      </c>
      <c r="G1185" s="429">
        <v>0.0</v>
      </c>
      <c r="H1185" s="429">
        <v>14.0</v>
      </c>
      <c r="I1185" s="429">
        <v>14.0</v>
      </c>
      <c r="J1185" s="433">
        <v>0.0</v>
      </c>
      <c r="K1185" s="376" t="s">
        <v>3779</v>
      </c>
      <c r="L1185" s="376">
        <v>5.444024221E9</v>
      </c>
      <c r="M1185" s="376" t="s">
        <v>14</v>
      </c>
      <c r="N1185" s="376" t="s">
        <v>3733</v>
      </c>
      <c r="O1185" s="376" t="s">
        <v>3780</v>
      </c>
      <c r="P1185" s="376" t="s">
        <v>3941</v>
      </c>
      <c r="Q1185" s="16">
        <f>COUNTIF('hedef liste'!A:A,A1185)</f>
        <v>1</v>
      </c>
    </row>
    <row r="1186" hidden="1">
      <c r="A1186" s="376" t="s">
        <v>4605</v>
      </c>
      <c r="B1186" s="376" t="s">
        <v>4606</v>
      </c>
      <c r="C1186" s="428" t="s">
        <v>6979</v>
      </c>
      <c r="D1186" s="376" t="s">
        <v>3801</v>
      </c>
      <c r="E1186" s="429">
        <v>10.0</v>
      </c>
      <c r="F1186" s="431"/>
      <c r="G1186" s="429">
        <v>0.0</v>
      </c>
      <c r="H1186" s="429">
        <v>12.0</v>
      </c>
      <c r="I1186" s="429">
        <v>12.0</v>
      </c>
      <c r="J1186" s="430">
        <v>0.0</v>
      </c>
      <c r="K1186" s="376" t="s">
        <v>4607</v>
      </c>
      <c r="L1186" s="376">
        <v>5.52808363E9</v>
      </c>
      <c r="M1186" s="376" t="s">
        <v>3692</v>
      </c>
      <c r="N1186" s="376" t="s">
        <v>3721</v>
      </c>
      <c r="O1186" s="376" t="s">
        <v>2059</v>
      </c>
      <c r="P1186" s="376" t="s">
        <v>3941</v>
      </c>
      <c r="Q1186" s="16">
        <f>COUNTIF('hedef liste'!A:A,A1186)</f>
        <v>1</v>
      </c>
    </row>
    <row r="1187" hidden="1">
      <c r="A1187" s="376" t="s">
        <v>2672</v>
      </c>
      <c r="B1187" s="376" t="s">
        <v>2673</v>
      </c>
      <c r="C1187" s="428" t="s">
        <v>6979</v>
      </c>
      <c r="D1187" s="376" t="s">
        <v>3912</v>
      </c>
      <c r="E1187" s="429">
        <v>37.0</v>
      </c>
      <c r="F1187" s="431"/>
      <c r="G1187" s="429">
        <v>5.0</v>
      </c>
      <c r="H1187" s="429">
        <v>12.0</v>
      </c>
      <c r="I1187" s="429">
        <v>17.0</v>
      </c>
      <c r="J1187" s="430">
        <v>0.29</v>
      </c>
      <c r="K1187" s="376" t="s">
        <v>4184</v>
      </c>
      <c r="L1187" s="376">
        <v>5.4161301E9</v>
      </c>
      <c r="M1187" s="376" t="s">
        <v>286</v>
      </c>
      <c r="N1187" s="376" t="s">
        <v>3782</v>
      </c>
      <c r="O1187" s="376" t="s">
        <v>7789</v>
      </c>
      <c r="P1187" s="376" t="s">
        <v>3941</v>
      </c>
      <c r="Q1187" s="16">
        <f>COUNTIF('hedef liste'!A:A,A1187)</f>
        <v>1</v>
      </c>
    </row>
    <row r="1188">
      <c r="A1188" s="376" t="s">
        <v>5286</v>
      </c>
      <c r="B1188" s="376" t="s">
        <v>5287</v>
      </c>
      <c r="C1188" s="428" t="s">
        <v>6979</v>
      </c>
      <c r="D1188" s="376" t="s">
        <v>3842</v>
      </c>
      <c r="E1188" s="429">
        <v>1.0</v>
      </c>
      <c r="F1188" s="429">
        <v>1.0</v>
      </c>
      <c r="G1188" s="429">
        <v>0.0</v>
      </c>
      <c r="H1188" s="429">
        <v>7.0</v>
      </c>
      <c r="I1188" s="429">
        <v>7.0</v>
      </c>
      <c r="J1188" s="430">
        <v>0.0</v>
      </c>
      <c r="K1188" s="376" t="s">
        <v>5288</v>
      </c>
      <c r="L1188" s="376">
        <v>5.333904626E9</v>
      </c>
      <c r="M1188" s="376" t="s">
        <v>286</v>
      </c>
      <c r="N1188" s="376" t="s">
        <v>3855</v>
      </c>
      <c r="O1188" s="376" t="s">
        <v>5289</v>
      </c>
      <c r="P1188" s="376" t="s">
        <v>3941</v>
      </c>
      <c r="Q1188" s="16">
        <f>COUNTIF('hedef liste'!A:A,A1188)</f>
        <v>1</v>
      </c>
    </row>
    <row r="1189" hidden="1">
      <c r="A1189" s="376" t="s">
        <v>3605</v>
      </c>
      <c r="B1189" s="376" t="s">
        <v>3606</v>
      </c>
      <c r="C1189" s="428" t="s">
        <v>6979</v>
      </c>
      <c r="D1189" s="376" t="s">
        <v>3842</v>
      </c>
      <c r="E1189" s="429">
        <v>89.0</v>
      </c>
      <c r="F1189" s="429">
        <v>6.0</v>
      </c>
      <c r="G1189" s="429">
        <v>0.0</v>
      </c>
      <c r="H1189" s="429">
        <v>7.0</v>
      </c>
      <c r="I1189" s="429">
        <v>7.0</v>
      </c>
      <c r="J1189" s="430">
        <v>0.0</v>
      </c>
      <c r="K1189" s="376" t="s">
        <v>6656</v>
      </c>
      <c r="L1189" s="376">
        <v>5.424223177E9</v>
      </c>
      <c r="M1189" s="376" t="s">
        <v>286</v>
      </c>
      <c r="N1189" s="376" t="s">
        <v>4956</v>
      </c>
      <c r="O1189" s="376" t="s">
        <v>3608</v>
      </c>
      <c r="P1189" s="376" t="s">
        <v>3941</v>
      </c>
      <c r="Q1189" s="16">
        <f>COUNTIF('hedef liste'!A:A,A1189)</f>
        <v>1</v>
      </c>
    </row>
    <row r="1190" hidden="1">
      <c r="A1190" s="376" t="s">
        <v>3463</v>
      </c>
      <c r="B1190" s="376" t="s">
        <v>3464</v>
      </c>
      <c r="C1190" s="428" t="s">
        <v>6979</v>
      </c>
      <c r="D1190" s="376" t="s">
        <v>3699</v>
      </c>
      <c r="E1190" s="429">
        <v>42.0</v>
      </c>
      <c r="F1190" s="429">
        <v>10.0</v>
      </c>
      <c r="G1190" s="429">
        <v>0.0</v>
      </c>
      <c r="H1190" s="429">
        <v>8.0</v>
      </c>
      <c r="I1190" s="429">
        <v>8.0</v>
      </c>
      <c r="J1190" s="430">
        <v>0.0</v>
      </c>
      <c r="K1190" s="376" t="s">
        <v>4406</v>
      </c>
      <c r="L1190" s="376">
        <v>3.222484649E9</v>
      </c>
      <c r="M1190" s="376" t="s">
        <v>14</v>
      </c>
      <c r="N1190" s="376" t="s">
        <v>3826</v>
      </c>
      <c r="O1190" s="376" t="s">
        <v>7790</v>
      </c>
      <c r="P1190" s="376" t="s">
        <v>3941</v>
      </c>
      <c r="Q1190" s="16">
        <f>COUNTIF('hedef liste'!A:A,A1190)</f>
        <v>1</v>
      </c>
    </row>
    <row r="1191" hidden="1">
      <c r="A1191" s="376" t="s">
        <v>6605</v>
      </c>
      <c r="B1191" s="376" t="s">
        <v>6606</v>
      </c>
      <c r="C1191" s="428" t="s">
        <v>6979</v>
      </c>
      <c r="D1191" s="376" t="s">
        <v>4572</v>
      </c>
      <c r="E1191" s="429">
        <v>201.0</v>
      </c>
      <c r="F1191" s="429">
        <v>86.0</v>
      </c>
      <c r="G1191" s="429">
        <v>0.0</v>
      </c>
      <c r="H1191" s="429">
        <v>18.0</v>
      </c>
      <c r="I1191" s="429">
        <v>18.0</v>
      </c>
      <c r="J1191" s="430">
        <v>0.0</v>
      </c>
      <c r="K1191" s="376" t="s">
        <v>6607</v>
      </c>
      <c r="L1191" s="376">
        <v>5.511115837E9</v>
      </c>
      <c r="M1191" s="376" t="s">
        <v>14</v>
      </c>
      <c r="N1191" s="376" t="s">
        <v>3678</v>
      </c>
      <c r="O1191" s="376" t="s">
        <v>6608</v>
      </c>
      <c r="P1191" s="376" t="s">
        <v>3941</v>
      </c>
      <c r="Q1191" s="16">
        <f>COUNTIF('hedef liste'!A:A,A1191)</f>
        <v>1</v>
      </c>
    </row>
    <row r="1192">
      <c r="A1192" s="376" t="s">
        <v>3711</v>
      </c>
      <c r="B1192" s="376" t="s">
        <v>3712</v>
      </c>
      <c r="C1192" s="428" t="s">
        <v>6979</v>
      </c>
      <c r="D1192" s="376" t="s">
        <v>3713</v>
      </c>
      <c r="E1192" s="431"/>
      <c r="F1192" s="431"/>
      <c r="G1192" s="429">
        <v>0.0</v>
      </c>
      <c r="H1192" s="429">
        <v>8.0</v>
      </c>
      <c r="I1192" s="429">
        <v>8.0</v>
      </c>
      <c r="J1192" s="430">
        <v>0.0</v>
      </c>
      <c r="K1192" s="376" t="s">
        <v>3714</v>
      </c>
      <c r="L1192" s="376">
        <v>5.372339571E9</v>
      </c>
      <c r="M1192" s="376" t="s">
        <v>3707</v>
      </c>
      <c r="N1192" s="376" t="s">
        <v>3715</v>
      </c>
      <c r="O1192" s="376" t="s">
        <v>3716</v>
      </c>
      <c r="P1192" s="376" t="s">
        <v>3941</v>
      </c>
      <c r="Q1192" s="16">
        <f>COUNTIF('hedef liste'!A:A,A1192)</f>
        <v>1</v>
      </c>
    </row>
    <row r="1193" hidden="1">
      <c r="A1193" s="376" t="s">
        <v>2479</v>
      </c>
      <c r="B1193" s="376" t="s">
        <v>2480</v>
      </c>
      <c r="C1193" s="428" t="s">
        <v>6979</v>
      </c>
      <c r="D1193" s="376" t="s">
        <v>3690</v>
      </c>
      <c r="E1193" s="429">
        <v>800.0</v>
      </c>
      <c r="F1193" s="429">
        <v>15.0</v>
      </c>
      <c r="G1193" s="429">
        <v>2.0</v>
      </c>
      <c r="H1193" s="429">
        <v>1.0</v>
      </c>
      <c r="I1193" s="429">
        <v>3.0</v>
      </c>
      <c r="J1193" s="430">
        <v>0.67</v>
      </c>
      <c r="K1193" s="376" t="s">
        <v>6611</v>
      </c>
      <c r="L1193" s="376">
        <v>5.445462025E9</v>
      </c>
      <c r="M1193" s="376" t="s">
        <v>14</v>
      </c>
      <c r="N1193" s="376" t="s">
        <v>3678</v>
      </c>
      <c r="O1193" s="376" t="s">
        <v>7791</v>
      </c>
      <c r="P1193" s="376" t="s">
        <v>3941</v>
      </c>
      <c r="Q1193" s="16">
        <f>COUNTIF('hedef liste'!A:A,A1193)</f>
        <v>1</v>
      </c>
    </row>
    <row r="1194" hidden="1">
      <c r="A1194" s="376" t="s">
        <v>956</v>
      </c>
      <c r="B1194" s="376" t="s">
        <v>957</v>
      </c>
      <c r="C1194" s="428" t="s">
        <v>7011</v>
      </c>
      <c r="D1194" s="376" t="s">
        <v>3759</v>
      </c>
      <c r="E1194" s="429">
        <v>1144.0</v>
      </c>
      <c r="F1194" s="431"/>
      <c r="G1194" s="429">
        <v>0.0</v>
      </c>
      <c r="H1194" s="429">
        <v>7.0</v>
      </c>
      <c r="I1194" s="429">
        <v>7.0</v>
      </c>
      <c r="J1194" s="430">
        <v>0.0</v>
      </c>
      <c r="K1194" s="376" t="s">
        <v>6524</v>
      </c>
      <c r="L1194" s="376">
        <v>3.224589488E9</v>
      </c>
      <c r="M1194" s="376" t="s">
        <v>286</v>
      </c>
      <c r="N1194" s="376" t="s">
        <v>3737</v>
      </c>
      <c r="O1194" s="376" t="s">
        <v>959</v>
      </c>
      <c r="P1194" s="376" t="s">
        <v>3941</v>
      </c>
      <c r="Q1194" s="16">
        <f>COUNTIF('hedef liste'!A:A,A1194)</f>
        <v>1</v>
      </c>
    </row>
    <row r="1195" hidden="1">
      <c r="A1195" s="376" t="s">
        <v>4847</v>
      </c>
      <c r="B1195" s="376" t="s">
        <v>4848</v>
      </c>
      <c r="C1195" s="428" t="s">
        <v>7011</v>
      </c>
      <c r="D1195" s="376" t="s">
        <v>3676</v>
      </c>
      <c r="E1195" s="429">
        <v>90.0</v>
      </c>
      <c r="F1195" s="431"/>
      <c r="G1195" s="429">
        <v>0.0</v>
      </c>
      <c r="H1195" s="429">
        <v>9.0</v>
      </c>
      <c r="I1195" s="429">
        <v>9.0</v>
      </c>
      <c r="J1195" s="430">
        <v>0.0</v>
      </c>
      <c r="K1195" s="376" t="s">
        <v>4849</v>
      </c>
      <c r="L1195" s="376">
        <v>3.223210486E9</v>
      </c>
      <c r="M1195" s="376" t="s">
        <v>3707</v>
      </c>
      <c r="N1195" s="376" t="s">
        <v>3692</v>
      </c>
      <c r="O1195" s="376" t="s">
        <v>4850</v>
      </c>
      <c r="P1195" s="376" t="s">
        <v>3941</v>
      </c>
      <c r="Q1195" s="16">
        <f>COUNTIF('hedef liste'!A:A,A1195)</f>
        <v>1</v>
      </c>
    </row>
    <row r="1196">
      <c r="A1196" s="376" t="s">
        <v>4793</v>
      </c>
      <c r="B1196" s="376" t="s">
        <v>4794</v>
      </c>
      <c r="C1196" s="428" t="s">
        <v>6979</v>
      </c>
      <c r="D1196" s="376" t="s">
        <v>3842</v>
      </c>
      <c r="E1196" s="429">
        <v>11.0</v>
      </c>
      <c r="F1196" s="429">
        <v>11.0</v>
      </c>
      <c r="G1196" s="429">
        <v>0.0</v>
      </c>
      <c r="H1196" s="429">
        <v>7.0</v>
      </c>
      <c r="I1196" s="429">
        <v>7.0</v>
      </c>
      <c r="J1196" s="430">
        <v>0.0</v>
      </c>
      <c r="K1196" s="376" t="s">
        <v>4795</v>
      </c>
      <c r="L1196" s="376">
        <v>5.45425034E9</v>
      </c>
      <c r="M1196" s="376" t="s">
        <v>14</v>
      </c>
      <c r="N1196" s="376" t="s">
        <v>3826</v>
      </c>
      <c r="O1196" s="376" t="s">
        <v>4796</v>
      </c>
      <c r="P1196" s="376" t="s">
        <v>3941</v>
      </c>
      <c r="Q1196" s="16">
        <f>COUNTIF('hedef liste'!A:A,A1196)</f>
        <v>1</v>
      </c>
    </row>
    <row r="1197" hidden="1">
      <c r="A1197" s="376" t="s">
        <v>5332</v>
      </c>
      <c r="B1197" s="376" t="s">
        <v>5333</v>
      </c>
      <c r="C1197" s="428" t="s">
        <v>6979</v>
      </c>
      <c r="D1197" s="376" t="s">
        <v>3699</v>
      </c>
      <c r="E1197" s="429">
        <v>536.0</v>
      </c>
      <c r="F1197" s="429">
        <v>41.0</v>
      </c>
      <c r="G1197" s="429">
        <v>0.0</v>
      </c>
      <c r="H1197" s="429">
        <v>4.0</v>
      </c>
      <c r="I1197" s="429">
        <v>4.0</v>
      </c>
      <c r="J1197" s="430">
        <v>0.0</v>
      </c>
      <c r="K1197" s="376" t="s">
        <v>5334</v>
      </c>
      <c r="L1197" s="376">
        <v>5.49899798E9</v>
      </c>
      <c r="M1197" s="376" t="s">
        <v>286</v>
      </c>
      <c r="N1197" s="376" t="s">
        <v>3746</v>
      </c>
      <c r="O1197" s="376" t="s">
        <v>5335</v>
      </c>
      <c r="P1197" s="376" t="s">
        <v>3941</v>
      </c>
      <c r="Q1197" s="16">
        <f>COUNTIF('hedef liste'!A:A,A1197)</f>
        <v>1</v>
      </c>
    </row>
    <row r="1198" hidden="1">
      <c r="A1198" s="376" t="s">
        <v>5447</v>
      </c>
      <c r="B1198" s="376" t="s">
        <v>5448</v>
      </c>
      <c r="C1198" s="428" t="s">
        <v>6979</v>
      </c>
      <c r="D1198" s="376" t="s">
        <v>3690</v>
      </c>
      <c r="E1198" s="429">
        <v>11.0</v>
      </c>
      <c r="F1198" s="431"/>
      <c r="G1198" s="429">
        <v>0.0</v>
      </c>
      <c r="H1198" s="429">
        <v>8.0</v>
      </c>
      <c r="I1198" s="429">
        <v>8.0</v>
      </c>
      <c r="J1198" s="430">
        <v>0.0</v>
      </c>
      <c r="K1198" s="376" t="s">
        <v>5449</v>
      </c>
      <c r="L1198" s="376">
        <v>5.356685673E9</v>
      </c>
      <c r="M1198" s="376" t="s">
        <v>286</v>
      </c>
      <c r="N1198" s="376" t="s">
        <v>3758</v>
      </c>
      <c r="O1198" s="376" t="s">
        <v>5450</v>
      </c>
      <c r="P1198" s="376" t="s">
        <v>3941</v>
      </c>
      <c r="Q1198" s="16">
        <f>COUNTIF('hedef liste'!A:A,A1198)</f>
        <v>1</v>
      </c>
    </row>
    <row r="1199" hidden="1">
      <c r="A1199" s="376" t="s">
        <v>3430</v>
      </c>
      <c r="B1199" s="376" t="s">
        <v>7792</v>
      </c>
      <c r="C1199" s="428" t="s">
        <v>6979</v>
      </c>
      <c r="D1199" s="376" t="s">
        <v>3699</v>
      </c>
      <c r="E1199" s="429">
        <v>1.0</v>
      </c>
      <c r="F1199" s="431"/>
      <c r="G1199" s="429">
        <v>1.0</v>
      </c>
      <c r="H1199" s="429">
        <v>3.0</v>
      </c>
      <c r="I1199" s="429">
        <v>4.0</v>
      </c>
      <c r="J1199" s="430">
        <v>0.25</v>
      </c>
      <c r="K1199" s="376" t="s">
        <v>6441</v>
      </c>
      <c r="L1199" s="376">
        <v>8.502207778E9</v>
      </c>
      <c r="M1199" s="376" t="s">
        <v>286</v>
      </c>
      <c r="N1199" s="376" t="s">
        <v>3688</v>
      </c>
      <c r="O1199" s="376" t="s">
        <v>3433</v>
      </c>
      <c r="P1199" s="376" t="s">
        <v>3941</v>
      </c>
      <c r="Q1199" s="16">
        <f>COUNTIF('hedef liste'!A:A,A1199)</f>
        <v>1</v>
      </c>
    </row>
    <row r="1200" hidden="1">
      <c r="A1200" s="376" t="s">
        <v>6511</v>
      </c>
      <c r="B1200" s="376" t="s">
        <v>6512</v>
      </c>
      <c r="C1200" s="428" t="s">
        <v>6979</v>
      </c>
      <c r="D1200" s="376" t="s">
        <v>3690</v>
      </c>
      <c r="E1200" s="429">
        <v>18.0</v>
      </c>
      <c r="F1200" s="429">
        <v>12.0</v>
      </c>
      <c r="G1200" s="429">
        <v>0.0</v>
      </c>
      <c r="H1200" s="429">
        <v>4.0</v>
      </c>
      <c r="I1200" s="429">
        <v>4.0</v>
      </c>
      <c r="J1200" s="430">
        <v>0.0</v>
      </c>
      <c r="K1200" s="376" t="s">
        <v>6513</v>
      </c>
      <c r="L1200" s="376">
        <v>5.345240082E9</v>
      </c>
      <c r="M1200" s="376" t="s">
        <v>14</v>
      </c>
      <c r="N1200" s="376" t="s">
        <v>3797</v>
      </c>
      <c r="O1200" s="376" t="s">
        <v>6514</v>
      </c>
      <c r="P1200" s="376" t="s">
        <v>3941</v>
      </c>
      <c r="Q1200" s="16">
        <f>COUNTIF('hedef liste'!A:A,A1200)</f>
        <v>1</v>
      </c>
    </row>
    <row r="1201" hidden="1">
      <c r="A1201" s="376" t="s">
        <v>5082</v>
      </c>
      <c r="B1201" s="376" t="s">
        <v>5083</v>
      </c>
      <c r="C1201" s="428" t="s">
        <v>6979</v>
      </c>
      <c r="D1201" s="376" t="s">
        <v>3801</v>
      </c>
      <c r="E1201" s="429">
        <v>40.0</v>
      </c>
      <c r="F1201" s="429">
        <v>18.0</v>
      </c>
      <c r="G1201" s="429">
        <v>0.0</v>
      </c>
      <c r="H1201" s="429">
        <v>4.0</v>
      </c>
      <c r="I1201" s="429">
        <v>4.0</v>
      </c>
      <c r="J1201" s="433">
        <v>0.0</v>
      </c>
      <c r="K1201" s="376" t="s">
        <v>5084</v>
      </c>
      <c r="L1201" s="376">
        <v>5.525027301E9</v>
      </c>
      <c r="M1201" s="376" t="s">
        <v>286</v>
      </c>
      <c r="N1201" s="376" t="s">
        <v>3782</v>
      </c>
      <c r="O1201" s="376" t="s">
        <v>5085</v>
      </c>
      <c r="P1201" s="376" t="s">
        <v>3941</v>
      </c>
      <c r="Q1201" s="16">
        <f>COUNTIF('hedef liste'!A:A,A1201)</f>
        <v>1</v>
      </c>
    </row>
    <row r="1202" hidden="1">
      <c r="A1202" s="376" t="s">
        <v>4274</v>
      </c>
      <c r="B1202" s="376" t="s">
        <v>4275</v>
      </c>
      <c r="C1202" s="428" t="s">
        <v>7011</v>
      </c>
      <c r="D1202" s="376" t="s">
        <v>3699</v>
      </c>
      <c r="E1202" s="429">
        <v>111.0</v>
      </c>
      <c r="F1202" s="431"/>
      <c r="G1202" s="429">
        <v>0.0</v>
      </c>
      <c r="H1202" s="429">
        <v>7.0</v>
      </c>
      <c r="I1202" s="429">
        <v>7.0</v>
      </c>
      <c r="J1202" s="430">
        <v>0.0</v>
      </c>
      <c r="K1202" s="376" t="s">
        <v>4276</v>
      </c>
      <c r="L1202" s="376">
        <v>5.444425329E9</v>
      </c>
      <c r="M1202" s="376" t="s">
        <v>286</v>
      </c>
      <c r="N1202" s="376" t="s">
        <v>3754</v>
      </c>
      <c r="O1202" s="376" t="s">
        <v>4277</v>
      </c>
      <c r="P1202" s="376" t="s">
        <v>3941</v>
      </c>
      <c r="Q1202" s="16">
        <f>COUNTIF('hedef liste'!A:A,A1202)</f>
        <v>1</v>
      </c>
    </row>
    <row r="1203" hidden="1">
      <c r="A1203" s="376" t="s">
        <v>6062</v>
      </c>
      <c r="B1203" s="376" t="s">
        <v>6063</v>
      </c>
      <c r="C1203" s="428" t="s">
        <v>6979</v>
      </c>
      <c r="D1203" s="376" t="s">
        <v>3759</v>
      </c>
      <c r="E1203" s="429">
        <v>1390.0</v>
      </c>
      <c r="F1203" s="429">
        <v>90.0</v>
      </c>
      <c r="G1203" s="429">
        <v>0.0</v>
      </c>
      <c r="H1203" s="429">
        <v>6.0</v>
      </c>
      <c r="I1203" s="429">
        <v>6.0</v>
      </c>
      <c r="J1203" s="430">
        <v>0.0</v>
      </c>
      <c r="K1203" s="376" t="s">
        <v>6064</v>
      </c>
      <c r="L1203" s="376">
        <v>3.22324095E9</v>
      </c>
      <c r="M1203" s="376" t="s">
        <v>3707</v>
      </c>
      <c r="N1203" s="376" t="s">
        <v>5245</v>
      </c>
      <c r="O1203" s="376" t="s">
        <v>6065</v>
      </c>
      <c r="P1203" s="376" t="s">
        <v>3941</v>
      </c>
      <c r="Q1203" s="16">
        <f>COUNTIF('hedef liste'!A:A,A1203)</f>
        <v>1</v>
      </c>
    </row>
    <row r="1204" hidden="1">
      <c r="A1204" s="376" t="s">
        <v>5592</v>
      </c>
      <c r="B1204" s="376" t="s">
        <v>5593</v>
      </c>
      <c r="C1204" s="428" t="s">
        <v>6979</v>
      </c>
      <c r="D1204" s="376" t="s">
        <v>3713</v>
      </c>
      <c r="E1204" s="429">
        <v>74.0</v>
      </c>
      <c r="F1204" s="429">
        <v>56.0</v>
      </c>
      <c r="G1204" s="429">
        <v>0.0</v>
      </c>
      <c r="H1204" s="429">
        <v>11.0</v>
      </c>
      <c r="I1204" s="429">
        <v>11.0</v>
      </c>
      <c r="J1204" s="433">
        <v>0.0</v>
      </c>
      <c r="K1204" s="376" t="s">
        <v>5594</v>
      </c>
      <c r="L1204" s="376">
        <v>5.457264616E9</v>
      </c>
      <c r="M1204" s="376" t="s">
        <v>3692</v>
      </c>
      <c r="N1204" s="376" t="s">
        <v>3901</v>
      </c>
      <c r="O1204" s="376" t="s">
        <v>5595</v>
      </c>
      <c r="P1204" s="376" t="s">
        <v>3941</v>
      </c>
      <c r="Q1204" s="16">
        <f>COUNTIF('hedef liste'!A:A,A1204)</f>
        <v>1</v>
      </c>
    </row>
    <row r="1205" hidden="1">
      <c r="A1205" s="376" t="s">
        <v>3985</v>
      </c>
      <c r="B1205" s="376" t="s">
        <v>3986</v>
      </c>
      <c r="C1205" s="428" t="s">
        <v>6979</v>
      </c>
      <c r="D1205" s="376" t="s">
        <v>3801</v>
      </c>
      <c r="E1205" s="429">
        <v>2.0</v>
      </c>
      <c r="F1205" s="431"/>
      <c r="G1205" s="429">
        <v>0.0</v>
      </c>
      <c r="H1205" s="429">
        <v>6.0</v>
      </c>
      <c r="I1205" s="429">
        <v>6.0</v>
      </c>
      <c r="J1205" s="433">
        <v>0.0</v>
      </c>
      <c r="K1205" s="376" t="s">
        <v>3987</v>
      </c>
      <c r="L1205" s="376">
        <v>5.456378305E9</v>
      </c>
      <c r="M1205" s="376" t="s">
        <v>14</v>
      </c>
      <c r="N1205" s="376" t="s">
        <v>3914</v>
      </c>
      <c r="O1205" s="376" t="s">
        <v>3988</v>
      </c>
      <c r="P1205" s="376" t="s">
        <v>3941</v>
      </c>
      <c r="Q1205" s="16">
        <f>COUNTIF('hedef liste'!A:A,A1205)</f>
        <v>1</v>
      </c>
    </row>
    <row r="1206" hidden="1">
      <c r="A1206" s="376" t="s">
        <v>4132</v>
      </c>
      <c r="B1206" s="376" t="s">
        <v>4133</v>
      </c>
      <c r="C1206" s="428" t="s">
        <v>6979</v>
      </c>
      <c r="D1206" s="376" t="s">
        <v>3801</v>
      </c>
      <c r="E1206" s="429">
        <v>96.0</v>
      </c>
      <c r="F1206" s="429">
        <v>23.0</v>
      </c>
      <c r="G1206" s="429">
        <v>0.0</v>
      </c>
      <c r="H1206" s="429">
        <v>5.0</v>
      </c>
      <c r="I1206" s="429">
        <v>5.0</v>
      </c>
      <c r="J1206" s="430">
        <v>0.0</v>
      </c>
      <c r="K1206" s="376" t="s">
        <v>4134</v>
      </c>
      <c r="L1206" s="376">
        <v>5.434054198E9</v>
      </c>
      <c r="M1206" s="376" t="s">
        <v>286</v>
      </c>
      <c r="N1206" s="376" t="s">
        <v>4135</v>
      </c>
      <c r="O1206" s="376" t="s">
        <v>4136</v>
      </c>
      <c r="P1206" s="376" t="s">
        <v>3941</v>
      </c>
      <c r="Q1206" s="16">
        <f>COUNTIF('hedef liste'!A:A,A1206)</f>
        <v>1</v>
      </c>
    </row>
    <row r="1207" hidden="1">
      <c r="A1207" s="376" t="s">
        <v>5668</v>
      </c>
      <c r="B1207" s="376" t="s">
        <v>5669</v>
      </c>
      <c r="C1207" s="428" t="s">
        <v>6979</v>
      </c>
      <c r="D1207" s="376" t="s">
        <v>3801</v>
      </c>
      <c r="E1207" s="429">
        <v>172.0</v>
      </c>
      <c r="F1207" s="429">
        <v>26.0</v>
      </c>
      <c r="G1207" s="429">
        <v>0.0</v>
      </c>
      <c r="H1207" s="429">
        <v>4.0</v>
      </c>
      <c r="I1207" s="429">
        <v>4.0</v>
      </c>
      <c r="J1207" s="430">
        <v>0.0</v>
      </c>
      <c r="K1207" s="376" t="s">
        <v>5670</v>
      </c>
      <c r="L1207" s="376">
        <v>5.529453196E9</v>
      </c>
      <c r="M1207" s="376" t="s">
        <v>286</v>
      </c>
      <c r="N1207" s="376" t="s">
        <v>4135</v>
      </c>
      <c r="O1207" s="376" t="s">
        <v>5671</v>
      </c>
      <c r="P1207" s="376" t="s">
        <v>3941</v>
      </c>
      <c r="Q1207" s="16">
        <f>COUNTIF('hedef liste'!A:A,A1207)</f>
        <v>1</v>
      </c>
    </row>
    <row r="1208" hidden="1">
      <c r="A1208" s="376" t="s">
        <v>5848</v>
      </c>
      <c r="B1208" s="376" t="s">
        <v>5849</v>
      </c>
      <c r="C1208" s="428" t="s">
        <v>6979</v>
      </c>
      <c r="D1208" s="376" t="s">
        <v>3994</v>
      </c>
      <c r="E1208" s="429">
        <v>261.0</v>
      </c>
      <c r="F1208" s="429">
        <v>84.0</v>
      </c>
      <c r="G1208" s="429">
        <v>0.0</v>
      </c>
      <c r="H1208" s="429">
        <v>9.0</v>
      </c>
      <c r="I1208" s="429">
        <v>9.0</v>
      </c>
      <c r="J1208" s="430">
        <v>0.0</v>
      </c>
      <c r="K1208" s="376" t="s">
        <v>5850</v>
      </c>
      <c r="L1208" s="376">
        <v>5.466920016E9</v>
      </c>
      <c r="M1208" s="376" t="s">
        <v>3814</v>
      </c>
      <c r="N1208" s="376" t="s">
        <v>3815</v>
      </c>
      <c r="O1208" s="376" t="s">
        <v>5851</v>
      </c>
      <c r="P1208" s="376" t="s">
        <v>3941</v>
      </c>
      <c r="Q1208" s="16">
        <f>COUNTIF('hedef liste'!A:A,A1208)</f>
        <v>1</v>
      </c>
    </row>
    <row r="1209" hidden="1">
      <c r="A1209" s="376" t="s">
        <v>3564</v>
      </c>
      <c r="B1209" s="376" t="s">
        <v>3565</v>
      </c>
      <c r="C1209" s="428" t="s">
        <v>6979</v>
      </c>
      <c r="D1209" s="376" t="s">
        <v>3912</v>
      </c>
      <c r="E1209" s="429">
        <v>227.0</v>
      </c>
      <c r="F1209" s="429">
        <v>35.0</v>
      </c>
      <c r="G1209" s="429">
        <v>0.0</v>
      </c>
      <c r="H1209" s="429">
        <v>14.0</v>
      </c>
      <c r="I1209" s="429">
        <v>14.0</v>
      </c>
      <c r="J1209" s="430">
        <v>0.0</v>
      </c>
      <c r="K1209" s="376" t="s">
        <v>5525</v>
      </c>
      <c r="L1209" s="376">
        <v>3.223650105E9</v>
      </c>
      <c r="M1209" s="376" t="s">
        <v>286</v>
      </c>
      <c r="N1209" s="376" t="s">
        <v>5364</v>
      </c>
      <c r="O1209" s="376" t="s">
        <v>3568</v>
      </c>
      <c r="P1209" s="376" t="s">
        <v>3941</v>
      </c>
      <c r="Q1209" s="16">
        <f>COUNTIF('hedef liste'!A:A,A1209)</f>
        <v>1</v>
      </c>
    </row>
    <row r="1210" hidden="1">
      <c r="A1210" s="376" t="s">
        <v>3360</v>
      </c>
      <c r="B1210" s="376" t="s">
        <v>957</v>
      </c>
      <c r="C1210" s="428" t="s">
        <v>6979</v>
      </c>
      <c r="D1210" s="376" t="s">
        <v>3759</v>
      </c>
      <c r="E1210" s="429">
        <v>289.0</v>
      </c>
      <c r="F1210" s="429">
        <v>56.0</v>
      </c>
      <c r="G1210" s="429">
        <v>3.0</v>
      </c>
      <c r="H1210" s="429">
        <v>4.0</v>
      </c>
      <c r="I1210" s="429">
        <v>7.0</v>
      </c>
      <c r="J1210" s="430">
        <v>0.43</v>
      </c>
      <c r="K1210" s="376" t="s">
        <v>6526</v>
      </c>
      <c r="L1210" s="376">
        <v>3.224589488E9</v>
      </c>
      <c r="M1210" s="376" t="s">
        <v>286</v>
      </c>
      <c r="N1210" s="376" t="s">
        <v>3737</v>
      </c>
      <c r="O1210" s="376" t="s">
        <v>959</v>
      </c>
      <c r="P1210" s="376" t="s">
        <v>3941</v>
      </c>
      <c r="Q1210" s="16">
        <f>COUNTIF('hedef liste'!A:A,A1210)</f>
        <v>1</v>
      </c>
    </row>
    <row r="1211" hidden="1">
      <c r="A1211" s="376" t="s">
        <v>5692</v>
      </c>
      <c r="B1211" s="376" t="s">
        <v>5693</v>
      </c>
      <c r="C1211" s="428" t="s">
        <v>6979</v>
      </c>
      <c r="D1211" s="376" t="s">
        <v>3676</v>
      </c>
      <c r="E1211" s="429">
        <v>355.0</v>
      </c>
      <c r="F1211" s="429">
        <v>7.0</v>
      </c>
      <c r="G1211" s="429">
        <v>0.0</v>
      </c>
      <c r="H1211" s="429">
        <v>7.0</v>
      </c>
      <c r="I1211" s="429">
        <v>7.0</v>
      </c>
      <c r="J1211" s="430">
        <v>0.0</v>
      </c>
      <c r="K1211" s="376" t="s">
        <v>5694</v>
      </c>
      <c r="L1211" s="376">
        <v>5.52817319E9</v>
      </c>
      <c r="M1211" s="376" t="s">
        <v>286</v>
      </c>
      <c r="N1211" s="376" t="s">
        <v>3769</v>
      </c>
      <c r="O1211" s="376" t="s">
        <v>5695</v>
      </c>
      <c r="P1211" s="376" t="s">
        <v>3941</v>
      </c>
      <c r="Q1211" s="16">
        <f>COUNTIF('hedef liste'!A:A,A1211)</f>
        <v>1</v>
      </c>
    </row>
    <row r="1212" hidden="1">
      <c r="A1212" s="376" t="s">
        <v>2694</v>
      </c>
      <c r="B1212" s="376" t="s">
        <v>2695</v>
      </c>
      <c r="C1212" s="428" t="s">
        <v>6979</v>
      </c>
      <c r="D1212" s="376" t="s">
        <v>3690</v>
      </c>
      <c r="E1212" s="429">
        <v>379.0</v>
      </c>
      <c r="F1212" s="431"/>
      <c r="G1212" s="429">
        <v>5.0</v>
      </c>
      <c r="H1212" s="429">
        <v>1.0</v>
      </c>
      <c r="I1212" s="429">
        <v>6.0</v>
      </c>
      <c r="J1212" s="430">
        <v>0.83</v>
      </c>
      <c r="K1212" s="376" t="s">
        <v>6763</v>
      </c>
      <c r="L1212" s="376">
        <v>3.229993134E9</v>
      </c>
      <c r="M1212" s="376" t="s">
        <v>286</v>
      </c>
      <c r="N1212" s="376" t="s">
        <v>3855</v>
      </c>
      <c r="O1212" s="376" t="s">
        <v>6764</v>
      </c>
      <c r="P1212" s="376" t="s">
        <v>3941</v>
      </c>
      <c r="Q1212" s="16">
        <f>COUNTIF('hedef liste'!A:A,A1212)</f>
        <v>1</v>
      </c>
    </row>
    <row r="1213" hidden="1">
      <c r="A1213" s="376" t="s">
        <v>2734</v>
      </c>
      <c r="B1213" s="376" t="s">
        <v>2735</v>
      </c>
      <c r="C1213" s="428" t="s">
        <v>6979</v>
      </c>
      <c r="D1213" s="376" t="s">
        <v>3676</v>
      </c>
      <c r="E1213" s="429">
        <v>557.0</v>
      </c>
      <c r="F1213" s="429">
        <v>3.0</v>
      </c>
      <c r="G1213" s="429">
        <v>8.0</v>
      </c>
      <c r="H1213" s="429">
        <v>0.0</v>
      </c>
      <c r="I1213" s="429">
        <v>8.0</v>
      </c>
      <c r="J1213" s="430">
        <v>1.0</v>
      </c>
      <c r="K1213" s="376" t="s">
        <v>3677</v>
      </c>
      <c r="L1213" s="376">
        <v>5.079724473E9</v>
      </c>
      <c r="M1213" s="376" t="s">
        <v>14</v>
      </c>
      <c r="N1213" s="376" t="s">
        <v>3678</v>
      </c>
      <c r="O1213" s="376" t="s">
        <v>2737</v>
      </c>
      <c r="P1213" s="376" t="s">
        <v>3941</v>
      </c>
      <c r="Q1213" s="16">
        <f>COUNTIF('hedef liste'!A:A,A1213)</f>
        <v>1</v>
      </c>
    </row>
    <row r="1214" hidden="1">
      <c r="A1214" s="376" t="s">
        <v>2909</v>
      </c>
      <c r="B1214" s="376" t="s">
        <v>2910</v>
      </c>
      <c r="C1214" s="428" t="s">
        <v>6979</v>
      </c>
      <c r="D1214" s="376" t="s">
        <v>4671</v>
      </c>
      <c r="E1214" s="429">
        <v>292.0</v>
      </c>
      <c r="F1214" s="429">
        <v>8.0</v>
      </c>
      <c r="G1214" s="429">
        <v>0.0</v>
      </c>
      <c r="H1214" s="429">
        <v>1.0</v>
      </c>
      <c r="I1214" s="429">
        <v>1.0</v>
      </c>
      <c r="J1214" s="430">
        <v>0.0</v>
      </c>
      <c r="K1214" s="376" t="s">
        <v>4736</v>
      </c>
      <c r="L1214" s="376">
        <v>5.433623122E9</v>
      </c>
      <c r="M1214" s="376" t="s">
        <v>286</v>
      </c>
      <c r="N1214" s="376" t="s">
        <v>3737</v>
      </c>
      <c r="O1214" s="376" t="s">
        <v>4739</v>
      </c>
      <c r="P1214" s="376" t="s">
        <v>3941</v>
      </c>
      <c r="Q1214" s="16">
        <f>COUNTIF('hedef liste'!A:A,A1214)</f>
        <v>1</v>
      </c>
    </row>
    <row r="1215" hidden="1">
      <c r="A1215" s="376" t="s">
        <v>5515</v>
      </c>
      <c r="B1215" s="376" t="s">
        <v>5516</v>
      </c>
      <c r="C1215" s="428" t="s">
        <v>6979</v>
      </c>
      <c r="D1215" s="376" t="s">
        <v>3912</v>
      </c>
      <c r="E1215" s="429">
        <v>269.0</v>
      </c>
      <c r="F1215" s="429">
        <v>6.0</v>
      </c>
      <c r="G1215" s="429">
        <v>0.0</v>
      </c>
      <c r="H1215" s="429">
        <v>3.0</v>
      </c>
      <c r="I1215" s="429">
        <v>3.0</v>
      </c>
      <c r="J1215" s="430">
        <v>0.0</v>
      </c>
      <c r="K1215" s="376" t="s">
        <v>5517</v>
      </c>
      <c r="L1215" s="376">
        <v>5.437304057E9</v>
      </c>
      <c r="M1215" s="376" t="s">
        <v>3701</v>
      </c>
      <c r="N1215" s="376" t="s">
        <v>5518</v>
      </c>
      <c r="O1215" s="376" t="s">
        <v>5519</v>
      </c>
      <c r="P1215" s="376" t="s">
        <v>3941</v>
      </c>
      <c r="Q1215" s="16">
        <f>COUNTIF('hedef liste'!A:A,A1215)</f>
        <v>1</v>
      </c>
    </row>
    <row r="1216" hidden="1">
      <c r="A1216" s="376" t="s">
        <v>4741</v>
      </c>
      <c r="B1216" s="376" t="s">
        <v>4742</v>
      </c>
      <c r="C1216" s="428" t="s">
        <v>6979</v>
      </c>
      <c r="D1216" s="376" t="s">
        <v>4671</v>
      </c>
      <c r="E1216" s="429">
        <v>62.0</v>
      </c>
      <c r="F1216" s="431"/>
      <c r="G1216" s="429">
        <v>0.0</v>
      </c>
      <c r="H1216" s="429">
        <v>1.0</v>
      </c>
      <c r="I1216" s="429">
        <v>1.0</v>
      </c>
      <c r="J1216" s="430">
        <v>0.0</v>
      </c>
      <c r="K1216" s="376" t="s">
        <v>4736</v>
      </c>
      <c r="L1216" s="376">
        <v>5.433623122E9</v>
      </c>
      <c r="M1216" s="376" t="s">
        <v>286</v>
      </c>
      <c r="N1216" s="376" t="s">
        <v>3855</v>
      </c>
      <c r="O1216" s="376" t="s">
        <v>4743</v>
      </c>
      <c r="P1216" s="376" t="s">
        <v>3941</v>
      </c>
      <c r="Q1216" s="16">
        <f>COUNTIF('hedef liste'!A:A,A1216)</f>
        <v>1</v>
      </c>
    </row>
    <row r="1217" hidden="1">
      <c r="A1217" s="376" t="s">
        <v>1853</v>
      </c>
      <c r="B1217" s="376" t="s">
        <v>1854</v>
      </c>
      <c r="C1217" s="428" t="s">
        <v>6979</v>
      </c>
      <c r="D1217" s="376" t="s">
        <v>4671</v>
      </c>
      <c r="E1217" s="429">
        <v>445.0</v>
      </c>
      <c r="F1217" s="429">
        <v>25.0</v>
      </c>
      <c r="G1217" s="429">
        <v>0.0</v>
      </c>
      <c r="H1217" s="429">
        <v>1.0</v>
      </c>
      <c r="I1217" s="429">
        <v>1.0</v>
      </c>
      <c r="J1217" s="433">
        <v>0.0</v>
      </c>
      <c r="K1217" s="376" t="s">
        <v>4736</v>
      </c>
      <c r="L1217" s="376">
        <v>5.45858187E9</v>
      </c>
      <c r="M1217" s="376" t="s">
        <v>14</v>
      </c>
      <c r="N1217" s="376" t="s">
        <v>3826</v>
      </c>
      <c r="O1217" s="376" t="s">
        <v>4737</v>
      </c>
      <c r="P1217" s="376" t="s">
        <v>3941</v>
      </c>
      <c r="Q1217" s="16">
        <f>COUNTIF('hedef liste'!A:A,A1217)</f>
        <v>1</v>
      </c>
    </row>
    <row r="1218" hidden="1">
      <c r="A1218" s="376" t="s">
        <v>7793</v>
      </c>
      <c r="B1218" s="376" t="s">
        <v>7794</v>
      </c>
      <c r="C1218" s="428" t="s">
        <v>7011</v>
      </c>
      <c r="D1218" s="376" t="s">
        <v>7795</v>
      </c>
      <c r="E1218" s="431"/>
      <c r="F1218" s="431"/>
      <c r="G1218" s="429">
        <v>0.0</v>
      </c>
      <c r="H1218" s="429">
        <v>1.0</v>
      </c>
      <c r="I1218" s="429">
        <v>1.0</v>
      </c>
      <c r="J1218" s="430">
        <v>0.0</v>
      </c>
      <c r="K1218" s="376" t="s">
        <v>7796</v>
      </c>
      <c r="L1218" s="376">
        <v>5.326706358E9</v>
      </c>
      <c r="M1218" s="376" t="s">
        <v>286</v>
      </c>
      <c r="N1218" s="376" t="s">
        <v>3737</v>
      </c>
      <c r="O1218" s="376" t="s">
        <v>7797</v>
      </c>
      <c r="P1218" s="376" t="s">
        <v>3941</v>
      </c>
      <c r="Q1218" s="16">
        <f>COUNTIF('hedef liste'!A:A,A1218)</f>
        <v>0</v>
      </c>
    </row>
    <row r="1219" hidden="1">
      <c r="A1219" s="376" t="s">
        <v>6841</v>
      </c>
      <c r="B1219" s="376" t="s">
        <v>6842</v>
      </c>
      <c r="C1219" s="428" t="s">
        <v>6979</v>
      </c>
      <c r="D1219" s="376" t="s">
        <v>3699</v>
      </c>
      <c r="E1219" s="429">
        <v>353.0</v>
      </c>
      <c r="F1219" s="429">
        <v>76.0</v>
      </c>
      <c r="G1219" s="429">
        <v>0.0</v>
      </c>
      <c r="H1219" s="429">
        <v>1.0</v>
      </c>
      <c r="I1219" s="429">
        <v>1.0</v>
      </c>
      <c r="J1219" s="433">
        <v>0.0</v>
      </c>
      <c r="K1219" s="376" t="s">
        <v>6843</v>
      </c>
      <c r="L1219" s="376">
        <v>5.43290315E9</v>
      </c>
      <c r="M1219" s="376" t="s">
        <v>286</v>
      </c>
      <c r="N1219" s="376" t="s">
        <v>3737</v>
      </c>
      <c r="O1219" s="376" t="s">
        <v>6844</v>
      </c>
      <c r="P1219" s="376" t="s">
        <v>3941</v>
      </c>
      <c r="Q1219" s="16">
        <f>COUNTIF('hedef liste'!A:A,A1219)</f>
        <v>1</v>
      </c>
    </row>
    <row r="1220">
      <c r="A1220" s="376"/>
      <c r="B1220" s="376"/>
      <c r="C1220" s="428"/>
      <c r="D1220" s="376"/>
      <c r="E1220" s="429"/>
      <c r="F1220" s="429"/>
      <c r="G1220" s="429"/>
      <c r="H1220" s="429"/>
      <c r="I1220" s="429"/>
      <c r="J1220" s="429"/>
      <c r="K1220" s="376"/>
      <c r="L1220" s="376"/>
      <c r="M1220" s="376"/>
      <c r="N1220" s="376"/>
      <c r="O1220" s="376"/>
      <c r="P1220" s="376"/>
      <c r="Q1220" s="16"/>
    </row>
    <row r="1221">
      <c r="A1221" s="376"/>
      <c r="B1221" s="376"/>
      <c r="C1221" s="428"/>
      <c r="D1221" s="376"/>
      <c r="E1221" s="429"/>
      <c r="F1221" s="429"/>
      <c r="G1221" s="429"/>
      <c r="H1221" s="429"/>
      <c r="I1221" s="429"/>
      <c r="J1221" s="429"/>
      <c r="K1221" s="376"/>
      <c r="L1221" s="376"/>
      <c r="M1221" s="376"/>
      <c r="N1221" s="376"/>
      <c r="O1221" s="376"/>
      <c r="P1221" s="376"/>
      <c r="Q1221" s="16"/>
    </row>
    <row r="1222">
      <c r="A1222" s="376"/>
      <c r="B1222" s="376"/>
      <c r="C1222" s="428"/>
      <c r="D1222" s="376"/>
      <c r="E1222" s="429"/>
      <c r="F1222" s="429"/>
      <c r="G1222" s="429"/>
      <c r="H1222" s="429"/>
      <c r="I1222" s="429"/>
      <c r="J1222" s="429"/>
      <c r="K1222" s="376"/>
      <c r="L1222" s="376"/>
      <c r="M1222" s="376"/>
      <c r="N1222" s="376"/>
      <c r="O1222" s="376"/>
      <c r="P1222" s="376"/>
      <c r="Q1222" s="16"/>
    </row>
    <row r="1223">
      <c r="A1223" s="376"/>
      <c r="B1223" s="376"/>
      <c r="C1223" s="428"/>
      <c r="D1223" s="376"/>
      <c r="E1223" s="429"/>
      <c r="F1223" s="429"/>
      <c r="G1223" s="429"/>
      <c r="H1223" s="429"/>
      <c r="I1223" s="429"/>
      <c r="J1223" s="429"/>
      <c r="K1223" s="376"/>
      <c r="L1223" s="376"/>
      <c r="M1223" s="376"/>
      <c r="N1223" s="376"/>
      <c r="O1223" s="376"/>
      <c r="P1223" s="376"/>
      <c r="Q1223" s="16"/>
    </row>
    <row r="1224">
      <c r="A1224" s="376"/>
      <c r="B1224" s="376"/>
      <c r="C1224" s="428"/>
      <c r="D1224" s="376"/>
      <c r="E1224" s="429"/>
      <c r="F1224" s="431"/>
      <c r="G1224" s="429"/>
      <c r="H1224" s="429"/>
      <c r="I1224" s="429"/>
      <c r="J1224" s="429"/>
      <c r="K1224" s="376"/>
      <c r="L1224" s="376"/>
      <c r="M1224" s="376"/>
      <c r="N1224" s="376"/>
      <c r="O1224" s="376"/>
      <c r="P1224" s="376"/>
      <c r="Q1224" s="16"/>
    </row>
    <row r="1225">
      <c r="A1225" s="376"/>
      <c r="B1225" s="376"/>
      <c r="C1225" s="428"/>
      <c r="D1225" s="376"/>
      <c r="E1225" s="429"/>
      <c r="F1225" s="431"/>
      <c r="G1225" s="429"/>
      <c r="H1225" s="429"/>
      <c r="I1225" s="429"/>
      <c r="J1225" s="429"/>
      <c r="K1225" s="376"/>
      <c r="L1225" s="376"/>
      <c r="M1225" s="376"/>
      <c r="N1225" s="376"/>
      <c r="O1225" s="376"/>
      <c r="P1225" s="376"/>
      <c r="Q1225" s="16"/>
    </row>
    <row r="1226">
      <c r="A1226" s="376"/>
      <c r="B1226" s="376"/>
      <c r="C1226" s="428"/>
      <c r="D1226" s="376"/>
      <c r="E1226" s="429"/>
      <c r="F1226" s="429"/>
      <c r="G1226" s="429"/>
      <c r="H1226" s="429"/>
      <c r="I1226" s="429"/>
      <c r="J1226" s="429"/>
      <c r="K1226" s="376"/>
      <c r="L1226" s="376"/>
      <c r="M1226" s="376"/>
      <c r="N1226" s="376"/>
      <c r="O1226" s="376"/>
      <c r="P1226" s="376"/>
      <c r="Q1226" s="16"/>
    </row>
    <row r="1227">
      <c r="A1227" s="376"/>
      <c r="B1227" s="376"/>
      <c r="C1227" s="428"/>
      <c r="D1227" s="376"/>
      <c r="E1227" s="429"/>
      <c r="F1227" s="429"/>
      <c r="G1227" s="429"/>
      <c r="H1227" s="429"/>
      <c r="I1227" s="429"/>
      <c r="J1227" s="429"/>
      <c r="K1227" s="376"/>
      <c r="L1227" s="376"/>
      <c r="M1227" s="376"/>
      <c r="N1227" s="376"/>
      <c r="O1227" s="376"/>
      <c r="P1227" s="376"/>
      <c r="Q1227" s="16"/>
    </row>
    <row r="1228">
      <c r="A1228" s="376"/>
      <c r="B1228" s="376"/>
      <c r="C1228" s="428"/>
      <c r="D1228" s="376"/>
      <c r="E1228" s="429"/>
      <c r="F1228" s="431"/>
      <c r="G1228" s="429"/>
      <c r="H1228" s="429"/>
      <c r="I1228" s="429"/>
      <c r="J1228" s="429"/>
      <c r="K1228" s="376"/>
      <c r="L1228" s="376"/>
      <c r="M1228" s="376"/>
      <c r="N1228" s="376"/>
      <c r="O1228" s="376"/>
      <c r="P1228" s="376"/>
      <c r="Q1228" s="16"/>
    </row>
    <row r="1229">
      <c r="A1229" s="376"/>
      <c r="B1229" s="376"/>
      <c r="C1229" s="428"/>
      <c r="D1229" s="376"/>
      <c r="E1229" s="429"/>
      <c r="F1229" s="429"/>
      <c r="G1229" s="429"/>
      <c r="H1229" s="429"/>
      <c r="I1229" s="429"/>
      <c r="J1229" s="429"/>
      <c r="K1229" s="376"/>
      <c r="L1229" s="376"/>
      <c r="M1229" s="376"/>
      <c r="N1229" s="376"/>
      <c r="O1229" s="376"/>
      <c r="P1229" s="376"/>
      <c r="Q1229" s="16"/>
    </row>
    <row r="1230">
      <c r="A1230" s="376"/>
      <c r="B1230" s="376"/>
      <c r="C1230" s="428"/>
      <c r="D1230" s="376"/>
      <c r="E1230" s="429"/>
      <c r="F1230" s="429"/>
      <c r="G1230" s="429"/>
      <c r="H1230" s="429"/>
      <c r="I1230" s="429"/>
      <c r="J1230" s="429"/>
      <c r="K1230" s="376"/>
      <c r="L1230" s="376"/>
      <c r="M1230" s="376"/>
      <c r="N1230" s="376"/>
      <c r="O1230" s="376"/>
      <c r="P1230" s="376"/>
      <c r="Q1230" s="16"/>
    </row>
    <row r="1231">
      <c r="A1231" s="376"/>
      <c r="B1231" s="376"/>
      <c r="C1231" s="428"/>
      <c r="D1231" s="376"/>
      <c r="E1231" s="429"/>
      <c r="F1231" s="429"/>
      <c r="G1231" s="429"/>
      <c r="H1231" s="429"/>
      <c r="I1231" s="429"/>
      <c r="J1231" s="429"/>
      <c r="K1231" s="376"/>
      <c r="L1231" s="376"/>
      <c r="M1231" s="376"/>
      <c r="N1231" s="376"/>
      <c r="O1231" s="376"/>
      <c r="P1231" s="376"/>
      <c r="Q1231" s="16"/>
    </row>
    <row r="1232">
      <c r="A1232" s="376"/>
      <c r="B1232" s="376"/>
      <c r="C1232" s="428"/>
      <c r="D1232" s="376"/>
      <c r="E1232" s="429"/>
      <c r="F1232" s="429"/>
      <c r="G1232" s="429"/>
      <c r="H1232" s="429"/>
      <c r="I1232" s="429"/>
      <c r="J1232" s="429"/>
      <c r="K1232" s="376"/>
      <c r="L1232" s="376"/>
      <c r="M1232" s="376"/>
      <c r="N1232" s="376"/>
      <c r="O1232" s="376"/>
      <c r="P1232" s="376"/>
      <c r="Q1232" s="16"/>
    </row>
    <row r="1233">
      <c r="A1233" s="376"/>
      <c r="B1233" s="376"/>
      <c r="C1233" s="428"/>
      <c r="D1233" s="376"/>
      <c r="E1233" s="429"/>
      <c r="F1233" s="429"/>
      <c r="G1233" s="429"/>
      <c r="H1233" s="429"/>
      <c r="I1233" s="429"/>
      <c r="J1233" s="429"/>
      <c r="K1233" s="376"/>
      <c r="L1233" s="376"/>
      <c r="M1233" s="376"/>
      <c r="N1233" s="376"/>
      <c r="O1233" s="376"/>
      <c r="P1233" s="376"/>
      <c r="Q1233" s="16"/>
    </row>
    <row r="1234">
      <c r="A1234" s="376"/>
      <c r="B1234" s="376"/>
      <c r="C1234" s="428"/>
      <c r="D1234" s="376"/>
      <c r="E1234" s="429"/>
      <c r="F1234" s="431"/>
      <c r="G1234" s="429"/>
      <c r="H1234" s="429"/>
      <c r="I1234" s="429"/>
      <c r="J1234" s="429"/>
      <c r="K1234" s="376"/>
      <c r="L1234" s="376"/>
      <c r="M1234" s="376"/>
      <c r="N1234" s="376"/>
      <c r="O1234" s="376"/>
      <c r="P1234" s="376"/>
      <c r="Q1234" s="16"/>
    </row>
    <row r="1235">
      <c r="A1235" s="376"/>
      <c r="B1235" s="376"/>
      <c r="C1235" s="428"/>
      <c r="D1235" s="376"/>
      <c r="E1235" s="431"/>
      <c r="F1235" s="431"/>
      <c r="G1235" s="429"/>
      <c r="H1235" s="429"/>
      <c r="I1235" s="429"/>
      <c r="J1235" s="429"/>
      <c r="K1235" s="376"/>
      <c r="L1235" s="376"/>
      <c r="M1235" s="376"/>
      <c r="N1235" s="376"/>
      <c r="O1235" s="376"/>
      <c r="P1235" s="376"/>
      <c r="Q1235" s="16"/>
    </row>
    <row r="1236">
      <c r="A1236" s="376"/>
      <c r="B1236" s="376"/>
      <c r="C1236" s="428"/>
      <c r="D1236" s="376"/>
      <c r="E1236" s="429"/>
      <c r="F1236" s="429"/>
      <c r="G1236" s="429"/>
      <c r="H1236" s="429"/>
      <c r="I1236" s="429"/>
      <c r="J1236" s="429"/>
      <c r="K1236" s="376"/>
      <c r="L1236" s="376"/>
      <c r="M1236" s="376"/>
      <c r="N1236" s="376"/>
      <c r="O1236" s="376"/>
      <c r="P1236" s="376"/>
      <c r="Q1236" s="16"/>
    </row>
    <row r="1237">
      <c r="A1237" s="376"/>
      <c r="B1237" s="376"/>
      <c r="C1237" s="428"/>
      <c r="D1237" s="376"/>
      <c r="E1237" s="429"/>
      <c r="F1237" s="429"/>
      <c r="G1237" s="429"/>
      <c r="H1237" s="429"/>
      <c r="I1237" s="429"/>
      <c r="J1237" s="429"/>
      <c r="K1237" s="376"/>
      <c r="L1237" s="376"/>
      <c r="M1237" s="376"/>
      <c r="N1237" s="376"/>
      <c r="O1237" s="376"/>
      <c r="P1237" s="376"/>
      <c r="Q1237" s="16"/>
    </row>
  </sheetData>
  <autoFilter ref="$A$1:$Q$1219">
    <filterColumn colId="16">
      <filters>
        <filter val="0"/>
      </filters>
    </filterColumn>
    <filterColumn colId="15">
      <filters>
        <filter val="Geleneksel"/>
      </filters>
    </filterColumn>
    <filterColumn colId="2">
      <filters>
        <filter val="DOĞRU"/>
      </filters>
    </filterColumn>
    <filterColumn colId="9">
      <filters>
        <filter val="59%"/>
        <filter val="47%"/>
        <filter val="35%"/>
        <filter val="23%"/>
        <filter val="99%"/>
        <filter val="11%"/>
        <filter val="87%"/>
        <filter val="75%"/>
        <filter val="62.00%"/>
        <filter val="51%"/>
        <filter val="9%"/>
        <filter val="91%"/>
        <filter val="36.00%"/>
        <filter val="100.00%"/>
        <filter val="48%"/>
        <filter val="24%"/>
        <filter val="12%"/>
        <filter val="69.00%"/>
        <filter val="88%"/>
        <filter val="42.00%"/>
        <filter val="52%"/>
        <filter val="92%"/>
        <filter val="80%"/>
        <filter val="38.00%"/>
        <filter val="2%"/>
        <filter val="67.00%"/>
        <filter val="49%"/>
        <filter val="37%"/>
        <filter val="25%"/>
        <filter val="13%"/>
        <filter val="89%"/>
        <filter val="77%"/>
        <filter val="53%"/>
        <filter val="93%"/>
        <filter val="3%"/>
        <filter val="48.00%"/>
        <filter val="38%"/>
        <filter val="26%"/>
        <filter val="14%"/>
        <filter val="66%"/>
        <filter val="54%"/>
        <filter val="42%"/>
        <filter val="4%"/>
        <filter val="63.00%"/>
        <filter val="39%"/>
        <filter val="76.00%"/>
        <filter val="27%"/>
        <filter val="15%"/>
        <filter val="79%"/>
        <filter val="43%"/>
        <filter val="5%"/>
        <filter val="28%"/>
        <filter val="16%"/>
        <filter val="68%"/>
        <filter val="32%"/>
        <filter val="20%"/>
        <filter val="96%"/>
        <filter val="84%"/>
        <filter val="72%"/>
        <filter val="73.00%"/>
        <filter val="6%"/>
        <filter val="98.00%"/>
        <filter val="17%"/>
        <filter val="69%"/>
        <filter val="40.00%"/>
        <filter val="21%"/>
        <filter val="97%"/>
        <filter val="85%"/>
        <filter val="73%"/>
        <filter val="61%"/>
        <filter val="92.00%"/>
        <filter val="7%"/>
        <filter val="0.00%"/>
        <filter val="18%"/>
        <filter val="46%"/>
        <filter val="94.00%"/>
        <filter val="22%"/>
        <filter val="98%"/>
        <filter val="10%"/>
        <filter val="86%"/>
        <filter val="74%"/>
        <filter val="62%"/>
        <filter val="8%"/>
        <filter val="64.00%"/>
        <filter val="90%"/>
        <filter val="0%"/>
        <filter val="19%"/>
      </filters>
    </filterColumn>
  </autoFilter>
  <customSheetViews>
    <customSheetView guid="{5D77DCF9-B362-4B21-80ED-CF985C7D71EE}" filter="1" showAutoFilter="1">
      <autoFilter ref="$A$1:$Q$1237">
        <filterColumn colId="16">
          <filters blank="1">
            <filter val="0"/>
          </filters>
        </filterColumn>
        <filterColumn colId="15">
          <filters blank="1">
            <filter val="Geleneksel"/>
          </filters>
        </filterColumn>
        <filterColumn colId="9">
          <filters blank="1">
            <filter val="59%"/>
            <filter val="23%"/>
            <filter val="99%"/>
            <filter val="11%"/>
            <filter val="87%"/>
            <filter val="62.00%"/>
            <filter val="36.00%"/>
            <filter val="100.00%"/>
            <filter val="36%"/>
            <filter val="24%"/>
            <filter val="12%"/>
            <filter val="69.00%"/>
            <filter val="88%"/>
            <filter val="76%"/>
            <filter val="64%"/>
            <filter val="42.00%"/>
            <filter val="52%"/>
            <filter val="40%"/>
            <filter val="92%"/>
            <filter val="80%"/>
            <filter val="38.00%"/>
            <filter val="2%"/>
            <filter val="67.00%"/>
            <filter val="37%"/>
            <filter val="13%"/>
            <filter val="93%"/>
            <filter val="81%"/>
            <filter val="3%"/>
            <filter val="48.00%"/>
            <filter val="26%"/>
            <filter val="14%"/>
            <filter val="78%"/>
            <filter val="54%"/>
            <filter val="42%"/>
            <filter val="30%"/>
            <filter val="94%"/>
            <filter val="4%"/>
            <filter val="63.00%"/>
            <filter val="76.00%"/>
            <filter val="27%"/>
            <filter val="15%"/>
            <filter val="79%"/>
            <filter val="55%"/>
            <filter val="5%"/>
            <filter val="28%"/>
            <filter val="16%"/>
            <filter val="68%"/>
            <filter val="44%"/>
            <filter val="20%"/>
            <filter val="96%"/>
            <filter val="84%"/>
            <filter val="73.00%"/>
            <filter val="6%"/>
            <filter val="98.00%"/>
            <filter val="29%"/>
            <filter val="17%"/>
            <filter val="69%"/>
            <filter val="57%"/>
            <filter val="40.00%"/>
            <filter val="21%"/>
            <filter val="97%"/>
            <filter val="61%"/>
            <filter val="92.00%"/>
            <filter val="7%"/>
            <filter val="0.00%"/>
            <filter val="18%"/>
            <filter val="94.00%"/>
            <filter val="22%"/>
            <filter val="98%"/>
            <filter val="10%"/>
            <filter val="86%"/>
            <filter val="74%"/>
            <filter val="8%"/>
            <filter val="64.00%"/>
            <filter val="90%"/>
            <filter val="0%"/>
            <filter val="19%"/>
          </filters>
        </filterColumn>
        <filterColumn colId="2">
          <filters blank="1">
            <filter val="DOĞRU"/>
            <filter val="YANLIŞ"/>
          </filters>
        </filterColumn>
      </autoFilter>
    </customSheetView>
  </customSheetViews>
  <mergeCells count="27">
    <mergeCell ref="D123:E123"/>
    <mergeCell ref="D202:E202"/>
    <mergeCell ref="D287:E287"/>
    <mergeCell ref="D582:E582"/>
    <mergeCell ref="D760:E760"/>
    <mergeCell ref="D761:E761"/>
    <mergeCell ref="D781:E781"/>
    <mergeCell ref="D815:E815"/>
    <mergeCell ref="D820:E820"/>
    <mergeCell ref="D842:E842"/>
    <mergeCell ref="D879:E879"/>
    <mergeCell ref="D894:E894"/>
    <mergeCell ref="D942:E942"/>
    <mergeCell ref="D949:E949"/>
    <mergeCell ref="D1077:E1077"/>
    <mergeCell ref="D1078:E1078"/>
    <mergeCell ref="D1079:E1079"/>
    <mergeCell ref="D1080:E1080"/>
    <mergeCell ref="D1120:E1120"/>
    <mergeCell ref="D1127:E1127"/>
    <mergeCell ref="D958:E958"/>
    <mergeCell ref="D959:E959"/>
    <mergeCell ref="D995:E995"/>
    <mergeCell ref="D1002:E1002"/>
    <mergeCell ref="D1015:E1015"/>
    <mergeCell ref="D1032:E1032"/>
    <mergeCell ref="D1076:E1076"/>
  </mergeCells>
  <conditionalFormatting sqref="C1:C1237">
    <cfRule type="cellIs" dxfId="0" priority="1" operator="equal">
      <formula>"True"</formula>
    </cfRule>
  </conditionalFormatting>
  <conditionalFormatting sqref="C1:C1237">
    <cfRule type="cellIs" dxfId="1" priority="2" operator="equal">
      <formula>"False"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5"/>
    </row>
    <row r="2">
      <c r="A2" s="375"/>
      <c r="C2" s="435" t="s">
        <v>3735</v>
      </c>
      <c r="H2" s="373" t="s">
        <v>131</v>
      </c>
    </row>
    <row r="3">
      <c r="A3" s="375"/>
      <c r="C3" s="92" t="s">
        <v>4407</v>
      </c>
      <c r="F3" s="339" t="s">
        <v>15</v>
      </c>
      <c r="H3" s="373" t="s">
        <v>7798</v>
      </c>
    </row>
    <row r="4">
      <c r="A4" s="436">
        <v>44197.0</v>
      </c>
      <c r="C4" s="92" t="s">
        <v>3770</v>
      </c>
      <c r="F4" s="267" t="s">
        <v>78</v>
      </c>
      <c r="H4" s="373" t="s">
        <v>79</v>
      </c>
    </row>
    <row r="5">
      <c r="A5" s="436">
        <v>44198.0</v>
      </c>
      <c r="C5" s="92" t="s">
        <v>4765</v>
      </c>
      <c r="F5" s="267" t="s">
        <v>4866</v>
      </c>
      <c r="H5" s="373" t="s">
        <v>2576</v>
      </c>
    </row>
    <row r="6">
      <c r="A6" s="436">
        <v>44199.0</v>
      </c>
      <c r="C6" s="92" t="s">
        <v>3696</v>
      </c>
      <c r="F6" s="267" t="s">
        <v>342</v>
      </c>
      <c r="H6" s="373" t="s">
        <v>2418</v>
      </c>
    </row>
    <row r="7">
      <c r="A7" s="436">
        <v>44200.0</v>
      </c>
      <c r="C7" s="173" t="s">
        <v>3817</v>
      </c>
      <c r="F7" s="267" t="s">
        <v>812</v>
      </c>
      <c r="H7" s="373" t="s">
        <v>7799</v>
      </c>
    </row>
    <row r="8">
      <c r="A8" s="436">
        <v>44201.0</v>
      </c>
      <c r="C8" s="435" t="s">
        <v>3710</v>
      </c>
      <c r="H8" s="373" t="s">
        <v>399</v>
      </c>
    </row>
    <row r="9">
      <c r="A9" s="436">
        <v>44202.0</v>
      </c>
      <c r="C9" s="173" t="s">
        <v>3862</v>
      </c>
      <c r="H9" s="373" t="s">
        <v>2424</v>
      </c>
    </row>
    <row r="10">
      <c r="A10" s="436">
        <v>44203.0</v>
      </c>
      <c r="C10" s="435" t="s">
        <v>7800</v>
      </c>
      <c r="F10" s="267" t="s">
        <v>3957</v>
      </c>
      <c r="H10" s="373" t="s">
        <v>7801</v>
      </c>
    </row>
    <row r="11">
      <c r="A11" s="436">
        <v>44204.0</v>
      </c>
      <c r="C11" s="435" t="s">
        <v>4960</v>
      </c>
      <c r="F11" s="267" t="s">
        <v>3808</v>
      </c>
      <c r="H11" s="373" t="s">
        <v>2192</v>
      </c>
    </row>
    <row r="12">
      <c r="A12" s="436">
        <v>44205.0</v>
      </c>
      <c r="C12" s="92" t="s">
        <v>6793</v>
      </c>
      <c r="F12" s="267" t="s">
        <v>4983</v>
      </c>
      <c r="H12" s="373" t="s">
        <v>7802</v>
      </c>
    </row>
    <row r="13">
      <c r="A13" s="436">
        <v>44206.0</v>
      </c>
      <c r="C13" s="92" t="s">
        <v>3679</v>
      </c>
      <c r="H13" s="373" t="s">
        <v>16</v>
      </c>
    </row>
    <row r="14">
      <c r="A14" s="436">
        <v>44207.0</v>
      </c>
      <c r="C14" s="92" t="s">
        <v>3787</v>
      </c>
      <c r="H14" s="267" t="s">
        <v>40</v>
      </c>
    </row>
    <row r="15">
      <c r="A15" s="436">
        <v>44208.0</v>
      </c>
      <c r="C15" s="173" t="s">
        <v>4182</v>
      </c>
      <c r="H15" s="267" t="s">
        <v>208</v>
      </c>
    </row>
    <row r="16">
      <c r="A16" s="436">
        <v>44209.0</v>
      </c>
      <c r="C16" s="435" t="s">
        <v>4065</v>
      </c>
      <c r="F16" s="437" t="s">
        <v>2192</v>
      </c>
      <c r="H16" s="267" t="s">
        <v>2282</v>
      </c>
    </row>
    <row r="17">
      <c r="A17" s="436">
        <v>44210.0</v>
      </c>
      <c r="C17" s="173" t="s">
        <v>3866</v>
      </c>
      <c r="F17" s="437" t="s">
        <v>2941</v>
      </c>
      <c r="H17" s="267" t="s">
        <v>7803</v>
      </c>
    </row>
    <row r="18">
      <c r="A18" s="436">
        <v>44211.0</v>
      </c>
      <c r="C18" s="173" t="s">
        <v>3448</v>
      </c>
      <c r="F18" s="438" t="s">
        <v>2576</v>
      </c>
      <c r="H18" s="267" t="s">
        <v>7804</v>
      </c>
    </row>
    <row r="19">
      <c r="A19" s="436">
        <v>44212.0</v>
      </c>
      <c r="C19" s="435" t="s">
        <v>5676</v>
      </c>
      <c r="F19" s="437" t="s">
        <v>2706</v>
      </c>
      <c r="H19" s="267" t="s">
        <v>7805</v>
      </c>
    </row>
    <row r="20">
      <c r="A20" s="436">
        <v>44213.0</v>
      </c>
      <c r="F20" s="439" t="s">
        <v>3127</v>
      </c>
      <c r="H20" s="267" t="s">
        <v>7806</v>
      </c>
    </row>
    <row r="21">
      <c r="A21" s="436">
        <v>44214.0</v>
      </c>
      <c r="C21" s="92" t="s">
        <v>3696</v>
      </c>
      <c r="F21" s="438" t="s">
        <v>2424</v>
      </c>
      <c r="H21" s="267" t="s">
        <v>7807</v>
      </c>
    </row>
    <row r="22">
      <c r="A22" s="436">
        <v>44215.0</v>
      </c>
      <c r="C22" s="92" t="s">
        <v>3682</v>
      </c>
      <c r="F22" s="437" t="s">
        <v>2418</v>
      </c>
      <c r="H22" s="440" t="s">
        <v>7808</v>
      </c>
    </row>
    <row r="23">
      <c r="A23" s="436">
        <v>44216.0</v>
      </c>
      <c r="C23" s="92" t="s">
        <v>3681</v>
      </c>
      <c r="F23" s="437" t="s">
        <v>2542</v>
      </c>
      <c r="H23" s="373" t="s">
        <v>7809</v>
      </c>
    </row>
    <row r="24">
      <c r="A24" s="436">
        <v>44217.0</v>
      </c>
      <c r="C24" s="92" t="s">
        <v>3448</v>
      </c>
      <c r="F24" s="437" t="s">
        <v>7810</v>
      </c>
      <c r="H24" s="373" t="s">
        <v>145</v>
      </c>
    </row>
    <row r="25">
      <c r="A25" s="436">
        <v>44218.0</v>
      </c>
      <c r="C25" s="92" t="s">
        <v>3695</v>
      </c>
      <c r="F25" s="441" t="s">
        <v>3213</v>
      </c>
      <c r="H25" s="267" t="s">
        <v>7811</v>
      </c>
    </row>
    <row r="26">
      <c r="A26" s="436">
        <v>44219.0</v>
      </c>
      <c r="F26" s="442"/>
      <c r="H26" s="267" t="s">
        <v>7812</v>
      </c>
    </row>
    <row r="27">
      <c r="A27" s="436">
        <v>44220.0</v>
      </c>
      <c r="F27" s="442"/>
      <c r="H27" s="267" t="s">
        <v>606</v>
      </c>
    </row>
    <row r="28">
      <c r="A28" s="436">
        <v>44221.0</v>
      </c>
      <c r="C28" s="435" t="s">
        <v>7813</v>
      </c>
      <c r="F28" s="442"/>
      <c r="H28" s="267" t="s">
        <v>7814</v>
      </c>
    </row>
    <row r="29">
      <c r="A29" s="436">
        <v>44222.0</v>
      </c>
      <c r="C29" s="173" t="s">
        <v>3770</v>
      </c>
      <c r="F29" s="443"/>
      <c r="H29" s="267" t="s">
        <v>7815</v>
      </c>
    </row>
    <row r="30">
      <c r="A30" s="436">
        <v>44223.0</v>
      </c>
      <c r="C30" s="435" t="s">
        <v>7816</v>
      </c>
      <c r="F30" s="444"/>
    </row>
    <row r="31">
      <c r="A31" s="436">
        <v>44224.0</v>
      </c>
      <c r="C31" s="435" t="s">
        <v>7817</v>
      </c>
      <c r="F31" s="443"/>
    </row>
    <row r="32">
      <c r="A32" s="436">
        <v>44225.0</v>
      </c>
      <c r="F32" s="444"/>
    </row>
    <row r="33">
      <c r="A33" s="436">
        <v>44226.0</v>
      </c>
      <c r="F33" s="445"/>
    </row>
    <row r="34">
      <c r="A34" s="436">
        <v>44227.0</v>
      </c>
      <c r="F34" s="445"/>
    </row>
    <row r="35">
      <c r="A35" s="436">
        <v>44228.0</v>
      </c>
      <c r="F35" s="446"/>
    </row>
    <row r="36">
      <c r="A36" s="436">
        <v>44229.0</v>
      </c>
      <c r="F36" s="447"/>
    </row>
    <row r="37">
      <c r="A37" s="436">
        <v>44230.0</v>
      </c>
      <c r="F37" s="446"/>
    </row>
    <row r="38">
      <c r="A38" s="436">
        <v>44231.0</v>
      </c>
      <c r="F38" s="447"/>
    </row>
    <row r="39">
      <c r="A39" s="436">
        <v>44232.0</v>
      </c>
      <c r="F39" s="445"/>
    </row>
    <row r="40">
      <c r="A40" s="436">
        <v>44233.0</v>
      </c>
      <c r="F40" s="445"/>
    </row>
    <row r="41">
      <c r="A41" s="436">
        <v>44234.0</v>
      </c>
      <c r="F41" s="445"/>
    </row>
    <row r="42">
      <c r="A42" s="436">
        <v>44235.0</v>
      </c>
      <c r="F42" s="92"/>
    </row>
    <row r="43">
      <c r="A43" s="436">
        <v>44236.0</v>
      </c>
    </row>
    <row r="44">
      <c r="A44" s="436">
        <v>44237.0</v>
      </c>
    </row>
    <row r="45">
      <c r="A45" s="436">
        <v>44238.0</v>
      </c>
    </row>
    <row r="46">
      <c r="A46" s="436">
        <v>44239.0</v>
      </c>
    </row>
    <row r="47">
      <c r="A47" s="436">
        <v>44240.0</v>
      </c>
    </row>
    <row r="48">
      <c r="A48" s="436">
        <v>44241.0</v>
      </c>
    </row>
    <row r="49">
      <c r="A49" s="436">
        <v>44242.0</v>
      </c>
    </row>
    <row r="50">
      <c r="A50" s="436">
        <v>44243.0</v>
      </c>
    </row>
    <row r="51">
      <c r="A51" s="436">
        <v>44244.0</v>
      </c>
    </row>
    <row r="52">
      <c r="A52" s="436">
        <v>44245.0</v>
      </c>
    </row>
    <row r="53">
      <c r="A53" s="436">
        <v>44246.0</v>
      </c>
    </row>
    <row r="54">
      <c r="A54" s="436">
        <v>44247.0</v>
      </c>
    </row>
    <row r="55">
      <c r="A55" s="436">
        <v>44248.0</v>
      </c>
    </row>
    <row r="56">
      <c r="A56" s="436">
        <v>44249.0</v>
      </c>
    </row>
    <row r="57">
      <c r="A57" s="436">
        <v>44250.0</v>
      </c>
    </row>
    <row r="58">
      <c r="A58" s="436">
        <v>44251.0</v>
      </c>
    </row>
    <row r="59">
      <c r="A59" s="436">
        <v>44252.0</v>
      </c>
    </row>
    <row r="60">
      <c r="A60" s="436">
        <v>44253.0</v>
      </c>
    </row>
    <row r="61">
      <c r="A61" s="436">
        <v>44254.0</v>
      </c>
    </row>
    <row r="62">
      <c r="A62" s="436">
        <v>44255.0</v>
      </c>
    </row>
    <row r="63">
      <c r="A63" s="436">
        <v>44256.0</v>
      </c>
    </row>
    <row r="64">
      <c r="A64" s="436">
        <v>44257.0</v>
      </c>
    </row>
    <row r="65">
      <c r="A65" s="436">
        <v>44258.0</v>
      </c>
    </row>
    <row r="66">
      <c r="A66" s="436">
        <v>44259.0</v>
      </c>
    </row>
    <row r="67">
      <c r="A67" s="436">
        <v>44260.0</v>
      </c>
    </row>
    <row r="68">
      <c r="A68" s="436">
        <v>44261.0</v>
      </c>
    </row>
    <row r="69">
      <c r="A69" s="436">
        <v>44262.0</v>
      </c>
    </row>
    <row r="70">
      <c r="A70" s="436">
        <v>44263.0</v>
      </c>
    </row>
    <row r="71">
      <c r="A71" s="436">
        <v>44264.0</v>
      </c>
    </row>
    <row r="72">
      <c r="A72" s="436">
        <v>44265.0</v>
      </c>
    </row>
    <row r="73">
      <c r="A73" s="436">
        <v>44266.0</v>
      </c>
    </row>
    <row r="74">
      <c r="A74" s="436">
        <v>44267.0</v>
      </c>
    </row>
    <row r="75">
      <c r="A75" s="436">
        <v>44268.0</v>
      </c>
    </row>
    <row r="76">
      <c r="A76" s="436">
        <v>44269.0</v>
      </c>
    </row>
    <row r="77">
      <c r="A77" s="436">
        <v>44270.0</v>
      </c>
    </row>
    <row r="78">
      <c r="A78" s="436">
        <v>44271.0</v>
      </c>
    </row>
    <row r="79">
      <c r="A79" s="436">
        <v>44272.0</v>
      </c>
    </row>
    <row r="80">
      <c r="A80" s="436">
        <v>44273.0</v>
      </c>
    </row>
    <row r="81">
      <c r="A81" s="436">
        <v>44274.0</v>
      </c>
    </row>
    <row r="82">
      <c r="A82" s="436">
        <v>44275.0</v>
      </c>
    </row>
    <row r="83">
      <c r="A83" s="436">
        <v>44276.0</v>
      </c>
    </row>
    <row r="84">
      <c r="A84" s="436">
        <v>44277.0</v>
      </c>
    </row>
    <row r="85">
      <c r="A85" s="436">
        <v>44278.0</v>
      </c>
    </row>
    <row r="86">
      <c r="A86" s="436">
        <v>44279.0</v>
      </c>
    </row>
    <row r="87">
      <c r="A87" s="436">
        <v>44280.0</v>
      </c>
    </row>
    <row r="88">
      <c r="A88" s="436">
        <v>44281.0</v>
      </c>
    </row>
    <row r="89">
      <c r="A89" s="436">
        <v>44282.0</v>
      </c>
    </row>
    <row r="90">
      <c r="A90" s="436">
        <v>44283.0</v>
      </c>
    </row>
    <row r="91">
      <c r="A91" s="436">
        <v>44284.0</v>
      </c>
    </row>
    <row r="92">
      <c r="A92" s="436">
        <v>44285.0</v>
      </c>
    </row>
    <row r="93">
      <c r="A93" s="436">
        <v>44286.0</v>
      </c>
    </row>
    <row r="94">
      <c r="A94" s="436">
        <v>44287.0</v>
      </c>
    </row>
    <row r="95">
      <c r="A95" s="436">
        <v>44288.0</v>
      </c>
    </row>
    <row r="96">
      <c r="A96" s="436">
        <v>44289.0</v>
      </c>
    </row>
    <row r="97">
      <c r="A97" s="436">
        <v>44290.0</v>
      </c>
    </row>
    <row r="98">
      <c r="A98" s="436">
        <v>44291.0</v>
      </c>
    </row>
    <row r="99">
      <c r="A99" s="436">
        <v>44292.0</v>
      </c>
    </row>
    <row r="100">
      <c r="A100" s="436">
        <v>44293.0</v>
      </c>
    </row>
    <row r="101">
      <c r="A101" s="436">
        <v>44294.0</v>
      </c>
    </row>
    <row r="102">
      <c r="A102" s="436">
        <v>44295.0</v>
      </c>
    </row>
    <row r="103">
      <c r="A103" s="436">
        <v>44296.0</v>
      </c>
    </row>
    <row r="104">
      <c r="A104" s="436">
        <v>44297.0</v>
      </c>
    </row>
    <row r="105">
      <c r="A105" s="436">
        <v>44298.0</v>
      </c>
    </row>
    <row r="106">
      <c r="A106" s="436">
        <v>44299.0</v>
      </c>
    </row>
    <row r="107">
      <c r="A107" s="436">
        <v>44300.0</v>
      </c>
    </row>
    <row r="108">
      <c r="A108" s="436">
        <v>44301.0</v>
      </c>
    </row>
    <row r="109">
      <c r="A109" s="436">
        <v>44302.0</v>
      </c>
    </row>
    <row r="110">
      <c r="A110" s="436">
        <v>44303.0</v>
      </c>
    </row>
    <row r="111">
      <c r="A111" s="436">
        <v>44304.0</v>
      </c>
    </row>
    <row r="112">
      <c r="A112" s="436">
        <v>44305.0</v>
      </c>
    </row>
    <row r="113">
      <c r="A113" s="436">
        <v>44306.0</v>
      </c>
    </row>
    <row r="114">
      <c r="A114" s="436">
        <v>44307.0</v>
      </c>
    </row>
    <row r="115">
      <c r="A115" s="436">
        <v>44308.0</v>
      </c>
    </row>
    <row r="116">
      <c r="A116" s="436">
        <v>44309.0</v>
      </c>
    </row>
    <row r="117">
      <c r="A117" s="436">
        <v>44310.0</v>
      </c>
    </row>
    <row r="118">
      <c r="A118" s="436">
        <v>44311.0</v>
      </c>
    </row>
    <row r="119">
      <c r="A119" s="436">
        <v>44312.0</v>
      </c>
    </row>
    <row r="120">
      <c r="A120" s="436">
        <v>44313.0</v>
      </c>
    </row>
    <row r="121">
      <c r="A121" s="436">
        <v>44314.0</v>
      </c>
    </row>
    <row r="122">
      <c r="A122" s="436">
        <v>44315.0</v>
      </c>
    </row>
    <row r="123">
      <c r="A123" s="436">
        <v>44316.0</v>
      </c>
    </row>
    <row r="124">
      <c r="A124" s="436">
        <v>44317.0</v>
      </c>
    </row>
    <row r="125">
      <c r="A125" s="436">
        <v>44318.0</v>
      </c>
    </row>
    <row r="126">
      <c r="A126" s="436">
        <v>44319.0</v>
      </c>
    </row>
    <row r="127">
      <c r="A127" s="436">
        <v>44320.0</v>
      </c>
    </row>
    <row r="128">
      <c r="A128" s="436">
        <v>44321.0</v>
      </c>
    </row>
    <row r="129">
      <c r="A129" s="436">
        <v>44322.0</v>
      </c>
    </row>
    <row r="130">
      <c r="A130" s="436">
        <v>44323.0</v>
      </c>
    </row>
    <row r="131">
      <c r="A131" s="436">
        <v>44324.0</v>
      </c>
    </row>
    <row r="132">
      <c r="A132" s="436">
        <v>44325.0</v>
      </c>
    </row>
    <row r="133">
      <c r="A133" s="436">
        <v>44326.0</v>
      </c>
    </row>
    <row r="134">
      <c r="A134" s="436">
        <v>44327.0</v>
      </c>
    </row>
    <row r="135">
      <c r="A135" s="436">
        <v>44328.0</v>
      </c>
    </row>
    <row r="136">
      <c r="A136" s="436">
        <v>44329.0</v>
      </c>
    </row>
    <row r="137">
      <c r="A137" s="436">
        <v>44330.0</v>
      </c>
    </row>
    <row r="138">
      <c r="A138" s="436">
        <v>44331.0</v>
      </c>
    </row>
    <row r="139">
      <c r="A139" s="436">
        <v>44332.0</v>
      </c>
    </row>
    <row r="140">
      <c r="A140" s="436">
        <v>44333.0</v>
      </c>
    </row>
    <row r="141">
      <c r="A141" s="436">
        <v>44334.0</v>
      </c>
    </row>
    <row r="142">
      <c r="A142" s="436">
        <v>44335.0</v>
      </c>
    </row>
    <row r="143">
      <c r="A143" s="436">
        <v>44336.0</v>
      </c>
    </row>
    <row r="144">
      <c r="A144" s="436">
        <v>44337.0</v>
      </c>
    </row>
    <row r="145">
      <c r="A145" s="436">
        <v>44338.0</v>
      </c>
    </row>
    <row r="146">
      <c r="A146" s="436">
        <v>44339.0</v>
      </c>
    </row>
    <row r="147">
      <c r="A147" s="436">
        <v>44340.0</v>
      </c>
    </row>
    <row r="148">
      <c r="A148" s="436">
        <v>44341.0</v>
      </c>
    </row>
    <row r="149">
      <c r="A149" s="436">
        <v>44342.0</v>
      </c>
    </row>
    <row r="150">
      <c r="A150" s="436">
        <v>44343.0</v>
      </c>
    </row>
    <row r="151">
      <c r="A151" s="436">
        <v>44344.0</v>
      </c>
    </row>
    <row r="152">
      <c r="A152" s="436">
        <v>44345.0</v>
      </c>
    </row>
    <row r="153">
      <c r="A153" s="436">
        <v>44346.0</v>
      </c>
    </row>
    <row r="154">
      <c r="A154" s="436">
        <v>44347.0</v>
      </c>
    </row>
    <row r="155">
      <c r="A155" s="436">
        <v>44348.0</v>
      </c>
    </row>
    <row r="156">
      <c r="A156" s="436">
        <v>44349.0</v>
      </c>
    </row>
    <row r="157">
      <c r="A157" s="436">
        <v>44350.0</v>
      </c>
    </row>
    <row r="158">
      <c r="A158" s="436">
        <v>44351.0</v>
      </c>
    </row>
    <row r="159">
      <c r="A159" s="436">
        <v>44352.0</v>
      </c>
    </row>
    <row r="160">
      <c r="A160" s="436">
        <v>44353.0</v>
      </c>
    </row>
    <row r="161">
      <c r="A161" s="436">
        <v>44354.0</v>
      </c>
    </row>
    <row r="162">
      <c r="A162" s="436">
        <v>44355.0</v>
      </c>
    </row>
    <row r="163">
      <c r="A163" s="436">
        <v>44356.0</v>
      </c>
    </row>
    <row r="164">
      <c r="A164" s="436">
        <v>44357.0</v>
      </c>
    </row>
    <row r="165">
      <c r="A165" s="436">
        <v>44358.0</v>
      </c>
    </row>
    <row r="166">
      <c r="A166" s="436">
        <v>44359.0</v>
      </c>
    </row>
    <row r="167">
      <c r="A167" s="436">
        <v>44360.0</v>
      </c>
    </row>
    <row r="168">
      <c r="A168" s="436">
        <v>44361.0</v>
      </c>
    </row>
    <row r="169">
      <c r="A169" s="436">
        <v>44362.0</v>
      </c>
    </row>
    <row r="170">
      <c r="A170" s="436">
        <v>44363.0</v>
      </c>
    </row>
    <row r="171">
      <c r="A171" s="436">
        <v>44364.0</v>
      </c>
    </row>
    <row r="172">
      <c r="A172" s="436">
        <v>44365.0</v>
      </c>
    </row>
    <row r="173">
      <c r="A173" s="436">
        <v>44366.0</v>
      </c>
    </row>
    <row r="174">
      <c r="A174" s="436">
        <v>44367.0</v>
      </c>
    </row>
    <row r="175">
      <c r="A175" s="436">
        <v>44368.0</v>
      </c>
    </row>
    <row r="176">
      <c r="A176" s="436">
        <v>44369.0</v>
      </c>
    </row>
    <row r="177">
      <c r="A177" s="436">
        <v>44370.0</v>
      </c>
    </row>
    <row r="178">
      <c r="A178" s="436">
        <v>44371.0</v>
      </c>
    </row>
    <row r="179">
      <c r="A179" s="436">
        <v>44372.0</v>
      </c>
    </row>
    <row r="180">
      <c r="A180" s="436">
        <v>44373.0</v>
      </c>
    </row>
    <row r="181">
      <c r="A181" s="436">
        <v>44374.0</v>
      </c>
    </row>
    <row r="182">
      <c r="A182" s="436">
        <v>44375.0</v>
      </c>
    </row>
    <row r="183">
      <c r="A183" s="436">
        <v>44376.0</v>
      </c>
    </row>
    <row r="184">
      <c r="A184" s="436">
        <v>44377.0</v>
      </c>
    </row>
    <row r="185">
      <c r="A185" s="436">
        <v>44378.0</v>
      </c>
    </row>
    <row r="186">
      <c r="A186" s="436">
        <v>44379.0</v>
      </c>
    </row>
    <row r="187">
      <c r="A187" s="436">
        <v>44380.0</v>
      </c>
    </row>
    <row r="188">
      <c r="A188" s="436">
        <v>44381.0</v>
      </c>
    </row>
    <row r="189">
      <c r="A189" s="436">
        <v>44382.0</v>
      </c>
    </row>
    <row r="190">
      <c r="A190" s="436">
        <v>44383.0</v>
      </c>
    </row>
    <row r="191">
      <c r="A191" s="436">
        <v>44384.0</v>
      </c>
    </row>
    <row r="192">
      <c r="A192" s="436">
        <v>44385.0</v>
      </c>
    </row>
    <row r="193">
      <c r="A193" s="436">
        <v>44386.0</v>
      </c>
    </row>
    <row r="194">
      <c r="A194" s="436">
        <v>44387.0</v>
      </c>
    </row>
    <row r="195">
      <c r="A195" s="436">
        <v>44388.0</v>
      </c>
    </row>
    <row r="196">
      <c r="A196" s="436">
        <v>44389.0</v>
      </c>
    </row>
    <row r="197">
      <c r="A197" s="436">
        <v>44390.0</v>
      </c>
    </row>
    <row r="198">
      <c r="A198" s="436">
        <v>44391.0</v>
      </c>
    </row>
    <row r="199">
      <c r="A199" s="436">
        <v>44392.0</v>
      </c>
    </row>
    <row r="200">
      <c r="A200" s="436">
        <v>44393.0</v>
      </c>
    </row>
    <row r="201">
      <c r="A201" s="436">
        <v>44394.0</v>
      </c>
    </row>
    <row r="202">
      <c r="A202" s="436">
        <v>44395.0</v>
      </c>
    </row>
    <row r="203">
      <c r="A203" s="436">
        <v>44396.0</v>
      </c>
    </row>
    <row r="204">
      <c r="A204" s="436">
        <v>44397.0</v>
      </c>
    </row>
    <row r="205">
      <c r="A205" s="436">
        <v>44398.0</v>
      </c>
    </row>
    <row r="206">
      <c r="A206" s="436">
        <v>44399.0</v>
      </c>
    </row>
    <row r="207">
      <c r="A207" s="436">
        <v>44400.0</v>
      </c>
    </row>
    <row r="208">
      <c r="A208" s="436">
        <v>44401.0</v>
      </c>
    </row>
    <row r="209">
      <c r="A209" s="436">
        <v>44402.0</v>
      </c>
    </row>
    <row r="210">
      <c r="A210" s="436">
        <v>44403.0</v>
      </c>
    </row>
    <row r="211">
      <c r="A211" s="436">
        <v>44404.0</v>
      </c>
    </row>
    <row r="212">
      <c r="A212" s="436">
        <v>44405.0</v>
      </c>
    </row>
    <row r="213">
      <c r="A213" s="436">
        <v>44406.0</v>
      </c>
    </row>
    <row r="214">
      <c r="A214" s="436">
        <v>44407.0</v>
      </c>
    </row>
    <row r="215">
      <c r="A215" s="436">
        <v>44408.0</v>
      </c>
    </row>
    <row r="216">
      <c r="A216" s="436">
        <v>44409.0</v>
      </c>
    </row>
    <row r="217">
      <c r="A217" s="436">
        <v>44410.0</v>
      </c>
    </row>
    <row r="218">
      <c r="A218" s="436">
        <v>44411.0</v>
      </c>
    </row>
    <row r="219">
      <c r="A219" s="436">
        <v>44412.0</v>
      </c>
    </row>
    <row r="220">
      <c r="A220" s="436">
        <v>44413.0</v>
      </c>
    </row>
    <row r="221">
      <c r="A221" s="436">
        <v>44414.0</v>
      </c>
    </row>
    <row r="222">
      <c r="A222" s="436">
        <v>44415.0</v>
      </c>
    </row>
    <row r="223">
      <c r="A223" s="436">
        <v>44416.0</v>
      </c>
    </row>
    <row r="224">
      <c r="A224" s="436">
        <v>44417.0</v>
      </c>
    </row>
    <row r="225">
      <c r="A225" s="436">
        <v>44418.0</v>
      </c>
    </row>
    <row r="226">
      <c r="A226" s="436">
        <v>44419.0</v>
      </c>
    </row>
    <row r="227">
      <c r="A227" s="436">
        <v>44420.0</v>
      </c>
    </row>
    <row r="228">
      <c r="A228" s="436">
        <v>44421.0</v>
      </c>
    </row>
    <row r="229">
      <c r="A229" s="436">
        <v>44422.0</v>
      </c>
    </row>
    <row r="230">
      <c r="A230" s="436">
        <v>44423.0</v>
      </c>
    </row>
    <row r="231">
      <c r="A231" s="436">
        <v>44424.0</v>
      </c>
    </row>
    <row r="232">
      <c r="A232" s="436">
        <v>44425.0</v>
      </c>
    </row>
    <row r="233">
      <c r="A233" s="436">
        <v>44426.0</v>
      </c>
    </row>
    <row r="234">
      <c r="A234" s="436">
        <v>44427.0</v>
      </c>
    </row>
    <row r="235">
      <c r="A235" s="436">
        <v>44428.0</v>
      </c>
    </row>
    <row r="236">
      <c r="A236" s="436">
        <v>44429.0</v>
      </c>
    </row>
    <row r="237">
      <c r="A237" s="436">
        <v>44430.0</v>
      </c>
    </row>
    <row r="238">
      <c r="A238" s="436">
        <v>44431.0</v>
      </c>
    </row>
    <row r="239">
      <c r="A239" s="436">
        <v>44432.0</v>
      </c>
    </row>
    <row r="240">
      <c r="A240" s="436">
        <v>44433.0</v>
      </c>
    </row>
    <row r="241">
      <c r="A241" s="436">
        <v>44434.0</v>
      </c>
    </row>
    <row r="242">
      <c r="A242" s="436">
        <v>44435.0</v>
      </c>
    </row>
    <row r="243">
      <c r="A243" s="436">
        <v>44436.0</v>
      </c>
    </row>
    <row r="244">
      <c r="A244" s="436">
        <v>44437.0</v>
      </c>
    </row>
    <row r="245">
      <c r="A245" s="436">
        <v>44438.0</v>
      </c>
    </row>
    <row r="246">
      <c r="A246" s="436">
        <v>44439.0</v>
      </c>
    </row>
    <row r="247">
      <c r="A247" s="436">
        <v>44440.0</v>
      </c>
    </row>
    <row r="248">
      <c r="A248" s="436">
        <v>44441.0</v>
      </c>
    </row>
    <row r="249">
      <c r="A249" s="436">
        <v>44442.0</v>
      </c>
    </row>
    <row r="250">
      <c r="A250" s="436">
        <v>44443.0</v>
      </c>
    </row>
    <row r="251">
      <c r="A251" s="436">
        <v>44444.0</v>
      </c>
    </row>
    <row r="252">
      <c r="A252" s="436">
        <v>44445.0</v>
      </c>
    </row>
    <row r="253">
      <c r="A253" s="436">
        <v>44446.0</v>
      </c>
    </row>
    <row r="254">
      <c r="A254" s="436">
        <v>44447.0</v>
      </c>
    </row>
    <row r="255">
      <c r="A255" s="436">
        <v>44448.0</v>
      </c>
    </row>
    <row r="256">
      <c r="A256" s="436">
        <v>44449.0</v>
      </c>
    </row>
    <row r="257">
      <c r="A257" s="436">
        <v>44450.0</v>
      </c>
    </row>
    <row r="258">
      <c r="A258" s="436">
        <v>44451.0</v>
      </c>
    </row>
    <row r="259">
      <c r="A259" s="436">
        <v>44452.0</v>
      </c>
    </row>
    <row r="260">
      <c r="A260" s="436">
        <v>44453.0</v>
      </c>
    </row>
    <row r="261">
      <c r="A261" s="436">
        <v>44454.0</v>
      </c>
    </row>
    <row r="262">
      <c r="A262" s="436">
        <v>44455.0</v>
      </c>
    </row>
    <row r="263">
      <c r="A263" s="436">
        <v>44456.0</v>
      </c>
    </row>
    <row r="264">
      <c r="A264" s="436">
        <v>44457.0</v>
      </c>
    </row>
    <row r="265">
      <c r="A265" s="436">
        <v>44458.0</v>
      </c>
    </row>
    <row r="266">
      <c r="A266" s="436">
        <v>44459.0</v>
      </c>
    </row>
    <row r="267">
      <c r="A267" s="436">
        <v>44460.0</v>
      </c>
    </row>
    <row r="268">
      <c r="A268" s="436">
        <v>44461.0</v>
      </c>
    </row>
    <row r="269">
      <c r="A269" s="436">
        <v>44462.0</v>
      </c>
    </row>
    <row r="270">
      <c r="A270" s="436">
        <v>44463.0</v>
      </c>
    </row>
    <row r="271">
      <c r="A271" s="436">
        <v>44464.0</v>
      </c>
    </row>
    <row r="272">
      <c r="A272" s="436">
        <v>44465.0</v>
      </c>
    </row>
    <row r="273">
      <c r="A273" s="436">
        <v>44466.0</v>
      </c>
    </row>
    <row r="274">
      <c r="A274" s="436">
        <v>44467.0</v>
      </c>
    </row>
    <row r="275">
      <c r="A275" s="436">
        <v>44468.0</v>
      </c>
    </row>
    <row r="276">
      <c r="A276" s="436">
        <v>44469.0</v>
      </c>
    </row>
    <row r="277">
      <c r="A277" s="436">
        <v>44470.0</v>
      </c>
    </row>
    <row r="278">
      <c r="A278" s="436">
        <v>44471.0</v>
      </c>
    </row>
    <row r="279">
      <c r="A279" s="436">
        <v>44472.0</v>
      </c>
    </row>
    <row r="280">
      <c r="A280" s="436">
        <v>44473.0</v>
      </c>
    </row>
    <row r="281">
      <c r="A281" s="436">
        <v>44474.0</v>
      </c>
    </row>
    <row r="282">
      <c r="A282" s="436">
        <v>44475.0</v>
      </c>
    </row>
    <row r="283">
      <c r="A283" s="436">
        <v>44476.0</v>
      </c>
    </row>
    <row r="284">
      <c r="A284" s="436">
        <v>44477.0</v>
      </c>
    </row>
    <row r="285">
      <c r="A285" s="436">
        <v>44478.0</v>
      </c>
    </row>
    <row r="286">
      <c r="A286" s="436">
        <v>44479.0</v>
      </c>
    </row>
    <row r="287">
      <c r="A287" s="436">
        <v>44480.0</v>
      </c>
    </row>
    <row r="288">
      <c r="A288" s="436">
        <v>44481.0</v>
      </c>
    </row>
    <row r="289">
      <c r="A289" s="436">
        <v>44482.0</v>
      </c>
    </row>
    <row r="290">
      <c r="A290" s="436">
        <v>44483.0</v>
      </c>
    </row>
    <row r="291">
      <c r="A291" s="436">
        <v>44484.0</v>
      </c>
    </row>
    <row r="292">
      <c r="A292" s="436">
        <v>44485.0</v>
      </c>
    </row>
    <row r="293">
      <c r="A293" s="436">
        <v>44486.0</v>
      </c>
    </row>
    <row r="294">
      <c r="A294" s="436">
        <v>44487.0</v>
      </c>
    </row>
    <row r="295">
      <c r="A295" s="436">
        <v>44488.0</v>
      </c>
    </row>
    <row r="296">
      <c r="A296" s="436">
        <v>44489.0</v>
      </c>
    </row>
    <row r="297">
      <c r="A297" s="436">
        <v>44490.0</v>
      </c>
    </row>
    <row r="298">
      <c r="A298" s="436">
        <v>44491.0</v>
      </c>
    </row>
    <row r="299">
      <c r="A299" s="436">
        <v>44492.0</v>
      </c>
    </row>
    <row r="300">
      <c r="A300" s="436">
        <v>44493.0</v>
      </c>
    </row>
    <row r="301">
      <c r="A301" s="436">
        <v>44494.0</v>
      </c>
    </row>
    <row r="302">
      <c r="A302" s="436">
        <v>44495.0</v>
      </c>
    </row>
    <row r="303">
      <c r="A303" s="436">
        <v>44496.0</v>
      </c>
    </row>
    <row r="304">
      <c r="A304" s="436">
        <v>44497.0</v>
      </c>
    </row>
    <row r="305">
      <c r="A305" s="436">
        <v>44498.0</v>
      </c>
    </row>
    <row r="306">
      <c r="A306" s="436">
        <v>44499.0</v>
      </c>
    </row>
    <row r="307">
      <c r="A307" s="436">
        <v>44500.0</v>
      </c>
    </row>
    <row r="308">
      <c r="A308" s="436">
        <v>44501.0</v>
      </c>
    </row>
    <row r="309">
      <c r="A309" s="436">
        <v>44502.0</v>
      </c>
    </row>
    <row r="310">
      <c r="A310" s="436">
        <v>44503.0</v>
      </c>
    </row>
    <row r="311">
      <c r="A311" s="436">
        <v>44504.0</v>
      </c>
    </row>
    <row r="312">
      <c r="A312" s="436">
        <v>44505.0</v>
      </c>
    </row>
    <row r="313">
      <c r="A313" s="436">
        <v>44506.0</v>
      </c>
    </row>
    <row r="314">
      <c r="A314" s="436">
        <v>44507.0</v>
      </c>
    </row>
    <row r="315">
      <c r="A315" s="436">
        <v>44508.0</v>
      </c>
    </row>
    <row r="316">
      <c r="A316" s="436">
        <v>44509.0</v>
      </c>
    </row>
    <row r="317">
      <c r="A317" s="436">
        <v>44510.0</v>
      </c>
    </row>
    <row r="318">
      <c r="A318" s="436">
        <v>44511.0</v>
      </c>
    </row>
    <row r="319">
      <c r="A319" s="436">
        <v>44512.0</v>
      </c>
    </row>
    <row r="320">
      <c r="A320" s="436">
        <v>44513.0</v>
      </c>
    </row>
    <row r="321">
      <c r="A321" s="436">
        <v>44514.0</v>
      </c>
    </row>
    <row r="322">
      <c r="A322" s="436">
        <v>44515.0</v>
      </c>
    </row>
    <row r="323">
      <c r="A323" s="436">
        <v>44516.0</v>
      </c>
    </row>
    <row r="324">
      <c r="A324" s="436">
        <v>44517.0</v>
      </c>
    </row>
    <row r="325">
      <c r="A325" s="436">
        <v>44518.0</v>
      </c>
    </row>
    <row r="326">
      <c r="A326" s="436">
        <v>44519.0</v>
      </c>
    </row>
    <row r="327">
      <c r="A327" s="436">
        <v>44520.0</v>
      </c>
    </row>
    <row r="328">
      <c r="A328" s="436">
        <v>44521.0</v>
      </c>
    </row>
    <row r="329">
      <c r="A329" s="436">
        <v>44522.0</v>
      </c>
    </row>
    <row r="330">
      <c r="A330" s="436">
        <v>44523.0</v>
      </c>
    </row>
    <row r="331">
      <c r="A331" s="436">
        <v>44524.0</v>
      </c>
    </row>
    <row r="332">
      <c r="A332" s="436">
        <v>44525.0</v>
      </c>
    </row>
    <row r="333">
      <c r="A333" s="436">
        <v>44526.0</v>
      </c>
    </row>
    <row r="334">
      <c r="A334" s="436">
        <v>44527.0</v>
      </c>
    </row>
    <row r="335">
      <c r="A335" s="436">
        <v>44528.0</v>
      </c>
    </row>
    <row r="336">
      <c r="A336" s="436">
        <v>44529.0</v>
      </c>
    </row>
    <row r="337">
      <c r="A337" s="436">
        <v>44530.0</v>
      </c>
    </row>
    <row r="338">
      <c r="A338" s="436">
        <v>44531.0</v>
      </c>
    </row>
    <row r="339">
      <c r="A339" s="436">
        <v>44532.0</v>
      </c>
    </row>
    <row r="340">
      <c r="A340" s="436">
        <v>44533.0</v>
      </c>
    </row>
    <row r="341">
      <c r="A341" s="436">
        <v>44534.0</v>
      </c>
    </row>
    <row r="342">
      <c r="A342" s="436">
        <v>44535.0</v>
      </c>
    </row>
    <row r="343">
      <c r="A343" s="436">
        <v>44536.0</v>
      </c>
    </row>
    <row r="344">
      <c r="A344" s="436">
        <v>44537.0</v>
      </c>
    </row>
    <row r="345">
      <c r="A345" s="436">
        <v>44538.0</v>
      </c>
    </row>
    <row r="346">
      <c r="A346" s="436">
        <v>44539.0</v>
      </c>
    </row>
    <row r="347">
      <c r="A347" s="436">
        <v>44540.0</v>
      </c>
    </row>
    <row r="348">
      <c r="A348" s="436">
        <v>44541.0</v>
      </c>
    </row>
    <row r="349">
      <c r="A349" s="436">
        <v>44542.0</v>
      </c>
    </row>
    <row r="350">
      <c r="A350" s="436">
        <v>44543.0</v>
      </c>
    </row>
    <row r="351">
      <c r="A351" s="436">
        <v>44544.0</v>
      </c>
    </row>
    <row r="352">
      <c r="A352" s="436">
        <v>44545.0</v>
      </c>
    </row>
    <row r="353">
      <c r="A353" s="436">
        <v>44546.0</v>
      </c>
    </row>
    <row r="354">
      <c r="A354" s="436">
        <v>44547.0</v>
      </c>
    </row>
    <row r="355">
      <c r="A355" s="436">
        <v>44548.0</v>
      </c>
    </row>
    <row r="356">
      <c r="A356" s="436">
        <v>44549.0</v>
      </c>
    </row>
    <row r="357">
      <c r="A357" s="436">
        <v>44550.0</v>
      </c>
    </row>
    <row r="358">
      <c r="A358" s="436">
        <v>44551.0</v>
      </c>
    </row>
    <row r="359">
      <c r="A359" s="436">
        <v>44552.0</v>
      </c>
    </row>
    <row r="360">
      <c r="A360" s="436">
        <v>44553.0</v>
      </c>
    </row>
    <row r="361">
      <c r="A361" s="436">
        <v>44554.0</v>
      </c>
    </row>
    <row r="362">
      <c r="A362" s="436">
        <v>44555.0</v>
      </c>
    </row>
    <row r="363">
      <c r="A363" s="436">
        <v>44556.0</v>
      </c>
    </row>
    <row r="364">
      <c r="A364" s="436">
        <v>44557.0</v>
      </c>
    </row>
    <row r="365">
      <c r="A365" s="436">
        <v>44558.0</v>
      </c>
    </row>
    <row r="366">
      <c r="A366" s="436">
        <v>44559.0</v>
      </c>
    </row>
    <row r="367">
      <c r="A367" s="436">
        <v>44560.0</v>
      </c>
    </row>
    <row r="368">
      <c r="A368" s="436">
        <v>44561.0</v>
      </c>
    </row>
    <row r="369">
      <c r="A369" s="436">
        <v>44562.0</v>
      </c>
    </row>
    <row r="370">
      <c r="A370" s="436">
        <v>44563.0</v>
      </c>
    </row>
    <row r="371">
      <c r="A371" s="436">
        <v>44564.0</v>
      </c>
    </row>
    <row r="372">
      <c r="A372" s="436">
        <v>44565.0</v>
      </c>
    </row>
    <row r="373">
      <c r="A373" s="436">
        <v>44566.0</v>
      </c>
    </row>
    <row r="374">
      <c r="A374" s="436">
        <v>44567.0</v>
      </c>
    </row>
    <row r="375">
      <c r="A375" s="436">
        <v>44568.0</v>
      </c>
    </row>
    <row r="376">
      <c r="A376" s="436">
        <v>44569.0</v>
      </c>
    </row>
    <row r="377">
      <c r="A377" s="436">
        <v>44570.0</v>
      </c>
    </row>
    <row r="378">
      <c r="A378" s="436">
        <v>44571.0</v>
      </c>
    </row>
    <row r="379">
      <c r="A379" s="436">
        <v>44572.0</v>
      </c>
    </row>
    <row r="380">
      <c r="A380" s="436">
        <v>44573.0</v>
      </c>
    </row>
    <row r="381">
      <c r="A381" s="436">
        <v>44574.0</v>
      </c>
    </row>
    <row r="382">
      <c r="A382" s="436">
        <v>44575.0</v>
      </c>
    </row>
    <row r="383">
      <c r="A383" s="436">
        <v>44576.0</v>
      </c>
    </row>
    <row r="384">
      <c r="A384" s="436">
        <v>44577.0</v>
      </c>
    </row>
    <row r="385">
      <c r="A385" s="436">
        <v>44578.0</v>
      </c>
    </row>
    <row r="386">
      <c r="A386" s="436">
        <v>44579.0</v>
      </c>
    </row>
    <row r="387">
      <c r="A387" s="436">
        <v>44580.0</v>
      </c>
    </row>
    <row r="388">
      <c r="A388" s="436">
        <v>44581.0</v>
      </c>
    </row>
    <row r="389">
      <c r="A389" s="436">
        <v>44582.0</v>
      </c>
    </row>
    <row r="390">
      <c r="A390" s="436">
        <v>44583.0</v>
      </c>
    </row>
    <row r="391">
      <c r="A391" s="436">
        <v>44584.0</v>
      </c>
    </row>
    <row r="392">
      <c r="A392" s="436">
        <v>44585.0</v>
      </c>
    </row>
    <row r="393">
      <c r="A393" s="436">
        <v>44586.0</v>
      </c>
    </row>
    <row r="394">
      <c r="A394" s="436">
        <v>44587.0</v>
      </c>
    </row>
    <row r="395">
      <c r="A395" s="436">
        <v>44588.0</v>
      </c>
    </row>
    <row r="396">
      <c r="A396" s="436">
        <v>44589.0</v>
      </c>
    </row>
    <row r="397">
      <c r="A397" s="436">
        <v>44590.0</v>
      </c>
    </row>
    <row r="398">
      <c r="A398" s="436">
        <v>44591.0</v>
      </c>
    </row>
    <row r="399">
      <c r="A399" s="436">
        <v>44592.0</v>
      </c>
    </row>
    <row r="400">
      <c r="A400" s="436">
        <v>44593.0</v>
      </c>
    </row>
    <row r="401">
      <c r="A401" s="436">
        <v>44594.0</v>
      </c>
    </row>
    <row r="402">
      <c r="A402" s="436">
        <v>44595.0</v>
      </c>
    </row>
    <row r="403">
      <c r="A403" s="436">
        <v>44596.0</v>
      </c>
    </row>
    <row r="404">
      <c r="A404" s="436">
        <v>44597.0</v>
      </c>
    </row>
    <row r="405">
      <c r="A405" s="436">
        <v>44598.0</v>
      </c>
    </row>
    <row r="406">
      <c r="A406" s="436">
        <v>44599.0</v>
      </c>
    </row>
    <row r="407">
      <c r="A407" s="436">
        <v>44600.0</v>
      </c>
    </row>
    <row r="408">
      <c r="A408" s="436">
        <v>44601.0</v>
      </c>
    </row>
    <row r="409">
      <c r="A409" s="436">
        <v>44602.0</v>
      </c>
    </row>
    <row r="410">
      <c r="A410" s="436">
        <v>44603.0</v>
      </c>
    </row>
    <row r="411">
      <c r="A411" s="436">
        <v>44604.0</v>
      </c>
    </row>
    <row r="412">
      <c r="A412" s="436">
        <v>44605.0</v>
      </c>
    </row>
    <row r="413">
      <c r="A413" s="436">
        <v>44606.0</v>
      </c>
    </row>
    <row r="414">
      <c r="A414" s="436">
        <v>44607.0</v>
      </c>
    </row>
    <row r="415">
      <c r="A415" s="436">
        <v>44608.0</v>
      </c>
    </row>
    <row r="416">
      <c r="A416" s="436">
        <v>44609.0</v>
      </c>
    </row>
    <row r="417">
      <c r="A417" s="436">
        <v>44610.0</v>
      </c>
    </row>
    <row r="418">
      <c r="A418" s="436">
        <v>44611.0</v>
      </c>
    </row>
    <row r="419">
      <c r="A419" s="436">
        <v>44612.0</v>
      </c>
    </row>
    <row r="420">
      <c r="A420" s="436">
        <v>44613.0</v>
      </c>
    </row>
    <row r="421">
      <c r="A421" s="436">
        <v>44614.0</v>
      </c>
    </row>
    <row r="422">
      <c r="A422" s="436">
        <v>44615.0</v>
      </c>
    </row>
    <row r="423">
      <c r="A423" s="436">
        <v>44616.0</v>
      </c>
    </row>
    <row r="424">
      <c r="A424" s="436">
        <v>44617.0</v>
      </c>
    </row>
    <row r="425">
      <c r="A425" s="436">
        <v>44618.0</v>
      </c>
    </row>
    <row r="426">
      <c r="A426" s="436">
        <v>44619.0</v>
      </c>
    </row>
    <row r="427">
      <c r="A427" s="436">
        <v>44620.0</v>
      </c>
    </row>
    <row r="428">
      <c r="A428" s="436">
        <v>44621.0</v>
      </c>
    </row>
    <row r="429">
      <c r="A429" s="436">
        <v>44622.0</v>
      </c>
    </row>
    <row r="430">
      <c r="A430" s="436">
        <v>44623.0</v>
      </c>
    </row>
    <row r="431">
      <c r="A431" s="436">
        <v>44624.0</v>
      </c>
    </row>
    <row r="432">
      <c r="A432" s="436">
        <v>44625.0</v>
      </c>
    </row>
    <row r="433">
      <c r="A433" s="436">
        <v>44626.0</v>
      </c>
    </row>
    <row r="434">
      <c r="A434" s="436">
        <v>44627.0</v>
      </c>
    </row>
    <row r="435">
      <c r="A435" s="436">
        <v>44628.0</v>
      </c>
    </row>
    <row r="436">
      <c r="A436" s="436">
        <v>44629.0</v>
      </c>
    </row>
    <row r="437">
      <c r="A437" s="436">
        <v>44630.0</v>
      </c>
    </row>
    <row r="438">
      <c r="A438" s="436">
        <v>44631.0</v>
      </c>
    </row>
    <row r="439">
      <c r="A439" s="436">
        <v>44632.0</v>
      </c>
    </row>
    <row r="440">
      <c r="A440" s="436">
        <v>44633.0</v>
      </c>
    </row>
    <row r="441">
      <c r="A441" s="436">
        <v>44634.0</v>
      </c>
    </row>
    <row r="442">
      <c r="A442" s="436">
        <v>44635.0</v>
      </c>
    </row>
    <row r="443">
      <c r="A443" s="436">
        <v>44636.0</v>
      </c>
    </row>
    <row r="444">
      <c r="A444" s="436">
        <v>44637.0</v>
      </c>
    </row>
    <row r="445">
      <c r="A445" s="436">
        <v>44638.0</v>
      </c>
    </row>
    <row r="446">
      <c r="A446" s="436">
        <v>44639.0</v>
      </c>
    </row>
    <row r="447">
      <c r="A447" s="436">
        <v>44640.0</v>
      </c>
    </row>
    <row r="448">
      <c r="A448" s="436">
        <v>44641.0</v>
      </c>
    </row>
    <row r="449">
      <c r="A449" s="436">
        <v>44642.0</v>
      </c>
    </row>
    <row r="450">
      <c r="A450" s="436">
        <v>44643.0</v>
      </c>
    </row>
    <row r="451">
      <c r="A451" s="436">
        <v>44644.0</v>
      </c>
    </row>
    <row r="452">
      <c r="A452" s="436">
        <v>44645.0</v>
      </c>
    </row>
    <row r="453">
      <c r="A453" s="436">
        <v>44646.0</v>
      </c>
    </row>
    <row r="454">
      <c r="A454" s="436">
        <v>44647.0</v>
      </c>
    </row>
    <row r="455">
      <c r="A455" s="436">
        <v>44648.0</v>
      </c>
    </row>
    <row r="456">
      <c r="A456" s="436">
        <v>44649.0</v>
      </c>
    </row>
    <row r="457">
      <c r="A457" s="436">
        <v>44650.0</v>
      </c>
    </row>
    <row r="458">
      <c r="A458" s="436">
        <v>44651.0</v>
      </c>
    </row>
    <row r="459">
      <c r="A459" s="436">
        <v>44652.0</v>
      </c>
    </row>
    <row r="460">
      <c r="A460" s="436">
        <v>44653.0</v>
      </c>
    </row>
    <row r="461">
      <c r="A461" s="436">
        <v>44654.0</v>
      </c>
    </row>
    <row r="462">
      <c r="A462" s="436">
        <v>44655.0</v>
      </c>
    </row>
    <row r="463">
      <c r="A463" s="436">
        <v>44656.0</v>
      </c>
    </row>
    <row r="464">
      <c r="A464" s="436">
        <v>44657.0</v>
      </c>
    </row>
    <row r="465">
      <c r="A465" s="436">
        <v>44658.0</v>
      </c>
    </row>
    <row r="466">
      <c r="A466" s="436">
        <v>44659.0</v>
      </c>
    </row>
    <row r="467">
      <c r="A467" s="436">
        <v>44660.0</v>
      </c>
    </row>
    <row r="468">
      <c r="A468" s="436">
        <v>44661.0</v>
      </c>
    </row>
    <row r="469">
      <c r="A469" s="436">
        <v>44662.0</v>
      </c>
    </row>
    <row r="470">
      <c r="A470" s="436">
        <v>44663.0</v>
      </c>
    </row>
    <row r="471">
      <c r="A471" s="436">
        <v>44664.0</v>
      </c>
    </row>
    <row r="472">
      <c r="A472" s="436">
        <v>44665.0</v>
      </c>
    </row>
    <row r="473">
      <c r="A473" s="436">
        <v>44666.0</v>
      </c>
    </row>
    <row r="474">
      <c r="A474" s="436">
        <v>44667.0</v>
      </c>
    </row>
    <row r="475">
      <c r="A475" s="436">
        <v>44668.0</v>
      </c>
    </row>
    <row r="476">
      <c r="A476" s="436">
        <v>44669.0</v>
      </c>
    </row>
    <row r="477">
      <c r="A477" s="436">
        <v>44670.0</v>
      </c>
    </row>
    <row r="478">
      <c r="A478" s="436">
        <v>44671.0</v>
      </c>
    </row>
    <row r="479">
      <c r="A479" s="436">
        <v>44672.0</v>
      </c>
    </row>
    <row r="480">
      <c r="A480" s="436">
        <v>44673.0</v>
      </c>
    </row>
    <row r="481">
      <c r="A481" s="436">
        <v>44674.0</v>
      </c>
    </row>
    <row r="482">
      <c r="A482" s="436">
        <v>44675.0</v>
      </c>
    </row>
    <row r="483">
      <c r="A483" s="436">
        <v>44676.0</v>
      </c>
    </row>
    <row r="484">
      <c r="A484" s="436">
        <v>44677.0</v>
      </c>
    </row>
    <row r="485">
      <c r="A485" s="436">
        <v>44678.0</v>
      </c>
    </row>
    <row r="486">
      <c r="A486" s="436">
        <v>44679.0</v>
      </c>
    </row>
    <row r="487">
      <c r="A487" s="436">
        <v>44680.0</v>
      </c>
    </row>
    <row r="488">
      <c r="A488" s="436">
        <v>44681.0</v>
      </c>
    </row>
    <row r="489">
      <c r="A489" s="436">
        <v>44682.0</v>
      </c>
    </row>
    <row r="490">
      <c r="A490" s="436">
        <v>44683.0</v>
      </c>
    </row>
    <row r="491">
      <c r="A491" s="436">
        <v>44684.0</v>
      </c>
    </row>
    <row r="492">
      <c r="A492" s="436">
        <v>44685.0</v>
      </c>
    </row>
    <row r="493">
      <c r="A493" s="436">
        <v>44686.0</v>
      </c>
    </row>
    <row r="494">
      <c r="A494" s="436">
        <v>44687.0</v>
      </c>
    </row>
    <row r="495">
      <c r="A495" s="436">
        <v>44688.0</v>
      </c>
    </row>
    <row r="496">
      <c r="A496" s="436">
        <v>44689.0</v>
      </c>
    </row>
    <row r="497">
      <c r="A497" s="436">
        <v>44690.0</v>
      </c>
    </row>
    <row r="498">
      <c r="A498" s="436">
        <v>44691.0</v>
      </c>
    </row>
    <row r="499">
      <c r="A499" s="436">
        <v>44692.0</v>
      </c>
    </row>
    <row r="500">
      <c r="A500" s="436">
        <v>44693.0</v>
      </c>
    </row>
    <row r="501">
      <c r="A501" s="436">
        <v>44694.0</v>
      </c>
    </row>
    <row r="502">
      <c r="A502" s="436">
        <v>44695.0</v>
      </c>
    </row>
    <row r="503">
      <c r="A503" s="436">
        <v>44696.0</v>
      </c>
    </row>
    <row r="504">
      <c r="A504" s="436">
        <v>44697.0</v>
      </c>
    </row>
    <row r="505">
      <c r="A505" s="436">
        <v>44698.0</v>
      </c>
    </row>
    <row r="506">
      <c r="A506" s="436">
        <v>44699.0</v>
      </c>
    </row>
    <row r="507">
      <c r="A507" s="436">
        <v>44700.0</v>
      </c>
    </row>
    <row r="508">
      <c r="A508" s="436">
        <v>44701.0</v>
      </c>
    </row>
    <row r="509">
      <c r="A509" s="436">
        <v>44702.0</v>
      </c>
    </row>
    <row r="510">
      <c r="A510" s="436">
        <v>44703.0</v>
      </c>
    </row>
    <row r="511">
      <c r="A511" s="436">
        <v>44704.0</v>
      </c>
    </row>
    <row r="512">
      <c r="A512" s="436">
        <v>44705.0</v>
      </c>
    </row>
    <row r="513">
      <c r="A513" s="436">
        <v>44706.0</v>
      </c>
    </row>
    <row r="514">
      <c r="A514" s="436">
        <v>44707.0</v>
      </c>
    </row>
    <row r="515">
      <c r="A515" s="436">
        <v>44708.0</v>
      </c>
    </row>
    <row r="516">
      <c r="A516" s="436">
        <v>44709.0</v>
      </c>
    </row>
    <row r="517">
      <c r="A517" s="436">
        <v>44710.0</v>
      </c>
    </row>
    <row r="518">
      <c r="A518" s="436">
        <v>44711.0</v>
      </c>
    </row>
    <row r="519">
      <c r="A519" s="436">
        <v>44712.0</v>
      </c>
    </row>
    <row r="520">
      <c r="A520" s="436">
        <v>44713.0</v>
      </c>
    </row>
    <row r="521">
      <c r="A521" s="436">
        <v>44714.0</v>
      </c>
    </row>
    <row r="522">
      <c r="A522" s="436">
        <v>44715.0</v>
      </c>
    </row>
    <row r="523">
      <c r="A523" s="436">
        <v>44716.0</v>
      </c>
    </row>
    <row r="524">
      <c r="A524" s="436">
        <v>44717.0</v>
      </c>
    </row>
    <row r="525">
      <c r="A525" s="436">
        <v>44718.0</v>
      </c>
    </row>
    <row r="526">
      <c r="A526" s="436">
        <v>44719.0</v>
      </c>
    </row>
    <row r="527">
      <c r="A527" s="436">
        <v>44720.0</v>
      </c>
    </row>
    <row r="528">
      <c r="A528" s="436">
        <v>44721.0</v>
      </c>
    </row>
    <row r="529">
      <c r="A529" s="436">
        <v>44722.0</v>
      </c>
    </row>
    <row r="530">
      <c r="A530" s="436">
        <v>44723.0</v>
      </c>
    </row>
    <row r="531">
      <c r="A531" s="436">
        <v>44724.0</v>
      </c>
    </row>
    <row r="532">
      <c r="A532" s="436">
        <v>44725.0</v>
      </c>
    </row>
    <row r="533">
      <c r="A533" s="436">
        <v>44726.0</v>
      </c>
    </row>
    <row r="534">
      <c r="A534" s="436">
        <v>44727.0</v>
      </c>
    </row>
    <row r="535">
      <c r="A535" s="436">
        <v>44728.0</v>
      </c>
    </row>
    <row r="536">
      <c r="A536" s="436">
        <v>44729.0</v>
      </c>
    </row>
    <row r="537">
      <c r="A537" s="436">
        <v>44730.0</v>
      </c>
    </row>
    <row r="538">
      <c r="A538" s="436">
        <v>44731.0</v>
      </c>
    </row>
    <row r="539">
      <c r="A539" s="436">
        <v>44732.0</v>
      </c>
    </row>
    <row r="540">
      <c r="A540" s="436">
        <v>44733.0</v>
      </c>
    </row>
    <row r="541">
      <c r="A541" s="436">
        <v>44734.0</v>
      </c>
    </row>
    <row r="542">
      <c r="A542" s="436">
        <v>44735.0</v>
      </c>
    </row>
    <row r="543">
      <c r="A543" s="436">
        <v>44736.0</v>
      </c>
    </row>
    <row r="544">
      <c r="A544" s="436">
        <v>44737.0</v>
      </c>
    </row>
    <row r="545">
      <c r="A545" s="436">
        <v>44738.0</v>
      </c>
    </row>
    <row r="546">
      <c r="A546" s="436">
        <v>44739.0</v>
      </c>
    </row>
    <row r="547">
      <c r="A547" s="436">
        <v>44740.0</v>
      </c>
    </row>
    <row r="548">
      <c r="A548" s="436">
        <v>44741.0</v>
      </c>
    </row>
    <row r="549">
      <c r="A549" s="436">
        <v>44742.0</v>
      </c>
    </row>
    <row r="550">
      <c r="A550" s="436">
        <v>44743.0</v>
      </c>
    </row>
    <row r="551">
      <c r="A551" s="436">
        <v>44744.0</v>
      </c>
    </row>
    <row r="552">
      <c r="A552" s="436">
        <v>44745.0</v>
      </c>
    </row>
    <row r="553">
      <c r="A553" s="436">
        <v>44746.0</v>
      </c>
    </row>
    <row r="554">
      <c r="A554" s="436">
        <v>44747.0</v>
      </c>
    </row>
    <row r="555">
      <c r="A555" s="436">
        <v>44748.0</v>
      </c>
    </row>
    <row r="556">
      <c r="A556" s="436">
        <v>44749.0</v>
      </c>
    </row>
    <row r="557">
      <c r="A557" s="436">
        <v>44750.0</v>
      </c>
    </row>
    <row r="558">
      <c r="A558" s="436">
        <v>44751.0</v>
      </c>
    </row>
    <row r="559">
      <c r="A559" s="436">
        <v>44752.0</v>
      </c>
    </row>
    <row r="560">
      <c r="A560" s="436">
        <v>44753.0</v>
      </c>
    </row>
    <row r="561">
      <c r="A561" s="436">
        <v>44754.0</v>
      </c>
    </row>
    <row r="562">
      <c r="A562" s="436">
        <v>44755.0</v>
      </c>
    </row>
    <row r="563">
      <c r="A563" s="436">
        <v>44756.0</v>
      </c>
    </row>
    <row r="564">
      <c r="A564" s="436">
        <v>44757.0</v>
      </c>
    </row>
    <row r="565">
      <c r="A565" s="436">
        <v>44758.0</v>
      </c>
    </row>
    <row r="566">
      <c r="A566" s="436">
        <v>44759.0</v>
      </c>
    </row>
    <row r="567">
      <c r="A567" s="436">
        <v>44760.0</v>
      </c>
    </row>
    <row r="568">
      <c r="A568" s="436">
        <v>44761.0</v>
      </c>
    </row>
    <row r="569">
      <c r="A569" s="436">
        <v>44762.0</v>
      </c>
    </row>
    <row r="570">
      <c r="A570" s="436">
        <v>44763.0</v>
      </c>
    </row>
    <row r="571">
      <c r="A571" s="436">
        <v>44764.0</v>
      </c>
    </row>
    <row r="572">
      <c r="A572" s="436">
        <v>44765.0</v>
      </c>
    </row>
    <row r="573">
      <c r="A573" s="436">
        <v>44766.0</v>
      </c>
    </row>
    <row r="574">
      <c r="A574" s="436">
        <v>44767.0</v>
      </c>
    </row>
    <row r="575">
      <c r="A575" s="436">
        <v>44768.0</v>
      </c>
    </row>
    <row r="576">
      <c r="A576" s="436">
        <v>44769.0</v>
      </c>
    </row>
    <row r="577">
      <c r="A577" s="436">
        <v>44770.0</v>
      </c>
    </row>
    <row r="578">
      <c r="A578" s="436">
        <v>44771.0</v>
      </c>
    </row>
    <row r="579">
      <c r="A579" s="436">
        <v>44772.0</v>
      </c>
    </row>
    <row r="580">
      <c r="A580" s="436">
        <v>44773.0</v>
      </c>
    </row>
    <row r="581">
      <c r="A581" s="436">
        <v>44774.0</v>
      </c>
    </row>
    <row r="582">
      <c r="A582" s="436">
        <v>44775.0</v>
      </c>
    </row>
    <row r="583">
      <c r="A583" s="436">
        <v>44776.0</v>
      </c>
    </row>
    <row r="584">
      <c r="A584" s="436">
        <v>44777.0</v>
      </c>
    </row>
    <row r="585">
      <c r="A585" s="436">
        <v>44778.0</v>
      </c>
    </row>
    <row r="586">
      <c r="A586" s="436">
        <v>44779.0</v>
      </c>
    </row>
    <row r="587">
      <c r="A587" s="436">
        <v>44780.0</v>
      </c>
    </row>
    <row r="588">
      <c r="A588" s="436">
        <v>44781.0</v>
      </c>
    </row>
    <row r="589">
      <c r="A589" s="436">
        <v>44782.0</v>
      </c>
    </row>
    <row r="590">
      <c r="A590" s="436">
        <v>44783.0</v>
      </c>
    </row>
    <row r="591">
      <c r="A591" s="436">
        <v>44784.0</v>
      </c>
    </row>
    <row r="592">
      <c r="A592" s="436">
        <v>44785.0</v>
      </c>
    </row>
    <row r="593">
      <c r="A593" s="436">
        <v>44786.0</v>
      </c>
    </row>
    <row r="594">
      <c r="A594" s="436">
        <v>44787.0</v>
      </c>
    </row>
    <row r="595">
      <c r="A595" s="436">
        <v>44788.0</v>
      </c>
    </row>
    <row r="596">
      <c r="A596" s="436">
        <v>44789.0</v>
      </c>
    </row>
    <row r="597">
      <c r="A597" s="436">
        <v>44790.0</v>
      </c>
    </row>
    <row r="598">
      <c r="A598" s="436">
        <v>44791.0</v>
      </c>
    </row>
    <row r="599">
      <c r="A599" s="436">
        <v>44792.0</v>
      </c>
    </row>
    <row r="600">
      <c r="A600" s="436">
        <v>44793.0</v>
      </c>
    </row>
    <row r="601">
      <c r="A601" s="436">
        <v>44794.0</v>
      </c>
    </row>
    <row r="602">
      <c r="A602" s="436">
        <v>44795.0</v>
      </c>
    </row>
    <row r="603">
      <c r="A603" s="436">
        <v>44796.0</v>
      </c>
    </row>
    <row r="604">
      <c r="A604" s="436">
        <v>44797.0</v>
      </c>
    </row>
    <row r="605">
      <c r="A605" s="436">
        <v>44798.0</v>
      </c>
    </row>
    <row r="606">
      <c r="A606" s="436">
        <v>44799.0</v>
      </c>
    </row>
    <row r="607">
      <c r="A607" s="436">
        <v>44800.0</v>
      </c>
    </row>
    <row r="608">
      <c r="A608" s="436">
        <v>44801.0</v>
      </c>
    </row>
    <row r="609">
      <c r="A609" s="436">
        <v>44802.0</v>
      </c>
    </row>
    <row r="610">
      <c r="A610" s="436">
        <v>44803.0</v>
      </c>
    </row>
    <row r="611">
      <c r="A611" s="436">
        <v>44804.0</v>
      </c>
    </row>
    <row r="612">
      <c r="A612" s="436">
        <v>44805.0</v>
      </c>
    </row>
    <row r="613">
      <c r="A613" s="436">
        <v>44806.0</v>
      </c>
    </row>
    <row r="614">
      <c r="A614" s="436">
        <v>44807.0</v>
      </c>
    </row>
    <row r="615">
      <c r="A615" s="436">
        <v>44808.0</v>
      </c>
    </row>
    <row r="616">
      <c r="A616" s="436">
        <v>44809.0</v>
      </c>
    </row>
    <row r="617">
      <c r="A617" s="436">
        <v>44810.0</v>
      </c>
    </row>
    <row r="618">
      <c r="A618" s="436">
        <v>44811.0</v>
      </c>
    </row>
    <row r="619">
      <c r="A619" s="436">
        <v>44812.0</v>
      </c>
    </row>
    <row r="620">
      <c r="A620" s="436">
        <v>44813.0</v>
      </c>
    </row>
    <row r="621">
      <c r="A621" s="436">
        <v>44814.0</v>
      </c>
    </row>
    <row r="622">
      <c r="A622" s="436">
        <v>44815.0</v>
      </c>
    </row>
    <row r="623">
      <c r="A623" s="436">
        <v>44816.0</v>
      </c>
    </row>
    <row r="624">
      <c r="A624" s="436">
        <v>44817.0</v>
      </c>
    </row>
    <row r="625">
      <c r="A625" s="436">
        <v>44818.0</v>
      </c>
    </row>
    <row r="626">
      <c r="A626" s="436">
        <v>44819.0</v>
      </c>
    </row>
    <row r="627">
      <c r="A627" s="436">
        <v>44820.0</v>
      </c>
    </row>
    <row r="628">
      <c r="A628" s="436">
        <v>44821.0</v>
      </c>
    </row>
    <row r="629">
      <c r="A629" s="436">
        <v>44822.0</v>
      </c>
    </row>
    <row r="630">
      <c r="A630" s="436">
        <v>44823.0</v>
      </c>
    </row>
    <row r="631">
      <c r="A631" s="436">
        <v>44824.0</v>
      </c>
    </row>
    <row r="632">
      <c r="A632" s="436">
        <v>44825.0</v>
      </c>
    </row>
    <row r="633">
      <c r="A633" s="436">
        <v>44826.0</v>
      </c>
    </row>
    <row r="634">
      <c r="A634" s="436">
        <v>44827.0</v>
      </c>
    </row>
    <row r="635">
      <c r="A635" s="436">
        <v>44828.0</v>
      </c>
    </row>
    <row r="636">
      <c r="A636" s="436">
        <v>44829.0</v>
      </c>
    </row>
    <row r="637">
      <c r="A637" s="436">
        <v>44830.0</v>
      </c>
    </row>
    <row r="638">
      <c r="A638" s="436">
        <v>44831.0</v>
      </c>
    </row>
    <row r="639">
      <c r="A639" s="436">
        <v>44832.0</v>
      </c>
    </row>
    <row r="640">
      <c r="A640" s="436">
        <v>44833.0</v>
      </c>
    </row>
    <row r="641">
      <c r="A641" s="436">
        <v>44834.0</v>
      </c>
    </row>
    <row r="642">
      <c r="A642" s="436">
        <v>44835.0</v>
      </c>
    </row>
    <row r="643">
      <c r="A643" s="436">
        <v>44836.0</v>
      </c>
    </row>
    <row r="644">
      <c r="A644" s="436">
        <v>44837.0</v>
      </c>
    </row>
    <row r="645">
      <c r="A645" s="436">
        <v>44838.0</v>
      </c>
    </row>
    <row r="646">
      <c r="A646" s="436">
        <v>44839.0</v>
      </c>
    </row>
    <row r="647">
      <c r="A647" s="436">
        <v>44840.0</v>
      </c>
    </row>
    <row r="648">
      <c r="A648" s="436">
        <v>44841.0</v>
      </c>
    </row>
    <row r="649">
      <c r="A649" s="436">
        <v>44842.0</v>
      </c>
    </row>
    <row r="650">
      <c r="A650" s="436">
        <v>44843.0</v>
      </c>
    </row>
    <row r="651">
      <c r="A651" s="436">
        <v>44844.0</v>
      </c>
    </row>
    <row r="652">
      <c r="A652" s="436">
        <v>44845.0</v>
      </c>
    </row>
    <row r="653">
      <c r="A653" s="436">
        <v>44846.0</v>
      </c>
    </row>
    <row r="654">
      <c r="A654" s="436">
        <v>44847.0</v>
      </c>
    </row>
    <row r="655">
      <c r="A655" s="436">
        <v>44848.0</v>
      </c>
    </row>
    <row r="656">
      <c r="A656" s="436">
        <v>44849.0</v>
      </c>
    </row>
    <row r="657">
      <c r="A657" s="436">
        <v>44850.0</v>
      </c>
    </row>
    <row r="658">
      <c r="A658" s="436">
        <v>44851.0</v>
      </c>
    </row>
    <row r="659">
      <c r="A659" s="436">
        <v>44852.0</v>
      </c>
    </row>
    <row r="660">
      <c r="A660" s="436">
        <v>44853.0</v>
      </c>
    </row>
    <row r="661">
      <c r="A661" s="436">
        <v>44854.0</v>
      </c>
    </row>
    <row r="662">
      <c r="A662" s="436">
        <v>44855.0</v>
      </c>
    </row>
    <row r="663">
      <c r="A663" s="436">
        <v>44856.0</v>
      </c>
    </row>
    <row r="664">
      <c r="A664" s="436">
        <v>44857.0</v>
      </c>
    </row>
    <row r="665">
      <c r="A665" s="436">
        <v>44858.0</v>
      </c>
    </row>
    <row r="666">
      <c r="A666" s="436">
        <v>44859.0</v>
      </c>
    </row>
    <row r="667">
      <c r="A667" s="436">
        <v>44860.0</v>
      </c>
    </row>
    <row r="668">
      <c r="A668" s="436">
        <v>44861.0</v>
      </c>
    </row>
    <row r="669">
      <c r="A669" s="436">
        <v>44862.0</v>
      </c>
    </row>
    <row r="670">
      <c r="A670" s="436">
        <v>44863.0</v>
      </c>
    </row>
    <row r="671">
      <c r="A671" s="436">
        <v>44864.0</v>
      </c>
    </row>
    <row r="672">
      <c r="A672" s="436">
        <v>44865.0</v>
      </c>
    </row>
    <row r="673">
      <c r="A673" s="436">
        <v>44866.0</v>
      </c>
    </row>
    <row r="674">
      <c r="A674" s="436">
        <v>44867.0</v>
      </c>
    </row>
    <row r="675">
      <c r="A675" s="436">
        <v>44868.0</v>
      </c>
    </row>
    <row r="676">
      <c r="A676" s="436">
        <v>44869.0</v>
      </c>
    </row>
    <row r="677">
      <c r="A677" s="436">
        <v>44870.0</v>
      </c>
    </row>
    <row r="678">
      <c r="A678" s="436">
        <v>44871.0</v>
      </c>
    </row>
    <row r="679">
      <c r="A679" s="436">
        <v>44872.0</v>
      </c>
    </row>
    <row r="680">
      <c r="A680" s="436">
        <v>44873.0</v>
      </c>
    </row>
    <row r="681">
      <c r="A681" s="436">
        <v>44874.0</v>
      </c>
    </row>
    <row r="682">
      <c r="A682" s="436">
        <v>44875.0</v>
      </c>
    </row>
    <row r="683">
      <c r="A683" s="436">
        <v>44876.0</v>
      </c>
    </row>
    <row r="684">
      <c r="A684" s="436">
        <v>44877.0</v>
      </c>
    </row>
    <row r="685">
      <c r="A685" s="436">
        <v>44878.0</v>
      </c>
    </row>
    <row r="686">
      <c r="A686" s="436">
        <v>44879.0</v>
      </c>
    </row>
    <row r="687">
      <c r="A687" s="436">
        <v>44880.0</v>
      </c>
    </row>
    <row r="688">
      <c r="A688" s="436">
        <v>44881.0</v>
      </c>
    </row>
    <row r="689">
      <c r="A689" s="436">
        <v>44882.0</v>
      </c>
    </row>
    <row r="690">
      <c r="A690" s="436">
        <v>44883.0</v>
      </c>
    </row>
    <row r="691">
      <c r="A691" s="436">
        <v>44884.0</v>
      </c>
    </row>
    <row r="692">
      <c r="A692" s="436">
        <v>44885.0</v>
      </c>
    </row>
    <row r="693">
      <c r="A693" s="436">
        <v>44886.0</v>
      </c>
    </row>
    <row r="694">
      <c r="A694" s="436">
        <v>44887.0</v>
      </c>
    </row>
    <row r="695">
      <c r="A695" s="436">
        <v>44888.0</v>
      </c>
    </row>
    <row r="696">
      <c r="A696" s="436">
        <v>44889.0</v>
      </c>
    </row>
    <row r="697">
      <c r="A697" s="436">
        <v>44890.0</v>
      </c>
    </row>
    <row r="698">
      <c r="A698" s="436">
        <v>44891.0</v>
      </c>
    </row>
    <row r="699">
      <c r="A699" s="436">
        <v>44892.0</v>
      </c>
    </row>
    <row r="700">
      <c r="A700" s="436">
        <v>44893.0</v>
      </c>
    </row>
    <row r="701">
      <c r="A701" s="436">
        <v>44894.0</v>
      </c>
    </row>
    <row r="702">
      <c r="A702" s="436">
        <v>44895.0</v>
      </c>
    </row>
    <row r="703">
      <c r="A703" s="436">
        <v>44896.0</v>
      </c>
    </row>
    <row r="704">
      <c r="A704" s="436">
        <v>44897.0</v>
      </c>
    </row>
    <row r="705">
      <c r="A705" s="436">
        <v>44898.0</v>
      </c>
    </row>
    <row r="706">
      <c r="A706" s="436">
        <v>44899.0</v>
      </c>
    </row>
    <row r="707">
      <c r="A707" s="436">
        <v>44900.0</v>
      </c>
    </row>
    <row r="708">
      <c r="A708" s="436">
        <v>44901.0</v>
      </c>
    </row>
    <row r="709">
      <c r="A709" s="436">
        <v>44902.0</v>
      </c>
    </row>
    <row r="710">
      <c r="A710" s="436">
        <v>44903.0</v>
      </c>
    </row>
    <row r="711">
      <c r="A711" s="436">
        <v>44904.0</v>
      </c>
    </row>
    <row r="712">
      <c r="A712" s="436">
        <v>44905.0</v>
      </c>
    </row>
    <row r="713">
      <c r="A713" s="436">
        <v>44906.0</v>
      </c>
    </row>
    <row r="714">
      <c r="A714" s="436">
        <v>44907.0</v>
      </c>
    </row>
    <row r="715">
      <c r="A715" s="436">
        <v>44908.0</v>
      </c>
    </row>
    <row r="716">
      <c r="A716" s="436">
        <v>44909.0</v>
      </c>
    </row>
    <row r="717">
      <c r="A717" s="436">
        <v>44910.0</v>
      </c>
    </row>
    <row r="718">
      <c r="A718" s="436">
        <v>44911.0</v>
      </c>
    </row>
    <row r="719">
      <c r="A719" s="436">
        <v>44912.0</v>
      </c>
    </row>
    <row r="720">
      <c r="A720" s="436">
        <v>44913.0</v>
      </c>
    </row>
    <row r="721">
      <c r="A721" s="436">
        <v>44914.0</v>
      </c>
    </row>
    <row r="722">
      <c r="A722" s="436">
        <v>44915.0</v>
      </c>
    </row>
    <row r="723">
      <c r="A723" s="436">
        <v>44916.0</v>
      </c>
    </row>
    <row r="724">
      <c r="A724" s="436">
        <v>44917.0</v>
      </c>
    </row>
    <row r="725">
      <c r="A725" s="436">
        <v>44918.0</v>
      </c>
    </row>
    <row r="726">
      <c r="A726" s="436">
        <v>44919.0</v>
      </c>
    </row>
    <row r="727">
      <c r="A727" s="436">
        <v>44920.0</v>
      </c>
    </row>
    <row r="728">
      <c r="A728" s="436">
        <v>44921.0</v>
      </c>
    </row>
    <row r="729">
      <c r="A729" s="436">
        <v>44922.0</v>
      </c>
    </row>
    <row r="730">
      <c r="A730" s="436">
        <v>44923.0</v>
      </c>
    </row>
    <row r="731">
      <c r="A731" s="436">
        <v>44924.0</v>
      </c>
    </row>
    <row r="732">
      <c r="A732" s="436">
        <v>44925.0</v>
      </c>
    </row>
    <row r="733">
      <c r="A733" s="436">
        <v>44926.0</v>
      </c>
    </row>
    <row r="734">
      <c r="A734" s="436">
        <v>44927.0</v>
      </c>
    </row>
    <row r="735">
      <c r="A735" s="436">
        <v>44928.0</v>
      </c>
    </row>
    <row r="736">
      <c r="A736" s="436">
        <v>44929.0</v>
      </c>
    </row>
    <row r="737">
      <c r="A737" s="436">
        <v>44930.0</v>
      </c>
    </row>
    <row r="738">
      <c r="A738" s="436">
        <v>44931.0</v>
      </c>
    </row>
    <row r="739">
      <c r="A739" s="436">
        <v>44932.0</v>
      </c>
    </row>
    <row r="740">
      <c r="A740" s="436">
        <v>44933.0</v>
      </c>
    </row>
    <row r="741">
      <c r="A741" s="436">
        <v>44934.0</v>
      </c>
    </row>
    <row r="742">
      <c r="A742" s="436">
        <v>44935.0</v>
      </c>
    </row>
    <row r="743">
      <c r="A743" s="436">
        <v>44936.0</v>
      </c>
    </row>
    <row r="744">
      <c r="A744" s="436">
        <v>44937.0</v>
      </c>
    </row>
    <row r="745">
      <c r="A745" s="436">
        <v>44938.0</v>
      </c>
    </row>
    <row r="746">
      <c r="A746" s="436">
        <v>44939.0</v>
      </c>
    </row>
    <row r="747">
      <c r="A747" s="436">
        <v>44940.0</v>
      </c>
    </row>
    <row r="748">
      <c r="A748" s="436">
        <v>44941.0</v>
      </c>
    </row>
    <row r="749">
      <c r="A749" s="436">
        <v>44942.0</v>
      </c>
    </row>
    <row r="750">
      <c r="A750" s="436">
        <v>44943.0</v>
      </c>
    </row>
    <row r="751">
      <c r="A751" s="436">
        <v>44944.0</v>
      </c>
    </row>
    <row r="752">
      <c r="A752" s="436">
        <v>44945.0</v>
      </c>
    </row>
    <row r="753">
      <c r="A753" s="436">
        <v>44946.0</v>
      </c>
    </row>
    <row r="754">
      <c r="A754" s="436">
        <v>44947.0</v>
      </c>
    </row>
    <row r="755">
      <c r="A755" s="436">
        <v>44948.0</v>
      </c>
    </row>
    <row r="756">
      <c r="A756" s="436">
        <v>44949.0</v>
      </c>
    </row>
    <row r="757">
      <c r="A757" s="436">
        <v>44950.0</v>
      </c>
    </row>
    <row r="758">
      <c r="A758" s="436">
        <v>44951.0</v>
      </c>
    </row>
    <row r="759">
      <c r="A759" s="436">
        <v>44952.0</v>
      </c>
    </row>
    <row r="760">
      <c r="A760" s="436">
        <v>44953.0</v>
      </c>
    </row>
    <row r="761">
      <c r="A761" s="436">
        <v>44954.0</v>
      </c>
    </row>
    <row r="762">
      <c r="A762" s="436">
        <v>44955.0</v>
      </c>
    </row>
    <row r="763">
      <c r="A763" s="436">
        <v>44956.0</v>
      </c>
    </row>
    <row r="764">
      <c r="A764" s="436">
        <v>44957.0</v>
      </c>
    </row>
    <row r="765">
      <c r="A765" s="436">
        <v>44958.0</v>
      </c>
    </row>
    <row r="766">
      <c r="A766" s="436">
        <v>44959.0</v>
      </c>
    </row>
    <row r="767">
      <c r="A767" s="436">
        <v>44960.0</v>
      </c>
    </row>
    <row r="768">
      <c r="A768" s="436">
        <v>44961.0</v>
      </c>
    </row>
    <row r="769">
      <c r="A769" s="436">
        <v>44962.0</v>
      </c>
    </row>
    <row r="770">
      <c r="A770" s="436">
        <v>44963.0</v>
      </c>
    </row>
    <row r="771">
      <c r="A771" s="436">
        <v>44964.0</v>
      </c>
    </row>
    <row r="772">
      <c r="A772" s="436">
        <v>44965.0</v>
      </c>
    </row>
    <row r="773">
      <c r="A773" s="436">
        <v>44966.0</v>
      </c>
    </row>
    <row r="774">
      <c r="A774" s="436">
        <v>44967.0</v>
      </c>
    </row>
    <row r="775">
      <c r="A775" s="436">
        <v>44968.0</v>
      </c>
    </row>
    <row r="776">
      <c r="A776" s="436">
        <v>44969.0</v>
      </c>
    </row>
    <row r="777">
      <c r="A777" s="436">
        <v>44970.0</v>
      </c>
    </row>
    <row r="778">
      <c r="A778" s="436">
        <v>44971.0</v>
      </c>
    </row>
    <row r="779">
      <c r="A779" s="436">
        <v>44972.0</v>
      </c>
    </row>
    <row r="780">
      <c r="A780" s="436">
        <v>44973.0</v>
      </c>
    </row>
    <row r="781">
      <c r="A781" s="436">
        <v>44974.0</v>
      </c>
    </row>
    <row r="782">
      <c r="A782" s="436">
        <v>44975.0</v>
      </c>
    </row>
    <row r="783">
      <c r="A783" s="436">
        <v>44976.0</v>
      </c>
    </row>
    <row r="784">
      <c r="A784" s="436">
        <v>44977.0</v>
      </c>
    </row>
    <row r="785">
      <c r="A785" s="436">
        <v>44978.0</v>
      </c>
    </row>
    <row r="786">
      <c r="A786" s="436">
        <v>44979.0</v>
      </c>
    </row>
    <row r="787">
      <c r="A787" s="436">
        <v>44980.0</v>
      </c>
    </row>
    <row r="788">
      <c r="A788" s="436">
        <v>44981.0</v>
      </c>
    </row>
    <row r="789">
      <c r="A789" s="436">
        <v>44982.0</v>
      </c>
    </row>
    <row r="790">
      <c r="A790" s="436">
        <v>44983.0</v>
      </c>
    </row>
    <row r="791">
      <c r="A791" s="436">
        <v>44984.0</v>
      </c>
    </row>
    <row r="792">
      <c r="A792" s="436">
        <v>44985.0</v>
      </c>
    </row>
    <row r="793">
      <c r="A793" s="436">
        <v>44986.0</v>
      </c>
    </row>
    <row r="794">
      <c r="A794" s="436">
        <v>44987.0</v>
      </c>
    </row>
    <row r="795">
      <c r="A795" s="436">
        <v>44988.0</v>
      </c>
    </row>
    <row r="796">
      <c r="A796" s="436">
        <v>44989.0</v>
      </c>
    </row>
    <row r="797">
      <c r="A797" s="436">
        <v>44990.0</v>
      </c>
    </row>
    <row r="798">
      <c r="A798" s="436">
        <v>44991.0</v>
      </c>
    </row>
    <row r="799">
      <c r="A799" s="436">
        <v>44992.0</v>
      </c>
    </row>
    <row r="800">
      <c r="A800" s="436">
        <v>44993.0</v>
      </c>
    </row>
    <row r="801">
      <c r="A801" s="436">
        <v>44994.0</v>
      </c>
    </row>
    <row r="802">
      <c r="A802" s="436">
        <v>44995.0</v>
      </c>
    </row>
    <row r="803">
      <c r="A803" s="436">
        <v>44996.0</v>
      </c>
    </row>
    <row r="804">
      <c r="A804" s="436">
        <v>44997.0</v>
      </c>
    </row>
    <row r="805">
      <c r="A805" s="436">
        <v>44998.0</v>
      </c>
    </row>
    <row r="806">
      <c r="A806" s="436">
        <v>44999.0</v>
      </c>
    </row>
    <row r="807">
      <c r="A807" s="436">
        <v>45000.0</v>
      </c>
    </row>
    <row r="808">
      <c r="A808" s="436">
        <v>45001.0</v>
      </c>
    </row>
    <row r="809">
      <c r="A809" s="436">
        <v>45002.0</v>
      </c>
    </row>
    <row r="810">
      <c r="A810" s="436">
        <v>45003.0</v>
      </c>
    </row>
    <row r="811">
      <c r="A811" s="436">
        <v>45004.0</v>
      </c>
    </row>
    <row r="812">
      <c r="A812" s="436">
        <v>45005.0</v>
      </c>
    </row>
    <row r="813">
      <c r="A813" s="436">
        <v>45006.0</v>
      </c>
    </row>
    <row r="814">
      <c r="A814" s="436">
        <v>45007.0</v>
      </c>
    </row>
    <row r="815">
      <c r="A815" s="436">
        <v>45008.0</v>
      </c>
    </row>
    <row r="816">
      <c r="A816" s="436">
        <v>45009.0</v>
      </c>
    </row>
    <row r="817">
      <c r="A817" s="436">
        <v>45010.0</v>
      </c>
    </row>
    <row r="818">
      <c r="A818" s="436">
        <v>45011.0</v>
      </c>
    </row>
    <row r="819">
      <c r="A819" s="436">
        <v>45012.0</v>
      </c>
    </row>
    <row r="820">
      <c r="A820" s="436">
        <v>45013.0</v>
      </c>
    </row>
    <row r="821">
      <c r="A821" s="375"/>
    </row>
    <row r="822">
      <c r="A822" s="375"/>
    </row>
    <row r="823">
      <c r="A823" s="375"/>
    </row>
    <row r="824">
      <c r="A824" s="375"/>
    </row>
    <row r="825">
      <c r="A825" s="375"/>
    </row>
    <row r="826">
      <c r="A826" s="375"/>
    </row>
    <row r="827">
      <c r="A827" s="375"/>
    </row>
    <row r="828">
      <c r="A828" s="375"/>
    </row>
    <row r="829">
      <c r="A829" s="375"/>
    </row>
    <row r="830">
      <c r="A830" s="375"/>
    </row>
    <row r="831">
      <c r="A831" s="375"/>
    </row>
    <row r="832">
      <c r="A832" s="375"/>
    </row>
    <row r="833">
      <c r="A833" s="375"/>
    </row>
    <row r="834">
      <c r="A834" s="375"/>
    </row>
    <row r="835">
      <c r="A835" s="375"/>
    </row>
    <row r="836">
      <c r="A836" s="375"/>
    </row>
    <row r="837">
      <c r="A837" s="375"/>
    </row>
    <row r="838">
      <c r="A838" s="375"/>
    </row>
    <row r="839">
      <c r="A839" s="375"/>
    </row>
    <row r="840">
      <c r="A840" s="375"/>
    </row>
    <row r="841">
      <c r="A841" s="375"/>
    </row>
    <row r="842">
      <c r="A842" s="375"/>
    </row>
    <row r="843">
      <c r="A843" s="375"/>
    </row>
    <row r="844">
      <c r="A844" s="375"/>
    </row>
    <row r="845">
      <c r="A845" s="375"/>
    </row>
    <row r="846">
      <c r="A846" s="375"/>
    </row>
    <row r="847">
      <c r="A847" s="375"/>
    </row>
    <row r="848">
      <c r="A848" s="375"/>
    </row>
    <row r="849">
      <c r="A849" s="375"/>
    </row>
    <row r="850">
      <c r="A850" s="375"/>
    </row>
    <row r="851">
      <c r="A851" s="375"/>
    </row>
    <row r="852">
      <c r="A852" s="375"/>
    </row>
    <row r="853">
      <c r="A853" s="375"/>
    </row>
    <row r="854">
      <c r="A854" s="375"/>
    </row>
    <row r="855">
      <c r="A855" s="375"/>
    </row>
    <row r="856">
      <c r="A856" s="375"/>
    </row>
    <row r="857">
      <c r="A857" s="375"/>
    </row>
    <row r="858">
      <c r="A858" s="375"/>
    </row>
    <row r="859">
      <c r="A859" s="375"/>
    </row>
    <row r="860">
      <c r="A860" s="375"/>
    </row>
    <row r="861">
      <c r="A861" s="375"/>
    </row>
    <row r="862">
      <c r="A862" s="375"/>
    </row>
    <row r="863">
      <c r="A863" s="375"/>
    </row>
    <row r="864">
      <c r="A864" s="375"/>
    </row>
    <row r="865">
      <c r="A865" s="375"/>
    </row>
    <row r="866">
      <c r="A866" s="375"/>
    </row>
    <row r="867">
      <c r="A867" s="375"/>
    </row>
    <row r="868">
      <c r="A868" s="375"/>
    </row>
    <row r="869">
      <c r="A869" s="375"/>
    </row>
    <row r="870">
      <c r="A870" s="375"/>
    </row>
    <row r="871">
      <c r="A871" s="375"/>
    </row>
    <row r="872">
      <c r="A872" s="375"/>
    </row>
    <row r="873">
      <c r="A873" s="375"/>
    </row>
    <row r="874">
      <c r="A874" s="375"/>
    </row>
    <row r="875">
      <c r="A875" s="375"/>
    </row>
    <row r="876">
      <c r="A876" s="375"/>
    </row>
    <row r="877">
      <c r="A877" s="375"/>
    </row>
    <row r="878">
      <c r="A878" s="375"/>
    </row>
    <row r="879">
      <c r="A879" s="375"/>
    </row>
    <row r="880">
      <c r="A880" s="375"/>
    </row>
    <row r="881">
      <c r="A881" s="375"/>
    </row>
    <row r="882">
      <c r="A882" s="375"/>
    </row>
    <row r="883">
      <c r="A883" s="375"/>
    </row>
    <row r="884">
      <c r="A884" s="375"/>
    </row>
    <row r="885">
      <c r="A885" s="375"/>
    </row>
    <row r="886">
      <c r="A886" s="375"/>
    </row>
    <row r="887">
      <c r="A887" s="375"/>
    </row>
    <row r="888">
      <c r="A888" s="375"/>
    </row>
    <row r="889">
      <c r="A889" s="375"/>
    </row>
    <row r="890">
      <c r="A890" s="375"/>
    </row>
    <row r="891">
      <c r="A891" s="375"/>
    </row>
    <row r="892">
      <c r="A892" s="375"/>
    </row>
    <row r="893">
      <c r="A893" s="375"/>
    </row>
    <row r="894">
      <c r="A894" s="375"/>
    </row>
    <row r="895">
      <c r="A895" s="375"/>
    </row>
    <row r="896">
      <c r="A896" s="375"/>
    </row>
    <row r="897">
      <c r="A897" s="375"/>
    </row>
    <row r="898">
      <c r="A898" s="375"/>
    </row>
    <row r="899">
      <c r="A899" s="375"/>
    </row>
    <row r="900">
      <c r="A900" s="375"/>
    </row>
    <row r="901">
      <c r="A901" s="375"/>
    </row>
    <row r="902">
      <c r="A902" s="375"/>
    </row>
    <row r="903">
      <c r="A903" s="375"/>
    </row>
    <row r="904">
      <c r="A904" s="375"/>
    </row>
    <row r="905">
      <c r="A905" s="375"/>
    </row>
    <row r="906">
      <c r="A906" s="375"/>
    </row>
    <row r="907">
      <c r="A907" s="375"/>
    </row>
    <row r="908">
      <c r="A908" s="375"/>
    </row>
    <row r="909">
      <c r="A909" s="375"/>
    </row>
    <row r="910">
      <c r="A910" s="375"/>
    </row>
    <row r="911">
      <c r="A911" s="375"/>
    </row>
    <row r="912">
      <c r="A912" s="375"/>
    </row>
    <row r="913">
      <c r="A913" s="375"/>
    </row>
    <row r="914">
      <c r="A914" s="375"/>
    </row>
    <row r="915">
      <c r="A915" s="375"/>
    </row>
    <row r="916">
      <c r="A916" s="375"/>
    </row>
    <row r="917">
      <c r="A917" s="375"/>
    </row>
    <row r="918">
      <c r="A918" s="375"/>
    </row>
    <row r="919">
      <c r="A919" s="375"/>
    </row>
    <row r="920">
      <c r="A920" s="375"/>
    </row>
    <row r="921">
      <c r="A921" s="375"/>
    </row>
    <row r="922">
      <c r="A922" s="375"/>
    </row>
    <row r="923">
      <c r="A923" s="375"/>
    </row>
    <row r="924">
      <c r="A924" s="375"/>
    </row>
    <row r="925">
      <c r="A925" s="375"/>
    </row>
    <row r="926">
      <c r="A926" s="375"/>
    </row>
    <row r="927">
      <c r="A927" s="375"/>
    </row>
    <row r="928">
      <c r="A928" s="375"/>
    </row>
    <row r="929">
      <c r="A929" s="375"/>
    </row>
    <row r="930">
      <c r="A930" s="375"/>
    </row>
    <row r="931">
      <c r="A931" s="375"/>
    </row>
    <row r="932">
      <c r="A932" s="375"/>
    </row>
    <row r="933">
      <c r="A933" s="375"/>
    </row>
    <row r="934">
      <c r="A934" s="375"/>
    </row>
    <row r="935">
      <c r="A935" s="375"/>
    </row>
    <row r="936">
      <c r="A936" s="375"/>
    </row>
    <row r="937">
      <c r="A937" s="375"/>
    </row>
    <row r="938">
      <c r="A938" s="375"/>
    </row>
    <row r="939">
      <c r="A939" s="375"/>
    </row>
    <row r="940">
      <c r="A940" s="375"/>
    </row>
    <row r="941">
      <c r="A941" s="375"/>
    </row>
    <row r="942">
      <c r="A942" s="375"/>
    </row>
    <row r="943">
      <c r="A943" s="375"/>
    </row>
    <row r="944">
      <c r="A944" s="375"/>
    </row>
    <row r="945">
      <c r="A945" s="375"/>
    </row>
    <row r="946">
      <c r="A946" s="375"/>
    </row>
    <row r="947">
      <c r="A947" s="375"/>
    </row>
    <row r="948">
      <c r="A948" s="375"/>
    </row>
    <row r="949">
      <c r="A949" s="375"/>
    </row>
    <row r="950">
      <c r="A950" s="375"/>
    </row>
    <row r="951">
      <c r="A951" s="375"/>
    </row>
    <row r="952">
      <c r="A952" s="375"/>
    </row>
    <row r="953">
      <c r="A953" s="375"/>
    </row>
    <row r="954">
      <c r="A954" s="375"/>
    </row>
    <row r="955">
      <c r="A955" s="375"/>
    </row>
    <row r="956">
      <c r="A956" s="375"/>
    </row>
    <row r="957">
      <c r="A957" s="375"/>
    </row>
    <row r="958">
      <c r="A958" s="375"/>
    </row>
    <row r="959">
      <c r="A959" s="375"/>
    </row>
    <row r="960">
      <c r="A960" s="375"/>
    </row>
    <row r="961">
      <c r="A961" s="375"/>
    </row>
    <row r="962">
      <c r="A962" s="375"/>
    </row>
    <row r="963">
      <c r="A963" s="375"/>
    </row>
    <row r="964">
      <c r="A964" s="375"/>
    </row>
    <row r="965">
      <c r="A965" s="375"/>
    </row>
    <row r="966">
      <c r="A966" s="375"/>
    </row>
    <row r="967">
      <c r="A967" s="375"/>
    </row>
    <row r="968">
      <c r="A968" s="375"/>
    </row>
    <row r="969">
      <c r="A969" s="375"/>
    </row>
    <row r="970">
      <c r="A970" s="375"/>
    </row>
    <row r="971">
      <c r="A971" s="375"/>
    </row>
    <row r="972">
      <c r="A972" s="375"/>
    </row>
    <row r="973">
      <c r="A973" s="375"/>
    </row>
    <row r="974">
      <c r="A974" s="375"/>
    </row>
    <row r="975">
      <c r="A975" s="375"/>
    </row>
    <row r="976">
      <c r="A976" s="375"/>
    </row>
    <row r="977">
      <c r="A977" s="375"/>
    </row>
    <row r="978">
      <c r="A978" s="375"/>
    </row>
    <row r="979">
      <c r="A979" s="375"/>
    </row>
    <row r="980">
      <c r="A980" s="375"/>
    </row>
    <row r="981">
      <c r="A981" s="375"/>
    </row>
    <row r="982">
      <c r="A982" s="375"/>
    </row>
    <row r="983">
      <c r="A983" s="375"/>
    </row>
    <row r="984">
      <c r="A984" s="375"/>
    </row>
    <row r="985">
      <c r="A985" s="375"/>
    </row>
    <row r="986">
      <c r="A986" s="375"/>
    </row>
    <row r="987">
      <c r="A987" s="375"/>
    </row>
    <row r="988">
      <c r="A988" s="375"/>
    </row>
    <row r="989">
      <c r="A989" s="375"/>
    </row>
    <row r="990">
      <c r="A990" s="375"/>
    </row>
    <row r="991">
      <c r="A991" s="375"/>
    </row>
    <row r="992">
      <c r="A992" s="375"/>
    </row>
    <row r="993">
      <c r="A993" s="375"/>
    </row>
    <row r="994">
      <c r="A994" s="375"/>
    </row>
    <row r="995">
      <c r="A995" s="375"/>
    </row>
    <row r="996">
      <c r="A996" s="375"/>
    </row>
    <row r="997">
      <c r="A997" s="375"/>
    </row>
    <row r="998">
      <c r="A998" s="375"/>
    </row>
    <row r="999">
      <c r="A999" s="375"/>
    </row>
    <row r="1000">
      <c r="A1000" s="37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25"/>
  </cols>
  <sheetData>
    <row r="1"/>
    <row r="2"/>
    <row r="3"/>
    <row r="4">
      <c r="G4" s="449" t="s">
        <v>7820</v>
      </c>
      <c r="H4" s="449" t="s">
        <v>7821</v>
      </c>
      <c r="I4" s="449" t="s">
        <v>7822</v>
      </c>
      <c r="J4" s="450" t="s">
        <v>7823</v>
      </c>
      <c r="K4" s="451">
        <f>COUNTIFS(import!$C:$C,"true",import!$P:$P,"Geleneksel")</f>
        <v>0</v>
      </c>
      <c r="O4" s="452" t="s">
        <v>7822</v>
      </c>
      <c r="P4" s="453" t="s">
        <v>7824</v>
      </c>
      <c r="Q4" s="453" t="s">
        <v>7825</v>
      </c>
    </row>
    <row r="5">
      <c r="B5" s="454" t="s">
        <v>3735</v>
      </c>
      <c r="C5" s="455">
        <f>COUNTIFS('hedef liste'!T:T,B5,'hedef liste'!C:C,"doğru",'hedef liste'!P:P,"Geleneksel",'hedef liste'!J:J,"=0%")</f>
        <v>7</v>
      </c>
      <c r="D5" s="373" t="s">
        <v>7826</v>
      </c>
      <c r="E5" s="408">
        <f>COUNTIFS(import!C:C,"doğru",import!P:P,"Geleneksel")</f>
        <v>964</v>
      </c>
      <c r="G5" s="456"/>
      <c r="J5" s="450" t="s">
        <v>7827</v>
      </c>
      <c r="K5" s="457">
        <f>COUNTIFS(import!$C:$C,"true",import!$P:$P,"Geleneksel",import!$J:$J,"&gt;0%")</f>
        <v>0</v>
      </c>
      <c r="M5" s="458" t="str">
        <f>$K$5/$K$4</f>
        <v>#DIV/0!</v>
      </c>
      <c r="O5" s="459"/>
      <c r="P5" s="459"/>
      <c r="Q5" s="460"/>
    </row>
    <row r="6">
      <c r="B6" s="454" t="s">
        <v>4407</v>
      </c>
      <c r="C6" s="455">
        <f>COUNTIFS('hedef liste'!T:T,B6,'hedef liste'!C:C,"doğru",'hedef liste'!P:P,"Geleneksel",'hedef liste'!J:J,"=0%")</f>
        <v>1</v>
      </c>
      <c r="D6" s="373" t="s">
        <v>7828</v>
      </c>
      <c r="E6" s="408">
        <f>COUNTIFS(import!C:C,"doğru",import!P:P,"Geleneksel",import!J:J,"&gt;0%")</f>
        <v>512</v>
      </c>
      <c r="G6" s="456"/>
      <c r="J6" s="92"/>
      <c r="K6" s="461"/>
      <c r="L6" s="92"/>
      <c r="M6" s="462"/>
      <c r="N6" s="339"/>
      <c r="O6" s="459"/>
      <c r="P6" s="459"/>
      <c r="Q6" s="460"/>
    </row>
    <row r="7">
      <c r="B7" s="454" t="s">
        <v>3770</v>
      </c>
      <c r="C7" s="455">
        <f>COUNTIFS('hedef liste'!T:T,B7,'hedef liste'!C:C,"doğru",'hedef liste'!P:P,"Geleneksel",'hedef liste'!J:J,"=0%")</f>
        <v>54</v>
      </c>
      <c r="D7" s="373" t="s">
        <v>7829</v>
      </c>
      <c r="E7" s="463">
        <f>E6/E5</f>
        <v>0.531120332</v>
      </c>
      <c r="G7" s="456"/>
      <c r="J7" s="450" t="s">
        <v>7830</v>
      </c>
      <c r="K7" s="464" t="s">
        <v>7831</v>
      </c>
      <c r="M7" s="465" t="s">
        <v>7832</v>
      </c>
      <c r="O7" s="459"/>
      <c r="P7" s="459"/>
      <c r="Q7" s="460"/>
      <c r="S7" s="466" t="s">
        <v>7833</v>
      </c>
    </row>
    <row r="8">
      <c r="B8" s="454" t="s">
        <v>4765</v>
      </c>
      <c r="C8" s="455">
        <f>COUNTIFS('hedef liste'!T:T,B8,'hedef liste'!C:C,"doğru",'hedef liste'!P:P,"Geleneksel",'hedef liste'!J:J,"=0%")</f>
        <v>2</v>
      </c>
      <c r="D8" s="92"/>
      <c r="G8" s="467"/>
      <c r="J8" s="468" t="s">
        <v>7827</v>
      </c>
      <c r="K8" s="469">
        <f>COUNTIFS(import!$C:$C,"true",import!$J:$J,"&gt;0%",import!$P:$P,"Geleneksel",import!$I:$I,"&lt;=25")</f>
        <v>0</v>
      </c>
      <c r="L8" s="458" t="str">
        <f>K8/K5</f>
        <v>#DIV/0!</v>
      </c>
      <c r="M8" s="469">
        <f>COUNTIFS(import!C:C,"true",import!J:J,"&gt;0%",import!P:P,"Geleneksel",import!I:I,"&gt;25")</f>
        <v>0</v>
      </c>
      <c r="N8" s="458" t="str">
        <f>M8/K5</f>
        <v>#DIV/0!</v>
      </c>
      <c r="O8" s="459"/>
      <c r="P8" s="459"/>
      <c r="Q8" s="460"/>
      <c r="S8" s="470" t="str">
        <f>O13/N13</f>
        <v>#DIV/0!</v>
      </c>
    </row>
    <row r="9">
      <c r="B9" s="454" t="s">
        <v>3696</v>
      </c>
      <c r="C9" s="455">
        <f>COUNTIFS('hedef liste'!T:T,B9,'hedef liste'!C:C,"doğru",'hedef liste'!P:P,"Geleneksel",'hedef liste'!J:J,"=0%")</f>
        <v>19</v>
      </c>
      <c r="D9" s="92"/>
      <c r="G9" s="456"/>
      <c r="J9" s="468" t="s">
        <v>7834</v>
      </c>
      <c r="K9" s="471">
        <f>COUNTIFS(import!C:C,"true",import!J:J,"&gt;0%",import!J:J,"&lt;=20%",import!P:P,"Geleneksel",import!I:I,"&lt;=25")</f>
        <v>0</v>
      </c>
      <c r="L9" s="472" t="str">
        <f>K9/K8</f>
        <v>#DIV/0!</v>
      </c>
      <c r="M9" s="471">
        <f>COUNTIFS(import!C:C,"true",import!J:J,"&gt;0%",import!J:J,"&lt;=20%",import!P:P,"Geleneksel",import!I:I,"&gt;25")</f>
        <v>0</v>
      </c>
      <c r="N9" s="472" t="str">
        <f>M9/M8</f>
        <v>#DIV/0!</v>
      </c>
      <c r="O9" s="459"/>
      <c r="P9" s="459"/>
      <c r="Q9" s="460"/>
    </row>
    <row r="10">
      <c r="B10" s="454" t="s">
        <v>3817</v>
      </c>
      <c r="C10" s="455">
        <f>COUNTIFS('hedef liste'!T:T,B10,'hedef liste'!C:C,"doğru",'hedef liste'!P:P,"Geleneksel",'hedef liste'!J:J,"=0%")</f>
        <v>0</v>
      </c>
      <c r="D10" s="92"/>
      <c r="G10" s="456"/>
      <c r="J10" s="468" t="s">
        <v>7835</v>
      </c>
      <c r="K10" s="469">
        <f>COUNTIFS(import!C:C,"true",import!J:J,"&gt;20%",import!J:J,"&lt;=50%",import!P:P,"Geleneksel",import!I:I,"&lt;=25")</f>
        <v>0</v>
      </c>
      <c r="L10" s="473" t="str">
        <f>K10/K8</f>
        <v>#DIV/0!</v>
      </c>
      <c r="M10" s="469">
        <f>COUNTIFS(import!C:C,"true",import!J:J,"&gt;20%",import!J:J,"&lt;=50%",import!P:P,"Geleneksel",import!I:I,"&gt;25")</f>
        <v>0</v>
      </c>
      <c r="N10" s="473" t="str">
        <f>M10/M8</f>
        <v>#DIV/0!</v>
      </c>
      <c r="O10" s="459"/>
      <c r="P10" s="459"/>
      <c r="Q10" s="460"/>
    </row>
    <row r="11">
      <c r="B11" s="454" t="s">
        <v>3710</v>
      </c>
      <c r="C11" s="455">
        <f>COUNTIFS('hedef liste'!T:T,B11,'hedef liste'!C:C,"doğru",'hedef liste'!P:P,"Geleneksel",'hedef liste'!J:J,"=0%")</f>
        <v>21</v>
      </c>
      <c r="D11" s="92"/>
      <c r="G11" s="456"/>
      <c r="J11" s="468" t="s">
        <v>7836</v>
      </c>
      <c r="K11" s="471">
        <f>COUNTIFS(import!C:C,"true",import!J:J,"&gt;50%",import!J:J,"&lt;=80%",import!P:P,"Geleneksel",import!I:I,"&lt;=25")</f>
        <v>0</v>
      </c>
      <c r="L11" s="472" t="str">
        <f>K11/K8</f>
        <v>#DIV/0!</v>
      </c>
      <c r="M11" s="471">
        <f>COUNTIFS(import!C:C,"true",import!J:J,"&gt;50%",import!J:J,"&lt;=80%",import!P:P,"Geleneksel",import!I:I,"&gt;25")</f>
        <v>0</v>
      </c>
      <c r="N11" s="472" t="str">
        <f>M11/M8</f>
        <v>#DIV/0!</v>
      </c>
      <c r="O11" s="459"/>
      <c r="P11" s="459"/>
      <c r="Q11" s="460"/>
    </row>
    <row r="12">
      <c r="B12" s="454" t="s">
        <v>3862</v>
      </c>
      <c r="C12" s="455">
        <f>COUNTIFS('hedef liste'!T:T,B12,'hedef liste'!C:C,"doğru",'hedef liste'!P:P,"Geleneksel",'hedef liste'!J:J,"=0%")</f>
        <v>13</v>
      </c>
      <c r="D12" s="92"/>
      <c r="G12" s="456"/>
      <c r="J12" s="468" t="s">
        <v>7837</v>
      </c>
      <c r="K12" s="469">
        <f>COUNTIFS(import!C:C,"true",import!J:J,"&gt;80%",import!P:P,"Geleneksel",import!I:I,"&lt;=25")</f>
        <v>0</v>
      </c>
      <c r="L12" s="473" t="str">
        <f>K12/K8</f>
        <v>#DIV/0!</v>
      </c>
      <c r="M12" s="469">
        <f>COUNTIFS(import!C:C,"true",import!J:J,"&gt;80%",import!P:P,"Geleneksel",import!I:I,"&gt;25")</f>
        <v>0</v>
      </c>
      <c r="N12" s="473" t="str">
        <f>M12/M8</f>
        <v>#DIV/0!</v>
      </c>
      <c r="O12" s="459"/>
      <c r="P12" s="459"/>
      <c r="Q12" s="460"/>
    </row>
    <row r="13">
      <c r="B13" s="454" t="s">
        <v>7800</v>
      </c>
      <c r="C13" s="455">
        <f>COUNTIFS('hedef liste'!T:T,B13,'hedef liste'!C:C,"doğru",'hedef liste'!P:P,"Geleneksel",'hedef liste'!J:J,"=0%")</f>
        <v>0</v>
      </c>
      <c r="D13" s="92"/>
      <c r="G13" s="456"/>
      <c r="K13" s="474"/>
      <c r="M13" s="466"/>
      <c r="N13" s="475"/>
      <c r="O13" s="475"/>
      <c r="P13" s="475"/>
      <c r="Q13" s="476"/>
    </row>
    <row r="14">
      <c r="B14" s="454" t="s">
        <v>4960</v>
      </c>
      <c r="C14" s="455">
        <f>COUNTIFS('hedef liste'!T:T,B14,'hedef liste'!C:C,"doğru",'hedef liste'!P:P,"Geleneksel",'hedef liste'!J:J,"=0%")</f>
        <v>3</v>
      </c>
      <c r="D14" s="92"/>
      <c r="G14" s="456"/>
    </row>
    <row r="15">
      <c r="B15" s="454" t="s">
        <v>6793</v>
      </c>
      <c r="C15" s="455">
        <f>COUNTIFS('hedef liste'!T:T,B15,'hedef liste'!C:C,"doğru",'hedef liste'!P:P,"Geleneksel",'hedef liste'!J:J,"=0%")</f>
        <v>1</v>
      </c>
      <c r="D15" s="92"/>
      <c r="G15" s="456"/>
    </row>
    <row r="16">
      <c r="B16" s="454" t="s">
        <v>3679</v>
      </c>
      <c r="C16" s="455">
        <f>COUNTIFS('hedef liste'!T:T,B16,'hedef liste'!C:C,"doğru",'hedef liste'!P:P,"Geleneksel",'hedef liste'!J:J,"=0%")</f>
        <v>39</v>
      </c>
      <c r="D16" s="92"/>
    </row>
    <row r="17">
      <c r="B17" s="454" t="s">
        <v>3787</v>
      </c>
      <c r="C17" s="455">
        <f>COUNTIFS('hedef liste'!T:T,B17,'hedef liste'!C:C,"doğru",'hedef liste'!P:P,"Geleneksel",'hedef liste'!J:J,"=0%")</f>
        <v>30</v>
      </c>
      <c r="D17" s="92"/>
    </row>
    <row r="18">
      <c r="B18" s="454" t="s">
        <v>4182</v>
      </c>
      <c r="C18" s="455">
        <f>COUNTIFS('hedef liste'!T:T,B18,'hedef liste'!C:C,"doğru",'hedef liste'!P:P,"Geleneksel",'hedef liste'!J:J,"=0%")</f>
        <v>2</v>
      </c>
      <c r="D18" s="92"/>
    </row>
    <row r="19">
      <c r="B19" s="454" t="s">
        <v>4065</v>
      </c>
      <c r="C19" s="455">
        <f>COUNTIFS('hedef liste'!T:T,B19,'hedef liste'!C:C,"doğru",'hedef liste'!P:P,"Geleneksel",'hedef liste'!J:J,"=0%")</f>
        <v>3</v>
      </c>
      <c r="D19" s="92"/>
    </row>
    <row r="20">
      <c r="B20" s="454" t="s">
        <v>3866</v>
      </c>
      <c r="C20" s="455">
        <f>COUNTIFS('hedef liste'!T:T,B20,'hedef liste'!C:C,"doğru",'hedef liste'!P:P,"Geleneksel",'hedef liste'!J:J,"=0%")</f>
        <v>3</v>
      </c>
      <c r="D20" s="92"/>
    </row>
    <row r="21">
      <c r="B21" s="477" t="s">
        <v>3448</v>
      </c>
      <c r="C21" s="455">
        <f>COUNTIFS('hedef liste'!T:T,B21,'hedef liste'!C:C,"doğru",'hedef liste'!P:P,"Geleneksel",'hedef liste'!J:J,"=0%")</f>
        <v>7</v>
      </c>
      <c r="D21" s="92"/>
    </row>
    <row r="22">
      <c r="B22" s="454" t="s">
        <v>7839</v>
      </c>
      <c r="C22" s="455">
        <f>COUNTIFS('hedef liste'!T:T,B22,'hedef liste'!C:C,"doğru",'hedef liste'!P:P,"Geleneksel",'hedef liste'!J:J,"=0%")</f>
        <v>0</v>
      </c>
      <c r="D22" s="92"/>
    </row>
    <row r="23">
      <c r="B23" s="454" t="s">
        <v>7840</v>
      </c>
      <c r="C23" s="455">
        <f>COUNTIFS('hedef liste'!S:S,"True",'hedef liste'!C:C,"doğru",'hedef liste'!P:P,"Geleneksel",'hedef liste'!J:J,"=0%",'hedef liste'!T:T,"")</f>
        <v>75</v>
      </c>
      <c r="D23" s="92"/>
    </row>
    <row r="24">
      <c r="B24" s="478" t="s">
        <v>7841</v>
      </c>
      <c r="C24" s="455">
        <f>SUM(C5:C23)</f>
        <v>280</v>
      </c>
      <c r="D24" s="455">
        <f>COUNTIFS('hedef liste'!C:C,"true",'hedef liste'!P:P,"Geleneksel")</f>
        <v>0</v>
      </c>
    </row>
    <row r="25">
      <c r="B25" s="92"/>
      <c r="C25" s="92"/>
      <c r="D25" s="92"/>
    </row>
    <row r="26">
      <c r="B26" s="92"/>
      <c r="C26" s="92"/>
      <c r="D26" s="92"/>
    </row>
    <row r="27">
      <c r="B27" s="479" t="s">
        <v>7842</v>
      </c>
      <c r="C27" s="92"/>
      <c r="D27" s="92"/>
    </row>
    <row r="28">
      <c r="B28" s="480" t="str">
        <f>C16/COUNTIFS('hedef liste'!R:R,"true",'hedef liste'!C:C,"true")</f>
        <v>#DIV/0!</v>
      </c>
      <c r="C28" s="92"/>
      <c r="D28" s="92"/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</sheetData>
  <mergeCells count="5">
    <mergeCell ref="K4:N4"/>
    <mergeCell ref="K5:L5"/>
    <mergeCell ref="M5:N5"/>
    <mergeCell ref="K7:L7"/>
    <mergeCell ref="M7:N7"/>
  </mergeCell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6" t="s">
        <v>3009</v>
      </c>
      <c r="B1" s="408" t="str">
        <f>VLOOKUP(A1,'hedef liste'!A:Y,20,0)</f>
        <v>Randevu Alındı</v>
      </c>
      <c r="C1" s="481">
        <f>VLOOKUP(A1,'hedef liste'!A:Y,25,0)</f>
        <v>44505</v>
      </c>
    </row>
    <row r="2">
      <c r="A2" s="376" t="s">
        <v>1140</v>
      </c>
      <c r="B2" s="408" t="str">
        <f>VLOOKUP(A2,'hedef liste'!A:Y,20,0)</f>
        <v>#N/A</v>
      </c>
      <c r="C2" s="482" t="str">
        <f>VLOOKUP(A2,'hedef liste'!A:Y,25,0)</f>
        <v>#N/A</v>
      </c>
    </row>
    <row r="3">
      <c r="A3" s="376" t="s">
        <v>1154</v>
      </c>
      <c r="B3" s="408" t="str">
        <f>VLOOKUP(A3,'hedef liste'!A:Y,20,0)</f>
        <v>Randevu Alındı</v>
      </c>
      <c r="C3" s="481">
        <f>VLOOKUP(A3,'hedef liste'!A:Y,25,0)</f>
        <v>44375</v>
      </c>
    </row>
    <row r="4">
      <c r="A4" s="376" t="s">
        <v>2502</v>
      </c>
      <c r="B4" s="408" t="str">
        <f>VLOOKUP(A4,'hedef liste'!A:Y,20,0)</f>
        <v>Randevu Alındı</v>
      </c>
      <c r="C4" s="481" t="str">
        <f>VLOOKUP(A4,'hedef liste'!A:Y,25,0)</f>
        <v/>
      </c>
    </row>
    <row r="5">
      <c r="A5" s="376" t="s">
        <v>7843</v>
      </c>
      <c r="B5" s="408" t="str">
        <f>VLOOKUP(A5,'hedef liste'!A:Y,20,0)</f>
        <v>#N/A</v>
      </c>
      <c r="C5" s="482" t="str">
        <f>VLOOKUP(A5,'hedef liste'!A:Y,25,0)</f>
        <v>#N/A</v>
      </c>
    </row>
    <row r="6">
      <c r="A6" s="376" t="s">
        <v>1652</v>
      </c>
      <c r="B6" s="408" t="str">
        <f>VLOOKUP(A6,'hedef liste'!A:Y,20,0)</f>
        <v>Randevu Alındı</v>
      </c>
      <c r="C6" s="481">
        <f>VLOOKUP(A6,'hedef liste'!A:Y,25,0)</f>
        <v>44497</v>
      </c>
    </row>
    <row r="7">
      <c r="A7" s="376" t="s">
        <v>1530</v>
      </c>
      <c r="B7" s="408" t="str">
        <f>VLOOKUP(A7,'hedef liste'!A:Y,20,0)</f>
        <v>Randevu Alındı</v>
      </c>
      <c r="C7" s="481">
        <f>VLOOKUP(A7,'hedef liste'!A:Y,25,0)</f>
        <v>44403</v>
      </c>
    </row>
    <row r="8">
      <c r="A8" s="376" t="s">
        <v>1349</v>
      </c>
      <c r="B8" s="408" t="str">
        <f>VLOOKUP(A8,'hedef liste'!A:Y,20,0)</f>
        <v>Başka Şubeden Çekilecek</v>
      </c>
      <c r="C8" s="481">
        <f>VLOOKUP(A8,'hedef liste'!A:Y,25,0)</f>
        <v>44386</v>
      </c>
    </row>
    <row r="9">
      <c r="A9" s="376" t="s">
        <v>942</v>
      </c>
      <c r="B9" s="408" t="str">
        <f>VLOOKUP(A9,'hedef liste'!A:Y,20,0)</f>
        <v>#N/A</v>
      </c>
      <c r="C9" s="482" t="str">
        <f>VLOOKUP(A9,'hedef liste'!A:Y,25,0)</f>
        <v>#N/A</v>
      </c>
    </row>
    <row r="10">
      <c r="A10" s="483" t="s">
        <v>5748</v>
      </c>
      <c r="B10" s="408" t="str">
        <f>VLOOKUP(A10,'hedef liste'!A:Y,20,0)</f>
        <v/>
      </c>
      <c r="C10" s="481" t="str">
        <f>VLOOKUP(A10,'hedef liste'!A:Y,25,0)</f>
        <v/>
      </c>
    </row>
    <row r="11">
      <c r="A11" s="483" t="s">
        <v>1510</v>
      </c>
      <c r="B11" s="408" t="str">
        <f>VLOOKUP(A11,'hedef liste'!A:Y,20,0)</f>
        <v>Randevu Alındı</v>
      </c>
      <c r="C11" s="481">
        <f>VLOOKUP(A11,'hedef liste'!A:Y,25,0)</f>
        <v>44393</v>
      </c>
    </row>
    <row r="12">
      <c r="A12" s="483" t="s">
        <v>642</v>
      </c>
      <c r="B12" s="408" t="str">
        <f>VLOOKUP(A12,'hedef liste'!A:Y,20,0)</f>
        <v>Randevu İptal</v>
      </c>
      <c r="C12" s="481">
        <f>VLOOKUP(A12,'hedef liste'!A:Y,25,0)</f>
        <v>44470</v>
      </c>
    </row>
    <row r="13">
      <c r="A13" s="483" t="s">
        <v>7844</v>
      </c>
      <c r="B13" s="408" t="str">
        <f>VLOOKUP(A13,'hedef liste'!A:Y,20,0)</f>
        <v>#N/A</v>
      </c>
      <c r="C13" s="482" t="str">
        <f>VLOOKUP(A13,'hedef liste'!A:Y,25,0)</f>
        <v>#N/A</v>
      </c>
    </row>
    <row r="14">
      <c r="A14" s="483" t="s">
        <v>4752</v>
      </c>
      <c r="B14" s="408" t="str">
        <f>VLOOKUP(A14,'hedef liste'!A:Y,20,0)</f>
        <v>Başka Şubeden Çekilecek</v>
      </c>
      <c r="C14" s="481" t="str">
        <f>VLOOKUP(A14,'hedef liste'!A:Y,25,0)</f>
        <v/>
      </c>
    </row>
    <row r="15">
      <c r="A15" s="483" t="s">
        <v>2814</v>
      </c>
      <c r="B15" s="408" t="str">
        <f>VLOOKUP(A15,'hedef liste'!A:Y,20,0)</f>
        <v>Randevu Alındı</v>
      </c>
      <c r="C15" s="481">
        <f>VLOOKUP(A15,'hedef liste'!A:Y,25,0)</f>
        <v>44481</v>
      </c>
    </row>
    <row r="16">
      <c r="A16" s="483" t="s">
        <v>1087</v>
      </c>
      <c r="B16" s="408" t="str">
        <f>VLOOKUP(A16,'hedef liste'!A:Y,20,0)</f>
        <v>Franchise</v>
      </c>
      <c r="C16" s="481" t="str">
        <f>VLOOKUP(A16,'hedef liste'!A:Y,25,0)</f>
        <v/>
      </c>
    </row>
    <row r="17">
      <c r="A17" s="483" t="s">
        <v>4688</v>
      </c>
      <c r="B17" s="408" t="str">
        <f>VLOOKUP(A17,'hedef liste'!A:Y,20,0)</f>
        <v/>
      </c>
      <c r="C17" s="481" t="str">
        <f>VLOOKUP(A17,'hedef liste'!A:Y,25,0)</f>
        <v/>
      </c>
    </row>
    <row r="18">
      <c r="A18" s="483" t="s">
        <v>5332</v>
      </c>
      <c r="B18" s="408" t="str">
        <f>VLOOKUP(A18,'hedef liste'!A:Y,20,0)</f>
        <v>Çekim İstemiyor</v>
      </c>
      <c r="C18" s="481" t="str">
        <f>VLOOKUP(A18,'hedef liste'!A:Y,25,0)</f>
        <v/>
      </c>
    </row>
    <row r="19">
      <c r="A19" s="483" t="s">
        <v>2638</v>
      </c>
      <c r="B19" s="408" t="str">
        <f>VLOOKUP(A19,'hedef liste'!A:Y,20,0)</f>
        <v>Randevu Alındı</v>
      </c>
      <c r="C19" s="481">
        <f>VLOOKUP(A19,'hedef liste'!A:Y,25,0)</f>
        <v>44552</v>
      </c>
    </row>
    <row r="20">
      <c r="A20" s="483" t="s">
        <v>1273</v>
      </c>
      <c r="B20" s="408" t="str">
        <f>VLOOKUP(A20,'hedef liste'!A:Y,20,0)</f>
        <v>#N/A</v>
      </c>
      <c r="C20" s="482" t="str">
        <f>VLOOKUP(A20,'hedef liste'!A:Y,25,0)</f>
        <v>#N/A</v>
      </c>
    </row>
    <row r="21">
      <c r="A21" s="483" t="s">
        <v>1212</v>
      </c>
      <c r="B21" s="408" t="str">
        <f>VLOOKUP(A21,'hedef liste'!A:Y,20,0)</f>
        <v>#N/A</v>
      </c>
      <c r="C21" s="482" t="str">
        <f>VLOOKUP(A21,'hedef liste'!A:Y,25,0)</f>
        <v>#N/A</v>
      </c>
    </row>
    <row r="22">
      <c r="A22" s="483" t="s">
        <v>934</v>
      </c>
      <c r="B22" s="408" t="str">
        <f>VLOOKUP(A22,'hedef liste'!A:Y,20,0)</f>
        <v>#N/A</v>
      </c>
      <c r="C22" s="482" t="str">
        <f>VLOOKUP(A22,'hedef liste'!A:Y,25,0)</f>
        <v>#N/A</v>
      </c>
    </row>
    <row r="23">
      <c r="A23" s="483" t="s">
        <v>2975</v>
      </c>
      <c r="B23" s="408" t="str">
        <f>VLOOKUP(A23,'hedef liste'!A:Y,20,0)</f>
        <v>Randevu Alındı</v>
      </c>
      <c r="C23" s="481">
        <f>VLOOKUP(A23,'hedef liste'!A:Y,25,0)</f>
        <v>44501</v>
      </c>
    </row>
    <row r="24">
      <c r="A24" s="483" t="s">
        <v>1597</v>
      </c>
      <c r="B24" s="408" t="str">
        <f>VLOOKUP(A24,'hedef liste'!A:Y,20,0)</f>
        <v>Randevu Alındı</v>
      </c>
      <c r="C24" s="481">
        <f>VLOOKUP(A24,'hedef liste'!A:Y,25,0)</f>
        <v>44405</v>
      </c>
    </row>
    <row r="25">
      <c r="A25" s="483" t="s">
        <v>2176</v>
      </c>
      <c r="B25" s="408" t="str">
        <f>VLOOKUP(A25,'hedef liste'!A:Y,20,0)</f>
        <v/>
      </c>
      <c r="C25" s="481">
        <f>VLOOKUP(A25,'hedef liste'!A:Y,25,0)</f>
        <v>44439</v>
      </c>
    </row>
    <row r="26">
      <c r="A26" s="483" t="s">
        <v>1685</v>
      </c>
      <c r="B26" s="408" t="str">
        <f>VLOOKUP(A26,'hedef liste'!A:Y,20,0)</f>
        <v>Randevu Alındı</v>
      </c>
      <c r="C26" s="481">
        <f>VLOOKUP(A26,'hedef liste'!A:Y,25,0)</f>
        <v>44433</v>
      </c>
    </row>
    <row r="27">
      <c r="A27" s="483" t="s">
        <v>2583</v>
      </c>
      <c r="B27" s="408" t="str">
        <f>VLOOKUP(A27,'hedef liste'!A:Y,20,0)</f>
        <v>Randevu Alındı</v>
      </c>
      <c r="C27" s="481">
        <f>VLOOKUP(A27,'hedef liste'!A:Y,25,0)</f>
        <v>44462</v>
      </c>
    </row>
    <row r="28">
      <c r="A28" s="483" t="s">
        <v>5580</v>
      </c>
      <c r="B28" s="408" t="str">
        <f>VLOOKUP(A28,'hedef liste'!A:Y,20,0)</f>
        <v>Başka Şubeden Çekilecek</v>
      </c>
      <c r="C28" s="481" t="str">
        <f>VLOOKUP(A28,'hedef liste'!A:Y,25,0)</f>
        <v/>
      </c>
    </row>
    <row r="29">
      <c r="A29" s="483" t="s">
        <v>534</v>
      </c>
      <c r="B29" s="408" t="str">
        <f>VLOOKUP(A29,'hedef liste'!A:Y,20,0)</f>
        <v>Randevu Alındı</v>
      </c>
      <c r="C29" s="481">
        <f>VLOOKUP(A29,'hedef liste'!A:Y,25,0)</f>
        <v>44389</v>
      </c>
    </row>
    <row r="30">
      <c r="A30" s="483" t="s">
        <v>925</v>
      </c>
      <c r="B30" s="408" t="str">
        <f>VLOOKUP(A30,'hedef liste'!A:Y,20,0)</f>
        <v>#N/A</v>
      </c>
      <c r="C30" s="482" t="str">
        <f>VLOOKUP(A30,'hedef liste'!A:Y,25,0)</f>
        <v>#N/A</v>
      </c>
    </row>
    <row r="31">
      <c r="A31" s="483" t="s">
        <v>1868</v>
      </c>
      <c r="B31" s="408" t="str">
        <f>VLOOKUP(A31,'hedef liste'!A:Y,20,0)</f>
        <v>Randevu Alındı</v>
      </c>
      <c r="C31" s="481">
        <f>VLOOKUP(A31,'hedef liste'!A:Y,25,0)</f>
        <v>44420</v>
      </c>
    </row>
    <row r="32">
      <c r="A32" s="483" t="s">
        <v>1236</v>
      </c>
      <c r="B32" s="408" t="str">
        <f>VLOOKUP(A32,'hedef liste'!A:Y,20,0)</f>
        <v>Randevu Alındı</v>
      </c>
      <c r="C32" s="481">
        <f>VLOOKUP(A32,'hedef liste'!A:Y,25,0)</f>
        <v>44383</v>
      </c>
    </row>
    <row r="33">
      <c r="A33" s="483" t="s">
        <v>1010</v>
      </c>
      <c r="B33" s="408" t="str">
        <f>VLOOKUP(A33,'hedef liste'!A:Y,20,0)</f>
        <v>#N/A</v>
      </c>
      <c r="C33" s="482" t="str">
        <f>VLOOKUP(A33,'hedef liste'!A:Y,25,0)</f>
        <v>#N/A</v>
      </c>
    </row>
    <row r="34">
      <c r="A34" s="483" t="s">
        <v>929</v>
      </c>
      <c r="B34" s="408" t="str">
        <f>VLOOKUP(A34,'hedef liste'!A:Y,20,0)</f>
        <v>Randevu Alındı</v>
      </c>
      <c r="C34" s="481">
        <f>VLOOKUP(A34,'hedef liste'!A:Y,25,0)</f>
        <v>44439</v>
      </c>
    </row>
    <row r="35">
      <c r="A35" s="483" t="s">
        <v>1326</v>
      </c>
      <c r="B35" s="408" t="str">
        <f>VLOOKUP(A35,'hedef liste'!A:Y,20,0)</f>
        <v>Randevu Alındı</v>
      </c>
      <c r="C35" s="481">
        <f>VLOOKUP(A35,'hedef liste'!A:Y,25,0)</f>
        <v>44427</v>
      </c>
    </row>
    <row r="36">
      <c r="A36" s="483" t="s">
        <v>851</v>
      </c>
      <c r="B36" s="408" t="str">
        <f>VLOOKUP(A36,'hedef liste'!A:Y,20,0)</f>
        <v>#N/A</v>
      </c>
      <c r="C36" s="482" t="str">
        <f>VLOOKUP(A36,'hedef liste'!A:Y,25,0)</f>
        <v>#N/A</v>
      </c>
    </row>
    <row r="37">
      <c r="A37" s="483" t="s">
        <v>1191</v>
      </c>
      <c r="B37" s="408" t="str">
        <f>VLOOKUP(A37,'hedef liste'!A:Y,20,0)</f>
        <v>#N/A</v>
      </c>
      <c r="C37" s="482" t="str">
        <f>VLOOKUP(A37,'hedef liste'!A:Y,25,0)</f>
        <v>#N/A</v>
      </c>
    </row>
    <row r="38">
      <c r="A38" s="483" t="s">
        <v>1459</v>
      </c>
      <c r="B38" s="408" t="str">
        <f>VLOOKUP(A38,'hedef liste'!A:Y,20,0)</f>
        <v>Randevu Alındı</v>
      </c>
      <c r="C38" s="481">
        <f>VLOOKUP(A38,'hedef liste'!A:Y,25,0)</f>
        <v>44392</v>
      </c>
    </row>
    <row r="39">
      <c r="A39" s="483" t="s">
        <v>1299</v>
      </c>
      <c r="B39" s="408" t="str">
        <f>VLOOKUP(A39,'hedef liste'!A:Y,20,0)</f>
        <v>Randevu Alındı</v>
      </c>
      <c r="C39" s="481">
        <f>VLOOKUP(A39,'hedef liste'!A:Y,25,0)</f>
        <v>44322</v>
      </c>
    </row>
    <row r="40">
      <c r="A40" s="483" t="s">
        <v>2367</v>
      </c>
      <c r="B40" s="408" t="str">
        <f>VLOOKUP(A40,'hedef liste'!A:Y,20,0)</f>
        <v>Randevu Alındı</v>
      </c>
      <c r="C40" s="481">
        <f>VLOOKUP(A40,'hedef liste'!A:Y,25,0)</f>
        <v>44501</v>
      </c>
    </row>
    <row r="41">
      <c r="A41" s="483" t="s">
        <v>897</v>
      </c>
      <c r="B41" s="408" t="str">
        <f>VLOOKUP(A41,'hedef liste'!A:Y,20,0)</f>
        <v>#N/A</v>
      </c>
      <c r="C41" s="482" t="str">
        <f>VLOOKUP(A41,'hedef liste'!A:Y,25,0)</f>
        <v>#N/A</v>
      </c>
    </row>
    <row r="42">
      <c r="A42" s="483" t="s">
        <v>1319</v>
      </c>
      <c r="B42" s="408" t="str">
        <f>VLOOKUP(A42,'hedef liste'!A:Y,20,0)</f>
        <v>#N/A</v>
      </c>
      <c r="C42" s="482" t="str">
        <f>VLOOKUP(A42,'hedef liste'!A:Y,25,0)</f>
        <v>#N/A</v>
      </c>
    </row>
  </sheetData>
  <drawing r:id="rId1"/>
</worksheet>
</file>